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3055-005" sheetId="2" r:id="rId5"/>
    <sheet state="visible" name="2767-011" sheetId="3" r:id="rId6"/>
    <sheet state="visible" name="2776-012" sheetId="4" r:id="rId7"/>
    <sheet state="visible" name="3055-003" sheetId="5" r:id="rId8"/>
    <sheet state="visible" name="Classificação" sheetId="6" r:id="rId9"/>
  </sheets>
  <definedNames>
    <definedName hidden="1" localSheetId="1" name="_xlnm._FilterDatabase">'3055-005'!$D$1:$D$88</definedName>
  </definedNames>
  <calcPr/>
  <extLst>
    <ext uri="GoogleSheetsCustomDataVersion2">
      <go:sheetsCustomData xmlns:go="http://customooxmlschemas.google.com/" r:id="rId10" roundtripDataChecksum="0nZ7PUYWeCwh2tZ6crA+Z7Tl+T39JxWTiGFOaWgzarE="/>
    </ext>
  </extLst>
</workbook>
</file>

<file path=xl/sharedStrings.xml><?xml version="1.0" encoding="utf-8"?>
<sst xmlns="http://schemas.openxmlformats.org/spreadsheetml/2006/main" count="10436" uniqueCount="985">
  <si>
    <t>Local (país)</t>
  </si>
  <si>
    <t>Local (estado)</t>
  </si>
  <si>
    <t>Designação do repositório</t>
  </si>
  <si>
    <t>Designação do conjunto documental</t>
  </si>
  <si>
    <t>Designação do subconjunto documental</t>
  </si>
  <si>
    <t>Gênero documental</t>
  </si>
  <si>
    <t>Espécie/Tipo documental</t>
  </si>
  <si>
    <t>Técnica de registro</t>
  </si>
  <si>
    <t>Forma documental</t>
  </si>
  <si>
    <t>Unidade de descrição</t>
  </si>
  <si>
    <t>BR</t>
  </si>
  <si>
    <t>-</t>
  </si>
  <si>
    <t>SP</t>
  </si>
  <si>
    <t>APESP</t>
  </si>
  <si>
    <t>_</t>
  </si>
  <si>
    <t>DASP</t>
  </si>
  <si>
    <t>PENITPRE-CSDTCARANDIRU</t>
  </si>
  <si>
    <t>ICO</t>
  </si>
  <si>
    <t>FOT</t>
  </si>
  <si>
    <t>DGZ</t>
  </si>
  <si>
    <t>MT0</t>
  </si>
  <si>
    <t>3055-005-</t>
  </si>
  <si>
    <t>001</t>
  </si>
  <si>
    <t>F</t>
  </si>
  <si>
    <t>.jpg</t>
  </si>
  <si>
    <t>V</t>
  </si>
  <si>
    <t>002</t>
  </si>
  <si>
    <t>003</t>
  </si>
  <si>
    <t>004</t>
  </si>
  <si>
    <t>006</t>
  </si>
  <si>
    <t>007</t>
  </si>
  <si>
    <t>008</t>
  </si>
  <si>
    <t>009</t>
  </si>
  <si>
    <t>010</t>
  </si>
  <si>
    <t>011</t>
  </si>
  <si>
    <t>012</t>
  </si>
  <si>
    <t>014</t>
  </si>
  <si>
    <t>013</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</si>
  <si>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</si>
  <si>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</si>
  <si>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</si>
  <si>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</si>
  <si>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</si>
  <si>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</si>
  <si>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</si>
  <si>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</si>
  <si>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</si>
  <si>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</si>
  <si>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</si>
  <si>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</si>
  <si>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</si>
  <si>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</si>
  <si>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</si>
  <si>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</si>
  <si>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</si>
  <si>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</si>
  <si>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</si>
  <si>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</si>
  <si>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</si>
  <si>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</si>
  <si>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</si>
  <si>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</si>
  <si>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</si>
  <si>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</si>
  <si>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</si>
  <si>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</si>
  <si>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</si>
  <si>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</si>
  <si>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</si>
  <si>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</si>
  <si>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</si>
  <si>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</si>
  <si>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</si>
  <si>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</si>
  <si>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</si>
  <si>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</si>
  <si>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</si>
  <si>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</si>
  <si>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</si>
  <si>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</si>
  <si>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</si>
  <si>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</si>
  <si>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</si>
  <si>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</si>
  <si>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</si>
  <si>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</si>
  <si>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</si>
  <si>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</si>
  <si>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</si>
  <si>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</si>
  <si>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068</t>
  </si>
  <si>
    <t>067</t>
  </si>
  <si>
    <t>069</t>
  </si>
  <si>
    <t>070</t>
  </si>
  <si>
    <t>071</t>
  </si>
  <si>
    <t>072</t>
  </si>
  <si>
    <t>073</t>
  </si>
  <si>
    <t>074</t>
  </si>
  <si>
    <t>075</t>
  </si>
  <si>
    <t>076</t>
  </si>
  <si>
    <t>077</t>
  </si>
  <si>
    <t>078</t>
  </si>
  <si>
    <t>081</t>
  </si>
  <si>
    <t>079</t>
  </si>
  <si>
    <t>080</t>
  </si>
  <si>
    <t>082</t>
  </si>
  <si>
    <t>083</t>
  </si>
  <si>
    <t>084</t>
  </si>
  <si>
    <t>085</t>
  </si>
  <si>
    <t>086</t>
  </si>
  <si>
    <t>087</t>
  </si>
  <si>
    <t>088</t>
  </si>
  <si>
    <t>2767-011-</t>
  </si>
  <si>
    <t>005</t>
  </si>
  <si>
    <t>2776-012-</t>
  </si>
  <si>
    <t>3055-003-</t>
  </si>
  <si>
    <t>Cód.</t>
  </si>
  <si>
    <t>Título descritivo (atribuído)</t>
  </si>
  <si>
    <t>Nível de descrição</t>
  </si>
  <si>
    <t>Data de difusão da fotografia 
(mais antiga contida no verso)</t>
  </si>
  <si>
    <t>Tamanho</t>
  </si>
  <si>
    <t>Suporte</t>
  </si>
  <si>
    <t>Local</t>
  </si>
  <si>
    <t xml:space="preserve">Autor/Responsável </t>
  </si>
  <si>
    <t>Denominação do catálogo temático (APESP DASP)</t>
  </si>
  <si>
    <t>Localização</t>
  </si>
  <si>
    <t xml:space="preserve">Código de referência </t>
  </si>
  <si>
    <t>História arquivística</t>
  </si>
  <si>
    <t>Conteúdo/Assunto</t>
  </si>
  <si>
    <t xml:space="preserve">Condições de acesso e reprodução </t>
  </si>
  <si>
    <t>Palavras-chave</t>
  </si>
  <si>
    <t>Gênero</t>
  </si>
  <si>
    <t>Legenda para publicações</t>
  </si>
  <si>
    <t>Citação ABNT</t>
  </si>
  <si>
    <t xml:space="preserve">Notas (transcrição das informações do verso) </t>
  </si>
  <si>
    <t>Av. Cruzeiro do Sul (1979)</t>
  </si>
  <si>
    <t>Item</t>
  </si>
  <si>
    <t>Gerado pelo Dataverse</t>
  </si>
  <si>
    <t>Fotografia digitalizada; preto e branco; suporte em papel fotográfico</t>
  </si>
  <si>
    <t>São Paulo, Brasil</t>
  </si>
  <si>
    <t>Arquivo Público do Estado de São Paulo, Jornal Diários Associados</t>
  </si>
  <si>
    <t>Estado De São Paulo - Penitenciárias e Presídios - Casa de Detenção do Carandiru (Fotografias)</t>
  </si>
  <si>
    <t>Caixa: 3055
Folder: 5</t>
  </si>
  <si>
    <r>
      <rPr>
        <rFont val="Roboto"/>
        <color theme="1"/>
        <sz val="12.0"/>
      </rPr>
      <t xml:space="preserve">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t>
    </r>
    <r>
      <rPr>
        <rFont val="Roboto"/>
        <color rgb="FFFF0000"/>
        <sz val="12.0"/>
      </rPr>
      <t>(2025)[1]</t>
    </r>
    <r>
      <rPr>
        <rFont val="Roboto"/>
        <color theme="1"/>
        <sz val="12.0"/>
      </rPr>
      <t>.</t>
    </r>
  </si>
  <si>
    <t>Fotografia em preto e branco mostrando a fachada principal da Casa de Detenção, com a inscrição “CASA DE DETENÇÃO” visível na parte superior da imagem. No primeiro plano, observam-se pessoas reunidas junto ao portão de entrada e dois veículos estacionados. Iluminação artificial, tomada noturna ou ao entardecer.</t>
  </si>
  <si>
    <t>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t>
  </si>
  <si>
    <t>Sistema prisional; Arquitetura prisional; Casa de Detenção de São Paulo; Carandiru; Fotografia documental.</t>
  </si>
  <si>
    <t>Fotografia (Iconográfico)</t>
  </si>
  <si>
    <t>Digitalização de fotografia em preto e branco 
(analógica original)</t>
  </si>
  <si>
    <t>Estado de São Paulo – XXXXX penitenciárias e presídios – Casa de Detenção DN – 23/06/1979</t>
  </si>
  <si>
    <t>Sentinela em passarela de vigilância — Casa de Detenção (Carandiru) em 1979</t>
  </si>
  <si>
    <r>
      <rPr>
        <rFont val="Roboto"/>
        <color theme="1"/>
        <sz val="12.0"/>
      </rPr>
      <t xml:space="preserve">Arquivo Público do Estado de São Paulo, </t>
    </r>
    <r>
      <rPr>
        <rFont val="Roboto"/>
        <color theme="1"/>
        <sz val="12.0"/>
      </rPr>
      <t>Jornal Diários Associados</t>
    </r>
  </si>
  <si>
    <t>Fotografia em preto e branco retratando um agente de segurança armado caminhando sobre uma passarela elevada junto à fachada de um dos pavilhões da Casa de Detenção. A construção exibe janelas gradeadas e estrutura de concreto que caracteriza a arquitetura prisional.</t>
  </si>
  <si>
    <t>Sistema prisional; Vigilância penitenciária; Segurança prisional; Arquitetura carcerária; Casa de Detenção de São Paulo; Carandiru.</t>
  </si>
  <si>
    <t>Estado de São Paulo – Penitenciárias e presídios – Casa de Detenção 
Vista parcial da Detenção.
DN – 16/02/1979</t>
  </si>
  <si>
    <t>Celebração da Páscoa na Casa de Detenção (Carandiru) em 1963</t>
  </si>
  <si>
    <r>
      <rPr>
        <rFont val="Roboto"/>
        <color theme="1"/>
        <sz val="12.0"/>
      </rPr>
      <t xml:space="preserve">Arquivo Público do Estado de São Paulo, </t>
    </r>
    <r>
      <rPr>
        <rFont val="Roboto"/>
        <color theme="1"/>
        <sz val="12.0"/>
      </rPr>
      <t>Jornal Diários Associados</t>
    </r>
  </si>
  <si>
    <t>Fotografia em preto e branco registra a celebração da comunhão pascal dos detentos da Casa de Detenção do Carandiru, realizada em 7 de julho de 1963. A cerimônia litúrgica ocorre em área interna do complexo, diante do pátio da Capela de Nossa Senhora Aparecida. Em primeiro plano, um altar improvisado com toalha branca e arranjo floral serve de ponto focal para o ofício conduzido pelo padre Paulo Ruffier, capelão da Penitenciária do Estado. Participam da celebração freiras, mulheres e homens em trajes formais, dispostos em atitude reverente. Ao fundo, vê-se o pátio cercado por galerias com janelas gradeadas, decorado com bandeirolas, compondo um cenário de fé e solenidade em meio ao ambiente prisional.</t>
  </si>
  <si>
    <t>Sistema prisional; Assistência religiosa; Cerimônias católicas; Vida institucional; Casa de Detenção de São Paulo; Carandiru.</t>
  </si>
  <si>
    <t>Penitenciárias e presídios – Casa de Detenção do Carandiru
Detentos tiveram a sua comunhão pascal
Aspecto da Páscoa dos detentos da Casa de Detenção do Carandiru, ontem realizada.
DN. 1ª Ed., 8/7/1963 - wpj
Reverentes, concentrados e em absoluto silêncio, os detentos recolhidos no Pavilhão n. 8 da Casa de Detenção fizeram na manhã de ontem a sua comunhão pascal. A cerimonia litúrgica, que se constituiu num admirável espetáculo de fé cristã, foi celebrada defronte ao pátio da Capela de Nossa Senhora Aparecida, pelo pe. Paulo Ruffier, capelão da Penitenciária do Estado.</t>
  </si>
  <si>
    <t>Mulheres em atividade de artesanato em cômodo com decoração religiosa na Casa de Detenção (Carandiru) em 1963</t>
  </si>
  <si>
    <r>
      <rPr>
        <rFont val="Roboto"/>
        <color theme="1"/>
        <sz val="12.0"/>
      </rPr>
      <t xml:space="preserve">Arquivo Público do Estado de São Paulo, </t>
    </r>
    <r>
      <rPr>
        <rFont val="Roboto"/>
        <color theme="1"/>
        <sz val="12.0"/>
      </rPr>
      <t>Jornal Diários Associados</t>
    </r>
  </si>
  <si>
    <t>A imagem em preto e branco mostra um grupo de seis mulheres (quatro brancas e duas negras) reunidas em uma mesa de trabalho. Elas parecem concentradas em atividades manuais, talvez de corte, desenho ou modelagem de moldes — há réguas, papéis e ferramentas sobre a mesa. No centro da composição, ao fundo, há um crucifixo fixado na parede, logo acima da mesa. As mulheres usam roupas simples e claras, o que reforça uma atmosfera de disciplina e uniformidade.</t>
  </si>
  <si>
    <t>Trabalho feminino; religião e cárcere; oficinas de artesanato; ressocialização.</t>
  </si>
  <si>
    <t>Estado de São Paulo – Casa de Detenção do Carandiru 
Detentas do presidio do Carandirú, são preparadas pela Madre do Divino Salvador, para retornar ao convívio da sociedade. Recebem um pecúlio e os ensinamentos necessários para enfrentar a vida nas grandes cidades.
Arq. 24/1/1963</t>
  </si>
  <si>
    <t>Autoridades de gravata e de farda cruzam portões da Casa de Detenção “por ocasião de sua inauguração”, conforme legenda (12.11.1956)</t>
  </si>
  <si>
    <r>
      <rPr>
        <rFont val="Roboto"/>
        <color theme="1"/>
        <sz val="12.0"/>
      </rPr>
      <t xml:space="preserve">Arquivo Público do Estado de São Paulo, </t>
    </r>
    <r>
      <rPr>
        <rFont val="Roboto"/>
        <color theme="1"/>
        <sz val="12.0"/>
      </rPr>
      <t>Jornal Diários Associados</t>
    </r>
  </si>
  <si>
    <t>Imagem em preto e branco registra autoridades civis e militares em deslocamento por área externa do complexo penitenciário do Carandiru, em São Paulo. À frente do grupo, homens trajando ternos e uniformes dialogam enquanto atravessam um portão de ferro. A cena documenta um momento da inauguração oficial do novo pavilhão da Casa de Detenção, realizada em 12 de setembro de 1956, nos terrenos da Penitenciária do Estado, na avenida General Ataliba Leonel. Presentes estavam representantes do Judiciário, da Segurança Pública, da Justiça, da Guarda Civil, da Força Pública, da Polícia Feminina e de comandos militares da região.</t>
  </si>
  <si>
    <t>Administração penitenciária; visita institucional; segurança pública; Carandiru; autoridades civis e militares.</t>
  </si>
  <si>
    <t>Estado de São Paulo - Penitenciárias e Presídios – Casa de Detenção - Carandiru
Realizou-se a inauguração oficial do novo pavilhão da Casa de Detenção, construído nos terrenos da Penitenciária do Estado.
Da inauguração é o flagrante.
DN, ed. 12/9/1956
Inaugurado um pavilhão na nova Casa de Detenção – Realizou-se ontem a inauguração oficial do novo pavilhão da Casa de Detenção, construído nos terrenos da Penitenciária do Estado, na Avenida General Ataliba Leonel. O edifício, que estava praticamente terminado há algum tempo, necessitava de obras complementares externas, bem como do aparelhamento indispensável para o seu funcionamento. Ainda assim, porém, parte do prédio vinha sendo utilizada há alguns meses, sendo ali alojados parte dos detentos — os mais perigosos — que se achavam no Presídio do Hipódromo ou na Casa de Detenção.
O novo pavilhão, que faz parte de um conjunto a ser construído o mais rapidamente possível, tem capacidade para 500 presos, alojados em quatro pavimentos distintos. Ao ato inaugural compareceram o juiz das Execuções Criminais, sr. Valentim Alves da Silva; o sr. Nereu César de Morais, diretor-geral dos Presídios; o sr. Carlos Eugênio Bittencourt da Fonseca, secretário da Segurança Pública; o sr. Lincoln Feliciano, secretário da Justiça; a diretoria da Guarda Civil; o comandante da Força Pública; representantes do comando da 2ª Região Militar e da Zona Militar Centro; delegados auxiliares, especializados e de distritos; bem como a diretora da Polícia Feminina.
O clichê fixa aspecto tomado durante a solenidade.</t>
  </si>
  <si>
    <t>Repórter examinando o colchão cujos panos foram utilizados para a produção de uma corda para a fuga de detentos da Casa de Detenção (Carandiru) em 1956</t>
  </si>
  <si>
    <r>
      <rPr>
        <rFont val="Roboto"/>
        <color theme="1"/>
        <sz val="12.0"/>
      </rPr>
      <t xml:space="preserve">Arquivo Público do Estado de São Paulo, </t>
    </r>
    <r>
      <rPr>
        <rFont val="Roboto"/>
        <color theme="1"/>
        <sz val="12.0"/>
      </rPr>
      <t>Jornal Diários Associados</t>
    </r>
  </si>
  <si>
    <t>Fotografia em preto e branco mostra uma pessoa curvada dentro de uma cela da Casa de Detenção do Carandiru, ao lado de um monte de palha. Sobre a palha, repousam um colchão listrado e tecidos, evidenciando improviso nas condições de repouso. O ambiente revela aspectos da precariedade estrutural do sistema prisional à época. O registro está relacionado à fuga de quatro detentos, ocorrida na madrugada de 6 de julho de 1956, quando lençóis e partes de colchões foram utilizados na confecção de uma corda improvisada.</t>
  </si>
  <si>
    <t>Fuga de detentos; Cela (Prisional); Precariedade estrutural; Colchão improvisado; Palha (Leito); Reporter examinando; Carandiru; Incidentes de segurança; Meios de fuga; Cotidiano carcerário.</t>
  </si>
  <si>
    <t>Estado de São Paulo - Penitenciárias e Presídios – Casa de Detenção Carandiru
Quatro delinquentes fugiram de madrugada da Casa de Detenção
O repórter examina o colchão que foi destruído pelos fugitivos, cujo pano aproveitaram para reforçar a improvisada corda feita com lençóis.
DN, 1ª ed., 6/7/1956 – W</t>
  </si>
  <si>
    <t>Mulheres em atividade de artesanato em ambiente com elementos religiosos na Casa de Detenção (Carandiru), 1963</t>
  </si>
  <si>
    <r>
      <rPr>
        <rFont val="Roboto"/>
        <color theme="1"/>
        <sz val="12.0"/>
      </rPr>
      <t xml:space="preserve">Arquivo Público do Estado de São Paulo, </t>
    </r>
    <r>
      <rPr>
        <rFont val="Roboto"/>
        <color theme="1"/>
        <sz val="12.0"/>
      </rPr>
      <t>Jornal Diários Associados</t>
    </r>
  </si>
  <si>
    <t>Estado de São Paulo - Penitenciárias e Presídios – Casa de Detenção do Carandiru
Detentas do presídio do Carandiru são preparadas pela Madre do Divino Salvador para retornar ao convívio da sociedade. Recebem um pecúlio e os ensinamentos necessários para enfrentar a vida nas grandes cidades.
Arq., 24/1/1963 – ACF</t>
  </si>
  <si>
    <t>Pessoa com a mão estendida através de abertura em porta metálica prisional da Casa de Detenção (Carandiru) em 1979</t>
  </si>
  <si>
    <r>
      <rPr>
        <rFont val="Roboto"/>
        <color theme="1"/>
        <sz val="12.0"/>
      </rPr>
      <t xml:space="preserve">Arquivo Público do Estado de São Paulo, </t>
    </r>
    <r>
      <rPr>
        <rFont val="Roboto"/>
        <color theme="1"/>
        <sz val="12.0"/>
      </rPr>
      <t>Jornal Diários Associados</t>
    </r>
  </si>
  <si>
    <t>A imagem em preto e branco retrata uma pessoa estendendo a mão através de uma pequena abertura retangular em uma porta metálica, da cela prisional. O gesto sugere tentativa de contato, comunicação ou expressão com o ambiente exterior. Registro associado à superlotação na Casa de Detenção (Carandiru)</t>
  </si>
  <si>
    <t>Cela (Prisional); Precariedade estrutural; Carandiru; Superlotação.</t>
  </si>
  <si>
    <t>Estado de São Paulo – Penitenciárias e Presídios – Casa de Detenção
A Detenção está com superlotação e ameaça explodir.
DN, 31/5/1979</t>
  </si>
  <si>
    <t>Detentos com transtornos psiquiátricos em celas isoladas da Casa de Detenção da Avenida Tiradentes (1955)</t>
  </si>
  <si>
    <r>
      <rPr>
        <rFont val="Roboto"/>
        <color theme="1"/>
        <sz val="12.0"/>
      </rPr>
      <t xml:space="preserve">Arquivo Público do Estado de São Paulo, </t>
    </r>
    <r>
      <rPr>
        <rFont val="Roboto"/>
        <color theme="1"/>
        <sz val="12.0"/>
      </rPr>
      <t>Jornal Diários Associados</t>
    </r>
  </si>
  <si>
    <t>A fotografia em preto e branco registra um homem, detento da Casa de Detenção da Avenida Tiradentes (presídio anterior ao Carandiru), posicionado em uma área que o verso identifica como a "Isolada". O homem negro veste camisa de manga longa e encontra-se com os braços apoiados em uma superfície grade e as mãos entrelaçadas, olhando para cima.</t>
  </si>
  <si>
    <t>Detento psiquiátrico; Cela isolada; Condições carcerárias; Assistência psiquiátrica; Presídio Tiradentes; Casa de Detenção (Avenida Tiradentes); Manicômio Judiciário; Superlotação; 1955; Fotojornalismo.</t>
  </si>
  <si>
    <t>Estado de São Paulo – Penitenciárias e Presídios – Casa de Detenção da Avenida Tiradentes
Na “Isolada”
Detentos com transtornos mentais estão, irregularmente, jogados nas celas isoladas no presídio da Avenida Tiradentes. O Estado não toma nenhuma providência para removê-los para o Manicômio Judiciário.
D.N., 2ª ed., 27/1/1955 – JL</t>
  </si>
  <si>
    <t>Corredor de celas e circulação de pessoas no interior da Casa de Detenção (1978)</t>
  </si>
  <si>
    <r>
      <rPr>
        <rFont val="Roboto"/>
        <color theme="1"/>
        <sz val="12.0"/>
      </rPr>
      <t xml:space="preserve">Arquivo Público do Estado de São Paulo, </t>
    </r>
    <r>
      <rPr>
        <rFont val="Roboto"/>
        <color theme="1"/>
        <sz val="12.0"/>
      </rPr>
      <t>Jornal Diários Associados</t>
    </r>
  </si>
  <si>
    <t>Fotografia em preto e branco de corredor com portas metálicas dispostas em ambos os lados. Duas pessoas caminham pelo corredor com as costas voltadas para a câmera. Outras figuras são visíveis ao fundo. As portas possuem pequenas janelas e mecanismos de travamento. Registro de circulação em espaço prisional.</t>
  </si>
  <si>
    <t>Sistema prisional; Arquitetura prisional; Casa de Detenção (Carandiru); Carandiru; Fotografia documental.</t>
  </si>
  <si>
    <t>Estado de São Paulo – Penitenciárias e Presídios – Casa de Detenção
DN, 17/2/1978</t>
  </si>
  <si>
    <t>Visita de familiares após motim na Casa de Detenção do Carandiru (1964)</t>
  </si>
  <si>
    <r>
      <rPr>
        <rFont val="Roboto"/>
        <color theme="1"/>
        <sz val="12.0"/>
      </rPr>
      <t xml:space="preserve">Arquivo Público do Estado de São Paulo, </t>
    </r>
    <r>
      <rPr>
        <rFont val="Roboto"/>
        <color theme="1"/>
        <sz val="12.0"/>
      </rPr>
      <t>Jornal Diários Associados</t>
    </r>
  </si>
  <si>
    <t>A fotografia em preto e branco registra o momento de visita familiar em frente ao portão de acesso da Casa de Detenção do Carandiru. O primeiro plano exibe dois grupos de familiares: à esquerda, uma mulher e duas crianças, e, à direita, outra mulher e um homem.
O verso da fotografia contextualiza este momento como um período de alta tensão em 17 de agosto de 1964, seguindo um motim causado pelo "Regime do Terror", no qual os familiares foram mantidos em "afflictiva espera" de notícias ou permissão para visitar. O registro, portanto, documenta a dimensão afetiva da rotina prisional em um cenário de crise e repressão institucional.</t>
  </si>
  <si>
    <t>Visita familiar; Motim; Regime do terror; Crise prisional; Tensão; Agente penitenciário; Grades (prisão); Família de detento; Carandiru; Casa de Detenção; 1964; Fotojornalismo.</t>
  </si>
  <si>
    <t>Estado de São Paulo – Penitenciárias e Presídios – Casa de Detenção do Carandiru
Detenção: regime do terror provocou motim
[Texto em pequeno retângulo, possivelmente um recorte de legenda ou matéria]
Cenas dramáticas foram registradas na Casa de Detenção, defronte ao portão principal. Familiares de presos ficaram horas e horas em aflitiva espera, até que a direção do presídio permitisse a visitação.
DN, 2ª ed., 17/8/1964 – CJS
Miliciano comandava a tortura de presos na Casa de Detenção
DN, 2ª ed., 18/8/1964 – CJS
Cadeia vai abrir suas portas
DN, 1ª ed., 1/9/1971 – DEC</t>
  </si>
  <si>
    <t>Cela individual da Casa de Detenção do Carandiru</t>
  </si>
  <si>
    <r>
      <rPr>
        <rFont val="Roboto"/>
        <color theme="1"/>
        <sz val="12.0"/>
      </rPr>
      <t xml:space="preserve">Arquivo Público do Estado de São Paulo, </t>
    </r>
    <r>
      <rPr>
        <rFont val="Roboto"/>
        <color theme="1"/>
        <sz val="12.0"/>
      </rPr>
      <t>Jornal Diários Associados</t>
    </r>
  </si>
  <si>
    <t>A fotografia em preto e branco registra o interior de uma cela individual da Casa de Detenção do Carandiru. O ambiente, que o verso descreve como "sombrio", revela a mobília básica, incluindo uma cama simples e poucos objetos pessoais, além de uma janela de inspeção ou uma abertura gradeada.
O verso da fotografia (data: 07/08/1965) estabelece um contexto de reforma prisional, indicando que as celas individuais estavam sendo substituídas por outra estrutura para cinco ou seis detentos. O registro é, portanto, um documento visual da estrutura original da prisão em um momento em que a superlotação já forçava a adaptação para celas coletivas.</t>
  </si>
  <si>
    <t>Cela individual; Superlotação (crítica); Reforma prisional; Estrutura original; Carandiru; Presídio do Hipódromo (fechamento); Xadrezes-apartamentos; 1965; Condições carcerárias.</t>
  </si>
  <si>
    <t>Estado de São Paulo – Penitenciárias e Presídios – Casa de Detenção do Carandiru
Será fechado em 15 dias o Presídio do Hipódromo
[Texto em pequeno retângulo, recorte de matéria]
As sombrias celas individuais da Casa de Detenção, onde os homens ficam enjaulados como feras, estão desaparecendo para dar lugar a xadrezes-apartamentos para cinco ou seis detentos.
DN, 1ª ed., 7/8/1965</t>
  </si>
  <si>
    <t>Trabalho de pessoas em situação de privação de liberdade na construção da nova Casa de Detenção do Carandiru (1952)</t>
  </si>
  <si>
    <r>
      <rPr>
        <rFont val="Roboto"/>
        <color theme="1"/>
        <sz val="12.0"/>
      </rPr>
      <t xml:space="preserve">Arquivo Público do Estado de São Paulo, </t>
    </r>
    <r>
      <rPr>
        <rFont val="Roboto"/>
        <color theme="1"/>
        <sz val="12.0"/>
      </rPr>
      <t>Jornal Diários Associados</t>
    </r>
  </si>
  <si>
    <t>A fotografia em preto e branco documenta a realização de trabalho externo em um terreno irregular e com terra revolvida, o que o verso identifica como a construção da nova Casa de Detenção do Carandiru.
Em primeiro plano, dois detentos em uniformes escuros de trabalho e com numeração grande nas costas estão curvados, trabalhando diretamente no solo, sem o uso visível de ferramentas pesadas. Seus uniformes e a numeração (é parcialmente visível) denotam a identificação e o controle institucional dos internos. Ao fundo, um pequeno grupo de pessoas supervisiona a atividade; um dos homens usa um chapéu, e o cenário inclui vegetação, postes e um muro/edificação.
O registro, datado de 14 de novembro de 1952, documenta o uso de mão de obra carcerária no projeto de expansão do sistema prisional.</t>
  </si>
  <si>
    <t>Trabalho prisional; Construção (nova Casa de Detenção); Mão de obra carcerária; Uniforme (preso); Carandiru; Obra (penitenciária); 1952; Identificação numérica; Ressocialização.</t>
  </si>
  <si>
    <t>Estado de São Paulo – Penitenciária e Presídios – Casa de Detenção do Carandiru
Na foto, grupo dos 25 sentenciados que foram autorizados a trabalhar na construção da nova Casa de Detenção, com o amparo das leis vigentes no país.
DN, 2ª ed., 14/11/1952 – MMG</t>
  </si>
  <si>
    <t>Mulheres em espera após motim no Carandiru (1964)</t>
  </si>
  <si>
    <r>
      <rPr>
        <rFont val="Roboto"/>
        <color theme="1"/>
        <sz val="12.0"/>
      </rPr>
      <t xml:space="preserve">Arquivo Público do Estado de São Paulo, </t>
    </r>
    <r>
      <rPr>
        <rFont val="Roboto"/>
        <color theme="1"/>
        <sz val="12.0"/>
      </rPr>
      <t>Jornal Diários Associados</t>
    </r>
  </si>
  <si>
    <t>A fotografia em preto e branco registra um momento tenso de acesso e controle de visita em frente a um portão metálico da Casa de Detenção. Em primeiro plano, um militar/policial em uniforme de serviço e capacete, com as mãos na cintura, vigia a entrada. Três mulheres estão na porta: duas delas de costas, interagindo com dois homens que estão no interior do prédio (um de camiseta e outro de óculos).
O verso da fotografia contextualiza esta cena como um evento ligado ao "Regime de Terror" e a um motim ocorrido em 17 de agosto de 1964. A descrição original menciona a "dúvida, intranquilidade e temor" que levaram familiares (mulheres) às portas da Casa de Detenção. O registro, portanto, ilustra a entrada ou interação inicial de familiares em um cenário de crise institucional e repressão, sublinhando o rigoroso controle policial/militar sobre o acesso e a informação.</t>
  </si>
  <si>
    <t>Visita familiar (tensa); Motim (consequências); Polícia Militar (vigilância); Crise prisional; Controle de acesso; Mulheres e familiares; Carandiru; Regime de Terror; 1964; Fotojornalismo.</t>
  </si>
  <si>
    <t>Estado de São Paulo – Penitenciárias e Presídios – Casa de Detenção do Carandiru
Detenção: regime de terror provocou motim
Dúvida, intranquilidade e temor levaram essa gente às portas da Casa de Detenção, cuja barreira foi vencida pela resignação. A proibição caiu e todos puderam entrar no cenário da rebelião.
Ver. DN, 2ª ed., 17/8/1964 – DMC</t>
  </si>
  <si>
    <t>Familiares (mulheres e criança) em espera tensa no dia do motim do Carandiru (1964)</t>
  </si>
  <si>
    <t>Fotografia digitalizada; sépia; suporte em papel fotográfico</t>
  </si>
  <si>
    <r>
      <rPr>
        <rFont val="Roboto"/>
        <color theme="1"/>
        <sz val="12.0"/>
      </rPr>
      <t xml:space="preserve">Arquivo Público do Estado de São Paulo, </t>
    </r>
    <r>
      <rPr>
        <rFont val="Roboto"/>
        <color theme="1"/>
        <sz val="12.0"/>
      </rPr>
      <t>Jornal Diários Associados</t>
    </r>
  </si>
  <si>
    <t>A fotografia em preto e branco registra um grupo de familiares de detentos aguardando em uma área externa, sob a cobertura da portaria da Casa de Detenção. Em primeiro plano, o grupo é composto por uma mulher idosa, duas mulheres jovens (uma sentada, outra em pé com os braços cruzados) e uma criança pequena, olhando diretamente para a frente.
O verso da fotografia contextualiza esta cena como um evento de crise, ligado ao motim e ao "Regime de Terror" ocorrido em 17 de agosto de 1964. A legenda original descreve a "dúvida, intranquilidade e temor" que levaram "essa gente" às portas da prisão. O registro ilustra a dimensão humana e o sofrimento da espera dos familiares durante uma das crises da Casa de Detenção.</t>
  </si>
  <si>
    <t>Visita familiar (tensa); Espera; Mulheres (família de preso); Criança; Motim (consequências); Crise prisional; Carandiru; Regime de Terror; 1964; Fotojornalismo.</t>
  </si>
  <si>
    <t>Digitalização de fotografia em sépia
(analógica original)</t>
  </si>
  <si>
    <t>Soldados da Força Pública em formação durante a ocupação militar do Carandiru (1964)</t>
  </si>
  <si>
    <r>
      <rPr>
        <rFont val="Roboto"/>
        <color theme="1"/>
        <sz val="12.0"/>
      </rPr>
      <t xml:space="preserve">Arquivo Público do Estado de São Paulo, </t>
    </r>
    <r>
      <rPr>
        <rFont val="Roboto"/>
        <color theme="1"/>
        <sz val="12.0"/>
      </rPr>
      <t>Jornal Diários Associados</t>
    </r>
  </si>
  <si>
    <t>A fotografia em preto e branco registra um momento interno de formação e presença ostensiva de militares na Casa de Detenção. O ambiente, com bandeiras e flâmulas decorativas nas paredes (incluindo uma com "Ypiranga" e "Julho"), sugere um salão de reuniões ou uma sala de instrução da própria instituição. Um grande grupo de soldados da Força Pública está em formação, usando uniformes de combate, capacetes (com as letras "F P" ou "FP" visíveis, indicando Força Pública ou Força Policial) e portando cassetetes ou coldres.
A cena é observada por homens em trajes civis (ternos), provavelmente autoridades. O verso da fotografia contextualiza este evento como a "OCUPAÇÃO MILITAR" da prisão por mais de 200 soldados em 4 de julho de 1964, após um motim inédito iniciado pelos próprios guardas do presídio contra o diretor. A imagem, portanto, documenta a intervenção militar na Casa de Detenção para restabelecer a ordem após uma grave crise interna de gestão e segurança.</t>
  </si>
  <si>
    <t>Ocupação militar; Força Pública; Crise prisional; Motim de guardas; Intervenção estadual; Soldados em formação; Carandiru; Regime de terror; Autoridades (visita); 1964.</t>
  </si>
  <si>
    <t>Estado de São Paulo – Penitenciárias e Presídios – Casa de Detenção do Carandiru
Motim sangrento demite o diretor
Ocupação militar – Mais de 200 soldados da Força Pública do Estado de São Paulo ocuparam ontem a Casa de Detenção do Carandiru, em consequência de um motim iniciado por um grupo de guardas-presídios, que se rebelaram contra o diretor daquele presídio.
DN, Ed. ún., 4/7/1964 – WJP</t>
  </si>
  <si>
    <t>Procedimento de ingresso ou movimentação na Casa de Detenção no dia da chegada de novos presos (1979)</t>
  </si>
  <si>
    <r>
      <rPr>
        <rFont val="Roboto"/>
        <color theme="1"/>
        <sz val="12.0"/>
      </rPr>
      <t xml:space="preserve">Arquivo Público do Estado de São Paulo, </t>
    </r>
    <r>
      <rPr>
        <rFont val="Roboto"/>
        <color theme="1"/>
        <sz val="12.0"/>
      </rPr>
      <t>Jornal Diários Associados</t>
    </r>
  </si>
  <si>
    <t>A fotografia em preto e branco registra um momento de circulação e controle em uma área interna da Casa de Detenção. O ambiente é definido por grades de metal, que formam a entrada de uma galeria ou portão de segurança, iluminada por uma forte luz vinda do interior.
Em primeiro plano, um homem, está de costas, caminhando em direção à área gradeada, empurrando o que parece ser um carrinho ou carregando algum objeto volumoso. À direita, um homem usando um boné ou chapéu xadrez está sentado em um balcão (possivelmente um posto de controle), observando a movimentação e, talvez, fumando. A cena sugere um procedimento de ingresso, transferência de pertences ou distribuição de materiais.
O verso da fotografia contextualiza este evento como "Um dia dos novos 'hospedes' da Casa de Detenção", datado de 29 de maio de 1979.</t>
  </si>
  <si>
    <t>Ingresso (presídio); Novos detentos; Chegada de presos; Rotina prisional; Grades; Carrinho (logística); Funcionário penitenciário; Casa de Detenção; Carandiru; 1979; Controle de acesso.</t>
  </si>
  <si>
    <t>Estado de São Paulo – Penitenciárias e Presídios – Casa de Detenção
Um dia dos novos “hóspedes” da Casa de Detenção.
DN, 29/5/1979</t>
  </si>
  <si>
    <t>Preleição do Diretor Coronel Fernão Guedes aos novos detentos da Casa de Detenção (1979)</t>
  </si>
  <si>
    <r>
      <rPr>
        <rFont val="Roboto"/>
        <color theme="1"/>
        <sz val="12.0"/>
      </rPr>
      <t xml:space="preserve">Arquivo Público do Estado de São Paulo, </t>
    </r>
    <r>
      <rPr>
        <rFont val="Roboto"/>
        <color theme="1"/>
        <sz val="12.0"/>
      </rPr>
      <t>Jornal Diários Associados</t>
    </r>
  </si>
  <si>
    <t>A fotografia em preto e branco registra uma cerimônia de instrução (preleção) para detentos recém-chegados em um ambiente interno formal (sala de administração). O grupo de novos detentos está alinhado à direita, de perfil, com a cabeça raspada (corte "zero") e vestindo camisetas e calças claras (uniformes prisionais).
À esquerda, o Diretor, Coronel Fernão Guedes (identificado pelo verso), aparece curvado sobre uma mesa de madeira, apontando para documentos, conduzindo o procedimento de registro ou instrução. Outros homens, de terno e roupas civis, observam o ato ao fundo, indicando a presença de funcionários ou autoridades. O verso, datado de 29 de maio de 1979, confirma que a imagem documenta o "1º dia de novos detentos", marcando a recepção e o estabelecimento das regras da Casa de Detenção pelas autoridades máximas da instituição.</t>
  </si>
  <si>
    <t>Preleição (diretor); Novos detentos; Chegada de presos; Coronel Fernão Guedes; Uniforme prisional; Corte militar; Cerimônia de registro; Casa de Detenção; Carandiru; 1979; Autoridade prisional.</t>
  </si>
  <si>
    <t>Estado de São Paulo – Penitenciárias e Presídios – Casa de Detenção
O 1º dia de novos detentos na Casa de Detenção, com a preleção do diretor Cel. Fernão Guedes.
DN, 29/5/1979</t>
  </si>
  <si>
    <t>Aglomeração de detentos durante a revista do Henfil no Carandiru (1979)</t>
  </si>
  <si>
    <r>
      <rPr>
        <rFont val="Roboto"/>
        <color theme="1"/>
        <sz val="12.0"/>
      </rPr>
      <t xml:space="preserve">Arquivo Público do Estado de São Paulo, </t>
    </r>
    <r>
      <rPr>
        <rFont val="Roboto"/>
        <color theme="1"/>
        <sz val="12.0"/>
      </rPr>
      <t>Jornal Diários Associados</t>
    </r>
  </si>
  <si>
    <t>A fotografia em preto e branco, em plano alto, captura uma aglomeração massiva de homens (detentos) sentados ou agachados no chão de um amplo espaço interno (possivelmente um salão ou pátio coberto), ilustrando graficamente a superlotação da Casa de Detenção. As pessoas vestem roupas civis variadas, sem padronização, e todos estão olhando em uma direção comum, indicando a atenção a um palco ou ponto focal não visível. Um equipamento de iluminação ou sonorização está visível no canto superior direito.
O verso da fotografia, datado de 1º de junho de 1979, contextualiza o evento como a "revista do Henfil".</t>
  </si>
  <si>
    <t>Superlotação; Aglomeração de detentos; Evento (cultural/mídia); Revista do Henfil; Roupas civis; Pátio (interno); Casa de Detenção; Carandiru; 1979; Fotojornalismo.</t>
  </si>
  <si>
    <t>Estado de São Paulo – Penitenciárias e Presídios – Casa de Detenção
A revista do Henfil na Casa de Detenção.
DN, 1/6/1979</t>
  </si>
  <si>
    <t>Movimentação de detentos por portão gradeado em contexto de superpopulação no Carandiru (1979)</t>
  </si>
  <si>
    <r>
      <rPr>
        <rFont val="Roboto"/>
        <color theme="1"/>
        <sz val="12.0"/>
      </rPr>
      <t xml:space="preserve">Arquivo Público do Estado de São Paulo, </t>
    </r>
    <r>
      <rPr>
        <rFont val="Roboto"/>
        <color theme="1"/>
        <sz val="12.0"/>
      </rPr>
      <t>Jornal Diários Associados</t>
    </r>
  </si>
  <si>
    <t>A fotografia em preto e branco registra um momento de circulação controlada de detentos em uma área interna da Casa de Detenção. A cena é emoldurada por grades de metal que formam um portão de segurança parcialmente aberto, separando seções do corredor.
Dois homens estão em movimento através da abertura. O homem em primeiro plano está de costas, vestindo roupas casuais, caminhando para o interior do corredor. O homem logo atrás dele olha diretamente para a câmera com uma expressão atenta. O ambiente é um corredor com paredes claras e portas fechadas visíveis ao fundo, reforçando a natureza confinada do local.
O verso da fotografia, datado de 31 de maio de 1979, contextualiza esta rotina de movimentação em um cenário de crise: "Detenção com super população, ameaça explodir." O registro, portanto, documenta a vida e a circulação interna dos presos em um momento em que a superlotação estava no limite da capacidade institucional.</t>
  </si>
  <si>
    <t>Circulação de detentos; Portão de cela; Grades; Superlotação (crítica); Casa de Detenção; Carandiru; Rotina prisional; 1979; Confinamento; Controle de movimentação.</t>
  </si>
  <si>
    <t>Estado de São Paulo – Penitenciárias e Presídios – Casa de Detenção
A Detenção com superpopulação, ameaça explodir.
DN, 31/5/1979</t>
  </si>
  <si>
    <t>Passagem de funcionário por portão de segurança no período da revolta causada pela extinção do Projeto JUS (1979)</t>
  </si>
  <si>
    <r>
      <rPr>
        <rFont val="Roboto"/>
        <color theme="1"/>
        <sz val="12.0"/>
      </rPr>
      <t xml:space="preserve">Arquivo Público do Estado de São Paulo, </t>
    </r>
    <r>
      <rPr>
        <rFont val="Roboto"/>
        <color theme="1"/>
        <sz val="12.0"/>
      </rPr>
      <t>Jornal Diários Associados</t>
    </r>
  </si>
  <si>
    <t>A fotografia em preto e branco, com foco suave ou desfocado, registra a passagem de uma pessoa por um portão de grades em uma área interna de controle da Casa de Detenção. A pessoa, vista de costas, veste uma camisa ou jaleco claro. Ela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</si>
  <si>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Passagem (funcionário); Portão de grades; Controle de segurança; Revolta de presos; Extinção Projeto JUS; Funcionário prisional; Casa de Detenção; Carandiru; Crise prisional; 1979.</t>
  </si>
  <si>
    <t>Estado de São Paulo – Penitenciárias e Presídios – Casa de Detenção
A extinção do Projeto JUS aumentou a revolta dos presos na Detenção.
DN, 21/6/1979</t>
  </si>
  <si>
    <t>Corredor de celas da Casa de Detenção (Carandiru) no contexto de crise e revolta (1979)</t>
  </si>
  <si>
    <r>
      <rPr>
        <rFont val="Roboto"/>
        <color theme="1"/>
        <sz val="12.0"/>
      </rPr>
      <t xml:space="preserve">Arquivo Público do Estado de São Paulo, </t>
    </r>
    <r>
      <rPr>
        <rFont val="Roboto"/>
        <color theme="1"/>
        <sz val="12.0"/>
      </rPr>
      <t>Jornal Diários Associados</t>
    </r>
  </si>
  <si>
    <t>A fotografia em preto e branco utiliza uma perspectiva acentuada para registrar um corredor estreito e austero em uma galeria da Casa de Detenção. O corredor é ladeado por uma fileira de portas sólidas de metal, idênticas e repetitivas, que são as entradas das celas. O foco da imagem está nos detalhes das portas mais próximas, evidenciando grandes puxadores/alças e pequenas aberturas de inspeção (escotilhas) na parte superior. O piso de cimento ou ladrilho está sujo e desgastado. A profundidade do corredor, que se perde na escuridão, reforça a sensação de confinamento e claustrofobia.
O verso da fotografia, datado de 21 de junho de 1979, contextualiza esta arquitetura repressiva em um cenário de crise, mencionando que a "extinção do Projeto JUS aumentou a revolta dos presos". A imagem, portanto, documenta o ambiente físico de confinamento onde se manifestavam a tensão e o descontentamento das pessoas em situação de privação de liberdade em 1979.</t>
  </si>
  <si>
    <t>Corredor de celas; Arquitetura prisional; Porta metálica; Confinamento; Claustrofobia; Revolta de presos; Extinção Projeto JUS; Casa de Detenção; Carandiru; 1979.</t>
  </si>
  <si>
    <t>Estado de São Paulo – Penitenciárias e Presídios – Casa de Detenção
A extinção do Projeto JUS aumentou a revolta dos presos da Detenção.
DN, 21/6/1979</t>
  </si>
  <si>
    <t>Intenso movimento de familiares no portão da Casa de Detenção (Carandiru) após o Natal de 1979</t>
  </si>
  <si>
    <r>
      <rPr>
        <rFont val="Roboto"/>
        <color theme="1"/>
        <sz val="12.0"/>
      </rPr>
      <t xml:space="preserve">Arquivo Público do Estado de São Paulo, </t>
    </r>
    <r>
      <rPr>
        <rFont val="Roboto"/>
        <color theme="1"/>
        <sz val="12.0"/>
      </rPr>
      <t>Jornal Diários Associados</t>
    </r>
  </si>
  <si>
    <t>A fotografia em preto e branco registra o intenso movimento e a aglomeração de pessoas na área externa ou portaria da Casa de Detenção em um dia de visita. Em primeiro plano, diversos casais e familiares caminham em direção ou afastando-se do portão de grades visível ao fundo. Um homem à esquerda carrega uma volumosa sacola de itens (jumbo), elemento típico da rotina de visitas. À direita, um casal caminha junto, com a mulher sorridente, evidenciando o aspecto social e emocional do encontro.
O cenário é urbano, com lojas, tráfego e uma placa de "EXAME MÉDICOS MOTORISTAS" ao fundo, contrastando o rigor prisional com a vida na cidade. O verso da fotografia, datado de 27 de dezembro de 1979, contextualiza esta movimentação logo após o Natal, registrando que "Dos 51 presos que passaram o Natal em casa, 8 não voltaram".</t>
  </si>
  <si>
    <t>Visita familiar; Saída temporária (quebra); Falta disciplinar; Sacola (jumbo); Aglomeração; Portaria; Carandiru; Cotidiano prisional; Natal (evento); 1979.</t>
  </si>
  <si>
    <t>Estado de São Paulo – Penitenciárias e Presídios – Casa de Detenção
Dos 51 presos que passaram o Natal em casa, 8 não voltaram.
DN, 27/12/1979</t>
  </si>
  <si>
    <t>Grupo de detentos assistindo a partida de futebol "Santos versus Palmeiras" no pátio do Carandiru (1969)</t>
  </si>
  <si>
    <r>
      <rPr>
        <rFont val="Roboto"/>
        <color theme="1"/>
        <sz val="12.0"/>
      </rPr>
      <t xml:space="preserve">Arquivo Público do Estado de São Paulo, </t>
    </r>
    <r>
      <rPr>
        <rFont val="Roboto"/>
        <color theme="1"/>
        <sz val="12.0"/>
      </rPr>
      <t>Jornal Diários Associados</t>
    </r>
  </si>
  <si>
    <t>A fotografia em preto e branco registra um grupo de detentos reunidos em um pátio externo da Casa de Detenção, claramente atuando como público ou torcida em um evento. Os homens estão dispostos em dois níveis: a maioria sentada em um banco improvisado em primeiro plano, e outros de pé, atrás. Eles vestem roupas civis variadas. As expressões e, principalmente, os gestos de entusiasmo de alguns homens (como o que está com o braço levantado ou boquiabertos), sugerem que estão reagindo a uma partida.
O fundo é dominado por um muro de concreto e uma edificação prisional. O verso da fotografia, datado de 27 de agosto de 1969, contextualiza a cena como o público do jogo de futebol "Santos" versus "Palmeiras" (parte do Torneio "Fernando José Fernandes"), assistido por "quase três mil detentos" no campo da prisão.</t>
  </si>
  <si>
    <t>Evento esportivo; Futebol (Santos vs Palmeiras); Pátio (externo); Torcida; Detentos (público); Lazer; Carandiru; Roupas civis; 1969; Torneio Fernando José Fernandes.</t>
  </si>
  <si>
    <t>Estado de São Paulo – Penitenciária e Presídios – Casa de Detenção
Dado é o palco da Detenção
Quase três mil detentos assistiram, ontem, ao jogo “Santos” versus “Palmeiras”, no campo de futebol da Casa de Detenção, pelo torneio “Fernando José Fernandes”.
DN, 2ª ed., 27/8/1969 – GRL</t>
  </si>
  <si>
    <t>Show da "Caravana Sentimental" para 3200 detentos no pátio da Casa de Detenção (1969)</t>
  </si>
  <si>
    <r>
      <rPr>
        <rFont val="Roboto"/>
        <color theme="1"/>
        <sz val="12.0"/>
      </rPr>
      <t xml:space="preserve">Arquivo Público do Estado de São Paulo, </t>
    </r>
    <r>
      <rPr>
        <rFont val="Roboto"/>
        <color theme="1"/>
        <sz val="12.0"/>
      </rPr>
      <t>Jornal Diários Associados</t>
    </r>
  </si>
  <si>
    <t>A fotografia em preto e branco, capturada em plano alto, registra uma grande concentração de homens (detentos) em um pátio externo, dispostos de forma organizada para assistir a um evento. A plateia massiva (o verso menciona 3.200 prisioneiros) está sentada no chão e em arquibancadas improvisadas. O foco do evento é uma estrutura coberta (palco) à esquerda, onde há músicos e equipamentos de som visíveis. Um grupo de pessoas (aparentemente autoridades e organizadores) está sentado em um semicírculo na área central superior.
O verso da fotografia, datado de 11 de fevereiro de 1969, contextualiza o evento como a primeira apresentação da "Caravana Sentimental", com a participação de artistas como Ary Sanchez, Ed Wilson e Marta Mendonça, em uma série de shows beneficentes.</t>
  </si>
  <si>
    <t>Show musical; Caravana Sentimental; Evento cultural; Detentos (plateia); Pátio (externo); Superlotação; Artistas (Ary Sanchez, Ed Wilson); Carandiru; 1969; Correção (respeito).</t>
  </si>
  <si>
    <t>Estado de São Paulo – Capital – Penitenciárias e Presídios – Casa de Detenção do Carandiru
Artistas fazem “show” na Casa de Detenção
[Texto em pequeno retângulo, recorte de matéria]
Os 3.200 prisioneiros da Casa de Detenção ouviram Ary Sanchez, Ed Wilson, Marta Mendonça, Fred Jorge e Nalva Aguiar cantarem nas primeiras apresentações que a “Caravana Sentimental”, de uma série de “shows”, programou para entidades beneficentes, de correção e hospitais. A ideia surgiu com uma carta de um prisioneiro que queria ouvir o cantor. Agora é receber dele um par de sapatos. Além disso, o conjunto, a partir de agora, vai realizar shows na primeira segunda-feira de cada mês. Depois dos detentos, os internos do Hospital do Câncer poderão assistir ao mesmo espetáculo.
DSP, 11/2/1969 – AA</t>
  </si>
  <si>
    <t>Show musical em pátio com imensa plateia de detentos na Casa de Detenção da Av. Tiradentes (1977)</t>
  </si>
  <si>
    <r>
      <rPr>
        <rFont val="Roboto"/>
        <color theme="1"/>
        <sz val="12.0"/>
      </rPr>
      <t xml:space="preserve">Arquivo Público do Estado de São Paulo, </t>
    </r>
    <r>
      <rPr>
        <rFont val="Roboto"/>
        <color theme="1"/>
        <sz val="12.0"/>
      </rPr>
      <t>Jornal Diários Associados</t>
    </r>
  </si>
  <si>
    <t>A fotografia em preto e branco registra um show musical de grande escala realizado no pátio da instituição. Em primeiro plano, no palco, membros da banda ou grupo artístico (homens e mulheres) estão vestidos com roupas claras e casuais, tocando instrumentos (bateria, guitarra, etc.). O plano de fundo é dominado por uma muralha alta e sólida, onde há inscrições esparsas. Em frente a esta muralha, uma imensa multidão de homens (detentos) preenche completamente o espaço, olhando fixamente para o palco, evidenciando a superlotação e o grande público do evento.
O verso da fotografia, datado de Junho de 1977, contextualiza a cena como a apresentação de um "show musical com vários nomes da música brasileira" na Casa de Detenção da Av. Tiradentes.</t>
  </si>
  <si>
    <t>Show musical; Evento cultural; Aglomeração de detentos; Superlotação; Artistas (música brasileira); Pátio (externo); Muralha (prisão); Casa de Detenção (Avenida Tiradentes); 1977.</t>
  </si>
  <si>
    <t>Estado de São Paulo – Penitenciárias e Presídios – Casa de Detenção da Av. Tiradentes
Ontem, na Casa de Detenção, houve um show musical com vários nomes da música brasileira.
DSP, 4/6/1977 – DCQ</t>
  </si>
  <si>
    <t>Show musical para detentos no pátio, com o pavilhão da Casa de Detenção (Carandiru) ao fundo (1977)</t>
  </si>
  <si>
    <r>
      <rPr>
        <rFont val="Roboto"/>
        <color theme="1"/>
        <sz val="12.0"/>
      </rPr>
      <t xml:space="preserve">Arquivo Público do Estado de São Paulo, </t>
    </r>
    <r>
      <rPr>
        <rFont val="Roboto"/>
        <color theme="1"/>
        <sz val="12.0"/>
      </rPr>
      <t>Jornal Diários Associados</t>
    </r>
  </si>
  <si>
    <t>A fotografia em preto e branco registra a realização de um show musical em um pátio da Casa de Detenção. Em primeiro plano, um palco elevado abriga a banda, com músicos e equipamentos (amplificadores, bateria, mesa de som). Uma pequena plateia de pessoas em trajes civis, possivelmente autoridades, organizadores ou visitantes, assiste o show em cadeiras no canto inferior esquerdo. O público principal, composto por uma multidão de detentos, aglomera-se no pátio em frente ao palco.
O elemento dominante da composição é o imponente Pavilhão prisional de vários andares, visível em toda a extensão do fundo. Suas fileiras simétricas de pequenas janelas e a arquitetura austera contrastam dramaticamente com a atividade cultural. O verso da fotografia, datado de 17 de dezembro de 1977, confirma que a imagem é um "Flagrante colhido... durante a apresentação de um show para os detentos". O registro documenta a justaposição de lazer e entretenimento com a rígida estrutura de contenção da prisão.</t>
  </si>
  <si>
    <t>Show musical; Palco; Pavilhão (prisional); Estrutura arquitetônica; Público de detentos; Lazer; Evento cultural; Casa de Detenção; Carandiru; 1977.</t>
  </si>
  <si>
    <t>Estado de São Paulo – Penitenciárias e Presídios – Casa de Detenção
Flagrante colhido na Casa de Detenção, durante a apresentação de um show para os detentos.
DN, 17/12/1977</t>
  </si>
  <si>
    <t>Entrega de diplomas à primeira turma de detentos formandos (Curso Supletivo e Datilografia) no Carandiru (1973)</t>
  </si>
  <si>
    <r>
      <rPr>
        <rFont val="Roboto"/>
        <color theme="1"/>
        <sz val="12.0"/>
      </rPr>
      <t xml:space="preserve">Arquivo Público do Estado de São Paulo, </t>
    </r>
    <r>
      <rPr>
        <rFont val="Roboto"/>
        <color theme="1"/>
        <sz val="12.0"/>
      </rPr>
      <t>Jornal Diários Associados</t>
    </r>
  </si>
  <si>
    <t>A fotografia em primeiro plano captura o ponto alto de uma cerimônia de formatura na Casa de Detenção. À esquerda, uma autoridade em terno e gravata (identificado pelo verso como sendo uma das diversas autoridades presentes, como o diretor ou representantes do governo) estende a mão para cumprimentar um detento formando (o diplomando), enquanto lhe entrega o diploma enrolado (o objeto fino). O detento veste roupas casuais (camisa polo) e é o foco da celebração.
O verso da fotografia, datado de 5 de maio de 1973, confirma que se trata da "entrega de diplomas à 1.a turma de detentos formandos" (totalizando 64 pessoas), nos cursos Supletivo e de Datilografia.</t>
  </si>
  <si>
    <t>Formatura de detentos; Entrega de diplomas; Educação prisional; Reintegração social; Curso Supletivo; Curso de Datilografia; Autoridade (cumprimento); Detento (formando); Carandiru; 1973.</t>
  </si>
  <si>
    <t>Estado de São Paulo – Penitenciárias e Presídios – Casa de Detenção
Ontem, às 10 horas, na Casa de Detenção de São Paulo, realizou-se a entrega de diplomas (foto) aos integrantes da 1ª turma de detentos formandos. Foram diplomados 64 presidiários, sendo 46 no Curso Supletivo e 18 no Curso de Datilografia. Presentes ao ato: coronel Fernão Guedes de Souza, diretor da Casa de Detenção; Valério Giuli, representando o secretário do Trabalho; Dr. Werner Rodrigues Nogueira, diretor-geral do Departamento de Presídios Penais; Dra. Sofia Necolan, diretora do Ensino Supletivo do Estado; Edwaldo de Azevedo Sampaio, do CONTEL; e Dr. Silvio Barbosa, do SENAC.
DSP, 5/5/1973 – MBO</t>
  </si>
  <si>
    <t>Remoção de mortos ou feridos em lençóis após o motim sangrento na Casa de Detenção (1964)</t>
  </si>
  <si>
    <r>
      <rPr>
        <rFont val="Roboto"/>
        <color theme="1"/>
        <sz val="12.0"/>
      </rPr>
      <t xml:space="preserve">Arquivo Público do Estado de São Paulo, </t>
    </r>
    <r>
      <rPr>
        <rFont val="Roboto"/>
        <color theme="1"/>
        <sz val="12.0"/>
      </rPr>
      <t>Jornal Diários Associados</t>
    </r>
  </si>
  <si>
    <t>A fotografia em tom sépia, em ambiente de pouca luz (sugerindo noite ou área interna), registra a remoção de uma vítima (morto ou gravemente ferido) da Casa de Detenção. O foco da cena está em dois homens que carregam um volume pesado e disforme envolto em um tecido claro (lençol ou coberta). O verso confirma que "Mortos e feridos eram retirados em colchões, lençóis e cobertas" após o motim.
O transporte ocorre junto a um portão de grades aberto, sob a supervisão de um policial ou agente penitenciário uniformizado à esquerda. Ao fundo, um veículo (provavelmente para transporte) e figuras em trajes civis (autoridades, imprensa ou investigadores) observam a ação, reforçando a natureza oficial e séria do evento.
O verso da fotografia, datado de 16 de agosto de 1964, estabelece o contexto de "MOTIM SANGRENTO" na prisão, com "muitos mortos e centenas de feridos".</t>
  </si>
  <si>
    <t>Motim (consequências); Remoção de corpos; Violência carcerária; Lençóis (transporte); Policial (supervisão); Crise prisional; Casa de Detenção; Carandiru; 1964; Mortos e feridos; Flagrante.</t>
  </si>
  <si>
    <t>Estado de São Paulo – Penitenciárias e Presídios – Casa de Detenção do Carandiru
Sangrento motim na Casa de Detenção: muitos mortos e centenas de feridos
[Texto em pequeno retângulo, recorte de legenda ou matéria]
Cenas como a da foto repetiram-se continuamente, após dominado o motim. Mortos e feridos eram retirados em colchões, lençóis e cobertas. A reportagem não tinha dados sobre a quantidade ou a relação dos que perderam a vida ou dos que ficaram feridos.
DSP, 16/8/1964 – W</t>
  </si>
  <si>
    <t>Remoção de vítima fatal ou ferido em lençol listrado após o motim de 14 de agosto de 1964 no Carandiru</t>
  </si>
  <si>
    <r>
      <rPr>
        <rFont val="Roboto"/>
        <color theme="1"/>
        <sz val="12.0"/>
      </rPr>
      <t xml:space="preserve">Arquivo Público do Estado de São Paulo, </t>
    </r>
    <r>
      <rPr>
        <rFont val="Roboto"/>
        <color theme="1"/>
        <sz val="12.0"/>
      </rPr>
      <t>Jornal Diários Associados</t>
    </r>
  </si>
  <si>
    <t>A fotografia em tom sépia, em close-up, registra a remoção urgente de uma vítima (morto ou ferido) da Casa de Detenção, envolta em um tecido listrado. A ação é realizada por dois homens com vestimentas civis, que se curvam para carregar o volume pesado. A cena ocorre na área de saída, próximo a grades e portões.
Em segundo plano, diversas figuras de autoridades, funcionários e possivelmente imprensa (vestindo ternos e chapéus) observam a remoção com expressões de seriedade, indicando a natureza oficial e crítica da situação.
O verso da fotografia contextualiza o evento, afirmando que a imagem é um "Flagrante tomado durante o tragico motim" ocorrido na noite do dia 14 de agosto de 1964. A legenda secundária questiona a condição da vítima ("MORTO OU FERIDO?"), descrevendo que a cena se tornou comum após a revolta e destacando a incerteza e a falta de comunicação oficial sobre as vítimas. A imagem é um forte registro da violência e do caos pós-motim.</t>
  </si>
  <si>
    <t>Remoção de corpo; Motim trágico; Violência carcerária; Vítima (morta/ferida); Lençol (transporte); Autoridades (investigação); Crise prisional; Casa de Detenção; Carandiru; 1964.</t>
  </si>
  <si>
    <t>Digitalização de fotografia em sépia 
(analógica original)</t>
  </si>
  <si>
    <t>Estado de São Paulo – Penitenciárias e Presídios – Casa de Detenção do Carandiru
Motim de ódio e desespero sacudiu a Casa de Detenção
Flagrante tomado durante o trágico motim ocorrido na Casa de Detenção do Carandiru na noite do dia 14.
DN, 1ª ed., 17/8/1964 – W
[Texto em pequeno retângulo, recorte de legenda ou matéria]
Morto ou ferido? – Cenas como esta, da foto de Orlando Alves, chegaram a ser comuns após debelada a revolta do ódio na Casa de Detenção. Ninguém sabia informar se se tratava de mortos ou feridos. A Secretaria da Segurança Pública ainda não expediu nenhum comunicado a respeito. Tudo gira no terreno das hipóteses.</t>
  </si>
  <si>
    <t>Mulher idosa (familiar) pressiona entrada na Casa de Detenção durante motim (1964)</t>
  </si>
  <si>
    <r>
      <rPr>
        <rFont val="Roboto"/>
        <color theme="1"/>
        <sz val="12.0"/>
      </rPr>
      <t xml:space="preserve">Arquivo Público do Estado de São Paulo, </t>
    </r>
    <r>
      <rPr>
        <rFont val="Roboto"/>
        <color theme="1"/>
        <sz val="12.0"/>
      </rPr>
      <t>Jornal Diários Associados</t>
    </r>
  </si>
  <si>
    <t>A fotografia em tom sépia, capturada em plano próximo, registra uma mulher idosa junto a uma porta ou portão da Casa de Detenção, em uma posição de insistência ou espera. A mulher com lenço de bolinhas na cabeça, está de perfil, com as mãos visíveis sobre a porta, sugerindo que está tentando abri-la ou interagir com alguém do lado de dentro. A luz forte destaca a figura.
O verso da fotografia, datado de 17 de agosto de 1964, contextualiza a cena em um cenário de crise após um motim provocado pelo "Regime de Terror". A legenda original descreve a "Dúvida, intranquilidade e temor" que levaram "essa gente às portas da Casa de Detenção", mencionando que a "barreira foi vencida pela resignação" para que pudessem entrar no "cenário da rebelião".</t>
  </si>
  <si>
    <t>Familiar (visita); Mulher idosa; Motim (consequências); Tensão; Controle de acesso; Persistência (familiar); Crise prisional; Casa de Detenção; Carandiru; 1964; Lenço na cabeça.</t>
  </si>
  <si>
    <t>Agente prisional em contato com familiares e crianças na entrada da Casa de Detenção durante crise (1964)</t>
  </si>
  <si>
    <r>
      <rPr>
        <rFont val="Roboto"/>
        <color theme="1"/>
        <sz val="12.0"/>
      </rPr>
      <t xml:space="preserve">Arquivo Público do Estado de São Paulo, </t>
    </r>
    <r>
      <rPr>
        <rFont val="Roboto"/>
        <color theme="1"/>
        <sz val="12.0"/>
      </rPr>
      <t>Jornal Diários Associados</t>
    </r>
  </si>
  <si>
    <t>A fotografia em tom sépia, em plano médio, registra a interação de uma família com um agente de segurança na entrada da Casa de Detenção. O agente está posicionado na abertura do portão de metal escuro, vestindo uniforme claro, que inclui quepe e gravata, e tem a mão levantada em um gesto que sugere interrupção ou instrução.
Em frente ao agente, um grupo de familiares o confronta: há um homem de terno claro, duas mulheres (vistas de costas) e duas crianças pequenas. A presença das crianças no local e a postura do agente indicam a natureza da visita familiar sob estrito controle.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t>
  </si>
  <si>
    <t>Visita familiar; Agente penitenciário; Crianças (visita); Entrada (presídio); Motim (consequências); Crise prisional; Controle de acesso; Casa de Detenção; Carandiru; 1964.</t>
  </si>
  <si>
    <t>Artista do Circo Orlando Orfei se apresentando para a plateia de detentos no pátio do Carandiru (1979)</t>
  </si>
  <si>
    <r>
      <rPr>
        <rFont val="Roboto"/>
        <color theme="1"/>
        <sz val="12.0"/>
      </rPr>
      <t xml:space="preserve">Arquivo Público do Estado de São Paulo, </t>
    </r>
    <r>
      <rPr>
        <rFont val="Roboto"/>
        <color theme="1"/>
        <sz val="12.0"/>
      </rPr>
      <t>Jornal Diários Associados</t>
    </r>
  </si>
  <si>
    <t>A fotografia em tom sépia, capturada em plano aberto, registra um espetáculo circense no pátio externo da Casa de Detenção. O foco está em uma artista em performance, equilibrando-se sobre um adereço de cabeça ou objeto esférico, e manipulando aros no ar. A artista veste um traje acrobático claro, justo e com detalhes de amarração.
O cenário é dominado por uma grande plateia de detentos aglomerados, observando a apresentação com atenção. Ao fundo, o muro alto e sólido da prisão demarca o limite do pátio, com figuras de guarda ou agentes de vigilância visíveis no topo. Uma placa com a inscrição "ESPORTES" está parcialmente visível na lateral.
O verso da fotografia, datado de 24 de julho de 1979, contextualiza a cena como um "espetáculo" apresentado pelos "artistas do Circo Orlando Orfei".</t>
  </si>
  <si>
    <t>Circo Orlando Orfei; Espetáculo circense; Artista (performance); Pátio (externo); Entretenimento; Detentos (plateia); Muro prisional; Carandiru; Lazer; 1979.</t>
  </si>
  <si>
    <t>Estado de São Paulo – Penitenciária e Presídios – Carandiru
Os artistas do Circo Orlando Orfei, durante espetáculo na Casa de Detenção de São Paulo.
DN, 24/7/1979</t>
  </si>
  <si>
    <t>Vista frontal de um dos pavilhões da Casa de Detenção (Carandiru) em 1979</t>
  </si>
  <si>
    <r>
      <rPr>
        <rFont val="Roboto"/>
        <color theme="1"/>
        <sz val="12.0"/>
      </rPr>
      <t xml:space="preserve">Arquivo Público do Estado de São Paulo, </t>
    </r>
    <r>
      <rPr>
        <rFont val="Roboto"/>
        <color theme="1"/>
        <sz val="12.0"/>
      </rPr>
      <t>Jornal Diários Associados</t>
    </r>
  </si>
  <si>
    <t>A fotografia em preto e branco registra a arquitetura de contenção do Complexo Carandiru. O plano de fundo é dominado por um Pavilhão de múltiplos andares, com fileiras simétricas e repetitivas de pequenas janelas gradeadas. A base deste pavilhão é separada do pátio por um muro de concreto alto e sólido, sobre o qual há cercas e pequenas guaritas. No canto esquerdo, uma torre de vigilância elevada, com um foco de luz, reforça o controle de segurança.
A composição enfatiza o caráter imponente, austero e fechado do presídio. O verso da fotografia, datado de 31 de maio de 1979, contextualiza a imagem como uma denúncia, com a legenda: "Quem passa pela avenida Cruzeiro do Sul não imagina o que acontece lá dentro".</t>
  </si>
  <si>
    <t>Arquitetura prisional; Pavilhão (prisional); Muro de contenção; Torre de vigilância; Confinamento; Isolamento social; Denúncia (condições); Casa de Detenção; Carandiru; 1979.</t>
  </si>
  <si>
    <t>Estado de São Paulo – Penitenciária e Presídios – Casa de Detenção de São Paulo
Quem passa pela Avenida Cruzeiro do Sul não imagina o que acontece lá dentro.
DSP, 31/5/1979 – AAT</t>
  </si>
  <si>
    <t>Apresentação e registro dos novos detentos na administração da Casa de Detenção (1979)</t>
  </si>
  <si>
    <r>
      <rPr>
        <rFont val="Roboto"/>
        <color theme="1"/>
        <sz val="12.0"/>
      </rPr>
      <t xml:space="preserve">Arquivo Público do Estado de São Paulo, </t>
    </r>
    <r>
      <rPr>
        <rFont val="Roboto"/>
        <color theme="1"/>
        <sz val="12.0"/>
      </rPr>
      <t>Jornal Diários Associados</t>
    </r>
  </si>
  <si>
    <t>A fotografia em preto e branco registra um momento de apresentação formal ou entrevista na Casa de Detenção. O enquadramento é feito por cima do ombro de uma autoridade/funcionário (visto de costas, em primeiro plano, sentado a uma mesa). Em frente à mesa, um grupo de jovens detentos recém-chegados está alinhado e de pé. Eles estão com a cabeça raspada e vestem camisetas padronizadas claras (possivelmente uniformes), alguns com inscrições escuras visíveis, como "CD" (Casa de Detenção). As expressões faciais são sérias e atentas. O ambiente interno possui papel de parede decorado.
O verso da fotografia, datado de 29 de maio de 1979, contextualiza a cena como "Os novos 'hospedes' da Casa de Detenção". A imagem documenta o procedimento inicial de recepção e instrução, no qual os novos presos são recebidos por figuras administrativas para o registro e a transmissão das primeiras regras do ambiente carcerário.</t>
  </si>
  <si>
    <t>Novos detentos; Chegada de presos; Uniforme prisional; Corte de cabelo (cabeça raspada); Procedimento de registro; Administração prisional; Autoridade (entrevista); Casa de Detenção; Carandiru; 1979.</t>
  </si>
  <si>
    <t>Estado de São Paulo – Penitenciárias e Presídios – Casa de Detenção
Os novos “hóspedes” da Casa de Detenção.
DN, 29/5/1979</t>
  </si>
  <si>
    <t>Mulheres e crianças em filas na entrada da Casa de Detenção durante motim (1964)</t>
  </si>
  <si>
    <r>
      <rPr>
        <rFont val="Roboto"/>
        <color theme="1"/>
        <sz val="12.0"/>
      </rPr>
      <t xml:space="preserve">Arquivo Público do Estado de São Paulo, </t>
    </r>
    <r>
      <rPr>
        <rFont val="Roboto"/>
        <color theme="1"/>
        <sz val="12.0"/>
      </rPr>
      <t>Jornal Diários Associados</t>
    </r>
  </si>
  <si>
    <t>A fotografia em tom sépia, capturada em plano aberto, registra um grupo de mulheres e crianças (familiares de detentos) aglomerados e possivelmente formando uma fila junto ao prédio de arquitetura institucional. O chão está coberto por papéis ou detritos. As mulheres carregam sacolas (provavelmente com itens para os presos), típicas do dia de visita. As expressões faciais são de seriedade, espera ou intranquilidade, características de um momento de tensão. A arquitetura de colunas ao fundo sugere a entrada ou a fachada de um dos prédios do complexo.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 A imagem é um registro da dimensão social da crise, mostrando a pressão e a vulnerabilidade dos familiares em busca de contato com os presos em meio à repressão.</t>
  </si>
  <si>
    <t>Visita familiar; Filas (espera); Mulheres (família de preso); Sacola (jumbo); Motim (consequências); Crise prisional; Regime de Terror; Casa de Detenção; Carandiru; 1964.</t>
  </si>
  <si>
    <t>Show do artista Wilson Simonal para detentos, observado por guardas na torre e autoridades no Carandiru (1977)</t>
  </si>
  <si>
    <r>
      <rPr>
        <rFont val="Roboto"/>
        <color theme="1"/>
        <sz val="12.0"/>
      </rPr>
      <t xml:space="preserve">Arquivo Público do Estado de São Paulo, </t>
    </r>
    <r>
      <rPr>
        <rFont val="Roboto"/>
        <color theme="1"/>
        <sz val="12.0"/>
      </rPr>
      <t>Jornal Diários Associados</t>
    </r>
  </si>
  <si>
    <t>A fotografia em preto e branco registra um show musical realizado em um pátio externo, com o Pavilhão de múltiplos andares dominando o fundo. Em primeiro plano, no palco elevado, músicos se apresentam, sendo um deles (o vocalista central, Wilson Simonal) o ponto focal da cena.
A plateia de detentos está aglomerada logo abaixo do palco, separada por uma grade baixa. A arquitetura prisional é evidente: o Pavilhão com suas janelas gradeadas serve de cenário e, à direita, uma torre de vigilância de concreto abriga agentes de segurança uniformizados observando o evento de cima.
O verso da fotografia, datado de 29 de setembro de 1977, confirma o evento como um show de Wilson Simonal para 6.500 detentos, com a presença de diversas autoridades civis, militares e eclesiásticas. O texto indica que o show foi uma recompensa disciplinar para os presos do Pavilhão Oito.</t>
  </si>
  <si>
    <t>Show musical; Wilson Simonal; Recompensa disciplinar; Pavilhão (prisional); Torre de vigilância; Autoridades (visita); Detentos (plateia); Carandiru; 1977; Cultura (prisão).</t>
  </si>
  <si>
    <t>Estado de São Paulo – Penitenciárias e Presídios – Casa de Detenção
[Texto em pequeno retângulo, recorte de matéria]
Com a presença de várias autoridades civis, militares e eclesiásticas, foi realizado na Casa de Detenção de São Paulo um “show” para entretenimento dos presos. Estiveram presentes naquele estabelecimento penal o MM. Juiz de Direito Corregedor dos Presídios e da Polícia Judiciária da Capital, Dr. Renato Laércio Talli; Dr. Omar Cassin, diretor da Divisão Judiciária do Departamento dos Institutos Penais do Estado; Sr. Aurelino Soares da Silva, diretor da Bolsa de Cereais do Estado de São Paulo; e o pároco Pe. Aluízio Pena, da Paróquia São Luiz, com seus assessores.
No final do “show”, usou da palavra o Cel. Fernão Guedes de Souza, diretor da Casa de Detenção, que agradeceu, em nome dos 6.500 detentos, a presença das autoridades e do artista Wilson Simonal, além dos demais visitantes. Falou ainda o Cel. Fernão Guedes que, em virtude do exemplar comportamento demonstrado pelos detentos durante o “show”, o Pavilhão Oito voltaria a frequentar a sala de cinema normalmente, já que há vários meses os detentos daquele pavilhão não assistiam projeção cinematográfica, em virtude de faltas disciplinares cometidas anteriormente.
DN, 29/9/1977</t>
  </si>
  <si>
    <t>Pátio externo gramado, com muro de contenção e torre de vigilância, no Complexo Penitenciário do Carandiru</t>
  </si>
  <si>
    <r>
      <rPr>
        <rFont val="Roboto"/>
        <color theme="1"/>
        <sz val="12.0"/>
      </rPr>
      <t xml:space="preserve">Arquivo Público do Estado de São Paulo, </t>
    </r>
    <r>
      <rPr>
        <rFont val="Roboto"/>
        <color theme="1"/>
        <sz val="12.0"/>
      </rPr>
      <t>Jornal Diários Associados</t>
    </r>
  </si>
  <si>
    <t>A fotografia em preto e branco registra um pátio externo amplo e gramado em um dia claro, em região não explicitamente identificada como interior ou exterior à Casa de Detenção. O primeiro plano é dominado por uma área de grama e vegetação, com uma pequena árvore e estruturas baixas no chão (possivelmente tampas de bueiro).
O plano de fundo é a estrutura de contenção da prisão: uma muralha alta e sólida circunda o complexo, e acima dela, à direita, ergue-se uma torre de vigilância (guarita) alta e proeminente, um elemento de controle característico. Ao lado da torre, parte de uma edificação prisional é visível. No centro da imagem, próximo à muralha, há um pequeno prédio ou quiosque e algumas crianças reunidas. Estruturas metálicas horizontais e tubulações também são visíveis.
A imagem documenta um espaço verde e aberto dentro do complexo, que contrasta com a rigidez da arquitetura de segurança (muros e torre), sugerindo uma área utilizada para lazer.</t>
  </si>
  <si>
    <t>Pátio (externo); Gramado; Muralha (contenção); Torre de vigilância; Arquitetura prisional; Carandiru; Lazer (potencial); Vigilância; Estrutura prisional.</t>
  </si>
  <si>
    <t>Não contém</t>
  </si>
  <si>
    <t>Retrato de Gilberto Calixto, detento assassinado por colegas de cela no Carandiru (1978)</t>
  </si>
  <si>
    <r>
      <rPr>
        <rFont val="Roboto"/>
        <color theme="1"/>
        <sz val="12.0"/>
      </rPr>
      <t xml:space="preserve">Arquivo Público do Estado de São Paulo, </t>
    </r>
    <r>
      <rPr>
        <rFont val="Roboto"/>
        <color theme="1"/>
        <sz val="12.0"/>
      </rPr>
      <t>Jornal Diários Associados</t>
    </r>
  </si>
  <si>
    <t>A fotografia em preto e branco é um retrato frontal (tipo mugshot ou foto 3x4) em plano fechado, com fundo claro e neutro. O retratado é um homem (identificado no verso como Gilberto Calixto), com corte de cabelo "militar" ou raspado nas laterais e bigode, vestindo uma camiseta escura. A imagem, por seu formato e foco, é uma foto de identificação institucional (registro de entrada ou prontuário).
O verso da fotografia, datado de 8 de abril de 1978, contextualiza a cena com um registro trágico: "Gilberto Calixto, preso da Casa de Detenção morto, pelos colegas de cela." A imagem, portanto, é um documento institucional que se transforma em um registro da violência interna e do assassinato de um detento por outros presos no Carandiru, ocorrido no mesmo dia de Euripedes B. de Azevedo.</t>
  </si>
  <si>
    <t>Retrato (identificação); Mugshot; Detento assassinado; Violência carcerária; Homicídio (interno); Gilberto Calixto; Carandiru; Foto de prontuário; 1978.</t>
  </si>
  <si>
    <t>Estado de São Paulo – Penitenciárias e Presídios – Casa de Detenção Carandiru
Gilberto Calixto, preso da Casa de Detenção, foi morto pelos colegas de cela.
DN, 8/4/1978</t>
  </si>
  <si>
    <t>Retrato de Euripedes B de Azevedo, detento assassinado por colegas de cela no Carandiru (1978)</t>
  </si>
  <si>
    <r>
      <rPr>
        <rFont val="Roboto"/>
        <color theme="1"/>
        <sz val="12.0"/>
      </rPr>
      <t xml:space="preserve">Arquivo Público do Estado de São Paulo, </t>
    </r>
    <r>
      <rPr>
        <rFont val="Roboto"/>
        <color theme="1"/>
        <sz val="12.0"/>
      </rPr>
      <t>Jornal Diários Associados</t>
    </r>
  </si>
  <si>
    <t>A fotografia em preto e branco é um retrato frontal (tipo mugshot ou foto 3x4), com foco no rosto de um homem em um fundo claro e neutro. O retratado é um homem negro (identificado no verso como Euripedes B. de Azevedo), com cabelos curtos, vestindo uma camiseta escura. No canto inferior esquerdo, uma parte visível de uma corrente ou colar é sutilmente percebida. O formato e a pose indicam ser uma foto de identificação institucional (registro de entrada ou prontuário).
O verso da fotografia, datado de 8 de abril de 1978, contextualiza a cena com um registro trágico: "Euripedes B. de Azevedo, morto por colegas de cela da Casa de Detenção". A imagem, portanto, é um documento institucional que se torna um registro da violência interna e do assassinato de um detento por outros presos no Carandiru, ocorrido no mesmo dia de Gilberto Calixto.</t>
  </si>
  <si>
    <t>Retrato (identificação); Mugshot; Detento assassinado; Violência carcerária; Homicídio (interno); Euripedes B. de Azevedo; Carandiru; Foto de prontuário; 1978.</t>
  </si>
  <si>
    <t>Estado de São Paulo – Penitenciárias e Presídios – Casa de Detenção Carandiru
Eurípedes B. de Azevedo, morto por colegas de cela da Casa de Detenção.
DN, 8/4/1978</t>
  </si>
  <si>
    <t>Portão principal do Instituto de Regeneração da Casa de Detenção (Carandiru) no dia do retorno de foragidos (1972)</t>
  </si>
  <si>
    <r>
      <rPr>
        <rFont val="Roboto"/>
        <color theme="1"/>
        <sz val="12.0"/>
      </rPr>
      <t xml:space="preserve">Arquivo Público do Estado de São Paulo, </t>
    </r>
    <r>
      <rPr>
        <rFont val="Roboto"/>
        <color theme="1"/>
        <sz val="12.0"/>
      </rPr>
      <t>Jornal Diários Associados</t>
    </r>
  </si>
  <si>
    <t>A fotografia em preto e branco registra a fachada e o portão principal monumental da instituição. O frontão de pedra acima do arco de entrada exibe a inscrição "INSTITUTO DE REGENERAÇÃO", nome histórico da Penitenciária do Estado que compunha o Complexo Carandiru. O portão é grande, feito de madeira ou metal, com grades na parte superior.
A cena do cotidiano no térreo mostra pessoas em frente ao portão, além de veículos estacionados na rua, incluindo um fusca (com identificação, talvez da polícia ou de serviço) e outros carros.
O verso da fotografia, datado de 23 de outubro de 1972, contextualiza a imagem como o registro do "portão principal da Casa de Detenção" e a notícia do "retorno" de dois foragidos.</t>
  </si>
  <si>
    <t>Portão principal; Fachada (monumental); Instituto de Regeneração; Foragidos (retorno); Reintegração; Penitenciária do Estado; Casa de Detenção; Carandiru; Arquitetura prisional; 1972.</t>
  </si>
  <si>
    <t>Estado de São Paulo – Penitenciárias e Presídios – Casa de Detenção do Carandiru
Dois foragidos da penitenciária já estão de volta. Eles visitaram a família e passearam
Na foto, o portão principal da Casa de Detenção do Carandiru.
DN, 1ª ed., 23/10/1972 – DEC</t>
  </si>
  <si>
    <t>Autoridades na inauguração da nova Casa de Detenção (Carandiru): Secretário de Segurança Carlos Bittencourt e Comandante da Força Pública (1956)</t>
  </si>
  <si>
    <r>
      <rPr>
        <rFont val="Roboto"/>
        <color theme="1"/>
        <sz val="12.0"/>
      </rPr>
      <t xml:space="preserve">Arquivo Público do Estado de São Paulo, </t>
    </r>
    <r>
      <rPr>
        <rFont val="Roboto"/>
        <color theme="1"/>
        <sz val="12.0"/>
      </rPr>
      <t>Jornal Diários Associados</t>
    </r>
  </si>
  <si>
    <t>A fotografia em preto e branco registra a saída de duas autoridades por um portão de grades da Casa de Detenção, em um momento de solenidade. Em primeiro plano, dois homens caminham lado a lado: O militar (à esquerda) veste uniforme de gala/oficial militar completo (identificado no verso como o Comandante da Força Pública, Rubens Teixeira Branco); o civil (à direita) veste terno escuro com gravata, em uma postura formal (identificado como o Secretário de Segurança, Dr. Carlos Eugenio Bittencourt da Fonseca).
Eles estão saindo por um portão de grades vertical (típico da arquitetura prisional), que está aberto. O verso da fotografia, datado de 12 de setembro de 1956, é contextualizado como "por ocasião da inauguração da nova Casa de Detenção do Carandirú".</t>
  </si>
  <si>
    <t>Inauguração (presídio); Autoridades governamentais; Secretário de Segurança; Comandante da Força Pública; Militar (uniforme); Portão de grades; Casa de Detenção; Carandiru; Evento oficial; 1956.</t>
  </si>
  <si>
    <t xml:space="preserve">Estado de São Paulo – Penitenciárias e Presídios – Casa de Detenção (Carandiru)
O secretário de Segurança, Dr. Carlos Eugênio Bittencourt da Fonseca, e o comandante da Força Pública, Rubens Teixeira Branco, em flagrante registrado por ocasião da inauguração da nova Casa de Detenção do Carandiru.
Arq., 12/9/1956 – JL
Manuscrito: Nova Casa de Detenção Sec. de Segurança Carlos Eugenio Bittencourt da Fonseca e o comandante de Segurança Pública Rubens Teixeira Branco. Visitando os [ilégivel] pelas grandes. </t>
  </si>
  <si>
    <t>Visita do Secretário de Segurança e Comandante da Força Pública ao pavilhão na inauguração da nova Casa de Detenção (1956)</t>
  </si>
  <si>
    <r>
      <rPr>
        <rFont val="Roboto"/>
        <color theme="1"/>
        <sz val="12.0"/>
      </rPr>
      <t xml:space="preserve">Arquivo Público do Estado de São Paulo, </t>
    </r>
    <r>
      <rPr>
        <rFont val="Roboto"/>
        <color theme="1"/>
        <sz val="12.0"/>
      </rPr>
      <t>Jornal Diários Associados</t>
    </r>
  </si>
  <si>
    <t>A fotografia em preto e branco registra uma comitiva de autoridades caminhando em uma área externa do Complexo Carandiru. O plano de fundo é dominado pela fachada lateral de um Pavilhão da prisão, um edifício grande e branco com fileiras simétricas de pequenas janelas. Em primeiro plano, o grupo é liderado por dois homens: o civil (à esquerda) vestido com terno escuro, caminhando em ritmo acelerado (identificado no verso como o Secretário de Segurança, Dr. Carlos Eugenio Bittencourt da Fonseca); o militar (à direita) vestido com uniforme militar de gala, com quepe e insígnias (identificado como o Comandante da Força Pública, Rubens Teixeira Branco).
A comitiva é acompanhada por outros oficiais e civis. O verso da fotografia, datado de 12 de setembro de 1956, confirma que a imagem documenta a visita das autoridades à nova Casa de Detenção do Carandiru por ocasião de sua inauguração.</t>
  </si>
  <si>
    <t>Inauguração (presídio); Visita oficial; Autoridades governamentais; Secretário de Segurança; Comandante da Força Pública; Pavilhão (prisional); Casa de Detenção; Carandiru; Evento oficial; 1956.</t>
  </si>
  <si>
    <t>Estado de São Paulo – Penitenciárias e Presídios – Casa de Detenção (Carandiru)
O secretário de Segurança, Dr. Carlos Eugênio Bittencourt da Fonseca, e o comandante da Força Pública, Rubens Teixeira Branco, visitam a nova Casa de Detenção do Carandiru por ocasião de sua inauguração.
Arq., 12/9/1956 – JL</t>
  </si>
  <si>
    <t>Mãe ou familiar em desespero e incerteza, agarrada à grade da Casa de Detenção durante motim (1964)</t>
  </si>
  <si>
    <r>
      <rPr>
        <rFont val="Roboto"/>
        <color theme="1"/>
        <sz val="12.0"/>
      </rPr>
      <t xml:space="preserve">Arquivo Público do Estado de São Paulo, </t>
    </r>
    <r>
      <rPr>
        <rFont val="Roboto"/>
        <color theme="1"/>
        <sz val="12.0"/>
      </rPr>
      <t>Jornal Diários Associados</t>
    </r>
  </si>
  <si>
    <t>A fotografia em tom sépia, em um plano fechado e dramático, foca no desespero de uma mulher idosa ou de meia-idade (identificada no verso como "essa senhora" e "mãe/familiar"). A mulher, vestida com um casaco escuro, está com o rosto apoiado nas mãos, olhando através de uma pequena abertura gradeada em uma porta ou parede de metal, em uma tentativa angustiante de comunicação ou visualização. A superfície vertical ao redor da grade é texturizada, e há uma anotação gráfica manuscrita, em formato de rabisco ou linha curva, na parte direita da imagem. O verso da fotografia, datado de 17 de agosto de 1964, contextualiza esta imagem como um "Flagrante colhido durante o motim de presos", onde a senhora gritava o nome do filho em "tomada de desespero, sem saber o que estaria acontecendo". O registro é um poderoso símbolo da dor, incerteza e trauma emocional vividos pelos familiares no cenário de crise da Casa de Detenção. O verso também inclui uma manchete de 1973, "ATRAS DAS GRADES DE UMA CELA, ELES PREFERIRAM A MORTE", sublinhando a temática geral da tragédia no cárcere.</t>
  </si>
  <si>
    <t>Desespero (familiar); Mãe de detento; Motim (consequências); Grade (contato); Crise prisional; Dor e incerteza; Mulher (angústia); Casa de Detenção; Carandiru; 1964; Violência.</t>
  </si>
  <si>
    <t>Estado de São Paulo – Penitenciárias e Presídios – Casa de Detenção do Carandiru
Motim de ódio e desespero sacudiu a Casa de Detenção
Flagrante colhido durante o motim de presos ocorrido na Casa de Detenção na noite do dia 14.
[Texto em pequeno retângulo, recorte de matéria]
Tomada de desespero, sem saber o que estaria acontecendo com o filho detento, essa senhora, como acontece com dezenas de outras mulheres, agarrada à grade da porta central do presídio, gritava como doida o nome do filho. Era a imagem da dor e da incerteza.
DN, 1ª ed., 17/8/1964 – W
Atras das grades de uma cela, eles preferiram a morte
DN, 2ª ed., 13/2/1973 – IM</t>
  </si>
  <si>
    <t>Mulher no dia de visita pós-rebelião na Casa de Detenção (1964)</t>
  </si>
  <si>
    <r>
      <rPr>
        <rFont val="Roboto"/>
        <color theme="1"/>
        <sz val="12.0"/>
      </rPr>
      <t xml:space="preserve">Arquivo Público do Estado de São Paulo, </t>
    </r>
    <r>
      <rPr>
        <rFont val="Roboto"/>
        <color theme="1"/>
        <sz val="12.0"/>
      </rPr>
      <t>Jornal Diários Associados</t>
    </r>
  </si>
  <si>
    <t>A fotografia em tom sépia, em plano próximo, registra uma mulher idosa junto a uma porta ou portão da Casa de Detenção. A mulher, vestida com um lenço de bolinhas na cabeça, blusa e saia escura, está de perfil, com uma expressão séria, com as mãos apoiadas ou interagindo com a abertura da porta. A imagem possui molduras verticais escuras nas laterais, como se a cena estivesse sendo vista de um ponto de observação estreito.
O verso da fotografia, datado de 17 de agosto de 1964, fornece um contexto narrativo dramático: caracterizando-a como mãe de um detento, tido como causador da rebelião (motim). O texto relata a dificuldade e a discussão que ela teve para entrar na prisão, sendo finalmente autorizada a ver o filho, a quem aconselhou a "não se meter em encrencas". A imagem documenta o esforço e a persistência dos familiares para manter contato, mesmo em um cenário pós-rebelião e violência, sublinhando a dimensão humana e a complexa relação entre o cárcere e a família.</t>
  </si>
  <si>
    <t>Mãe de detento; Visita (pós-motim); Motim (causas); Crise prisional; Luta (familiar); Mulher idosa; Regime desumano; Casa de Detenção; Carandiru; 1964; Fotojornalismo.</t>
  </si>
  <si>
    <t>Detenção do Carandiru
Depois do grande motim
[Texto em pequeno retângulo, recorte de matéria]
Foram os maus-tratos, foi o regime desumano que motivou tudo. E, na madrugada de sábado, estourou a rebelião na Casa de Detenção. Violência inaudita que resultou, conforme se informa, embora sem confirmação, na morte de dois detentos, além de ferimentos em muitos outros prisioneiros que cumprem pena naquele presídio.
Mas ontem foi dia de visita, visita que, aliás, foi uma das causas da revolta. O filho desta velha senhora queria vê-la, e não era sempre que deixavam. A velhinha esteve ontem na Detenção. Não queriam novamente deixá-la entrar. Houve discussão. Prevaleceu a sua vontade: ela viu seu filho e aconselhou-o, talvez, para que não “se metesse em encrencas”. Ele prometeu obedecer. Enquanto a velhinha entrava, a polícia prosseguia no inquérito, inquérito que, aliás, pode não provar nada. Quem tem culpa nessas coisas?
DN, 2ª ed., 17/8/1964 – CJS</t>
  </si>
  <si>
    <t>Aglomeração de familiares e crianças na entrada da Casa de Detenção para o Natal do Filho do Detento (1965)</t>
  </si>
  <si>
    <r>
      <rPr>
        <rFont val="Roboto"/>
        <color theme="1"/>
        <sz val="12.0"/>
      </rPr>
      <t xml:space="preserve">Arquivo Público do Estado de São Paulo, </t>
    </r>
    <r>
      <rPr>
        <rFont val="Roboto"/>
        <color theme="1"/>
        <sz val="12.0"/>
      </rPr>
      <t>Jornal Diários Associados</t>
    </r>
  </si>
  <si>
    <t>A fotografia em preto e branco registra uma aglomeração massiva de pessoas, predominantemente mulheres e crianças, na entrada da Casa de Detenção. A multidão está voltada para o interior do portão da prisão, que está aberto, sugerindo o acesso a uma área de evento. O portão é largo e de aparência industrial. Em primeiro plano, os rostos de mulheres e crianças revelam a densidade da multidão, enquanto as pessoas se organizam (ou se aglomeram) para a entrada. O verso, que menciona a presença de "10 mil pessoas" e a distribuição de presentes, confirma que o registro é feito no contexto de um evento de grande escala e alta afluência.
O verso da fotografia, datado de 27 de dezembro de 1965, contextualiza a cena como o "Natal do Filho do Detento", onde "Os filhos dos detentos tiveram ontem um dia realmente feliz" e receberam presentes.</t>
  </si>
  <si>
    <t>Natal (detentos); Festa infantil; Aglomeração (visita); Filhos de detentos; Entrada (evento); Humanização (prisão); Casa de Detenção; Carandiru; 1965; Evento social.</t>
  </si>
  <si>
    <t>Estado de São Paulo – Penitenciárias e Presídios – Casa de Detenção do Carandiru
10 mil pessoas presentes ao Natal do filho do detento
[Texto em pequeno retângulo, recorte de legenda ou matéria]
Presentes para filhos de detentos – Os filhos dos detentos tiveram ontem um dia realmente feliz. Tiveram o seu Natal. Ganharam presentes. Em fila, em ordem, cada qual esperava a sua vez.
DN, 1ª ed., 27/12/1965 – W</t>
  </si>
  <si>
    <t>Apresentação da Banda Marcial de detentos da Casa de Detenção (Carandiru) durante visita de delegado da ONU (1961)</t>
  </si>
  <si>
    <r>
      <rPr>
        <rFont val="Roboto"/>
        <color theme="1"/>
        <sz val="12.0"/>
      </rPr>
      <t xml:space="preserve">Arquivo Público do Estado de São Paulo, </t>
    </r>
    <r>
      <rPr>
        <rFont val="Roboto"/>
        <color theme="1"/>
        <sz val="12.0"/>
      </rPr>
      <t>Jornal Diários Associados</t>
    </r>
  </si>
  <si>
    <t>A fotografia em preto e branco registra uma formação da banda marcial de detentos no pátio interno da Casa de Detenção. A cena é enquadrada em um corredor ou pátio de formato retangular, ladeado por prédios com janelas gradeadas (visíveis ao fundo). Em primeiro plano, os músicos (detentos) estão em linha, vestindo uniformes de gala claros com faixas transversais e segurando bandeiras (uma preta, outra com o símbolo do estado de São Paulo). O homem central na linha de frente carrega uma insígnia. No fundo, outros membros da banda e a massa de detentos estão alinhados.
O verso da fotografia, datado de 13 de novembro de 1961, contextualiza a cena como uma apresentação da banda marcial para o Sr. Charles Germain, delegado da ONU para o Instituto Latino-Americano de Criminologia.</t>
  </si>
  <si>
    <t>Banda marcial; Detentos (uniformizados); Visita oficial; Delegado da ONU; Charles Germain; Organização militarizada; Disciplina prisional; Casa de Detenção; Carandiru; 1961.</t>
  </si>
  <si>
    <t>Estado de São Paulo – Penitenciárias e Presídios – Casa de Detenção do Carandiru
Penitenciarista da França visitou a Casa de Detenção
Na foto, a banda marcial da Casa de Detenção do Carandiru, que executou várias marchas militares durante a visita do Sr. Charles Germain, delegado da ONU para o Instituto Latino-Americano de Criminologia, a esse instituto penal.
DN, 1ª ed., 13/11/1961 – ACF</t>
  </si>
  <si>
    <t>Novo pavilhão da Casa de Detenção (Carandiru) em construção, com detalhes de arquitetura e maquinário (1960)</t>
  </si>
  <si>
    <r>
      <rPr>
        <rFont val="Roboto"/>
        <color theme="1"/>
        <sz val="12.0"/>
      </rPr>
      <t xml:space="preserve">Arquivo Público do Estado de São Paulo, </t>
    </r>
    <r>
      <rPr>
        <rFont val="Roboto"/>
        <color theme="1"/>
        <sz val="12.0"/>
      </rPr>
      <t>Jornal Diários Associados</t>
    </r>
  </si>
  <si>
    <t>A fotografia em preto e branco registra a arquitetura externa e a área de construção do Novo Pavilhão da Casa de Detenção. O edifício domina o plano de fundo, com sua fachada de múltiplos andares e fileiras simétricas de pequenas janelas quadradas. A área em primeiro plano e o térreo mostram o canteiro de obras, com tijolos e escombros, e um grupo de trabalhadores ou empreiteiros em trajes civis caminhando. O Pavilhão está erguido sobre estruturas mais antigas e improvisadas, onde é visível uma máquina pesada (rolo compressor) e barracões de madeira.
O verso da fotografia, datado de 30 de novembro de 1960, contextualiza a imagem com a manchete: "UM MILHÃO DE CRUZEIROS CUSTARÁ CADA CELA DA CASA DE DETENÇÃO". A legenda confirma que o registro é do Novo Pavilhão.</t>
  </si>
  <si>
    <t>Construção (Pavilhão); Novo Pavilhão; Arquitetura prisional; Janelas gradeadas; Canteiro de obras; Rolo compressor; Custo (obras); Casa de Detenção; Carandiru; 1960.</t>
  </si>
  <si>
    <t>Estado de São Paulo – Penitenciárias e Presídios – Casa de Detenção do Carandiru
Um milhão de cruzeiros custará cada cela da Casa de Detenção
Novo pavilhão da Casa de Detenção do Carandiru.
Ver. DN, 1ª ed., 30/11/1960 – W</t>
  </si>
  <si>
    <t>Grupo de detentos trabalhadores retornando à Casa de Detenção pelo portão principal (1962)</t>
  </si>
  <si>
    <r>
      <rPr>
        <rFont val="Roboto"/>
        <color theme="1"/>
        <sz val="12.0"/>
      </rPr>
      <t xml:space="preserve">Arquivo Público do Estado de São Paulo, </t>
    </r>
    <r>
      <rPr>
        <rFont val="Roboto"/>
        <color theme="1"/>
        <sz val="12.0"/>
      </rPr>
      <t>Jornal Diários Associados</t>
    </r>
  </si>
  <si>
    <t>A fotografia em preto e branco registra um momento de retorno de detentos pelo portão principal da Casa de Detenção (visivelmente o portão de arco de pedra do antigo Instituto de Regeneração). Um grupo de homens caminha apressadamente pelo calçamento em direção ao interior da prisão. Muitos deles vestem macacões ou uniformes de trabalho de cor clara e carregam objetos. Um dos homens se destaca por usar um chapéu de palha ou aba larga, e a vestimenta de trabalho de alguns parece ter uma numeração ou identificação nas costas.
A cena é supervisionada por um agente de segurança uniformizado (com quepe e arma na cintura) em primeiro plano, à direita, que está de costas, observando a entrada. O verso da fotografia, datado de 18 de outubro de 1962, contextualiza a cena como o "retorno do trabalho" dos presos e a discussão sobre o pagamento de "salário profissional". A imagem, portanto, documenta a rotina de trabalho externo e o controle de segurança no momento de retorno dos presos à Penitenciária.</t>
  </si>
  <si>
    <t>Trabalho prisional; Retorno (detentos); Uniforme de trabalho; Portão principal; Agente penitenciário; Salário profissional (discussão); Casa de Detenção; Carandiru; 1962.</t>
  </si>
  <si>
    <t>Estado de São Paulo – Penitenciárias e Presídios – Casa de Detenção do Carandiru
Preso que trabalha nos presídios vai ganhar salário profissional
Presos retornando do trabalho, na Penitenciária – eles agora vão ter salário profissional. O DIPE (Departamento dos Institutos Penais do Estado de São Paulo), órgão encarregado pelo governo do Estado de estudar o aproveitamento do trabalho dos presos, já começou estudos a respeito.
Ver. DN, 2ª ed., 18/10/1962 – CJS</t>
  </si>
  <si>
    <t>Festa de Natal para 554 presos no pátio do pavilhão 9, com árvore e decoração festiva (1963)</t>
  </si>
  <si>
    <r>
      <rPr>
        <rFont val="Roboto"/>
        <color theme="1"/>
        <sz val="12.0"/>
      </rPr>
      <t xml:space="preserve">Arquivo Público do Estado de São Paulo, </t>
    </r>
    <r>
      <rPr>
        <rFont val="Roboto"/>
        <color theme="1"/>
        <sz val="12.0"/>
      </rPr>
      <t>Jornal Diários Associados</t>
    </r>
  </si>
  <si>
    <t>A fotografia em preto e branco registra uma celebração de Natal no pátio interno de um pavilhão da Casa de Detenção. A cena é enquadrada no pátio cercado por paredes brancas e múltiplas fileiras de pequenas janelas gradeadas. Uma grande estrela escura está pendurada de forma proeminente no centro superior do pátio, servindo como decoração temática. No primeiro plano, à direita, há um foco em uma árvore de Natal decorada.
No pátio, uma multidão de detentos (identificados no verso como 554 presos do Pavilhão 9) está sentada em filas, em trajes claros, assistindo a um evento. No centro do pátio, figuras (autoridades ou organizadores) estão em pé, interagindo com o público. Em primeiro plano, mulheres (organizadoras ou visitantes) estão de costas, observando a celebração. O verso da fotografia, datado de 22 de dezembro de 1963, confirma que a imagem documenta a "festa de Natal" para os presos do Pavilhão 9, organizada por entidades de assistência social.</t>
  </si>
  <si>
    <t>Festa de Natal; Detentos (Pavilhão 9); Assistência social; Pátio interno; Decoração (Natal); Estrela (decoração); Distribuição de presentes; Casa de Detenção; Carandiru; 1963.</t>
  </si>
  <si>
    <t>Estado de São Paulo – Penitenciárias e Presídios – Casa de Detenção do Carandiru
554 presos da Casa de Detenção receberam presentes de Natal
[Texto em pequeno retângulo, recorte de matéria]
Os 554 presos do pavilhão número 9 da Casa de Detenção tiveram, ontem, sua festa de Natal, promovida pela Associação Brasileira de Assistência Jurídica e Social. Cada detento recebeu um presente, conseguido graças à colaboração do comércio e da indústria paulistana. Passaram, assim, algumas horas de alegria e felicidade dentro do mundo triste e silencioso em que vivem. Desde 1960, vem sendo realizada a referida promoção.
No flagrante, os detentos reunidos no pátio assistem às comemorações do Natal no pavilhão nove da Casa de Detenção, ontem, dia 21 de dezembro de 1963, quando receberam presentes.
DSP, 22/12/1963 – JCM</t>
  </si>
  <si>
    <t>Foto Pavilhões 2, 5 e 8 – banda e familiares (27.12.1965)</t>
  </si>
  <si>
    <r>
      <rPr>
        <rFont val="Roboto"/>
        <color theme="1"/>
        <sz val="12.0"/>
      </rPr>
      <t xml:space="preserve">Arquivo Público do Estado de São Paulo, </t>
    </r>
    <r>
      <rPr>
        <rFont val="Roboto"/>
        <color theme="1"/>
        <sz val="12.0"/>
      </rPr>
      <t>Jornal Diários Associados</t>
    </r>
  </si>
  <si>
    <t>A fotografia em preto e branco registra a enorme afluência de visitantes na entrada do Complexo Carandiru durante a celebração do Natal. A cena é uma visão de rua/pátio com a fachada dos pavilhões ao fundo. No centro e primeiro plano, mulheres (mães) e crianças estão em uma extensa fila, muitas carregando sacolas (não visíveis, mas inferidas pelo contexto de visita). Mulheres com expressões sérias e ambiente decorado com guirlandas e fitas escuras (e possivelmente bandeiras). À esquerda, uma banda marcial (membros com uniformes de gala claros e instrumentos de sopro) está em formação, indicando a solenidade do evento.
O verso da fotografia, datado de 27 de dezembro de 1965, confirma que a imagem documenta o evento de "Natal do Filho do Detento", que atraiu "Mais de 10 mil pessoas", resultou em "Extensas filas" e contribuiu para a distribuição de presentes para 4 mil crianças.</t>
  </si>
  <si>
    <t>Natal (detentos); Filhos de detentos; Mulheres (família de preso); Fila (visita); Banda marcial; Decoração festiva; Aglomeração; Evento social; Casa de Detenção; Carandiru; 1965.</t>
  </si>
  <si>
    <t>Estado de São Paulo – Penitenciárias e Presídios – Casa de Detenção do Carandiru
10 mil pessoas presentes ao Natal do filho do detento
[Recorte 1] Mais de 10 mil pessoas na CD – Mais de 10 mil pessoas acorreram ontem à Casa de Detenção. Era o dia de Natal do filho do detento.
DN, 1ª ed., 27/12/1965 – W
[Recorte 2] Mais de 10 mil pessoas estiveram em visita ontem à Casa de Detenção de São Paulo para festejar o Natal do filho do detento. Precisamente 4 mil crianças receberam presentes. Desde às 8 horas, os portões da CD foram abertos à visitação pública. Extensas filas se formaram com o objetivo de conhecer aquele estabelecimento penal e participar da festa.</t>
  </si>
  <si>
    <t>Confusão e tensão na entrada da Casa de Detenção após incidentes entre detentos e guardas (1964)</t>
  </si>
  <si>
    <r>
      <rPr>
        <rFont val="Roboto"/>
        <color theme="1"/>
        <sz val="12.0"/>
      </rPr>
      <t xml:space="preserve">Arquivo Público do Estado de São Paulo, </t>
    </r>
    <r>
      <rPr>
        <rFont val="Roboto"/>
        <color theme="1"/>
        <sz val="12.0"/>
      </rPr>
      <t>Jornal Diários Associados</t>
    </r>
  </si>
  <si>
    <t>A fotografia em preto e branco, em plano fechado, registra um momento de grande confusão e tensão em uma área de controle (portaria ou entrada) da Casa de Detenção. Várias pessoas estão aglomeradas, com as figuras em primeiro plano (duas mulheres, vistas de costas) parecendo pressionar ou ser pressionadas. Há a presença de agentes de segurança ou militares (um deles visto de costas, vestindo uniforme), e de homens em trajes civis (alguns com expressões de susto ou curiosidade). No canto superior esquerdo, grades escuras indicam o controle do acesso. A proximidade e a desordem das figuras sugerem um tumulto ou incidente no local.
O verso da fotografia, datado de 3 de julho de 1964, contextualiza a cena com a manchete sensacionalista sobre a "MILIONÁRIA PRESA" e a descrição de uma "tremenda confusão" e "incidentes [...] entre detentos e guardas do presídio".</t>
  </si>
  <si>
    <t>Tumulto (prisão); Confusão; Incidentes (guarda/detento); Tensão; Aglomeração (entrada); Milionária presa (notícia); Casa de Detenção; Carandiru; 1964; Violência.</t>
  </si>
  <si>
    <t>Estado de São Paulo – Penitenciárias e Presídios – Casa de Detenção do Carandiru
Milionária presa implantou terror na Casa de Detenção
Tremenda confusão se originou na Casa de Detenção, na tarde de ontem, durante os incidentes ali registrados entre detentos e guardas do presídio.
DN, 2ª ed., 3/7/1964 – W</t>
  </si>
  <si>
    <t>Profissionais da imprensa se aglomeram junto ao portão gradeado em busca de informes sobre a fuga de detento no Carandiru (1960)</t>
  </si>
  <si>
    <r>
      <rPr>
        <rFont val="Roboto"/>
        <color theme="1"/>
        <sz val="12.0"/>
      </rPr>
      <t xml:space="preserve">Arquivo Público do Estado de São Paulo, </t>
    </r>
    <r>
      <rPr>
        <rFont val="Roboto"/>
        <color theme="1"/>
        <sz val="12.0"/>
      </rPr>
      <t>Jornal Diários Associados</t>
    </r>
  </si>
  <si>
    <t>A fotografia em preto e branco registra um momento de aglomeração e busca por informação junto a um portão de grades da Penitenciária do Carandiru, aparentemente durante a noite ou em ambiente pouco iluminado. A cena mostra a interação tensa entre os profissionais de segurança (agentes ou policiais com uniformes e quepe) e um grupo de homens em trajes civis (identificados no verso como profissionais da imprensa). Os jornalistas se agrupam nas grades, tentando obter informações, enquanto os agentes mantêm a ordem e o controle. A presença das grades ao centro simboliza a barreira entre o cárcere (o incidente) e o mundo externo (a imprensa).
O verso da fotografia, datado de 21 de maio de 1960, contextualiza a cena como um "Flagrante tomado em frente aos portões" após a fuga do presidiário William Alves da Silva, implicado no Motim da Ilha Anchieta.</t>
  </si>
  <si>
    <t>Fuga (detento); Imprensa (aglomeração); Fotojornalismo; Portão de grades; Segurança prisional; Agentes (policiais); William Alves da Silva; Motim Ilha Anchieta; Penitenciária Carandiru; 1960.</t>
  </si>
  <si>
    <t>Estado de São Paulo – Penitenciárias e Presídios – Penitenciária do Carandiru
Implicado no motim da Ilha Anchieta fugiu da Penitenciária do Carandiru
Em flagrante tomado em frente aos portões da penitenciária, vemos profissionais da imprensa ali se aglomerando a fim de obter informações sobre a fuga do presidiário William Alves da Silva.
DN, ed. ún., 21/5/1960 – W</t>
  </si>
  <si>
    <t>Distribuição de presentes de Natal por voluntárias (com decoração natalina e militares) no pavilhão 9 do Carandiru (1963)</t>
  </si>
  <si>
    <r>
      <rPr>
        <rFont val="Roboto"/>
        <color theme="1"/>
        <sz val="12.0"/>
      </rPr>
      <t xml:space="preserve">Arquivo Público do Estado de São Paulo, </t>
    </r>
    <r>
      <rPr>
        <rFont val="Roboto"/>
        <color theme="1"/>
        <sz val="12.0"/>
      </rPr>
      <t>Jornal Diários Associados</t>
    </r>
  </si>
  <si>
    <t>A fotografia em preto e branco registra um momento de distribuição de presentes de Natal no interior da Casa de Detenção. O ambiente está decorado com motivos natalinos (como um personagem bíblico ao fundo). Na área central, uma longa mesa está coberta por pilhas de presentes embrulhados. Mulheres (identificadas como voluntárias da assistência social) estão posicionadas atrás da mesa, distribuindo os presentes. Em primeiro plano e no centro, militares ou agentes penitenciários (de costas, com uniformes e quepe) supervisionam a distribuição. À esquerda, um homem de terno com uma câmera fotográfica registra a cena, confirmando a presença da imprensa ou fotógrafo institucional.
O verso da fotografia, datado de 22 de dezembro de 1963, confirma que a imagem documenta a "festa de Natal" para os 554 presos do Pavilhão 9, com a distribuição de presentes promovida pela Associação Brasileira de Assistência Jurídica e Social.</t>
  </si>
  <si>
    <t>Festa de Natal; Distribuição de presentes; Voluntariado (assistência social); Decoração natalina; Militares (vigilância); Pavilhão 9; Detentos; Casa de Detenção; Carandiru; 1963.</t>
  </si>
  <si>
    <t>Estado de São Paulo – Penitenciária e Presídios – Casa de Detenção do Carandiru – São Paulo
554 presos da Casa de Detenção receberam presentes de Natal
Os 554 presos do pavilhão número 9 da Casa de Detenção tiveram, no dia 21/12/1963, sua festa de Natal, promovida pela Associação Brasileira de Assistência Jurídica e Social. Cada detento recebeu um presente, conseguido graças à colaboração do comércio e da indústria paulistana. Na foto, aspecto da festa.
Ver. DSP, 22/12/1963 – CJS</t>
  </si>
  <si>
    <t>Detentos alfaiates trabalhando na confecção e recuperação de roupas na oficina do Carandiru (1964)</t>
  </si>
  <si>
    <r>
      <rPr>
        <rFont val="Roboto"/>
        <color theme="1"/>
        <sz val="12.0"/>
      </rPr>
      <t xml:space="preserve">Arquivo Público do Estado de São Paulo, </t>
    </r>
    <r>
      <rPr>
        <rFont val="Roboto"/>
        <color theme="1"/>
        <sz val="12.0"/>
      </rPr>
      <t>Jornal Diários Associados</t>
    </r>
  </si>
  <si>
    <t xml:space="preserve">A fotografia em preto e branco registra o trabalho em uma oficina de alfaiataria na Casa de Detenção. Em primeiro plano, uma mesa de trabalho coberta por um tecido claro exibe um ferro de passar antigo e pesado e um recipiente. No fundo, dois detentos estão concentrados, operando máquinas de costura de pedal. O detento à esquerda veste camisa escura, e o à direita veste camisa clara (possivelmente jaleco de trabalho). A iluminação do ambiente é simples, e as máquinas e a postura dos homens indicam um trabalho manual e focado.
O verso da fotografia, datado de 4 de setembro de 1964, contextualiza a cena, identificando os homens como "alfaiates" responsáveis pela vestimenta do presídio e o trabalho como a "melhor terapêutica" usada nas prisões do estado. </t>
  </si>
  <si>
    <t>Trabalho prisional; Oficina de alfaiataria; Detentos trabalhadores; Máquina de costura; Terapêutica (trabalho); Confecção de roupas; Ressocialização; Casa de Detenção; Carandiru; 1964.</t>
  </si>
  <si>
    <t>Estado de São Paulo – Penitenciárias e Presídios – Casa de Detenção do Carandiru
Trabalho: melhor terapêutica usada nas prisões do Estado
Os alfaiates são os responsáveis pela vestimenta do presídio. Precisam trabalhar muito na confecção e recuperação de roupas.
DN, 1ª ed., 4/9/1964 – W</t>
  </si>
  <si>
    <t>Reunião de autoridades e exposição de artesanato (vime) no Carandiru (1962)</t>
  </si>
  <si>
    <r>
      <rPr>
        <rFont val="Roboto"/>
        <color theme="1"/>
        <sz val="12.0"/>
      </rPr>
      <t xml:space="preserve">Arquivo Público do Estado de São Paulo, </t>
    </r>
    <r>
      <rPr>
        <rFont val="Roboto"/>
        <color theme="1"/>
        <sz val="12.0"/>
      </rPr>
      <t>Jornal Diários Associados</t>
    </r>
  </si>
  <si>
    <t>A fotografia em preto e branco registra uma reunião de autoridades e funcionários no interior da Casa de Detenção. O ambiente é um salão ou oficina com piso de madeira escura. O foco principal está no trabalho artesanal dos presos, com diversos móveis e objetos feitos de vime ou junco dispostos em primeiro plano (cadeiras de balanço, mesas laterais e cestos). No centro, um grupo de homens, a maioria vestida de terno (identificados no verso como membros do DIPE e autoridades), está reunido em torno de uma pequena mesa, conversando sobre documentos. Ao fundo, um portão de grades e, no canto direito, um homem em vestimenta de trabalho (possivelmente um detento ou funcionário da oficina) é visível.
O verso da fotografia, datado de 18 de outubro de 1962, confirma que a imagem é o "aspecto de uma reunião" sobre o tema do "salário profissional para os condenados que prestam serviços no presídio".</t>
  </si>
  <si>
    <t>Trabalho prisional; Salário profissional (discussão); Artesanato (vime); Reunião (DIPE); Autoridades; Detentos (produtividade); Oficinas; Casa de Detenção; Carandiru; 1962.</t>
  </si>
  <si>
    <t>Estado de São Paulo – Penitenciária e Presídios – Casa de Detenção do Carandiru
Preso que trabalha nos presídios vai ganhar salário profissional
O DIPE (Departamento dos Institutos Penais do Estado de São Paulo), órgão encarregado pelo governo do Estado de estudar o aproveitamento do trabalho dos presos, já começou estudos a respeito do salário profissional para os condenados que prestam serviços no presídio. Na foto, aspecto de uma reunião na Casa de Detenção do Carandiru.
Ver. DN, 2ª ed., 18/10/1962 – CJS</t>
  </si>
  <si>
    <t>Juristas cariocas visitando e examinando as instalações da Casa de Detenção através das grades (1961)</t>
  </si>
  <si>
    <r>
      <rPr>
        <rFont val="Roboto"/>
        <color theme="1"/>
        <sz val="12.0"/>
      </rPr>
      <t xml:space="preserve">Arquivo Público do Estado de São Paulo, </t>
    </r>
    <r>
      <rPr>
        <rFont val="Roboto"/>
        <color theme="1"/>
        <sz val="12.0"/>
      </rPr>
      <t>Jornal Diários Associados</t>
    </r>
  </si>
  <si>
    <t>A fotografia em preto e branco registra um momento de inspeção ou visita oficial no interior da Casa de Detenção, com a cena enquadrada pelas grades verticais de uma cela ou portão. Um grupo de homens, todos vestidos formalmente com ternos escuros e gravatas (identificados no verso como Juristas Cariocas), está reunido atrás das grades, olhando para o interior do espaço prisional. As grades funcionam como uma barreira física e simbólica entre o grupo de visitantes e o ambiente carcerário. A proximidade dos homens em relação às grades e suas expressões atentas sugerem um exame detalhado das instalações. O verso da fotografia, datado de 24 de agosto de 1961, contextualiza a imagem como a visita dos juristas à Casa de Detenção, que à época era considerada a "mais moderna cadeia pública do mundo" e foi alvo de elogios dos visitantes.</t>
  </si>
  <si>
    <t>Visita oficial; Juristas; Grades (inspeção); Autoridades (visita); Arquitetura prisional; Elogio (instituição); Casa de Detenção; Carandiru; 1961.</t>
  </si>
  <si>
    <t>Estado de São Paulo – Penitenciárias e Presídios – Casa de Detenção do Carandiru
Juristas cariocas boquiabertos ante os presídios paulistas
Juristas cariocas em visita à Casa de Detenção do Carandiru, a mais moderna cadeia pública do mundo, teceram elogios à mesma.
DN, 1ª ed., 24/8/1961 – ACF</t>
  </si>
  <si>
    <t>Foto Pavilhão 9, solenidade de inauguração (1961)</t>
  </si>
  <si>
    <r>
      <rPr>
        <rFont val="Roboto"/>
        <color theme="1"/>
        <sz val="12.0"/>
      </rPr>
      <t xml:space="preserve">Arquivo Público do Estado de São Paulo, </t>
    </r>
    <r>
      <rPr>
        <rFont val="Roboto"/>
        <color theme="1"/>
        <sz val="12.0"/>
      </rPr>
      <t>Jornal Diários Associados</t>
    </r>
  </si>
  <si>
    <t>A fotografia em preto e branco registra uma solenidade ou inspeção formal em um pátio interno da Casa de Detenção. O espaço é cercado pela arquitetura do presídio, com janelas gradeadas visíveis. A cena está dividida em três grupos principais. À esquerda, uma fila de detentos uniformizados (roupas claras) está em posição de sentido ou desfilando. À direita, um grupo de autoridades e civis (vestindo ternos escuros) observa o evento. No centro, um oficial militar (de uniforme claro) está em pé sobre um pequeno pódio ou tablado, discursando ou comandando a cerimônia, voltado para os detentos.
O verso da fotografia, datado de 9 de agosto de 1961, confirma que a imagem documenta o "Aspecto das solenidades inaugurais" de "mais um pavilhão da Casa de Detenção" pelo Governador.</t>
  </si>
  <si>
    <t>Inauguração (Pavilhão); Solenidade; Desfile (detentos); Detentos uniformizados; Oficial militar; Autoridades (visita); Pátio (interno); Disciplina prisional; Casa de Detenção; Carandiru; 1961.</t>
  </si>
  <si>
    <t>Estado de São Paulo – Penitenciárias e Presídios – Casa de Detenção do Carandiru
Governador inaugurou ontem mais um pavilhão da Casa de Detenção
Aspecto das solenidades inaugurais de mais um pavilhão da Casa de Detenção, no bairro do Carandiru.
DN, 1ª ed., 9/8/1961 – ACF</t>
  </si>
  <si>
    <t>“Soldados de serviço” nas muralhas (12.11.1956)</t>
  </si>
  <si>
    <r>
      <rPr>
        <rFont val="Roboto"/>
        <color theme="1"/>
        <sz val="12.0"/>
      </rPr>
      <t xml:space="preserve">Arquivo Público do Estado de São Paulo, </t>
    </r>
    <r>
      <rPr>
        <rFont val="Roboto"/>
        <color theme="1"/>
        <sz val="12.0"/>
      </rPr>
      <t>Jornal Diários Associados</t>
    </r>
  </si>
  <si>
    <t>A fotografia em preto e branco registra um momento de vigilância e segurança externa no Complexo Carandiru. A cena é capturada de um ponto de vista elevado, mostrando dois soldados ou agentes de segurança no topo de uma muralha ou parapeito. O soldado em primeiro plano está voltado para a esquerda, usando quepe, uniforme e, de forma proeminente, segura um rifle e porta uma baioneta/faca no cinto. Ele aponta o dedo indicador para longe, em um gesto de comando ou indicação. O segundo soldado, à direita, está de costas, usando capacete. O plano de fundo é dominado pela fachada lateral de um Pavilhão da prisão, com suas janelas em fileiras.
O verso da fotografia, datado de 12 de setembro de 1956, confirma que a imagem mostra "Soldados de serviço nas muralhas da nova Casa de Detenção do Carandirú".</t>
  </si>
  <si>
    <t>Vigilância; Soldados (serviço); Muralha (segurança); Rifle; Baioneta; Arquitetura prisional; Muro de contenção; Força Pública; Casa de Detenção; Carandiru; 1956.</t>
  </si>
  <si>
    <t>Estado de São Paulo – Penitenciárias e Presídios – Casa de Detenção – Carandiru
Soldados de serviço nas muralhas da nova Casa de Detenção do Carandiru.
Arq., 12/9/1956 – JL</t>
  </si>
  <si>
    <t>Solenidade de inauguração do pavilhão nº 9 da Casa de Detenção (Carandiru) com banda marcial e presos em formação (1961)</t>
  </si>
  <si>
    <r>
      <rPr>
        <rFont val="Roboto"/>
        <color theme="1"/>
        <sz val="12.0"/>
      </rPr>
      <t xml:space="preserve">Arquivo Público do Estado de São Paulo, </t>
    </r>
    <r>
      <rPr>
        <rFont val="Roboto"/>
        <color theme="1"/>
        <sz val="12.0"/>
      </rPr>
      <t>Jornal Diários Associados</t>
    </r>
  </si>
  <si>
    <t>A fotografia em preto e branco registra uma solenidade formal de inauguração no pátio interno do Pavilhão nº 9 da Casa de Detenção, em um ambiente de arquitetura austera. O pátio é circundado por edifícios de múltiplos andares que se fecham em forma de U, com inúmeras janelas gradeadas. No centro do pátio, há três grupos principais: 1) à esquerda e ao centro, um grupo de detentos está em formação, usando roupas claras (uniformes); 2) no centro-direito, uma banda marcial (membros tocando instrumentos de sopro) está alinhada; 3) no centro, figuras de autoridades (em trajes civis escuros) estão reunidas, inspecionando ou presidindo a cerimônia. A presença de bandeiras na área da formação reforça o caráter oficial do evento.
O verso da fotografia, datado de 9 de agosto de 1961, confirma que a imagem é o "Aspecto do pavilhão nº 9" e documenta sua inauguração pelo Governador Carvalho Pinto.</t>
  </si>
  <si>
    <t>Inauguração (Pavilhão 9); Solenidade; Banda marcial; Detentos uniformizados; Pátio (interno); Arquitetura prisional; Governador Carvalho Pinto; Casa de Detenção; Carandiru; 1961.</t>
  </si>
  <si>
    <t>Estado de São Paulo – Penitenciárias e Presídios – Casa de Detenção do Carandiru
Governador inaugurou ontem mais um pavilhão na Casa de Detenção
Aspecto do pavilhão nº 9 da nova Casa de Detenção desta capital, inaugurado ontem pelo governador Carvalho Pinto.
DSP, 9/8/1961 – WJP</t>
  </si>
  <si>
    <t>Repórter e militares inspecionando o arsenal de armas artesanais e drogas apreendidas após motim no Carandiru (1964)</t>
  </si>
  <si>
    <r>
      <rPr>
        <rFont val="Roboto"/>
        <color theme="1"/>
        <sz val="12.0"/>
      </rPr>
      <t xml:space="preserve">Arquivo Público do Estado de São Paulo, </t>
    </r>
    <r>
      <rPr>
        <rFont val="Roboto"/>
        <color theme="1"/>
        <sz val="12.0"/>
      </rPr>
      <t>Jornal Diários Associados</t>
    </r>
  </si>
  <si>
    <t>A fotografia em preto e branco, em plano fechado, registra um momento de inspeção e apreensão de materiais ilícitos no interior da Casa de Detenção. O foco principal é um homem em trajes civis (identificado no verso como o repórter Mário de Oliveira), que está agachado em uma mesa ou superfície, manipulando diversos objetos. Espalhados, estão materiais que se assemelham a armas artesanais (como pontas e cabos de metal, estiletes, e tubos), confirmando a apreensão de "facas, estiletes de aço e drogas" mencionada no verso. O repórter é auxiliado por outros homens, incluindo um em uniforme militar com capacete de obras (militar da Força Pública) à direita, e outros em trajes escuros.
O verso da fotografia, datado de 6 de julho de 1964, contextualiza a cena como a verificação das "provas da negligência da antiga direção" após a ocupação da prisão por milicianos da Força Pública. A imagem, portanto, documenta a descoberta do arsenal de armas improvisadas e a crise de segurança que levou à queda da antiga direção.</t>
  </si>
  <si>
    <t>Apreensão (armas/drogas); Armas artesanais; Estiletes; Repórter (Mário de Oliveira); Ocupação militar; Negligência (direção); Motim (consequências); Violência carcerária; Casa de Detenção; Carandiru; 1964.</t>
  </si>
  <si>
    <t>Estado de São Paulo – Penitenciárias e Presídios – Casa de Detenção do Carandiru
Verdadeiras bacanais na Casa de Detenção
Juntamente com milicianos da Força Pública, que ocuparam a Casa de Detenção em consequência do motim ocorrido no fim da última semana, o repórter "Associado" Mário de Oliveira verificou a prova da negligência da antiga direção do presídio, encabeçada pelo Sr. João Tavares da Silva. Facas, estiletes de aço e drogas foram encontradas em grande quantidade.
DN, 1ª ed., 6/7/1964 – WJP
Ex-diretor da Detenção afirma: "Fui deposto por 200 soldados"
DN, 1ª ed., 8/7/1964 – WJP</t>
  </si>
  <si>
    <t>Missa inaugural da Capela de Nossa Senhora Aparecida, com a presença de Dom Paulo Rolim Loureiro e centenas de detentos (1961)</t>
  </si>
  <si>
    <r>
      <rPr>
        <rFont val="Roboto"/>
        <color theme="1"/>
        <sz val="12.0"/>
      </rPr>
      <t xml:space="preserve">Arquivo Público do Estado de São Paulo, </t>
    </r>
    <r>
      <rPr>
        <rFont val="Roboto"/>
        <color theme="1"/>
        <sz val="12.0"/>
      </rPr>
      <t>Jornal Diários Associados</t>
    </r>
  </si>
  <si>
    <t>A fotografia em preto e branco, capturada em plano alto (aéreo), registra uma missa ou solenidade religiosa no pátio interno da Casa de Detenção. Uma multidão de detentos está reunida e organizada em filas, preenchendo o pátio central. O cenário é delimitado por pilares e corredores laterais. No centro da cena, à frente, uma figura vestindo trajes eclesiásticos brancos (identificada no verso como Dom Paulo Rolim Loureiro), preside a cerimônia. Os detentos estão vestidos de forma variada (camisas claras, casacos escuros), com as mãos juntas ou em atitude de respeito. Ao fundo, uma estrutura (possivelmente o altar da capela) é visível.
O verso da fotografia, datado de 9 de setembro de 1961, confirma que a imagem é o registro da "benção inaugural da capela de Nossa Senhora Aparecida", que foi construída pelos próprios presos. O texto destaca a presença de Dom Paulo Rolim Loureiro e o bom acabamento da obra.</t>
  </si>
  <si>
    <t>Missa inaugural; Solenidade religiosa; Dom Paulo Rolim Loureiro; Capela (inauguração); Detentos (em fila); Fé e religiosidade; Construção (detentos); Casa de Detenção; Carandiru; 1961.</t>
  </si>
  <si>
    <t>Estado de São Paulo
Penitenciárias e presídios – Casa de Detenção do Carandiru – (São Paulo)
Inaugurada a capela do pavilhão nº oito da Casa de Detenção.
Contrita e respeitosamente, toda a população carcerária da Casa de Detenção do Carandiru assiste à missa inaugural do pavilhão número oito.
DN., ed. única, 9/9/1961 acf.</t>
  </si>
  <si>
    <t>Soldados armados e em posto de vigilância no topo da muralha da nova Casa de Detenção (1956)</t>
  </si>
  <si>
    <r>
      <rPr>
        <rFont val="Roboto"/>
        <color theme="1"/>
        <sz val="12.0"/>
      </rPr>
      <t xml:space="preserve">Arquivo Público do Estado de São Paulo, </t>
    </r>
    <r>
      <rPr>
        <rFont val="Roboto"/>
        <color theme="1"/>
        <sz val="12.0"/>
      </rPr>
      <t>Jornal Diários Associados</t>
    </r>
  </si>
  <si>
    <t>A fotografia em preto e branco registra um momento de vigilância e segurança ostensiva no topo da muralha da nova Casa de Detenção. Dois soldados ou agentes de segurança estão posicionados no parapeito de concreto, em uma plataforma elevada. O militar em primeiro plano está virado para a lateral, segurando um rifle e portando uma faca/baioneta no cinto, e veste uniforme militar com quepe. O segundo agente, à esquerda, está de lado, usando capacete. O plano de fundo é o céu aberto, e o muro de concreto em ângulo reforça o aspecto de contenção e controle de segurança.
O verso da fotografia, datado de 12 de setembro de 1956, confirma que a imagem documenta a "Muralha da nova Casa de Detenção do Carandirú".</t>
  </si>
  <si>
    <t>Vigilância; Muralha (segurança); Soldados (serviço); Rifle; Posto de controle; Força Pública; Arquitetura prisional; Muro de contenção; Casa de Detenção; Carandiru; 1956.</t>
  </si>
  <si>
    <t>Estado de São Paulo – Penitenciárias e Presídios – Casa de Detenção (Carandiru)
Muralha da nova Casa de Detenção do Carandiru.
Arq., 12/9/1956 – JL</t>
  </si>
  <si>
    <t>Foto Pavilhão 8, inauguração da capela (1961)</t>
  </si>
  <si>
    <r>
      <rPr>
        <rFont val="Roboto"/>
        <color theme="1"/>
        <sz val="12.0"/>
      </rPr>
      <t xml:space="preserve">Arquivo Público do Estado de São Paulo, </t>
    </r>
    <r>
      <rPr>
        <rFont val="Roboto"/>
        <color theme="1"/>
        <sz val="12.0"/>
      </rPr>
      <t>Jornal Diários Associados</t>
    </r>
  </si>
  <si>
    <t>A fotografia em preto e branco, capturada em plano alto (aéreo), registra uma missa ou solenidade religiosa no pátio interno de um pavilhão da Casa de Detenção. Uma multidão de detentos está reunida e organizada em filas no pátio, que é delimitado por edifícios com arcadas e corredores laterais. No centro da multidão, uma figura vestindo trajes eclesiásticos claros e escuros (o sacerdote) preside a cerimônia, caminhando no corredor central. Os detentos estão vestidos com camisas e casacos, predominantemente em tons escuros e claros, e estão em atitude de respeito e concentração. A disposição da população carcerária, em grandes números, é organizada, o que o verso descreve como "Contrita e respeitosamente".
O verso da fotografia, datado de 9 de setembro de 1961, confirma que a imagem documenta a "missa inaugural do Pavilhão número oito" após a inauguração da capela no local.</t>
  </si>
  <si>
    <t>Missa inaugural; Solenidade religiosa; Sacerdote; Detentos (população); Pavilhão 8; Disciplina prisional; Religião (prisão); Aglomeração; Casa de Detenção; Carandiru; 1961.</t>
  </si>
  <si>
    <t>Estado de São Paulo – Penitenciárias e Presídios – Casa de Detenção do Carandiru (São Paulo)
Inaugurada a capela do pavilhão número oito da Casa de Detenção
Contrita e respeitosamente, toda a população carcerária da Casa de Detenção do Carandiru assistiu à missa inaugural do Pavilhão número oito.
DN, ed. única, 9/9/1961 – ACF</t>
  </si>
  <si>
    <t>Placas de obras da Casa de Detenção e do Departamento de Obras Públicas (DOP) durante a gestão do Governador Jânio Quadros (1957)</t>
  </si>
  <si>
    <r>
      <rPr>
        <rFont val="Roboto"/>
        <color theme="1"/>
        <sz val="12.0"/>
      </rPr>
      <t xml:space="preserve">Arquivo Público do Estado de São Paulo, </t>
    </r>
    <r>
      <rPr>
        <rFont val="Roboto"/>
        <color theme="1"/>
        <sz val="12.0"/>
      </rPr>
      <t>Jornal Diários Associados</t>
    </r>
  </si>
  <si>
    <t>A fotografia em preto e branco registra um conjunto de grandes placas de obras em um canteiro de construção da Casa de Detenção. O foco está na placa central branca, que identifica a administração responsável: "OBRAS DO GOVERNO DO ESTADO DE S. PAULO / GOVERNADOR JANIO QUADROS", e lista autoridades como o Secretário da Viação, J. V. de Faria Lima, e o Diretor Pietro J. G. Ghirardi. Outras placas (pretas e escuras) indicam que se trata de "OBRAS DA CASA DE DETENÇÃO" e citam o D.O.P. (Departamento de Obras Públicas) e empresas de construção (como Piemonte Fanganiello). O verso da fotografia, datado de 11 de dezembro de 1957, contextualiza a imagem de forma crítica, lamentando que as obras "não tiveram prosseguimento na atual" administração (Jânio Quadros, que assumiu em 1955), resultando na conclusão de apenas dois dos sete edifícios planejados.</t>
  </si>
  <si>
    <t>Obras (presídio); Placa de construção; Governador Jânio Quadros; DOP (Departamento de Obras Públicas); J.V. de Faria Lima; Pietro Ghirardi; Paralisação (obras); Casa de Detenção; Carandiru; 1957.</t>
  </si>
  <si>
    <t>Estado de São Paulo – Penitenciárias e Presídios – Casa de Detenção
Ficou na estrutura o maior conjunto carcerário da nova Casa de Detenção
Placas inúteis, que nada dizem, pois as obras da nova Casa de Detenção, iniciadas na administração anterior, não tiveram prosseguimento na atual. Apenas foram terminados dois dos sete edifícios.
DN, 2ª ed., 11/12/1957 – JL</t>
  </si>
  <si>
    <t>Fachada, 12.09.1956. Legenda indica reutilização em 1965</t>
  </si>
  <si>
    <r>
      <rPr>
        <rFont val="Roboto"/>
        <color theme="1"/>
        <sz val="12.0"/>
      </rPr>
      <t xml:space="preserve">Arquivo Público do Estado de São Paulo, </t>
    </r>
    <r>
      <rPr>
        <rFont val="Roboto"/>
        <color theme="1"/>
        <sz val="12.0"/>
      </rPr>
      <t>Jornal Diários Associados</t>
    </r>
  </si>
  <si>
    <t>A fotografia em preto e branco registra a fachada iluminada e a entrada principal da Casa de Detenção à noite, sugerindo um momento de urgência ou de movimentação fora do horário padrão. O letreiro "CASA DE DETENÇÃO" é proeminente no alto da estrutura. A fachada é caracterizada por grandes janelas gradeadas. Em primeiro plano, no lado direito, um carro escuro está estacionado. Há figuras de pessoas reunidas próximas à porta de acesso.
O verso da fotografia possui duas legendas. A primeira identifica a foto como o "Pátio interno" (o que é contestado pela arquitetura que se assemelha a uma fachada/portaria) da nova Casa de Detenção, com data de arquivo em 12/9/1956. A segunda legenda é uma manchete de 14/11/1965: "OS FRIOS MUROS DE CONCRETO".</t>
  </si>
  <si>
    <t>Fachada (prédio); Entrada principal; Vigilância noturna; Carro (serviço/imprensa); Arquitetura prisional; Muros de concreto; Casa de Detenção; Carandiru; 1956; 1965.</t>
  </si>
  <si>
    <t>Estado de São Paulo – Penitenciárias e Presídios – Casa de Detenção (Carandiru)
Pátio interno da nova Casa de Detenção do Carandiru.
Os frios muros de concreto
Arq., 12/9/1956 – JL
DSP, Supl. Bairros, 14/11/1965 – DRB</t>
  </si>
  <si>
    <t>Diretor (Coronel Fernão Guedes) e oficiais inspecionando o pátio do pavilhão Nove após a tentativa de fuga no Carandiru (1973)</t>
  </si>
  <si>
    <r>
      <rPr>
        <rFont val="Roboto"/>
        <color theme="1"/>
        <sz val="12.0"/>
      </rPr>
      <t xml:space="preserve">Arquivo Público do Estado de São Paulo, </t>
    </r>
    <r>
      <rPr>
        <rFont val="Roboto"/>
        <color theme="1"/>
        <sz val="12.0"/>
      </rPr>
      <t>Jornal Diários Associados</t>
    </r>
  </si>
  <si>
    <t>A fotografia em preto e branco registra um momento de inspeção e controle militar/oficial no pátio interno de um pavilhão da Casa de Detenção. O enquadramento, feito por baixo de uma cobertura (teto), cria uma moldura escura para o pátio central, que é cercado por um edifício branco de múltiplos andares com janelas gradeadas. Figuras de militares e agentes de segurança (em uniformes escuros e chapéus/quepe) estão reunidas no pátio. A figura central, que está de costas (provavelmente o Diretor Coronel Fernão Guedes), aponta o braço estendido para o pátio, em um gesto de comando ou indicação.
O verso da fotografia, datado de 7 de novembro de 1973, contextualiza a cena como o período imediatamente posterior a uma "tentativa de fuga" no presídio. O texto menciona o envolvimento do Coronel Fernão Guedes, Diretor da Casa de Detenção, no esclarecimento do incidente que envolveu presos recolhidos do Pavilhão Nove.</t>
  </si>
  <si>
    <t>Tentativa de fuga; Motim (rebelião); Coronel Fernão Guedes; Diretor prisional; Inspeção militar; Pátio (interno); Pavilhão Nove; Crise prisional; Casa de Detenção; Carandiru; 1973.</t>
  </si>
  <si>
    <t>Estado de São Paulo – Penitenciárias e Presídios – Casa de Detenção Carandiru
Enquanto o edifício era rigorosamente vigiado na ala externa, o diretor da Casa de Detenção sufocava o movimento de fuga.
[Texto em pequeno retângulo, recorte de matéria]
A rapidez com que explodiu e foi dominada uma tentativa de fuga, segunda-feira à noite, na Casa de Detenção, deu origem a informações desencontradas sobre uma rebelião naquele presídio, sem que, até ontem à tarde, tivesse sido revelado o que realmente acontecera. No entanto, o coronel Fernão Guedes, diretor da Casa de Detenção, esclareceria, no final do dia, o incidente que envolveu-o diretamente, mais três presos recolhidos do Pavilhão Nove, e outras seis pessoas, entre funcionários e detentos.
DN, 1ª ed., 7/11/1973 – MBC</t>
  </si>
  <si>
    <r>
      <rPr>
        <rFont val="Roboto"/>
        <color theme="1"/>
        <sz val="12.0"/>
      </rPr>
      <t xml:space="preserve">Arquivo Público do Estado de São Paulo, </t>
    </r>
    <r>
      <rPr>
        <rFont val="Roboto"/>
        <color theme="1"/>
        <sz val="12.0"/>
      </rPr>
      <t>Jornal Diários Associados</t>
    </r>
  </si>
  <si>
    <t>A fotografia em preto e branco registra um momento de vigilância ostensiva no perímetro externo do Complexo Carandiru. A cena é capturada no topo da muralha de concreto, mostrando um soldado ou agente de segurança parado em posição de guarda na estreita passarela. O agente está de perfil, vestindo uniforme militar com capacete e segurando um rifle com baioneta ou faca acoplada. A altura do muro sugere uma grande separação entre o interior e o exterior. Ao fundo, no canto superior direito, parte de um dos pavilhões é visível.
O verso da fotografia, datado de 12 de setembro de 1956, confirma que a imagem documenta a "Muralha externa da nova Casa de Detenção do Carandirú".</t>
  </si>
  <si>
    <t>Vigilância; Muralha externa; Soldado (serviço); Rifle; Arquitetura prisional; Muro de contenção; Segurança perimetral; Casa de Detenção; Carandiru; 1956.</t>
  </si>
  <si>
    <t>Estado de São Paulo – Penitenciárias e Presídios – Casa de Detenção – São Paulo (Carandiru)
Muralha externa da nova Casa de Detenção do Carandiru.
Arq., 12/9/1956 – JL</t>
  </si>
  <si>
    <t>Grupo de soldados armados em formação no Pátio da Casa da Guarda, na inauguração da Casa de Detenção (1956)</t>
  </si>
  <si>
    <r>
      <rPr>
        <rFont val="Roboto"/>
        <color theme="1"/>
        <sz val="12.0"/>
      </rPr>
      <t xml:space="preserve">Arquivo Público do Estado de São Paulo, </t>
    </r>
    <r>
      <rPr>
        <rFont val="Roboto"/>
        <color theme="1"/>
        <sz val="12.0"/>
      </rPr>
      <t>Jornal Diários Associados</t>
    </r>
  </si>
  <si>
    <t>A fotografia em preto e branco registra um momento de formação e prontidão militar no que o verso identifica como o "Pátio da Casa da Guarda" da nova Casa de Detenção. Em primeiro plano, o pátio tem o chão de paralelepípedos ou tijolos, e grandes colunas laterais em concreto (estrutura do prédio). No centro, um grupo de soldados está reunido em formação, usando uniformes militares e capacetes, e portando armas longas (rifles), sugerindo uma inspeção, treinamento ou momento de prontidão. Ao fundo, um muro alto com uma passarela de metal em cima delimita o espaço.
O verso da fotografia, datado de 12 de setembro de 1956, confirma que a imagem documenta o Pátio da Casa da Guarda por ocasião da inauguração.</t>
  </si>
  <si>
    <t>Pátio Casa da Guarda; Formação militar; Soldados (prontidão); Armas (rifles); Inauguração (presídio); Força Pública; Vigilância; Casa de Detenção; Carandiru; 1956.</t>
  </si>
  <si>
    <t>Estado de São Paulo – Penitenciárias e Presídios – Casa de Detenção – São Paulo (Carandiru)
Pátio da Casa da Guarda, da nova Casa de Detenção do Carandiru.
Arq., 12/9/1956 – JL</t>
  </si>
  <si>
    <t>Guarda (soldado) armado em serviço de vigilância na passarela dos muros da Casa de Detenção (1956)</t>
  </si>
  <si>
    <r>
      <rPr>
        <rFont val="Roboto"/>
        <color theme="1"/>
        <sz val="12.0"/>
      </rPr>
      <t xml:space="preserve">Arquivo Público do Estado de São Paulo, </t>
    </r>
    <r>
      <rPr>
        <rFont val="Roboto"/>
        <color theme="1"/>
        <sz val="12.0"/>
      </rPr>
      <t>Jornal Diários Associados</t>
    </r>
  </si>
  <si>
    <t xml:space="preserve">A fotografia em preto e branco registra um agente de segurança em serviço de vigilância em um ponto alto da prisão. A cena é capturada de baixo, focando no agente, que está de costas, em pé em uma passarela estreita (possivelmente uma ponte ou rampa de acesso). O agente veste uniforme militar escuro, usa capacete e carrega um rifle com bandoleira nas costas, enfatizando a prontidão e o estado de alerta. O guarda está cercado por grades e corrimãos laterais. O fundo mostra a estrutura rígida dos muros de concreto sob o céu aberto. O registro mostra a vigilância perimetral do complexo.
O verso da fotografia, datado de 12 de setembro de 1956, confirma que a imagem documenta os "Múros de vigilancia da nova Casa de Detenção do Carandirú". </t>
  </si>
  <si>
    <t>Vigilância; Muro de contenção; Soldado (serviço); Guarda armado; Passarela (vigilância); Rifle; Segurança perimetral; Casa de Detenção; Carandiru; 1956.</t>
  </si>
  <si>
    <t>Estado de São Paulo – Penitenciárias e Presídios – Casa de Detenção (Carandiru)
Muros de vigilância da nova Casa de Detenção do Carandiru.
Arq., 12/9/1956 – JL</t>
  </si>
  <si>
    <t>Agentes em guarita de vigilância em frente às janelas do pavilhão, durante evento esportivo no Carandiru (1969)</t>
  </si>
  <si>
    <r>
      <rPr>
        <rFont val="Roboto"/>
        <color theme="1"/>
        <sz val="12.0"/>
      </rPr>
      <t xml:space="preserve">Arquivo Público do Estado de São Paulo, </t>
    </r>
    <r>
      <rPr>
        <rFont val="Roboto"/>
        <color theme="1"/>
        <sz val="12.0"/>
      </rPr>
      <t>Jornal Diários Associados</t>
    </r>
  </si>
  <si>
    <t>A fotografia em preto e branco, com foco suave ou desfocado, registra a passagem de uma pessoa por um portão de grades em uma área interna de controle da Casa de Detenção. A figura, vista de costas, veste uma camisa ou jaleco claro. Ele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</si>
  <si>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Guarita de vigilância; Agentes de segurança; Controle (prisão); Janelas gradeadas; Pavilhão (prisional); Evento esportivo (contexto); Casa de Detenção; Carandiru; 1969; 1977.</t>
  </si>
  <si>
    <t>Estado de São Paulo – Penitenciária e Presídios – Casa de Detenção
Dado é o palco da Detenção
Quase três mil detentos assistiram, ontem, ao jogo "Santos" versus "Palmeiras", no campo da Detenção, pelo torneio "Fernando José Fernandes".
DN, 2ª ed., 27/8/1969 – GRL
DSP, 26/5/1977 – DCP</t>
  </si>
  <si>
    <t>Foto Pavilhão 9, pátio interno (1961)</t>
  </si>
  <si>
    <r>
      <rPr>
        <rFont val="Roboto"/>
        <color theme="1"/>
        <sz val="12.0"/>
      </rPr>
      <t xml:space="preserve">Arquivo Público do Estado de São Paulo, </t>
    </r>
    <r>
      <rPr>
        <rFont val="Roboto"/>
        <color theme="1"/>
        <sz val="12.0"/>
      </rPr>
      <t>Jornal Diários Associados</t>
    </r>
  </si>
  <si>
    <t>A fotografia em preto e branco registra a arquitetura interna, austera e monumental de um pavilhão da nova Casa de Detenção do Carandiru. A cena, capturada de um ângulo baixo, mostra um pátio interno vazio (quadrado ou retangular) cercado por paredes brancas. As fachadas são dominadas por fileiras horizontais e verticais de pequenas janelas gradeadas, que se repetem em múltiplos andares, enfatizando a rigidez e a natureza celular da construção. O pavimento térreo é sustentado por colunas, criando uma área de sombra. O ambiente, desprovido de pessoas, transmite uma sensação de contenção e isolamento.
O verso da fotografia, datado de 19 de junho de 1961, contextualiza a imagem como uma "vista parcial do edifício da nova Casa de Detenção", que estava sendo construída em função do plano de extinção da antiga Casa de Detenção da Av. Tiradentes.</t>
  </si>
  <si>
    <t>Arquitetura prisional; Pavilhão (prisional); Extinção Presídio Tiradentes; Nova Casa de Detenção; Janelas gradeadas; Pátio interno; Casa de Detenção; Carandiru; 1961.</t>
  </si>
  <si>
    <t>Estado de São Paulo – Penitenciárias e Presídios – Casa de Detenção do Carandiru
Casa de Detenção da Av. Tiradentes será extinta
Uma vista parcial do edifício da nova Casa de Detenção de São Paulo, no Carandiru.
DN, 1ª ed., 19/6/1961 – ACF</t>
  </si>
  <si>
    <t>Pavilhão 2 e Edifício da administração em obras (1954)</t>
  </si>
  <si>
    <r>
      <rPr>
        <rFont val="Roboto"/>
        <color theme="1"/>
        <sz val="12.0"/>
      </rPr>
      <t xml:space="preserve">Arquivo Público do Estado de São Paulo, </t>
    </r>
    <r>
      <rPr>
        <rFont val="Roboto"/>
        <color theme="1"/>
        <sz val="12.0"/>
      </rPr>
      <t>Jornal Diários Associados</t>
    </r>
  </si>
  <si>
    <t>A fotografia em tom sépia registra a fase inicial da construção do complexo penitenciário, identificada no verso como a "nova Casa de Detenção" no Carandiru. A imagem mostra a vasta estrutura de concreto e madeira (andaimes e escoramento) do futuro Pavilhão, que se estende por múltiplos andares e é o elemento central do plano. Guindastes ou torres de construção estão visíveis à esquerda. O primeiro plano é composto por um terreno baldio, com vegetação baixa e acúmulo de água (possivelmente um pântano ou área alagada), indicando que o local ainda era periférico e estava sendo preparado para a urbanização. O contraste entre a natureza bruta do terreno e a complexidade da estrutura de concreto ressalta a magnitude da obra. O verso da fotografia, datado de 28 de dezembro de 1954, confirma que a imagem é um "aspecto da nova Casa de Detenção, em construção".</t>
  </si>
  <si>
    <t>Construção (presídio); Estrutura (concreto); Andaimes; Nova Casa de Detenção; Obra (penitenciária); Terreno (Carandiru); Arquitetura prisional; Expansão; 1954.</t>
  </si>
  <si>
    <t>Estado de S. Paulo – Penitenciárias e Presídios – Casa de Detenção do Carandiru
A nova Casa de Detenção
Na foto, um aspecto da nova Casa de Detenção, em construção nos terrenos da Penitenciária do Estado, no Carandiru.
DN, 2ª ed., 28/12/1954 – JL</t>
  </si>
  <si>
    <t>Edifício da administração em obras (1954)</t>
  </si>
  <si>
    <r>
      <rPr>
        <rFont val="Roboto"/>
        <color theme="1"/>
        <sz val="12.0"/>
      </rPr>
      <t xml:space="preserve">Arquivo Público do Estado de São Paulo, </t>
    </r>
    <r>
      <rPr>
        <rFont val="Roboto"/>
        <color theme="1"/>
        <sz val="12.0"/>
      </rPr>
      <t>Jornal Diários Associados</t>
    </r>
  </si>
  <si>
    <t>A fotografia em tom sépia registra a estrutura em esqueleto de concreto armado do que viria a ser o Pavilhão da Casa de Detenção, em uma etapa inicial da obra. A construção de múltiplos andares, com seus pilares e lajes aparentes, domina o centro da imagem. Guindastes ou torres de madeira para içamento de material (andaimes) estão visíveis à direita, reforçando o cenário de canteiro de obras. O chão, em primeiro plano, é composto por terra e materiais de construção, e o terreno circundante é rústico. A imagem é um registro focado na arquitetura bruta e funcional que estava sendo erguida.
O verso da fotografia, datado de 28 de dezembro de 1954, confirma que a imagem é um "aspecto da nova Casa de Detenção em construção" nos terrenos da Penitenciária do Estado, no Carandiru.</t>
  </si>
  <si>
    <t>Construção (Pavilhão); Estrutura de concreto; Nova Casa de Detenção; Canteiro de obras; Andaimes; Arquitetura prisional; Expansão; Carandiru; 1954.</t>
  </si>
  <si>
    <t>Estado de São Paulo – Penitenciárias e Presídios – Casa de Detenção do Carandiru
A nova Detenção
Na foto, um aspecto da nova Casa de Detenção em construção nos terrenos da Penitenciária do Estado, no Carandiru.
DN, 2ª ed., 28/12/1954 – JL</t>
  </si>
  <si>
    <t>Visita de inspeção de autoridades ao pavilhão em construção, com a estrutura aparente de madeira e concreto (1960)</t>
  </si>
  <si>
    <r>
      <rPr>
        <rFont val="Roboto"/>
        <color theme="1"/>
        <sz val="12.0"/>
      </rPr>
      <t xml:space="preserve">Arquivo Público do Estado de São Paulo, </t>
    </r>
    <r>
      <rPr>
        <rFont val="Roboto"/>
        <color theme="1"/>
        <sz val="12.0"/>
      </rPr>
      <t>Jornal Diários Associados</t>
    </r>
  </si>
  <si>
    <t>A fotografia em preto e branco registra uma visita de inspeção de autoridades ou técnicos em um canteiro de obras da Casa de Detenção. O elemento central é um Pavilhão em construção, com sua estrutura de concreto e madeira (escoramentos e fôrmas) visível, sublinhando o estágio avançado, porém ainda inacabado, da obra. O pavimento térreo e as janelas revelam a dimensão do prédio. Em primeiro plano, um grupo de homens, a maioria vestida de terno, caminha de costas para a câmera em direção ao prédio, inspecionando o trabalho. No topo da estrutura, operários (ou detentos trabalhadores) são visíveis. O chão é de terra e há entulhos e materiais de construção espalhados.
O verso da fotografia, datado de 20 de novembro de 1960, contextualiza a imagem com uma descrição detalhada do projeto dos nove pavilhões (incluindo o Pavilhão celular, hospital e trabalho) e o custo da obra, que abrigaria 2.400 detentos.</t>
  </si>
  <si>
    <t>Canteiro de obras; Visita técnica; Inspeção (autoridades); Estrutura de concreto; Pavilhão (construção); Projeto arquitetônico; Custo (obras); Casa de Detenção; Carandiru; 1960.</t>
  </si>
  <si>
    <t>Estado de São Paulo – Penitenciárias e Presídios – Casa de Detenção do Carandiru
Um milhão de cruzeiros custará cada cela da Casa de Detenção
[Texto em pequeno retângulo, recorte de matéria]
Os nove pavilhões têm o seguinte destino: o número 1 - a Chefia, Casa da Guarda, portaria, etc.; o pavilhão número 2 está sendo ocupado por homens; o pavilhão número três será ocupado pela administração; o pavilhão número 4 destinar-se-á ao hospital; o n.º 5 será o pavilhão celular; o número 6, pavilhão de trabalho, onde se situarão a lavanderia, cinema, capela, etc.; finalmente, os pavilhões ns. 7, 8 e 9 serão celulares, cada um com 558 celas individuais. Ao todo o novo conjunto, cujo termo geral está previsto para o ano de 1962, abrigará uma população carcerária de 2.400 detentos. A obra custará um bilião e 100 milhões de cruzeiros, correspondendo a cada cela um milhão de cruzeiro!
Ver DN, 1a Ed., 20/11/1960 acf</t>
  </si>
  <si>
    <t>Foto Pavilhão 9, pátio interno em construção (1960)</t>
  </si>
  <si>
    <r>
      <rPr>
        <rFont val="Roboto"/>
        <color theme="1"/>
        <sz val="12.0"/>
      </rPr>
      <t xml:space="preserve">Arquivo Público do Estado de São Paulo, </t>
    </r>
    <r>
      <rPr>
        <rFont val="Roboto"/>
        <color theme="1"/>
        <sz val="12.0"/>
      </rPr>
      <t>Jornal Diários Associados</t>
    </r>
  </si>
  <si>
    <t>A fotografia em preto e branco registra o interior de um Pavilhão em construção, proporcionando uma visão do pátio interno e da estrutura celular inacabada. O ângulo é dramático, focado na estrutura de madeira (andaimes e escoramento) que se eleva por vários andares, dando a impressão de um labirinto de tábuas e vigas, reforçando a magnitude da obra. O chão está coberto de entulho e materiais de construção, e, em primeiro plano à direita, há uma pilha de tubulações de concreto ou cerâmica.
O verso da fotografia, datado de 30 de novembro de 1960, contextualiza a imagem, afirmando que ela dá uma ideia de como se encontram "adiantadas as obras do pavilhão numero nove" e citando o alto custo de "UM MILHÃO DE CRUZEIROS" por cela.</t>
  </si>
  <si>
    <t>Construção (Pavilhão 9); Andaimes; Estrutura de madeira; Tubulações (obra); Canteiro de obras; Alto custo (cela); Arquitetura prisional; Casa de Detenção; Carandiru; 1960.</t>
  </si>
  <si>
    <t>Estado de São Paulo – Penitenciárias e Presídios – Casa de Detenção do Carandiru
Um milhão de cruzeiros custará cada cela da Casa de Detenção
[Texto em pequeno retângulo, recorte de legenda ou matéria]
Esta foto dá uma idéia de como se encontram adiantadas as obras do pavilhão numero nove
DN, 1a. Ed. 30/11/1960 W/</t>
  </si>
  <si>
    <t>Pavilhão nº 2 da nova Casa de Detenção do Carandiru</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</si>
  <si>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</si>
  <si>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da Casa de Detenção. O edifício é reto e contém paredes brancas. A entrada principal ou central possui colunas verticais que formam um pórtico. As janelas, distribuídas em fileiras, são pequenas e gradeadas. O primeiro plano é um terreno de terra batida e vegetação rasteira, indicando que a área ao redor da nova construção ainda não estava urbanizada.
O verso da fotografia, datado de 23 de agosto de 1960, contextualiza a imagem com a manchete: "PAVILHÃO NUMERO 8 DA CASA DE DETENÇÃO SERÁ INAUGURADO HOJE".</t>
  </si>
  <si>
    <t>Pavilhão 8; Arquitetura prisional; Fachada (edifício); Inauguração (presídio); Colunas (estrutura); Janelas gradeadas; Casa de Detenção; Carandiru; Expansão; 1960.</t>
  </si>
  <si>
    <t>Nota: trata-se do pavilhão 2. A legenda e a foto discrepam aqui.
Legenda original: Estado de São Paulo – Penitenciárias e Presídios – Casa de Detenção do Carandiru
Pavilhão número 8 da Casa de Detenção será inaugurado hoje
Pavilhão numero 8 da nova Casa de Detenção do Carandiru
DSP 23/8/1960 W/</t>
  </si>
  <si>
    <t>Pavilhão 8 inaugurado hoje (23.08.1960)</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</si>
  <si>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</si>
  <si>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um dos novos edifícios da Casa de Detenção do Carandiru. O pavilhão é uma estrutura grande e retilínea, com quatro andares e inúmeras janelas quadradas e simétricas que se repetem ao longo de toda a fachada. O primeiro plano ainda revela o ambiente pós-construção, com um barracão ou estrutura de apoio rudimentar no térreo (talvez uma oficina ou depósito). Objetos e materiais de construção, como rolos e blocos, estão no chão, e um pequeno grupo de homens (operários ou fiscais) caminha no primeiro plano, indicando que a área ao redor ainda estava em fase de organização ou acabamento.
O verso da fotografia, datado de 23 de agosto de 1960, confirma que a imagem é do "Pavilhão nº 8 da nova Casa de Detenção do Carandiru", por ocasião de sua inauguração.</t>
  </si>
  <si>
    <t>Vista do Pavilhão Nº 8 recém-construído, com vestígios do canteiro de obras no térreo da Casa de Detenção (1960).</t>
  </si>
  <si>
    <t>Estado de São Paulo – Penitenciárias e Presídios – Casa de Detenção do Carandiru
Pavilhão nº 8 da nova Casa de Detenção do Carandiru.
Vd. DSP, 23/8/1960 – W</t>
  </si>
  <si>
    <t>Máquina de estaqueamento em operação no terreno da nova Casa de Detenção, com a vizinhança ao fundo (1952)</t>
  </si>
  <si>
    <t xml:space="preserve"> Fotografia digitalizada; preto e branco; suporte em papel fotográfico</t>
  </si>
  <si>
    <r>
      <rPr>
        <rFont val="Roboto"/>
        <color theme="1"/>
        <sz val="12.0"/>
      </rPr>
      <t xml:space="preserve">Arquivo Público do Estado de São Paulo, </t>
    </r>
    <r>
      <rPr>
        <rFont val="Roboto"/>
        <color theme="1"/>
        <sz val="12.0"/>
      </rPr>
      <t>Jornal Diários Associados</t>
    </r>
  </si>
  <si>
    <t>A fotografia em preto e branco registra a fase inicial das obras (estaqueamento) da nova Casa de Detenção do Carandiru. O foco central está em uma máquina de estaqueamento (bate-estacas), com sua torre de metal, em operação no terreno que seria a fundação do complexo. Ao redor da máquina, há operários e estruturas de fundação de madeira (gabaritos). O primeiro plano é de terra batida e escombros, indicando um canteiro de obras. Ao fundo, casas e edificações de bairro residencial e uma placa de outdoor (propaganda) são visíveis, contrastando a vida urbana externa com a área de construção da prisão.
O verso da fotografia, datado de 5 de junho de 1952, contextualiza a cena como uma visita de reportagem às obras da nova Casa de Detenção, destacando o "estaqueamento" em ritmo acelerado.</t>
  </si>
  <si>
    <t>Estaqueamento; Construção (nova Casa de Detenção); Obra (penitenciária); Bate-estacas; Fundação (engenharia); Terreno; Reportagem (visita); Casa de Detenção; Carandiru; 1952.</t>
  </si>
  <si>
    <t>E. S. Paulo Penitenciárias e Presídios - Casa de Detenção do Carandiru
A reportagem do "Diario da Noite" esteve ontem, dia 4 do corrente, em visita às obras da nova Casa de Detenção, que vêm sendo levadas a efeito no Carandiru. A foto fixa um aspecto das obras de estaqueamento, que prosseguem em ritmo acelerado, a fim de que o edifício possa ficar pronto no prazo previsto.
Arq. 5/6/52 - (Ver "Diario da Noite" dia 5/6/52 - 2a ed.)</t>
  </si>
  <si>
    <t xml:space="preserve"> Estaqueamento, detalhe (1952)</t>
  </si>
  <si>
    <r>
      <rPr>
        <rFont val="Roboto"/>
        <color theme="1"/>
        <sz val="12.0"/>
      </rPr>
      <t xml:space="preserve">Arquivo Público do Estado de São Paulo, </t>
    </r>
    <r>
      <rPr>
        <rFont val="Roboto"/>
        <color theme="1"/>
        <sz val="12.0"/>
      </rPr>
      <t>Jornal Diários Associados</t>
    </r>
  </si>
  <si>
    <t>A fotografia em preto e branco registra a fase inicial e fundamental da construção da nova Casa de Detenção, focada na preparação do terreno (estaqueamento). O primeiro plano é um vasto terreno baldio, com vegetação rasteira e terra solta, e com estruturas baixas de madeira e fundações. No centro, destaca-se uma máquina de estaqueamento (bate-estacas), com sua estrutura alta e pontiaguda, indicando a concretização das fundações do futuro complexo. Ao fundo, há operários, caminhões e outras edificações que marcam a transição do local de um terreno rural para uma área de construção.
O verso da fotografia, datado de 5 de junho de 1952, contextualiza a imagem como uma visita de reportagem às obras da nova Casa de Detenção. O texto enfatiza o "aspecto das obras de estaqueamento, que prosseguem em ritmo acelerado".</t>
  </si>
  <si>
    <t>Estaqueamento; Construção (nova Casa de Detenção); Obra (penitenciária); Bate-estacas; Terreno; Operários; Fundação (engenharia); Reportagem (visita); Casa de Detenção; Carandiru; 1952.</t>
  </si>
  <si>
    <t>Adiantadas as obras da nova Casa de Detenção – em junho de 1953 serão entregues dois pavilhões
E. S. Paulo – Penitenciárias e Presídios – Casa de Detenção do Carandiru
A reportagem do Diário da Noite esteve ontem, dia 4 do corrente, em visita às obras da nova Casa de Detenção, que vem sendo levadas a efeito no Carandiru. A foto fixa um dos flagrantes da visita, vendo-se um aspecto das obras de estaqueamento, que prosseguem em ritmo acelerado, a fim de que o edifício possa ficar pronto no prazo previsto.
DN, 2ª ed., 5/6/1952 – CL</t>
  </si>
  <si>
    <t>Repórter, operários e empreiteiros (1952)</t>
  </si>
  <si>
    <r>
      <rPr>
        <rFont val="Roboto"/>
        <color theme="1"/>
        <sz val="12.0"/>
      </rPr>
      <t xml:space="preserve">Arquivo Público do Estado de São Paulo, </t>
    </r>
    <r>
      <rPr>
        <rFont val="Roboto"/>
        <color theme="1"/>
        <sz val="12.0"/>
      </rPr>
      <t>Jornal Diários Associados</t>
    </r>
  </si>
  <si>
    <t>A fotografia em preto e branco registra um momento de inspeção e reunião em um canteiro de obras da nova Casa de Detenção. O grupo é composto por cerca de dez homens, divididos entre os que vestem trajes civis formais (ternos ou camisas) e os operários/empreiteiros (vestindo camisas de trabalho e chapéus). O verso da fotografia identifica a cena como o repórter examinando a planta do novo edifício, ladeado pelos operários e empreiteiros. O terreno é de terra batida, com escombros no centro da cena.
O verso da fotografia, datado de 5 de junho de 1952, confirma que a imagem é um "flagrante da visita" de reportagem às obras da nova Casa de Detenção. O texto menciona que as obras prosseguiam em ritmo acelerado e que a foto fixou o momento em que o repórter inspecionava a planta.</t>
  </si>
  <si>
    <t>Canteiro de obras; Repórter (inspeção); Planta (edifício); Operários; Empreiteiros; Construção (nova Casa de Detenção); Fotojornalismo; Casa de Detenção; Carandiru; 1952.</t>
  </si>
  <si>
    <t>Adiantadas as obras da nova Casa de Detenção - Em junho de 1953 serão entregues dois pavilhões. -
E. S. Paulo Penitenciárias e Presídios - Casa de Detenção do Carandiru
A reportagem do "Diario da Noite" esteve ontem, dia 4 do corrente, em visita às obras da nova Casa de Detenção, que vêm sendo levadas a efeito no Carandiru. A foto fixa um dos flagrantes da visita, vendo-se o repórter quando examinava a planta do novo edifício, ladeado por operários e empreiteiros.
DN - 2a - 5/6/52 - CL/ -</t>
  </si>
  <si>
    <t>Pavilhões 4, 7 e 9 ao fundo (1978)</t>
  </si>
  <si>
    <r>
      <rPr>
        <rFont val="Roboto"/>
        <color theme="1"/>
        <sz val="12.0"/>
      </rPr>
      <t xml:space="preserve">Arquivo Público do Estado de São Paulo, </t>
    </r>
    <r>
      <rPr>
        <rFont val="Roboto"/>
        <color theme="1"/>
        <sz val="12.0"/>
      </rPr>
      <t>Jornal Diários Associados</t>
    </r>
  </si>
  <si>
    <t>A fotografia em preto e branco registra uma vista panorâmica da arquitetura prisional da Casa de Detenção, destacando a magnitude do complexo. Dois grandes pavilhões de múltiplos andares, com fachadas brancas e múltiplas janelas quadradas e gradeadas, dominam o plano de fundo. O plano inferior e central é ocupado por estruturas de concreto (muros, passarelas e reservatórios), que delimitam áreas e contêm equipamentos de segurança (como refletores em postes curtos). A paisagem é dominada pela rigidez do concreto e pela repetição das formas arquitetônicas.
O verso da fotografia, com dados de 1978, contextualiza a cena com a notícia de que os "novos pavilhões 4 e 7 ampliam em 1.300 o número de vagas" para aliviar o problema da superpopulação.</t>
  </si>
  <si>
    <t>Arquitetura prisional; Pavilhões (expansão); Superpopulação (alívio); Janelas gradeadas; Estrutura de concreto; Vigilância; Ampliação (vagas); Casa de Detenção; Carandiru; 1978.</t>
  </si>
  <si>
    <t>Estado de São Paulo - Penitenciárias e Presídios - Casa de Detenção
Os novos pavilhões 4 e 7 ampliam em 1.300 o número de vagas da Casa de Detenção de São Paulo, aliviando o problema da superpopulação carcerária.
Arq. 23/1/1978
DSP. - 19/5/1978 - naf.</t>
  </si>
  <si>
    <t>Muralhas (12.11.1956)</t>
  </si>
  <si>
    <r>
      <rPr>
        <rFont val="Roboto"/>
        <color theme="1"/>
        <sz val="12.0"/>
      </rPr>
      <t xml:space="preserve">Arquivo Público do Estado de São Paulo, </t>
    </r>
    <r>
      <rPr>
        <rFont val="Roboto"/>
        <color theme="1"/>
        <sz val="12.0"/>
      </rPr>
      <t>Jornal Diários Associados</t>
    </r>
  </si>
  <si>
    <t>A fotografia em preto e branco registra um pátio interno da Casa de Detenção, em um momento que se assemelha a uma inspeção ou fase de organização pós-inauguração. O pátio tem o piso pavimentado e é dominado pela fachada lateral de um Pavilhão à esquerda, com suas fileiras de janelas retangulares e gradeadas. O fundo do pátio é separado por um muro alto de concreto, que sustenta uma passarela. Sobre essa passarela, há caixas ou estruturas gradeadas e, à direita, um guarda/agente de segurança está em pé, em posição de vigilância. No pátio, há um pequeno caminhão de serviço estacionado (carregado com materiais) e um amontoado de tijolos ou pedras no chão. A arquitetura austera e as linhas de contenção são os elementos centrais do registro.
O verso da fotografia, datado de 12 de setembro de 1956, confirma que a imagem documenta a "Vista do pateo da nova Casa de Detenção".</t>
  </si>
  <si>
    <t>Pátio interno; Pavilhão (prisional); Muro (separação); Guarda (vigilância); Caminhão (serviço); Inauguração (contexto); Arquitetura prisional; Casa de Detenção; Carandiru; 1956.</t>
  </si>
  <si>
    <t>Estado de São Paulo - Penitenciárias e Presídios - Casa de Detenção - S. Paulo - (Carandiru)
Vista do pátio da nova Casa de Detenção.
Arq. 12/9/956 jl</t>
  </si>
  <si>
    <t>Novo pavilhão da Casa de Detenção (Carandiru) em estágio de construção, em meio à crise de superlotação (1959)</t>
  </si>
  <si>
    <r>
      <rPr>
        <rFont val="Roboto"/>
        <color theme="1"/>
        <sz val="12.0"/>
      </rPr>
      <t xml:space="preserve">Arquivo Público do Estado de São Paulo, </t>
    </r>
    <r>
      <rPr>
        <rFont val="Roboto"/>
        <color theme="1"/>
        <sz val="12.0"/>
      </rPr>
      <t>Jornal Diários Associados</t>
    </r>
  </si>
  <si>
    <t>A fotografia em preto e branco registra um Pavilhão da Casa de Detenção em fase avançada de construção, mas ainda inacabado. O edifício de múltiplos andares tem as paredes de tijolos visíveis e múltiplas aberturas de janelas. O topo do prédio ainda apresenta a estrutura de madeira (andaimes/escoramento) para a conclusão do telhado ou andar superior. O plano de fundo é composto por um terreno com vegetação alta (grama e árvores), indicando que o local ainda era periférico. O contraste entre a área bruta e o prédio em construção ressalta a magnitude da obra.
O verso da fotografia, datado de 15 de junho de 1959, contextualiza a imagem com uma forte denúncia: "500 DETENTOS DORMEM NO CHÃO POR FALTA DE ESPAÇO E CAMAS", enquanto a nova construção seguia em "ritmo lento".</t>
  </si>
  <si>
    <t>Construção (Pavilhão); Superlotação (denúncia); Ritmo lento (obras); Crise humanitária; Tijolos (estrutura); Andaimes; Casa de Detenção; Carandiru; 1959.</t>
  </si>
  <si>
    <t xml:space="preserve">Estado de São Paulo - Penitenciárias e Presídios - Casa de Detenção do Carandiru
Casa de Detenção: 500 detentos dormem no chão por falta de espaço e camas
Esta é a nova Casa de Detenção que está sendo construída no Carandiru. As obras prosseguem em ritmo lento, muito embora a entrega do prédio esteja marcada para 7 de outubro próximo.
DN 2ª Ed. 15/6/1959 W </t>
  </si>
  <si>
    <t>Estaqueamento, plano aberto (1952)</t>
  </si>
  <si>
    <r>
      <rPr>
        <rFont val="Roboto"/>
        <color theme="1"/>
        <sz val="12.0"/>
      </rPr>
      <t xml:space="preserve">Arquivo Público do Estado de São Paulo, </t>
    </r>
    <r>
      <rPr>
        <rFont val="Roboto"/>
        <color theme="1"/>
        <sz val="12.0"/>
      </rPr>
      <t>Jornal Diários Associados</t>
    </r>
  </si>
  <si>
    <t>A fotografia em preto e branco registra a fase inicial da construção da nova Casa de Detenção, focada no preparo do terreno e nas fundações. O terreno está nivelado, com as estruturas de fundação de concreto e madeira (gabaritos e fôrmas) visíveis em primeiro plano. O elemento central é uma máquina de estaqueamento (bate-estacas), com sua torre de madeira, indicando o trabalho de estabilização do solo. Há figuras de operários no canteiro de obras. O plano de fundo é composto por edificações urbanas, sugerindo a proximidade com o bairro e a presença da infraestrutura urbana (postes e fiação).
O verso da fotografia, datado de 5 de junho de 1952, contextualiza a imagem como "Um aspecto das obras da nova CASA DE DETENÇÃO", que prosseguiam em "ritmo acelerado".</t>
  </si>
  <si>
    <t>Estaqueamento; Construção (nova Casa de Detenção); Fundações (obra); Máquina (bate-estacas); Canteiro de obras; Ritmo acelerado; Casa de Detenção; Carandiru; 1952.</t>
  </si>
  <si>
    <t>E.S.P. - Penitenciárias e Presídios - Casa de Detenção do Carandiru
Um aspecto das obras da nova Casa de Detenção, que vêm sendo levadas a efeito no Carandiru, e que prosseguem em ritmo acelerado.
Arq. 5/6/52 - CL/ - (Ver "Diario da Noite" dia 5/6/52 - 2a. Ed.)</t>
  </si>
  <si>
    <t>Edificação auxiliar do pavilhão nº 8, com estilo de telhado em duas águas e janelas arqueadas, no Carandiru (1960)</t>
  </si>
  <si>
    <r>
      <rPr>
        <rFont val="Roboto"/>
        <color theme="1"/>
        <sz val="12.0"/>
      </rPr>
      <t xml:space="preserve">Arquivo Público do Estado de São Paulo, </t>
    </r>
    <r>
      <rPr>
        <rFont val="Roboto"/>
        <color theme="1"/>
        <sz val="12.0"/>
      </rPr>
      <t>Jornal Diários Associados</t>
    </r>
  </si>
  <si>
    <t>A fotografia em preto e branco registra a vista externa de uma edificação auxiliar ou dependência pertencente ao Complexo Carandiru. O prédio, de arquitetura simples e paredes brancas, destaca-se pelo telhado em duas águas e pelas janelas com formato de arco (na parte frontal) e janelas retangulares simples (na lateral). A edificação está localizada em um terreno elevado e circundada por vegetação. Na entrada, há um pequeno grupo de figuras (funcionários ou trabalhadores) e gradis de proteção, sugerindo que o prédio é recém-construído ou estava em fase de acabamento/organização.
O verso da fotografia, datado de 23 de agosto de 1960, contextualiza a imagem como "Uma das dependencias do pavilhão nº 8 da nova Casa de Detenção do Carandiru".</t>
  </si>
  <si>
    <t>Dependência (Pavilhão 8); Arquitetura auxiliar; Edificação (serviço); Janelas arqueadas; Construção (acabamento); Casa de Detenção; Carandiru; 1960.</t>
  </si>
  <si>
    <t>Estado de São Paulo - Penitenciárias e Presídios - Casa de Detenção do Carandiru
Uma das dependências do pavilhão nº 8 da nova Casa de Detenção do Carandiru.
Vd. DSP 23/8/1960 W/</t>
  </si>
  <si>
    <t>Pavilhão 2 já pronto batizado com fuga, 5.7.1956</t>
  </si>
  <si>
    <t>s.d</t>
  </si>
  <si>
    <r>
      <rPr>
        <rFont val="Roboto"/>
        <color theme="1"/>
        <sz val="12.0"/>
      </rPr>
      <t xml:space="preserve">Arquivo Público do Estado de São Paulo, </t>
    </r>
    <r>
      <rPr>
        <rFont val="Roboto"/>
        <color theme="1"/>
        <sz val="12.0"/>
      </rPr>
      <t>Jornal Diários Associados</t>
    </r>
  </si>
  <si>
    <t>A fotografia em preto e branco registra o edifício da administração da nova Casa de Detenção. O prédio é uma estrutura de dois andares com fachada, caracterizada por colunas verticais (pórtico) e janelas retangulares, contrastando com o Pavilhão de múltiplos andares em construção visível ao fundo. O primeiro plano é um terreno irregular e enlameado, com marcas de pneus, que ainda funciona como canteiro de obras. Há caminhões de serviço e materiais de construção, com pequenas figuras de operários/funcionários.
O verso da fotografia possui duas legendas. A primeira, datada de 5 de julho de 1956, identifica o prédio em primeiro plano como a Administração e menciona a "primeira fuga" da nova Casa de Detenção. A segunda, de 1º de agosto de 1959, denuncia a superlotação.</t>
  </si>
  <si>
    <t>Edifício (administração); Canteiro de obras; Primeira fuga; Superlotação (denúncia); Crise carcerária; Caminhão de serviço; Casa de Detenção; Carandiru; 1956; 1959.</t>
  </si>
  <si>
    <t>Estado de São Paulo - Penitenciárias e Presídios - Casa de Detenção - Carandiru
"Batizada" a nova Casa de Detenção com a primeira fuga de um detento
Neste edifício funcionará a administração do novo prédio da Casa de Detenção. Ao fundo, vê-se o pavilhão já pronto, que deveria ser a seção de mulheres e foi adaptado para receber os detentos perigosos.
D. N. 2a. Ed. 5/7/956 jl
2.800 marginais recolhidos em pavilhões que cabem apenas 700
DN ed. un. - 1/8/1959 dr</t>
  </si>
  <si>
    <t>Casa de costura da Casa de Detenção após descoberta de túnel de fuga.</t>
  </si>
  <si>
    <t>Caixa: 2767
Folder: 11</t>
  </si>
  <si>
    <t>A fotografia registra um ambiente interno da prisão, possivelmente uma oficina de costura ou cela, em estado de completa desordem. Observam-se mesas com máquinas de costura, amontoados de tecidos brancos, roupas e objetos pessoais espalhados pelo chão e sobre os móveis. O local foi cenário de uma tentativa de fuga onde 19 detentos construíram um túnel de 18 metros.</t>
  </si>
  <si>
    <t>Casa de Detenção; Carandiru; Tentativa de fuga; Túnel; Oficina de costura; Desordem.</t>
  </si>
  <si>
    <t>ESTADO DE SÃO PAULO - PENITENCIARIA E PRESIDIOS - CASA DE DETENÇÃO
19 detentos da Casa de Detenção, construiram um tunel de 18 metros de cumprimentos numa tentativa de fuga
DN. 1/2/1977</t>
  </si>
  <si>
    <t>Celas isoladas da Casa de Detenção</t>
  </si>
  <si>
    <t>A imagem é enquadrada através de uma grade de ferro em primeiro plano, criando uma perspectiva de confinamento. Observa-se um pátio ou corredor estreito de cimento onde se alinham portas escuras e numeradas (visíveis os números 5 e 7), identificadas como celas de isolamento. Há um grande barril de madeira à esquerda e um tecido pendurado em uma das portas à direita e, possivelmente, roupas à esquerda. Ao fundo, sobre um muro, distinguem-se as cabeças de dois guardas observando.</t>
  </si>
  <si>
    <t>Casa de Detenção; Avenida Tiradentes; Celas isoladas; Solitária; Castigo; Maus-tratos; Sistema prisional.</t>
  </si>
  <si>
    <t>Digitalização de fotografia em preto e branco (analógica original)</t>
  </si>
  <si>
    <t>ESTADO DE S.PAULO - PENITENCIARIAS E PRESIDIOS - - CASA DE DETENÇÃO DA AVENIDA TIRADENTES
SOL A DEZ CRUZEIROS NA CASA DE DETENÇÃO
Na foto, vemos as celas "isoladas" na Casa de Detenção, onde os presos permaneciam esquecidos, sem comida e sem agua, durante meses, saiam, quais bestas humanas, enloquecidos, pela fome e pela sede. Passavam as noites gritando por alimentação.
D.N.2a.Ed.31/1/955 jl
DN.21/10/1978
NÃO HA BEIJOS NAS VISITAS NA NOVA CASA DE DETENÇÃO
DN 1a. Ed. 14/8/1961 W/
PARA QUEM NÃO TEM PENA -
DN.2a. Ed. 19/8/1964-cjs.</t>
  </si>
  <si>
    <t>Jornalistas e fotógrafos aglomerados no portão da Casa de Detenção após boato de motim.</t>
  </si>
  <si>
    <t>A fotografia registra um grupo de homens de costas, vestidos com ternos, observando o interior do presídio através de um grande portão de ferro gradeado (identificado com o número 2). Trata-se de profissionais da imprensa, sendo possível identificar câmeras fotográficas e equipamentos de flash com lâmpadas nas mãos de alguns, que foram ao local cobrir um suposto motim ou fuga que se revelou ser apenas um boato.</t>
  </si>
  <si>
    <t>Casa de Detenção; Carandiru; Imprensa; Jornalistas; Boato; Motim; Portão; Segurança.</t>
  </si>
  <si>
    <t>ESTADO DE SÃO PAULO -
PENITENCIÁRIAS E PRESÍDIOS - CASA DE DETENÇÃO DO CARANDIRÚ -
MOTIM NA NOVA CASA DE DETENÇÃO ERA FRUTO DE UM SIMPLES BOATO
Ontem anunciou-se uma espetacular fuga da Casa de Detenção. Imediatamente toda a imprensa de São Paulo se deslocou para o local para cobrir o acontecimento. Porém, nada de anormal haviam-se registrado. Tudo não passara de um mal-entendido.
DN.1ª Ed., 6/3/1964 - wjp
A noticia correu celere. A nova Casa de Detenção estava em pé-de-guerra. Os presos haviam-se amotinado. Não queriam ser recolhidos às celas individuais. Afinal de contas, no antigo estabelecimento penal, andavam à vontade pelo patio, ninguem os incomodava e, essa nova situação não poderia, segundo os detentos, continuar.</t>
  </si>
  <si>
    <t>Campanha de doação de sangue de detentos do Carandiru em convênio com a COLSAN</t>
  </si>
  <si>
    <t>A imagem registra o interior de uma ala da Casa de Detenção transformada em enfermaria temporária. Vê-se uma fila de macas de campanha onde detentos, vestidos com uniformes claros e gorros, estão deitados realizando a doação de sangue. Uma enfermeira uniformizada supervisiona o procedimento junto a um dos doadores. Ao fundo, observam-se grades de ferro e outros homens em pé acompanhando a ação.</t>
  </si>
  <si>
    <t>Casa de Detenção; Carandiru; Doação de sangue; COLSAN; Solidariedade; Saúde pública; Enfermaria.</t>
  </si>
  <si>
    <t>Digitalização de fotografia em sépia</t>
  </si>
  <si>
    <t>ESTADO DE SÃO PAULO -
PENITENCIÁRIA E PRESIDÍOS - - CASA DE DETENÇÃO DO CARANDIRÚ -
SANGUE SEM CRIME NO CARANDIRÚ
Na manhã de hoje, os presidiários do Carandiru, atendendo ao apelo da COLSAN e da Diretoria de Presidios, formaram fila para doar sangue aos hospitais paulistas, muitos dos quais enfrentam permanente dificuldades principalmente quando êxito das intervenções cirurgicas depende de transfusão. Um convenio foi firmado entre COLSAN e a Diretoria de Presidios para a coleta de sangue dos detentos. Acima, o flagrante, desta manhã, no Carandiru.
DN.2a.Ed. 5/8/1963-cjs.</t>
  </si>
  <si>
    <t>Ambulância saindo da Casa de Detenção</t>
  </si>
  <si>
    <t>A fotografia registra a fachada externa da Casa de Detenção, caracterizada por janelas com grades horizontais. Pelo portão principal, vê-se uma ambulância saindo do presídio. Nas laterais do pátio externo, grupos de homens em trajes sociais (repórteres) observam a cena; à esquerda, um deles segura equipamentos fotográficos. O verso indica que a saída precipitada deste veículo alimentou a falsa impressão de gravidade de um motim, que era, na verdade, um boato.</t>
  </si>
  <si>
    <t>Casa de Detenção; Carandiru; Imprensa; Ambulância; Boato; Motim; Jornalismo.</t>
  </si>
  <si>
    <t>ESTADO DE SÃO PAULO -
PENITENCIÁRIAS E PRESÍDIOS - CASA DE DETENÇÃO DO CARANDIRÚ -
MOTIM NA NOVA CASA DE DETENÇÃO ERA FRUTO DE UM SIMPLES BOATO
A noticia de que um motim de presos eclodira na nova Casa de Detenção do Carandirú, fez com que grande numeros de reporteres para ali se deslocassem a fim de documentarem os fatos. Entretanto, tudo não passou de um simples boato, pois tudo éra calmo naquele presídio. A saida precipitada, e quase ás escondidas de uma ambulância pelo portão principal, como vemos na foto, deu aos reporteres, a impressão de qual grave ali se passava. Contudo, momentos depois, o diretor do presídio desmentia as noticias de que houvera motim de presos.
DN. 1a Ed., 6/3/1964 - wjp.</t>
  </si>
  <si>
    <t>Aspecto interno e limpeza do letreiro no pátio da Casa de Detenção da Avenida Tiradentes.</t>
  </si>
  <si>
    <t>A imagem registra um pátio pavimentado onde um homem uniformizado utiliza um rodo para limpar ou lavar um grande letreiro pintado no chão com os dizeres "CASA DE DETENÇÃO". À esquerda, escadas de madeira estão apoiadas na parede branca do edifício, sugerindo obras de manutenção ou pintura. Ao fundo, observam-se outras pessoas uniformizadas caminhando e um jardim.</t>
  </si>
  <si>
    <t>Casa de Detenção; Avenida Tiradentes; Limpeza; Manutenção; Letreiro; Cotidiano; Aspecto interno.</t>
  </si>
  <si>
    <t>Digitalização de fotografia em preto e branco</t>
  </si>
  <si>
    <t>Um ASPECTO INTERNO DA CASA DE DETENÇÃO EM S.PAULO
DN.-2A.-23/9/944
ESTADO DE S.PAULO-PENITENCIARIAS E PRESIDIOS-CASA DE DETENÇÃO DA AV.TIRADENTES
ASPECTO INTERNO DA CASA DE DETENÇÃO
DN.-2A.-23/9/44</t>
  </si>
  <si>
    <t>Grande aglomeração de detentos no pátio da Casa de Detenção ("Praça de Esportes")</t>
  </si>
  <si>
    <t>A fotografia registra uma vista panorâmica de um pátio interno da Casa de Detenção, cercado por altos muros brancos. O espaço está ocupado por uma imensa multidão de detentos sentados em bancos ou arquibancadas, preenchendo quase todo o quadro. Ao fundo, destaca-se uma torre de vigilância e, no muro à direita, é possível ler a inscrição "PRAÇA DE ESPORTES" dentro de um brasão pintado.</t>
  </si>
  <si>
    <t>Carandiru; Pátio; Detentos; Aglomeração; Segurança; Praça de Esportes; Sistema prisional.</t>
  </si>
  <si>
    <t>ESTADO DE SÃO PAULO = PENITENCIARIAS E PRESIDIOS = CASA DE DETENÇÃO
Arq. 27/12/1976
DSP- 2/3/1977-dcc
(Anotação manuscrita na vertical à direita: 21 cm de ALTURA)</t>
  </si>
  <si>
    <t>Ação da guarda com cassetetes para sufocar início de rebelião na Casa de Detenção</t>
  </si>
  <si>
    <t>A cena é registrada através de grades escuras em primeiro plano (desfocadas), criando a perspectiva de quem está dentro de uma cela ou área confinada. No plano principal, vê-se um veículo policial antigo (camburão) com a inscrição "DEPARTAMENTO DE INVESTIGAÇÕES". Ao lado do veículo e próximo a um portão, um grupo de policiais ou soldados usando capacetes levanta cassetetes, sugerindo um momento de confronto ou repressão a um tumulto.</t>
  </si>
  <si>
    <t>Casa de Detenção; Avenida Tiradentes; Rebelião; Polícia; Confronto; Cassetetes; Segurança pública; Motim.</t>
  </si>
  <si>
    <t>ESTADO DE S.PAULO- PENITENCIARIAS E PRESIDIOS - CASA DE DETENÇÃO DA AVENIDA TIRADENTES
CINCOENTA PRESOS ATACARAM A GUARDA
Para sufocar o inicio de rebelião na manhã de hoje, na Casa de Detenção, os soldados tiveram que fazer uso de seus "casse-tetes". A foto mostra um dos "entreveros" entre soldados e prisioneiros revoltados.
D.N.2a.Ed.21/1/955 jl
SITUAÇÃO DE PERIGO NA CASA DE DETENÇÃO
D.N.2a.Ed.7/2/956 jl</t>
  </si>
  <si>
    <t>Corredor interno das alas deterioradas ("Alas do Inferno") da Casa de Detenção da Avenida Tiradentes.</t>
  </si>
  <si>
    <t>A fotografia registra um corredor estreito e sombrio a céu aberto, ladeado por altos muros e fachadas de um edifício prisional em visível estado de degradação. Observam-se janelas com grades pesadas, encanamentos externos verticais e paredes manchadas e descascadas, transmitindo a insalubridade descrita no verso como "pardieiro" e "inferno". O chão de cimento aparenta estar úmido e sujo.</t>
  </si>
  <si>
    <t>Casa de Detenção; Avenida Tiradentes; Degradação; Superlotação; Celas da Vergonha; Demolição; Sistema prisional.</t>
  </si>
  <si>
    <t>ESTADO DE S.PAULO - PENITENCIARIAS E PRESIDIOS = CASA DE DETENÇÃO DA AVENIDA TIRADENTES -
"Mortos-vivos no cemiterio da Justiça"
Aqui é uma das alas do inferno. Novecentos homens estão sepultados por tras dessas paredes, implorando a Deus um julgamento breve
FIM DAS CELAS DA VERGONHA
Uma das alas do “inferno” da avenida Tiradentes. Construção centenaria. a Casa de Detenção não tem condições para atender às reais necessidades de uma estrutura penitenciaria que alcançou grande evolução nos ultimos anos. Por isso foi “aposentada”
DN. 2a Ed. 6/7/1962 W/
PARDIEIRO DA TIRADENTES ABRIGA MIL PRESIDIÁRIOS
DN. 2a. Ed. 12/12/1966 - cv.
GOVERNADOR NÃO GOSTA DO QUE VE NO PRESIDIO TIRADENTES E ORDENA A DEMOLIÇÃO DO PREDIO = DN-1a.Ed.28/8/71-dcp.</t>
  </si>
  <si>
    <t>Gráfico do local e rota de fuga de detentos da Casa de Detenção da Avenida Tiradentes.</t>
  </si>
  <si>
    <t>A fotografia noturna registra um trecho do muro da prisão, onde se vê um guarda armado em vigília no topo. À direita, observa-se uma estrutura ou andaime de madeira junto a um edifício de tijolos. Sobre a imagem, foi desenhada uma seta gráfica que indica o trajeto vertical realizado pelos detentos Luiz Volante, Manoel da Silva Andrade ("Quinzinho") e José dos Santos ("Ali Baba") durante a fuga.</t>
  </si>
  <si>
    <t>Casa de Detenção; Avenida Tiradentes; Fuga; Gráfico; Segurança; Polícia; Ali Baba; Quinzinho; 1954.</t>
  </si>
  <si>
    <t>ESTADO DE
S. PAULO- PENITENCIARIAS E PRESIDIOS-CASA DE DETENÇÃO AV. TIRADENTES
O flagrante apresenta o possivel grafico do local da fuga empreenda pelos detentos da Casa de Detenção , na madrugada de 30/7/954: Luiz Volante , Manoel da Silva Andrade, vulgo "Quinzinho", e José dos Santos vulgo "Ali Baba".
DSP, 31/7/954 WSS</t>
  </si>
  <si>
    <t>Gráfico indicando a rota de fuga pelo telhado de detentos da Casa de Detenção.</t>
  </si>
  <si>
    <t>A fotografia mostra a fachada lateral externa de um edifício do presídio com várias janelas gradeadas. Sobre a imagem, foi desenhada uma longa seta vertical com padrão zebrado (preto e branco) que aponta do topo do prédio (telhado) até o chão, terminando sobre um monte de pedras ou entulho. O gráfico ilustra o trajeto da fuga realizada pelos detentos após serrarem as grades do banheiro e acessarem o telhado.</t>
  </si>
  <si>
    <t>Casa de Detenção; Carandiru; Fuga; Grades serradas; Telhado; Pisa Macio; Gráfico; Segurança.</t>
  </si>
  <si>
    <t>ESTADO DE SÃO PAULO =
PENITENCIÁRIAS E PRESIDIOS =
CASA DE DETENÇÃO DO CARANDIRU=
SERRARAM AS GRADES DO QUARTO DE BANHO SUGINDO AO TELHADO
A seta aponta por onde os detentos Maria Carvalho, vulgo "Pisa Macio" Dalmo dos Santos e Mario Gomes, depois de percorrerem o predio pelo telhado, conseguiram ganhar a rua saindo pelos fundos do presidio . Ocorrencia que teve lugar na madrugada de 28/7/957.
DN, Ia.Ed. 28/7/957 W-</t>
  </si>
  <si>
    <t>Fachada da Casa de Detenção mostrando janela utilizada em fuga de detentos.</t>
  </si>
  <si>
    <t>A imagem exibe um ângulo em plongée (de baixo para cima) da fachada externa de um edifício do presídio, com várias janelas gradeadas. Na janela superior, vê-se um homem (aparentemente um inspetor ou perito) debruçado, observando o local. Em uma janela logo abaixo, há um tecido pendurado. A fotografia documenta o local por onde três detentos fugiram após serrarem as grades do banheiro.</t>
  </si>
  <si>
    <t>Casa de Detenção; Carandiru; Fuga; Grades serradas; Fachada; Perícia; Segurança.</t>
  </si>
  <si>
    <t>ESTADO DE SÃO PAULO =
PENITENCIARIAS E PRESIDIOS-CASA DE DETENÇÃO DO CARANDIRU
"SERRARAM AS GRADES DO QUARTO DE BANHO E SUBIRAM AO TELHADO"
Na fóto , um dos lados do predio da Casa de Detenção do Carandiru, vendo-se na última janela uma pessoa, confirmando assim, a efetivação da fuga, registrada doming o dia 28/7/957, quando tres perigosos detentos ganharam a rua passando por entre as grades do quarto de banho, as qua is foram serradas.
DN.1a.Ed.30/7/957 LD</t>
  </si>
  <si>
    <t>Inauguração do Pavilhão 2 (casa da guarda, muralha e cimento curando), 1956</t>
  </si>
  <si>
    <t>Fotografia em preto e branco, capturada em plano médio a partir do interior de um grande portão aberto, cujas grades laterais emolduram a cena. No centro do Pátio da Casa da Guarda, observa-se um contingente de aproximadamente quinze soldados ou agentes de segurança em formação e movimentação. Os guardas vestem uniformes militares completos, incluindo capacetes de proteção e botas. Alguns portam armas longas (rifles). À direita, um oficial em posição de comando está de costas, apontando o braço em direção ao fundo do pátio. O cenário é delimitado por um muro alto de concreto com marcas de infiltração, encimado por uma grade de proteção ou passarela de vigilância. A imagem documenta a rotina de segurança e a presença da Força Pública no complexo logo após sua inauguração.</t>
  </si>
  <si>
    <t>Casa da Guarda; Vigilância armada; Soldados; Formação militar; Muro de contenção; Casa de Detenção; Carandiru; São Paulo;</t>
  </si>
  <si>
    <t>"ESTADO DE SÃO PAULO - PENITENCIÁRIAS E PRESIDIOS - CASA DE DETENÇÃO (CARANDIRÚ)"
"Pateo da Casa da Guarda da nova Casa de Detenção do Carandirú."
"Arq. 12/9/956 jl"
[Manuscrito invertido]: "Pateo da casa da guarda Nova Casa de Detenção"</t>
  </si>
  <si>
    <t>Vista externa da cela 14 da Casa de Detenção assinalada após fuga de Deolindo Bianchetti.</t>
  </si>
  <si>
    <t>A fotografia mostra o complexo externo da Casa de Detenção, com destaque para uma torre cilíndrica de vigilância ao fundo. Em primeiro plano, observam-se andaimes de madeira e muros de tijolos. Uma seta preta desenhada sobre a foto aponta para uma janela gradeada específica no térreo (a cela 14), indicando o local de origem de uma fuga de nove detentos através de uma galeria escavada.</t>
  </si>
  <si>
    <t>Casa de Detenção; Avenida Tiradentes; Fuga; Deolindo Bianchetti; Cela 14; Galeria; Túnel; Andaimes.</t>
  </si>
  <si>
    <t>ESTADO DE SÃO
PAULO-PENITENCIARIAS E PRESIDIOS-CASA DE DETENÇÃO DA AV.TIRADENTES
PREMEDITADA HA LONGO TEMPO A FUGA DE HOJE NA DETENÇÃO
Assinalada pela flecha ve-se a cela 14 da Casa de Detenção, de onde Deolindo Bianchetti, e mais oito companheiros conseguiram fugir através de uma galeria por eles aberta e que dava para os fundos do presidio, no dia 3-6-54.
D.N. 2a. Ed. 3-6-54. HL.
FALTA VERBA PARA A NOVA DETENÇÃO
D.N.2a.Ed.30/7/954 jl
(Anotações manuscritas: "Cela 14 : pg"; "Ref: manchete ult. pg (Fuga Detenção)")</t>
  </si>
  <si>
    <t>Movimentação de policiais e civis na Casa de Detenção após descoberta de plano de evasão.</t>
  </si>
  <si>
    <t>A fotografia registra uma área externa do presídio junto a um portão de ferro. No nível do solo, vê-se um grupo de homens em trajes sociais (possivelmente autoridades ou inspetores) conversando. Ao fundo, num plano elevado, um soldado armado faz a guarda. No topo do edifício à esquerda (telhado), dois homens aparecem debruçados na beirada, possivelmente inspecionando o local de uma tentativa de fuga ou realizando reparos.</t>
  </si>
  <si>
    <t>Casa de Detenção; Avenida Tiradentes; Motim; Plano de evasão; Policiamento; Segurança; Inspeção.</t>
  </si>
  <si>
    <t>DIÁRIOS ASSOCIADOS - S. PAULO
Departamento Fotografico
Data 12 7 47
Fotografo Paulo
Assunto Casa de Detenção
(Texto datilografado):
NÃO ESCAPOU NENHUM DETENTO NO MOTIM.-AUDACIOSO PLANO DE EVASÃO DOS PRESOS.-
ESTADO DE S.PAULO-PENIT.PRESIDIOS-CASA DE DETENÇÃO DA AVENIDA TIRADENTES
VARIOS SOLDADOS FORAM DISTRIBUIDOS COM ARMAS EMBALADAS PELAS PLATAFORMAS INTERNAS, A FIM DE REFORÇAR O POLICIAMENTO NA CASA DE DETENÇÃO
DN.-1A.-25/5/948
PB.
(Anotação manuscrita sobre o texto): Plano de evasão</t>
  </si>
  <si>
    <t>Partida de futebol e minuto de silêncio durante torneio na Penitenciária do Estado.</t>
  </si>
  <si>
    <t>A fotografia panorâmica registra um campo de futebol gramado dentro dos muros do complexo prisional. No gramado, jogadores disputam uma partida. Na lateral do campo, dezenas de detentos uniformizados de branco assistem ao jogo sentados em blocos de concreto improvisados como arquibancada. Ao fundo, destacam-se os altos muros de segurança e uma torre de vigilância à direita. O primeiro plano exibe algumas plantas ornamentais.</t>
  </si>
  <si>
    <t>Penitenciária do Estado; Futebol; Esporte; Torneio; Recreação; Ressocialização; Presidiários.</t>
  </si>
  <si>
    <t>ESTADO DE SÃO PAULO - PENITENCIARIAS E PRESIDIOS - PENITENCIARIA DO ESTADO - SECÇÃO MASCULINA
FUTEBOL UNE E DIVERTE PRESIDIÁRIOS DANDO-LHES SENSO DE RESPONSABILIDADE -
Ao iniciar-se o jogo entre os clubes que participaram do torneio interno, fez-se um minuto de silencio em homenagem à memoria do filho do juiz Raul Nobre
D.N.2a.Ed.-27/2/961 naf</t>
  </si>
  <si>
    <t>Av. Tiradentes (1939)</t>
  </si>
  <si>
    <t>Fotografia em tom sépia da fachada frontal do edifício da antiga Cadeia Pública de São Paulo, localizada na Avenida Tiradentes. A imagem destaca o portão principal em arco ladeado por colunas e muros com gradis metálicos e janelas gradeadas no pavimento superior. Em primeiro plano, na rua de paralelepípedos, observam-se dois automóveis antigos estacionados. O verso da fotografia associa o local à fuga do detento Hamleto Gino Meneghetti ocorrida em 1915.</t>
  </si>
  <si>
    <t>Casa de Detenção; Avenida Tiradentes; Cadeia Pública; Arquitetura Prisional; São Paulo; Meneghetti.</t>
  </si>
  <si>
    <t>"ESTADO DE SÃO PAULO — PENITENCIARIAS E PRESIDIOS — CASA DE DETENÇÃO DA AVENIDA TIRADENTES"
"EDIFICIO DA CADEIA PUBLICA DE S. PAULO."
"SP. 11.4.939"
"MENEGHETTI CONTA A HISTORIA DE MENEGHETTI"
"Antiga Casa de Detenção de São Paulo, de onde Hamleto Gino Meneghetti fugiu espetacularmente em 1915, inteiramente nú."
"DN. — 2a. — 26/3/52 — CL/.-"</t>
  </si>
  <si>
    <t>Reclusos da Casa de Detenção formados no pátio comemorando decreto de liberdade de J.K.</t>
  </si>
  <si>
    <t>A fotografia registra uma solenidade no pátio interno da Casa de Detenção, cercado por edifícios de vários andares com janelas gradeadas. Uma grande multidão de detentos, vestindo uniformes claros, está perfilada em formação organizada. Em primeiro plano (à esquerda), vê-se um músico tocando trompete e, abaixo, outras pessoas (civis e possivelmente autoridades) observando de uma balaustrada, marcando a cerimônia de comemoração pela liberdade concedida pelo decreto presidencial.</t>
  </si>
  <si>
    <t>Casa de Detenção; Avenida Tiradentes; Juscelino Kubitschek; Decreto; Liberdade; Solenidade; Pátio; Formatura.</t>
  </si>
  <si>
    <t>ESTADO DE
SÃO PAULO-PENITENCIARIAS E PRESIDIOS - CASA DE DETENÇÃO DA AVENIDA TIRADENTES
DECRETO DE J.K. COMEMORADO POR MAIS DE 600 RECLUSOS. Reclusos formados no pateo da Casa de Detenção da Avenida Tiradentes. Os mesmos foram colocados em liberdade por decreto assinado por Juscelino Kubitscheck de Oliveira no seu ultimo dia de mandato na presidência da República.
DN., 1a Ed., 1/2/961 acf</t>
  </si>
  <si>
    <t>Detalhe da construção da muralha. 5.7.1956</t>
  </si>
  <si>
    <t>Registro das obras de levantamento de uma muralha de contenção (paredão) destinada a evitar evasões da unidade prisional. A imagem revela um operário trabalhando em uma complexa estrutura de andaimes e fôrmas de madeira para concreto, tendo ao fundo a fachada superior de um pavilhão carcerário com janelas gradeadas.</t>
  </si>
  <si>
    <t>Casa de Detenção; Carandiru; Construção civil; Muralha; Segurança prisional; Evasão de detentos.</t>
  </si>
  <si>
    <t>ESTA DO DE SÃO PAULO — PENITENCIÁRIAS E PRESIDIOS — CASA DE DETENÇÃO — CARANDIRU
'BATIZADA' A NOVA CASA DE DETENÇÃO COM A PRIMEIRA FUGA DE UM DETENTO
Para evitar evasões da Casa de Detenção, está-se levantando um gigantesco paredão, conforme mostra a foto, que revela ainda os dois ultimos pavimentos do conjunto carcerário.
D.N. 2a. Ed. 5/7/956 jl</t>
  </si>
  <si>
    <t>Foto da muralha, com recorte de jornal no verso</t>
  </si>
  <si>
    <t>A fotografia registra a arquitetura externa da Casa de Detenção do Carandiru, exibindo em primeiro plano uma alta muralha de concreto com uma luminária instalada. Sobre a muralha, observa-se a silhueta de homem em posição de observação. Ao fundo, ergue-se a fachada de um pavilhão carcerário com duas fileiras de janelas pequenas e gradeadas. No plano inferior, há folhagens que cobrem parte da base da muralha.</t>
  </si>
  <si>
    <t>Casa de Detenção; Carandiru; Superlotação carcerária; Vigilância; Muralha; Arquitetura prisional.</t>
  </si>
  <si>
    <r>
      <rPr>
        <rFont val="Roboto"/>
        <color theme="1"/>
        <sz val="12.0"/>
      </rPr>
      <t xml:space="preserve">ESTADO DE SÃO PAULO — PENITENCIARIAS E PRESIDIOS = CASA DE DETENÇÃO DO CARANDIRU)
</t>
    </r>
    <r>
      <rPr>
        <rFont val="Roboto"/>
        <b/>
        <color theme="1"/>
        <sz val="12.0"/>
      </rPr>
      <t>PRESIDIOS NÃO COMPORTAM MAIS PRESOS</t>
    </r>
    <r>
      <rPr>
        <rFont val="Roboto"/>
        <color theme="1"/>
        <sz val="12.0"/>
      </rPr>
      <t xml:space="preserve">
Foi assinado ontem, pelo governador Abreu Sodré um decreto instituindo grupo de trabalho para estudar o problema penitenciário no Estado. Diariamente em São Paulo são presas mais de cem pessoas entre homens e mulheres, e há trinta mil mandados de prisão nas mãos da Justiça para serem cumpridos. Existem atualmente 12 mil presos que abarrotam os presidios da Capital.
</t>
    </r>
    <r>
      <rPr>
        <rFont val="Roboto"/>
        <b/>
        <color theme="1"/>
        <sz val="12.0"/>
      </rPr>
      <t>CASA DE DETENÇÃO</t>
    </r>
    <r>
      <rPr>
        <rFont val="Roboto"/>
        <color theme="1"/>
        <sz val="12.0"/>
      </rPr>
      <t xml:space="preserve">
A respeito do problema falou o diretor da Casa de Detenção sr. Fernão Guedes de Souza: “Existem diversas medidas a longo prazo que estão sendo estudadas há algum tempo como a construção de um nôvo presidio. Mas tornou-se necessário devido ao grande numero de prisões efetuadas diariamente, uma solução mais rápida”.
A respeito do presidio e da contribuição esclareceu: “Esta detenção, foi construida para acomodar 2.200 presos, mas o numero que abriga no momento é de 4.101. O movimento diário pode ser baseado no de ontem, que recebeu 33 presos e libertou apenas 14. Estou fornecendo para o dr. Alexandrino de Almeida Prado Sampaio, corregedor geral da policia e presidios dados estatisticos que o orientem no seu trabalho. Um dos dados é esse: A população carcerária de 1.o de janeiro de 1968 era de 2.488, em janeiro de 69 era de 2.924, e atualmente é de 4.101. Por aí pode-se ter uma idéia exata dêsse espantoso aumento que provocou uma superlotação de todos os presidios”.
</t>
    </r>
    <r>
      <rPr>
        <rFont val="Roboto"/>
        <b/>
        <color theme="1"/>
        <sz val="12.0"/>
      </rPr>
      <t>PRESOS POLITICOS</t>
    </r>
    <r>
      <rPr>
        <rFont val="Roboto"/>
        <color theme="1"/>
        <sz val="12.0"/>
      </rPr>
      <t xml:space="preserve">
Um problema que surgiu recentemente foi a prisão de elementos subversivos que só na Casa de Detenção são 57. Estes elementos, declarou o sr. Fernão Guedes, “precisam ser removidos pois são presos que requerem tratamento especial, e não temos condições para isso devido ao excesso de detidos”.
O problema não é só da Casa de Detenção, no presidio feminino também há a mesma promiscuidade oriunda do numero elevado de presidiárias.
DN. 1ª Ed. 12/11/969-MBO
CASA DE DETENÇÃO FOI PREVISTA PARA 2.500 PRESOS. JÁ TEM 5.127 DN. 2a. Ed. 26/10/1972 im</t>
    </r>
  </si>
  <si>
    <t>Soldados da Força Pública em operação de recaptura de detentos evadidos em Vila Guilherme.</t>
  </si>
  <si>
    <t>Caixa: 2776
Folder: 012</t>
  </si>
  <si>
    <t>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t>
  </si>
  <si>
    <t>A fotografia registra uma "batida" policial em uma área de vegetação e terreno acidentado. Em primeiro plano, dois soldados da Força Pública, usando capacetes e uniformes, portam metralhadoras em posição de prontidão. Eles parecem cercar ou inspecionar uma estrutura de madeira rústica parcialmente coberta por folhagens. Ao fundo, observam-se roupas penduradas em um varal e mais vegetação.</t>
  </si>
  <si>
    <t>Casa de Detenção; Avenida Tiradentes; Força Pública; Recaptura; Vila Guilherme; Quinzinho; Ali Babá; Soldados; Fuga.</t>
  </si>
  <si>
    <t>ESTADO DE SÃO PAULO - PENITENCIARIAS E PRESIDIOS - CASA DE DETENÇÃO DA AVENIDA TIRADENTES
Na foto, aspecto da "batida" efetuada pelos soldados da Força Publica, chefiados pelo delegado Nicolau Mario Centola, dia 1/8/954, em Vila Guilherme, onde recapturaram Manuel Silva Andrade, o popular "Quinzinho", um dos evadidos dia 30/7/954, juntamente com Luis Volante e José dos Santos, vulgo "Ali Babá".
DN. 1a. Ed. 2/8/954 fm.</t>
  </si>
  <si>
    <t>Delegado Nicolau Mario Centola em operação de recaptura do detento "Quinzinho" em Vila Guilherme.</t>
  </si>
  <si>
    <t>O registro fotográfico apresenta o delegado Nicolau Mario Centola em ação durante uma "batida" policial em Vila Guilherme. O delegado, trajando terno escuro e chapéu, é capturado em movimento, empunhando o que parece ser uma submetralhadora. Ele se encontra próximo a uma cerca rústica de madeira e arame farpado, em um terreno com vegetação densa ao fundo. A diligência visava a recaptura de Manuel Silva Andrade, o "Quinzinho", fugitivo da Casa de Detenção da Avenida Tiradentes.</t>
  </si>
  <si>
    <t>Casa de Detenção; Avenida Tiradentes; Recaptura; Vila Guilherme; Quinzinho; Delegado Nicolau Mario Centola; Polícia; Fuga.</t>
  </si>
  <si>
    <t>ESTADO DE S. PAULO - PENITENCIARIAS E PRESIDIOS - CASA DE DETENÇÃO AVENIDA TIRADENTES 
O delegado Nicolau Mario Centola em Vila Guilherme, por ocasião da recaptura de Manuel Silva Andrade, o popular "Quinzinho", um dos evadidos do dia 30/7/954, em companhia de Luis Volante e José dos Santos (Ali Babá). A "batida" da Policia teve êxito, pois dia 1/8/954 foi recapturado o perigo delinquente. DN. 1a. Ed. 2/8/954 fm.</t>
  </si>
  <si>
    <t>Patrulhas da Força Pública vasculhando imediações após fuga da Casa de Detenção da Avenida Tiradentes.</t>
  </si>
  <si>
    <t>A fotografia registra uma operação de busca noturna ou em ambiente de baixa luminosidade em uma área com vegetação densa, destacando-se várias palmeiras. No centro da imagem, dois soldados da Força Pública (F.P.), usando capacetes e portando armas longas, são vistos em posição de incursão e prontidão, realizando a varredura do terreno. A ação faz parte das buscas iniciadas após uma "fuga espetacular" de presos ocorrida na madrugada daquele dia.</t>
  </si>
  <si>
    <t>Casa de Detenção; Avenida Tiradentes; Força Pública; Fuga; Busca; Patrulha; Incursão; 1954.</t>
  </si>
  <si>
    <t>ESTADO DE SÃO PAULO - PENITENCIARIAS E PRESIDIOS - CASA DE DETENÇÃO DA AVENIDA TIRADENTES
FUGA ESPETACULAR DE PRESOS DA DETENÇÃO
Durante a madrugada de 3/6/954, presos de uma das celas do presidio da Av. Tiradentes, conseguiram evadir-se. Na foto, vemos patrulhas da F.P. vasculhando as imediações do presidio.
DN, Ia. Ed. 3/6/954 WSS
BRASIL - PENITENCIARIAS E PRESIDIOS - CASA DE DETENÇÃO DA AVENIDA TIRADENTES</t>
  </si>
  <si>
    <t>Repórter entrevistando detentos da célula 32 sobre apreensão de maconha na Casa de Detenção.</t>
  </si>
  <si>
    <t>A fotografia registra, em plano médio e de perfil, um repórter de costas vestindo terno enquanto conversa com detentos através de uma abertura gradeada em uma porta de cela. No topo da porta, o número "32" está pintado de forma rústica em branco. Através das grades, veem-se os rostos de três detentos que olham em direção ao jornalista; um deles veste um gorro claro. A cena ilustra a apuração jornalística sobre a descoberta de cigarros de maconha na cela.</t>
  </si>
  <si>
    <t>Casa de Detenção; Avenida Tiradentes; Tráfico de drogas; Repórter; Entrevista; Detentos; Investigação.</t>
  </si>
  <si>
    <t>ESTADO DE S. PAULO - PENITENCIARIAS E PRESIDIOS - CASA DE DETENÇÃO - AVENIDA TIRADENTES
PRESIDIARIOS CASTIGADOS POR TRAFICO DE MACONHA
O reporter conversou com os presos do cubiculo 32 da Casa de Detenção, sobre o caso dos cigarros com maconha encontrados com os presos. Dois deles assumem a responsabilidade da transgressão e inocentam seus sete companheiros de cela.
D.N. 2a. Ed. 29/10/954 jl
(Anotações manuscritas): Cela 32 : pg; Manchete Pr.; transfere I</t>
  </si>
  <si>
    <t>Reconstituição gráfica da fuga de nove detentos por túnel sob a muralha.</t>
  </si>
  <si>
    <t>A fotografia registra, em ângulo de baixo para cima, a imensa muralha de concreto da Casa de Detenção. No topo do muro, observa-se uma guarita de vigilância. Sobre a imagem, foram inseridas marcações técnicas: uma seta preta que desce da guarita em direção ao chão e um "X" branco no canto inferior direito, indicando o local de saída de um túnel de 12 metros cavado pelos detentos. A foto foi utilizada pela imprensa para demonstrar a suposta negligência dos guardas, que teriam visão privilegiada do ponto de evasão.</t>
  </si>
  <si>
    <t>Casa de Detenção; Avenida Tiradentes; Muralha; Fuga; Túnel; Guarita; Reconstituição; Negligência policial; Nelson Veiga.</t>
  </si>
  <si>
    <t>ESTADO DE S. PAULO - PENITENCIARIAS E PRESIDIOS - CASA DE DETENÇÃO DA AVENIDA TIRADENTES
ORDEM PARA MATAR NA CAÇA AOS NOVE BANDIDOS EM FUGA
As autoridades policiais estão preparadas para dar caça aos malfeitores que conseguiram, de forma espetacular, construindo um tunel de aproximadamente 12 metros, fugir da Casa de Detenção, às primeiras horas da manhã de ontem. A ordem transmitida aos agentes encarregados da perseguição que está sendo movida aos celerados é taxativa: prisão a qualquer preço. Em se tratando de perigosos marginais, tudo indica que poderá correr sangue durante a caçada humana, pois alguns dos evadidos são elementos de extrema periculosidade que irão defender a liberdade obtida a golpes de tenacidade, com o emprego de resistência armada. Já ficou caracterizada a negligência de três milicianos, responsáveis pela guarda da muralha (foto), que tinham ampla visão do local de saída do tunel, não podendo passar despercebida uma cena como a que reconstituímos na foto, do momento em que cada detento deixava a passagem subterrânea. (Leia reportagem de Nelson Veiga, na última pagina)
D.N. 2a. Ed. 7/3/1960 jl</t>
  </si>
  <si>
    <t>Vista aérea com marcação gráfica da etapa 5 da "fuga em cinco tempos".</t>
  </si>
  <si>
    <t>A fotografia, capturada de um ângulo elevado, apresenta uma vista panorâmica das imediações da Casa de Detenção da Avenida Tiradentes. Sobre a imagem, foi inserida uma linha pontilhada horizontal que atravessa o pátio interno e termina em um círculo com o número "5", indicando a quinta etapa da rota de fuga utilizada pelos detentos. Em primeiro plano, veem-se telhados e muros; à direita, uma via pública com carros da época e árvores.</t>
  </si>
  <si>
    <t>Casa de Detenção; Avenida Tiradentes; Fuga; Reconstituição; Urbanismo; "Fuga em cinco tempos"; Logística de fuga.</t>
  </si>
  <si>
    <t>ESTADO DE PAULO= PENITENCIARIAS E PRESIDIOS - CASA DE DETENÇÃO DA AVENIDA TIRADENTES
A FUGA EM CINCO TEMPOS
D.N.2a.Ed.8/3/960 jl</t>
  </si>
  <si>
    <t>Reconstituição fotográfica aérea com marcação das etapas (1 a 4) da "fuga em cinco tempos"</t>
  </si>
  <si>
    <t>A fotografia panorâmica, registrada de um ponto elevado, apresenta o complexo da Casa de Detenção e as dependências vizinhas do Quartel da Força Pública. Sobre a imagem, uma linha tracejada conecta círculos numerados de 1 a 4, reconstituindo o trajeto de fuga de nove detentos: partindo do "Xadrez 17" no Primeiro Pavilhão (1), passando por um buraco sob a muralha (2), atravessando o pátio interno (3) e alcançando cercado ou porteira de madeira (4) antes do obstáculo final para a Rua Ribeiro de Lima. Ao fundo, observa-se a arquitetura de época dos edifícios prisionais e a malha urbana circundante com veículos e árvores.</t>
  </si>
  <si>
    <t>Casa de Detenção; Avenida Tiradentes; Fuga; Reconstituição; Força Pública; Xadrez 17; Rua Ribeiro de Lima; Nelson Veiga; Walter Freitas.</t>
  </si>
  <si>
    <t>ESTADO DE S. PAULO — PENITENCIARIAS E PRESIDIOS — CASA DE DETENÇÃO DA AVENIDA TIRADENTES
A FUGA EM CINCO TEMPOS
A sensacional fuga levada a efeito por nove perigosos marginais que se encontravam recolhidos na Casa de Detenção à disposição da Justiça, continua na ordem do dia. Os fugitivos estão em liberdade e a policia está desorientada, sem uma pista para descobrir o paradeiro dos bandidos. Os pormenores sobre o plano de evasão ainda não estão devidamente esclarecidos, presumindo-se que tenha havido a conivencia de terceiros na elaboração dos principais detalhes da arrojada fuga. O reporter-fotografico Walter Freitas, na tarde de ontem, conseguiu reproduzir, em imagem, os principais lances da espetacular evasão, enumerando, em pormenores fotograficos, o percurso feito pelos nove marginais, desde o momento em que abandonaram o xadrez 17, onde teve inicio o tunel, que estão assim representados: 1) Local em que se localiza o xadrez 17 do Primeiro Pavilhão, de onde sairam os detentos, passando, no buraco, sob o corredor e a muralha da ala direita do presídio; 2) Os fugitivos, ganhando o outro lado do presidio, uma area pertencente ao antigo CIM da Força Publica, sairam do buraco à frente da muralha, onde os soldados ali postados deveriam, forçosamente, pressentir qualquer anormalidade; 3) O patio interno do Quartel da Força Publica foi a terceira etapa dos evasores, que passaram, novamente, por uma area limpa, de cuja murada se têm ampla visão; 4) Pulando uma porteira de madeira, ainda no interior de uma escada de madeira que estava jogada no lixo; 5) Levando a escada, os fugitivos a encostaram ao muro que representava o ultimo obstaculo para obter a liberdade definitiva. Um a um, saltaram o muro, de pouco mais de dois metros de altura, pulando para a rua Ribeiro de Lima. (Leia reportagem de Nelson Veiga, na ultima pagina).
D.N.2a.Ed.8/3/960 jl</t>
  </si>
  <si>
    <t>Celebração de missa para detentos e visitantes na Casa de Detenção da Avenida Tiradentes.</t>
  </si>
  <si>
    <t>A fotografia registra a realização de uma missa católica no complexo prisional. Em primeiro plano, vê-se o celebrante de costas, trajando paramentos litúrgicos e segurando um cálice sobre o altar, onde repousa um missal aberto sobre uma almofada. À frente do altar, sentados, encontram-se duas mulheres (uma delas usando uma mantilha branca) e um homem em traje formal. Ao fundo, uma grande multidão de detentos acompanha a cerimônia em pé em um pátio interno, ladeado por edifícios do presídio e uma chaminé alta.</t>
  </si>
  <si>
    <t>ESTADO DE
S. Paulo- PENITENCIÁRIA E PRESÍDIOS - CASA DE DETENÇÃO DA AVE-
NIDA TIRADENTES -
Flagrante colhido na Casa de Detenção da Avenida Tiradentes,
durante a realização de uma missa.
Arq. 13/3/1964-cjs.</t>
  </si>
  <si>
    <t>Detentos testemunhas do assassinato do detento-cozinheiro Mario Gagliardi na Casa de Detenção.</t>
  </si>
  <si>
    <t>A fotografia registra um grupo de seis detentos perfilados em um ambiente interno, possivelmente a cozinha ou refeitório, dada a parede de azulejos claros ao fundo. Os homens vestem uniformes prisionais e quatro deles portam braçadeiras escuras, possivelmente em sinal de luto pelo colega assassinado. O segundo homem da esquerda para a direita destaca-se por usar um avental branco sobre a vestimenta. Todos apresentam semblantes graves e cabeças baixas, capturando o momento após o crime cometido por um detento.</t>
  </si>
  <si>
    <t>Casa de Detenção; Avenida Tiradentes; Homicídio; Mario Gagliardi; China-Show; Cozinheiro; Testemunhas; Luto; Detentos.</t>
  </si>
  <si>
    <t>ESTADO DE S. PAULO PENITENCIARIAS E PRESIDIOS-CASA DE DETENÇÃO -AVENIDA TIRADENTES
ALGUNS DOS DETENTOS QUE PRESENCIARAM O CRIME DE MORTE OCORRIDO NA TARDE DE 5/2/55, NA CASA DE DETENÇÃO, QUANDO JORGE FLORIANO, VULGO "CHINA-SHOW" ASSASSINOU COM UMA FACADA O DETENTO MARIO GAGLIARDI, QUE ALI EXERCIA AS FUNÇÕES DE COZINHEIRO.
DN. 1A. ED. 7/2/1955 FM</t>
  </si>
  <si>
    <t>Desfile da Escola de Educação Física e Instrução Pré-Militar na Casa de Detenção da Avenida Tiradentes.</t>
  </si>
  <si>
    <t>A fotografia registra um desfile formal realizado em um pátio interno da Casa de Detenção. Dezenas de homens marcham em formação militar vestindo uniformes brancos, calças escuras, cintos e quepes. À frente da coluna, um homem carrega a bandeira nacional. À esquerda, autoridades civis e militares observam a cerimônia de um palanque elevado de madeira. Ao fundo, observam-se muros e edifícios com telhados cerâmicos característicos do complexo prisional.</t>
  </si>
  <si>
    <t>Casa de Detenção; Avenida Tiradentes; Desfile; Escola de Educação Física; Instrução Pré-Militar; Uniformes; Autoridades; Bandeira; Cerimônia; 1944.</t>
  </si>
  <si>
    <t>ESTADO DE
S. PAULO — PENITENCIARIAS E PRESIDIOS-CASA DE DETENÇÃO DA AVENIDA TIRADENTES
Desfile da Escola de Educação Fisica e Instrução Pre Militar na Casa de Detenção. —
agosto, 1944. —</t>
  </si>
  <si>
    <t>Detentas suspeitas aguardando interrogatório com polígrafo após morte de Maria da Silveira.</t>
  </si>
  <si>
    <t>A fotografia em plano médio registra duas mulheres sentadas lado a lado em um sofá de encosto sinuoso. A mulher à esquerda, de perfil, mantém os braços cruzados e olha fixamente para o lado; ela veste uma saia plissada e um cardigã escuro sobre uma camisa clara. A mulher à direita está sentada de frente, com o rosto apoiado na mão esquerda e olhar pensativo voltado para a direção oposta. Na parede, acima do sofá, observa-se um pequeno ornamento bordado. A imagem documenta o momento em que detentas suspeitas da morte de Maria da Silveira aguardavam para serem submetidas ao teste de polígrafo na Delegacia de Homicídios.</t>
  </si>
  <si>
    <t>Casa de Detenção; Avenida Tiradentes; Homicídio; Maria da Silveira; Polígrafo; Detentas; Investigação Criminal; 1963.</t>
  </si>
  <si>
    <t>ESTADO DE S. PAULO — PENITENCIARIAS E PRESIDIOS — CASA DE DETENÇÃO DA AVENIDA TIRADENTES
(Anotação manuscrita): Detentas aguardando - p/ serem testadas no Detentor de Mentiras
AVENTA-SE A HIPOTESE DE SUICIDIO NA VIOLENTA MORTE DE DETENTA
Duas detentas suspeitas na morte de Maria da Silveira, quando aguardavam a vez de serem testadas pelo "Detector de Mentiras".
DN, Ia. Ed. 8/5/1963 W/
(Recorte de jornal colado): Para uma parte da Polícia, não resta mais qualquer dúvida, após uma série de investigações, de que a morte da detenta Maria da Silveira (ou Claidmira Maria da Silva), de 35 anos, solteira, que se achava cumprindo pena de 1 ano na Casa de Detenção da avenida Tiradentes, não passou de suicídio puro e simples. Para as autoridades da Delegacia de Vigilância e Capturas, o caso ainda não está totalmente resolvido, razão por que pretendem, obviamente, levar o inquérito até o fim, investigando o ângulo de homicídio, o que fez com que três das oito detentas suspeitas de haver cometido o crime comparecessem ontem à tarde perante a autoridade do Polígrafo da Delegacia de Homicídios. São elas: Maria Pinatti, Maria Benedita dos Santos e Malvina Santana de Magalhães, que passaram pelo chamado "Detentor de Mentiras".</t>
  </si>
  <si>
    <t>Primeiros cinco detentos beneficiados por indulto presidencial em liberdade na Casa de Detenção.</t>
  </si>
  <si>
    <t>A fotografia registra, em plano médio e vistos de costas, o grupo de cinco detentos caminhando em uma área externa pavimentada após serem colocados em liberdade. À esquerda, uma mulher de vestido claro acena com a mão levantada; ao centro, um homem carrega uma mala e um paletó sobre o ombro; à direita, outro homem transporta um grande rolo de corda. O registro documenta a soltura de presos primários contemplados pelo decreto nº 51.378 de 1961.</t>
  </si>
  <si>
    <t>Casa de Detenção; Avenida Tiradentes; Indulto; Liberdade; Decreto nº 51.378; Presos primários; Soltura; 1962.</t>
  </si>
  <si>
    <t>ESTADO DE SÃO PAULO - PENITENCIARIAS E PRESIDIOS - CASA DE DETENÇÃO DA AVENIDA TIRADENTES
OS CINCO PRIMEIROS PRESOS BENEFICIADOS PELO INDULTO.
Na foto, flagrante colhido quando eram colocados em liberdade de cinco presidiários da Casa de Detenção de São Paulo que foram indultados pelo presidente da República através o decreto nº 51.378, que absolveu todos os criminosos primários que se portaram convenientemente durante o tempo que estiveram presos.
DN., 1ª Ed., 10/1/1962 acf</t>
  </si>
  <si>
    <t>Soldados armados realizando busca no telhado da Casa de Detenção após alarme de fuga.</t>
  </si>
  <si>
    <t>A fotografia registra, em ângulo de baixo para cima (contra-mergulho), uma operação de busca noturna no topo de um dos edifícios do complexo prisional. No parapeito do telhado, veem-se dois soldados da Força Pública; o mais próximo está em pé, usando capacete e portando uma arma longa, enquanto observa o pátio abaixo. No canto superior direito, galhos e folhas de uma árvore invadem o enquadramento. A imagem ilustra a mobilização policial causada por um falso alarme de fuga.</t>
  </si>
  <si>
    <t>Casa de Detenção; Avenida Tiradentes; Força Pública; Busca; Telhado; Soldados; Alarme falso; Vigilância; 1960.</t>
  </si>
  <si>
    <t>ESTADO DE SÃO PAULO-PENITENCIARIAS E PRESIDIOS - CASAS DE DETENÇÃO
PANICO NA CASA DE DETENÇÃO: SOLDADO VIU PRESO NO TELHADO
Soldados armados dão busca no telhado na Casa de Detenção, quando na noite de ontem, um soldado disse ter visto um preso no teto cujo alarme dado por esta sintinela, movimentou, funcionarios civis, oficiais e dezenas de militares da Força Publica. Nada porem foi constatado, pois pela contagem dos presos, verificou-se que nenhum havia fugido.
D.N. 2a. Ed. 18/10/960 jl</t>
  </si>
  <si>
    <t>Reconstituição da fuga de nove detentos através de túnel na cela 14 da Casa de Detenção.</t>
  </si>
  <si>
    <t>A fotografia registra a reconstituição da fuga de nove detentos ocorrida na madrugada do mesmo dia. Na cena, um operário de uma obra vizinha simula a saída de um detento por um buraco (galeria) aberto no piso e na parede de alvenaria da cela 14. O homem, vestindo uma regata branca, está em posição de rastejamento, saindo do túnel que dava acesso aos fundos do presídio. Um círculo branco foi desenhado sobre a imagem para destacar a ação do figurante. À esquerda, vê-se parte da perna de outra pessoa que observa a cena.</t>
  </si>
  <si>
    <t>Casa de Detenção; Avenida Tiradentes; Fuga; Reconstituição; Cela 14; Túnel; Galeria; 1954.</t>
  </si>
  <si>
    <t>Digitalização de fotografia em sépia (analógica original)</t>
  </si>
  <si>
    <t>ESTADO DE SÃO PAULO - PENITENCIARIAS E PRESIDIOS - CASA DE DETENÇÃO DA AVENIDA TIRADENTES
PREMEDITA HA LONGO TEMPO A FUGA DE HOJE NA DETENÇÃO
Flagrante tomado quando um operario de uma obra vizinha a Casa de Detenção, se prestava a reconstituição da fuga de nove detentos, por uma galeria aberta no interior da cela 14, que dava para os fundos do presidio, a fuga deu-se a 3-6-54. H
D.N. 2a. Ed. 3-6-54. HL.
(Anotações manuscritas): Ponto da fuga; Alvenaria; mat: Manchete últ. pg. (fuga do detento)</t>
  </si>
  <si>
    <t>Cerimônia de formatura e homenagem de detentos concludentes do curso de alfabetização.</t>
  </si>
  <si>
    <t>A fotografia registra uma solenidade oficial realizada em um pátio interno pavimentado. Em formação organizada, dezenas de detentos estão perfilados em colunas, vestindo uniformes claros (túnicas e calças) e gorros do tipo bibico. À direita, em primeiro plano, dois oficiais da Força Pública em uniformes de gala prestam continência voltados para os detentos. Ao fundo, à direita, uma banda de música militar com instrumentos de sopro é vista atravessando um portão gradeado. O evento marca a conclusão do curso de alfabetização e a retribuição dos reclusos às autoridades.</t>
  </si>
  <si>
    <t>Casa de Detenção; Avenida Tiradentes; Alfabetização; Educação prisional; Formatura; Homenagem; Detentos; Força Pública; Banda de música; 1952.</t>
  </si>
  <si>
    <t>ESTADO DE S. PAULO-PENITENCIARIAS E PRESIDIOS-CASA DE DETENÇÃO DA AV.TIRADENTES
ALFABETIZAÇÃO NA DETENÇÃO. -
NA FOTO, VARIOS DETENTOS QUE TERMINARAM O CURSO DE ALFABETIZAÇÃO PRESTAM HOMENAGEM ÀS AUTORIDADES EM RETRIBUIÇÃO. -
DN. UNC. 12/1/52 - cjr
(Carimbos: 12 JAN. 1952; DIARIOS ASSOCIADOS; Fato; Detenção)</t>
  </si>
  <si>
    <t>Retrato em perfil de detento da Casa de Detenção em reportagem sobre a crise no sistema prisional.</t>
  </si>
  <si>
    <t>A fotografia, recortada fisicamente seguindo a silhueta da cabeça e ombros, apresenta o perfil esquerdo de um homem jovem, identificado como detento. Ele possui cabelos curtos e veste um paletó com dois botões aparentes no punho da manga; sua expressão é séria e reflexiva, com o olhar direcionado para o horizonte. A imagem ilustra uma matéria jornalística que questiona o destino social dos encarcerados diante de uma ameaça de motim ("estouro") no presídio da Avenida Tiradentes.</t>
  </si>
  <si>
    <t>Casa de Detenção; Avenida Tiradentes; Detento; Retrato; Perfil; Crise prisional; Sistema penitenciário; 1959.</t>
  </si>
  <si>
    <t>ESTADO DE SÃO PAULO — PENITENCIARIAS E PRESIDIOS — CASA DE DETENÇÃO DA AVENIDA TIRADENTES
CASADE DETENÇÃO AMEAÇA "ESTOURAR"
DESTINO? — Existirá futuro para este homem? Durante longos anos ele vive como verdadeiro paria numa cadeia. Qual será o seu amanhã?
DN 2a ed. — 12/3/1959 d r
(Anotação manuscrita): policia</t>
  </si>
  <si>
    <t>Detentos exibindo álbum de recortes sobre movimento de anistia após indulto para réus primários.</t>
  </si>
  <si>
    <t>A fotografia registra um grupo de detentos e um homem em traje formal (terno e gravata) em um ambiente interno. No centro, o homem de terno segura aberto um grande álbum repleto de recortes de jornal, que é observado atentamente por cinco detentos à esquerda e um à direita. À extrema direita, outro detento segura uma pilha de jornais, enquanto um detento à esquerda carrega uma caneca de metal. A cena documenta o "júbilo" e a organização dos presos em torno do movimento de anistia e a celebração pelo indulto concedido a réus primários com penas de 1 a 3 anos.</t>
  </si>
  <si>
    <t>Casa de Detenção; Avenida Tiradentes; Indulto; Anistia; Recortes de jornal; Detentos; Movimento social; 1948.</t>
  </si>
  <si>
    <t>"JUBILO NA CASA DE DETENÇÃO PELO INDULTO AOS CRIMINOSOS PRIMARIOS DE 1 A 3 ANOS"
S. PAULO — PENITENCIARIAS E PRESIDIOS — CASA DE DETENÇÃO DA AV. TIRADENTES
CONDENADOS RECOLHIDOS NA CASA DE DETENÇÃO, EXIBINDO O ALBUM DE RECORTES SOBRE O MOVIMENTO DE ANISTIA POR ELES EFETUADO.
D S P. — 29/10/1948</t>
  </si>
  <si>
    <t>Vasilhames utilizados na escavação de túnel para fuga de detentos na Casa de Detenção.</t>
  </si>
  <si>
    <t>A fotografia registra, em plano detalhe, objetos improvisados encontrados após uma fuga ocorrida na madrugada do mesmo dia. Sobre o chão de terra batida, junto a tijolos e entulho, veem-se vasilhames de metal (como canecas ou marmitas) amassados e sujos. Segundo o verso, esses utensílios foram as ferramentas empregadas pelos fugitivos para escavar o buraco por onde se evadiram do presídio.</t>
  </si>
  <si>
    <t>Casa de Detenção; Avenida Tiradentes; Fuga; Túnel; Escavação; Vasilhames; Utensílios improvisados; 1954.</t>
  </si>
  <si>
    <t>ESTADO DE S. PAULO - PENITENCIARIAS E PRESIDIOS-CASA DE DETENÇÃO DA AVENIDA TIRADENTES
PENITENCIARIAS E PRESIDIOS - CASA DA DETENÇÃO
Durante a madrugada de 3/6/954, presos de uma das celas do presidio da Casa de Detenção conseguiram evadir-se. Na foto vemos os vasilhames empregados pelos fugitivos para escavar o buraco por onde empreenderam a fuga.
DN, Ia.Ed. 3/6/954 WSS</t>
  </si>
  <si>
    <t>Reunião entre comissão de detentos e diretor administrativo para organização da festa de Natal.</t>
  </si>
  <si>
    <t>A fotografia registra uma reunião oficial em um gabinete administrativo do presídio. Em primeiro plano, à direita, um homem (identificado como diretor) está sentado à sua mesa de trabalho com entalhes ornamentais, escrevendo em um documento. Ao seu redor, cinco homens acompanham o ato: dois à esquerda vestem túnicas claras com a sigla "AD" no bolso; no centro, dois homens em trajes civis observam a cena, sendo que um deles usa óculos escuros; e um quinto homem está posicionado à direita, ao fundo, próximo a uma cortina clara. O registro documenta a cooperação entre a administração e os presos para as festividades de fim de ano.</t>
  </si>
  <si>
    <t>Casa de Detenção; Avenida Tiradentes; Natal; Comissão de presos; Diretor administrativo; Administração prisional; Sigla AD; Festividades; 1954.</t>
  </si>
  <si>
    <t>ESTADO DE S. PAULO — PENITENCIARIAS E PRESIDIOS — CASA DE DETENÇÃO — AV. TIRADENTES
NATAL FELIZ PARA OS PRESOS NA DETENÇÃO
Entre os presos da Casa de Detenção foi organizada uma comissão que trabalha em conjunto com o diretor administrativo, para o exito da realização da festa de Natal dos presos.
D.N. 2a. Ed. 6/12/954 j1
(Anotações manuscritas): mat:; Natal feliz</t>
  </si>
  <si>
    <t>Detentos realizando a pintura da fachada da Casa de Detenção sob vigilância policial.</t>
  </si>
  <si>
    <t>A fotografia registra o trabalho de manutenção da fachada externa do edifício da Casa de Detenção, na Avenida Tiradentes, destacando o número do endereço (nº. 441) e um número talhado no no grande portão de ferro, que parece ser 1851. Um detento está posicionado no topo de uma escada de madeira extremamente longa, realizando a pintura da parte superior da alvenaria, acima das colunas e do portão em arco. Na base, dois homens seguram a escada para garantir estabilidade. No canto inferior direito, um guarda da Força Pública, trajando uniforme completo com capacete e cassetete, observa a cena voltado para a câmera. À esquerda, pedestres caminham pela calçada em frente ao complexo. O título no verso, "Verde e branco por fora e negro por dentro", sugere um contraste crítico entre a aparência renovada e a realidade interna do presídio.</t>
  </si>
  <si>
    <t>Casa de Detenção; Avenida Tiradentes; Pintura; Manutenção; Fachada; Detentos; Vigilância; Força Pública; Trabalho prisional; 1957.</t>
  </si>
  <si>
    <t>ESTADO DE S. PAULO - PENITENCIARIAS E PRESIDIOS - CASA DE DETENÇÃO - AV. TIRADENTES
DETENÇÃO: VERDE E BRANCO POR FORA E NEGRO POR DENTRO
Detentos procedem a pintura da fachada da Casa de Detenção, assistidos por guardas.
Ver D.N.2a.Ed.16/12/957 j1</t>
  </si>
  <si>
    <t>Vista aérea interna do pátio e galpões da Casa de Detenção da Avenida Tiradentes.</t>
  </si>
  <si>
    <t>A fotografia, capturada de um ângulo elevado, oferece uma perspectiva interna do complexo prisional. Em primeiro plano, observa-se um grande portão escuro sendo operado por um funcionário uniformizado, enquanto outro homem observa a ação de costas. Para além do portão, estende-se um pátio pavimentado onde algumas pessoas caminham entre os pavilhões. À esquerda e à direita, veem-se as fachadas de edifícios com janelas gradeadas e arquitetura rústica. Ao fundo, a vista alcança a arborização externa e o prolongamento da área construída. O registro está associado a notícias sobre a possível venda do antigo complexo.</t>
  </si>
  <si>
    <t>Casa de Detenção; Avenida Tiradentes; Pátio interno; Arquitetura prisional; Venda de imóvel; Vigilância; 1955.</t>
  </si>
  <si>
    <t>ESTADO DE S. PAULO — PENITENCIARIAS E PRESIDIOS — CASA DE DETENÇÃO — AV. TIRADENTES
DETENÇÃO: VERDE E BRANCO POR FORA E NEGRO POR DENTRO
Detentos quando procediam a pintura na fachada da Casa de Detenção da av. Tiradentes.
Ver D.N.2a.Ed.16/12/957 j1
(Anotações manuscritas): 850; 2
(Anotação manuscrita invertida): Esta com dias contados a velha Casa de Detenção</t>
  </si>
  <si>
    <t>Detentos realizando a pintura da fachada da Casa de Detenção da Avenida Tiradentes sob vigilância policial.</t>
  </si>
  <si>
    <t>A fotografia registra, em plano geral e ângulo lateral, o serviço de manutenção na fachada externa do edifício prisional. Um detento trabalha no topo de uma escada de madeira encostada na parede, acima do portão principal de entrada. No solo, à esquerda, dois soldados da Força Pública em uniforme de campanha fazem a vigilância da área. Ao fundo, observa-se o alinhamento de árvores da Avenida Tiradentes, um poste de madeira com rede elétrica e um ônibus estacionado ao longe. O registro é acompanhado de uma frase crítica no verso sobre o contraste entre a reforma externa e a realidade interna, além de uma nota manuscrita prevendo o fim do presídio.</t>
  </si>
  <si>
    <t>Cerco policial da Força Pública ao redor da Casa de Detenção após tentativa de fuga.</t>
  </si>
  <si>
    <t>A fotografia noturna registra uma movimentação na via pública adjacente aos muros da Casa de Detenção. Em primeiro plano, de costas, destaca-se um soldado da Força Pública usando capacete e portando um fuzil atravessado nas costas. Ele está acompanhado por outros militares armados e homens em trajes civis (ternos), que parecem discutir a situação. Ao fundo, na penumbra, distinguem-se os troncos de árvores e a fachada do presídio com uma janela gradeada. A cena ilustra o cerco montado para evitar a fuga de dois detentos, operação que resultou em um detento baleado e outro foragido.</t>
  </si>
  <si>
    <t>Casa de Detenção; Avenida Tiradentes; Fuga; Força Pública; Cerco policial; Armamento; Tiroteio; 1961.</t>
  </si>
  <si>
    <t>ESTADO
DE PAULO- PENITENCIÁRIA E PRESIDIOS - CASA DE DETENÇÃO DA AVENIDA TIRADENTES - MELIANTE METRALHADO NA CASA DE DETENÇÃO ESTÁ FORA DE PERIGO -
Soldados da Força Publica, de fuzis e metralhadoras em punho, cercaram o velho casarão da av. Tiradentes que serve de estabelecimento penal, na esperança de evitar a fuga da dupla de marginais. Todavia, apenas impediram a passagem de um, que foi baleado, uma vez que o outro detento, mais feliz, conseguiu escapar do bloqueio tomando rumo ignorado DN. 2a. Ed. 13/12/1961-cjs.</t>
  </si>
  <si>
    <t>Pátio interno da Casa de Detenção identificado como local de convívio.</t>
  </si>
  <si>
    <t>Registro fotográfico de uma área externa estreita e murada no interior da unidade prisional, com janelas e portas protegidas por grades. O texto no verso associa o espaço a reuniões de detentos e atividades de lazer coletivo durante um período específico da administração.</t>
  </si>
  <si>
    <t>Pátio; Casa de Detenção; Avenida Tiradentes; Cotidiano prisional; Área de convívio.</t>
  </si>
  <si>
    <t>ESTADO DE S. PAULO - PENITENCIARIAS E PRESIDIOS -CASA DE DETENÇÃO DA AVENIDA TIRADENTES
JOGATINA E EMBRIAGUEZ COM PROTEÇÃO DA GUARDA
No tempo do capitão Trindade, o jogo de azar campeava desenfreadamente nos xadrezes da Detenção. Nesta pequena area, a massa com pouco de dinheiro se reunia para a "ronda".
D.N. 2a. Ed. 1/2/955 jl</t>
  </si>
  <si>
    <t>Registro de rota de acesso em seção administrativa.</t>
  </si>
  <si>
    <t>Fotografia de interior em plano médio mostrando uma escada de madeira posicionada em uma sala de arquivos (seção de expediente). A imagem documenta o caminho utilizado para acessar a cobertura do edifício durante um episódio de evasão.</t>
  </si>
  <si>
    <t>Escada; Seção de expediente; Evasão; Casa de Detenção; Avenida Tiradentes.</t>
  </si>
  <si>
    <t>ESTADO DE S. PAULO- PENITENCIÁRIAS E PRESÍDIOS - CASA DE DETENÇÃO DA AVENIDA TIRADENTES - CASAS DE DETENÇÃO: TRÊS FUGAS E DEZ TENTATIVAS EM 90 DIAS
Na foto colhida na secção de expediente da Casa de Detenção da Av. Tiradentes, vemos a escada de que se utilizou o preso ANTONIO PEDRO DOS SANTOS, perigoso ladrão assaltante, condenado a 16 anos de reclusão; para galgar o telhado do presidio e fugir. Entretanto, foi infeliz o fugitivo, pois ao ganhar a rua foi visto por uma sentinela e recambiado ao xadrez.
DN. 1a Ed., 12/9/1963 - wjp.</t>
  </si>
  <si>
    <t>Cotidiano carcerário e dinâmica de custódia na Casa de Detenção da Avenida Tiradentes.</t>
  </si>
  <si>
    <t>Fotografia analógica em plano médio e ângulo frontal, registrando o interior de uma cela através das grades. A imagem foca em uma pessoa sentada, vestindo calças claras e camisa escura, com o rosto parcialmente oculto por um anteparo branco. Ao fundo, a cela apresenta revestimento de azulejos claros. À esquerda, um segundo homem é visto sorrindo. O registro visual documenta as condições de permanência e a organização interna dos detentos no período anterior à fuga de Luis Volante, servindo como lastro para as denúncias de falta de rigor na vigilância descritas no verso.</t>
  </si>
  <si>
    <t>Casa de Detenção; Avenida Tiradentes; Luis Volante; Jogos de azar; Sistema prisional; São Paulo.</t>
  </si>
  <si>
    <t>Digitalização de fotografia em tom sépia (analógica original)</t>
  </si>
  <si>
    <t>ESTADO DE S. PAULO - PENITENCIARIAS E PRESIDIOS - CASA DE DETENÇÃO DA AVENIDA TIRADENTES
JOGATINA E EMBRIAGUEZ COM PROTEÇÃO DA GUARDA
Antes da fuga de Luis Volante, o jogo de azar campeava, desenfreadamente, na Casa de Detenção. Havia a "proteção" dos guardas. As celas pareciam mais clubes de jogo do que xadrezes para a reclusão de detentos. Varava-se a noite no "carteado".
D.N. 2a. Ed. 1/2/955 jl</t>
  </si>
  <si>
    <t>Organização de celebração natalina para familiares na Casa de Detenção.</t>
  </si>
  <si>
    <t>Fotografia analógica em preto e branco capturada em plano médio, apresentando um homem e duas mulheres em um ambiente interno com estantes de arquivos ao fundo. Uma das mulheres segura uma boneca, e sobre a mesa em primeiro plano há diversos brinquedos e pacotes. A imagem registra a preparação de donativos para o Natal dos filhos dos detentos, servindo como registro visual para o texto do verso que relata os esforços e a escassez de apoio de empresas para a realização da festividade na unidade.</t>
  </si>
  <si>
    <t>Casa de Detenção; Avenida Tiradentes; Natal; Assistência Social; Doação de brinquedos; Sistema prisional.</t>
  </si>
  <si>
    <t>ESTADO DE S. PAULO - PENITENCIARIAS E PRESIDIOS - CASA DE DETENÇÃO DA AVENIDA TIRADENTES
15 FERAS HUMANAS RECUSARAM O NATAL
A organização do Natal dos detentos custou sacreficios e até humilhações aos seus promotores. Firmas poderosas, ricas, com lucros extraordinarios, ganhando mais ainda com artigos desta epoca, negaram apoio a um presente ao filho do encarcerado. Poucos contribuiram de boa vontade. Contudo, a festa será feita.
D.N. 2a. Ed. 16/12/954 j1</t>
  </si>
  <si>
    <t>Registro documental de instrumentos utilizados em evasão na Casa de Detenção.</t>
  </si>
  <si>
    <t>Fotografia analógica em preto e branco, capturada em plano médio, exibindo dois homens em um ambiente interno. O homem à esquerda, trajando paletó escuro, segura um chapéu e aponta para uma corda longa e clara. O homem à direita, vestindo camisa de mangas compridas e calça escura, segura a outra extremidade do objeto, que se estende até o chão. A imagem registra a exibição das cordas improvisadas, identificadas na transcrição como feitas de cordéis de fardos de bacalhau, que serviram para a fuga dos detentos Orlando dos Anjos e João Gonçalo Branco de Abreu.</t>
  </si>
  <si>
    <t>Casa de Detenção; Avenida Tiradentes; Evasão; Prova material; Sistema prisional; São Paulo.</t>
  </si>
  <si>
    <t>Digitalização de fotografia em preto e branco (analógica original).</t>
  </si>
  <si>
    <t>ESTADO DE S. PAULO - PENITENCIARIAS E PRESIDIOS - CASA DE DETENÇÃO DA AVENIDA TIRADENTES
FUGA DE CONDENADOS DA CASA DE DETENÇÃO
Na foto vemos o local por onde os dois detentos, Orlando dos Anjos e João Gonçalo Branco de Abreu, fugiram da Casa de Detenção da Av. Tiradentes, nesta Capital, utilizando-se de cordas, confeccionadas com cordéis que envolviam fardos de bacalhau, para ganhar a rua.
DN. 1a Ed., 4/5/1964 - wjp.</t>
  </si>
  <si>
    <t>Documentação de comissão processante sobre irregularidades na Casa de Detenção.</t>
  </si>
  <si>
    <t>Fotografia analógica em preto e branco que registra a capa do Volume XI de um processo administrativo instaurado pelo Gabinete do Governador. O documento detalha a composição da comissão encarregada da investigação, presidida pelo Dr. Egberto Maia Luz e integrada pelos membros Dr. Paulo F. Furquim de Almeida, Dr. Ruy de Ulhôa Canto e o secretário João A. de São Paulo Pereira. O registro visual complementa a informação presente no verso sobre a magnitude do "dossier", que reuniu onze volumes com mais de 2.600 páginas e 117 depoimentos colhidos até dezembro de 1963 para apurar irregularidades na instituição.</t>
  </si>
  <si>
    <t>Casa de Detenção; Processo administrativo; Gabinete do Governador; Investigação; Irregularidades; São Paulo.</t>
  </si>
  <si>
    <t>ESTADO DE SÃO PAULO - PENITENCIÁRIA E PRESIDIOS - CASA DE DETENÇÃO DA AVENIDA TIRADENTES -
VOLUMOSO PROCESSO - Onze volumes, com mais de 2.600 paginas e 117 depoimentos, constituem o "dossier" sôbre irregularidades na Casa de Detenção.
Arq. 3/12/1963-cjs.</t>
  </si>
  <si>
    <t>Rotina e controle de acesso na seção feminina da Casa de Detenção.</t>
  </si>
  <si>
    <t>Fotografia analógica em preto e branco capturada em plano médio e perfil, mostrando uma funcionária vestindo um casaco claro (possivelmente um uniforme) enquanto manuseia um portão de ferro. Ela segura um grande aro metálico com diversas chaves. Em primeiro plano, na parte inferior, nota-se uma folhagem. A imagem registra o protocolo de segurança da seção feminina, servindo de ilustração para o relato no verso sobre a dinâmica das celas, que permaneciam abertas durante o dia para permitir a circulação das detentas pelas dependências do presídio.</t>
  </si>
  <si>
    <t>Casa de Detenção; Seção feminina; Vigilância; Funcionária; Cotidiano prisional; São Paulo.</t>
  </si>
  <si>
    <t>A FUNCIONARIA FECHANDO UM PORTÃO DA SEÇÃO FEMININA
DN.-1A.-6/10/944
ESTADO DE SÃO PAULO - PENITENCIARIAS E PRESIDIOS-CASA DE DETENÇÃO DA AVENIDA TIRADENTES
[Parte manuscrita parcialmente obstruída]
as célas da Detenção femini na são fechadas pela funcionaria encarregada do serviço. Durante o dia as detentas desfrutam de ampla liberdade de locomoção por todas as dependencias do seu presidio.</t>
  </si>
  <si>
    <t>Perspectiva arquitetônica e dinâmica de circulação em corredor da Casa de Detenção.</t>
  </si>
  <si>
    <t>Fotografia analógica em preto e branco que retrata a perspectiva profunda de um longo corredor interno na Casa de Detenção. A composição centralizada destaca a simetria das portas das celas enfileiradas em ambos os lados do pavilhão. Ao centro, duas pessoas estão posicionadas de pé, aparentemente em diálogo. A iluminação, que provém do fundo do corredor, cria silhuetas e enfatiza a extensão e a infraestrutura do ambiente carcerário na década de 1970.</t>
  </si>
  <si>
    <t>Casa de Detenção; Arquitetura prisional; Cotidiano; Sistema prisional; São Paulo; Corredor.</t>
  </si>
  <si>
    <t>ESTADO DE SÃO PAULO = PENITENCIÁRIA E PRESIDIOS = CASA DE DETENÇÃO
Aspecto interior da Casa de Detenção.
DN-16/1/78.</t>
  </si>
  <si>
    <t>Dinâmica de movimentação e controle em ala da Casa de Detenção.</t>
  </si>
  <si>
    <t>Fotografia analógica em preto e branco capturada em plano médio, registrando o interior de um pavilhão da unidade. A imagem apresenta um corredor amplo com uma grade de ferro transversal que divide o espaço. No centro da composição, um homem caminha em direção ao primeiro plano através de uma abertura na grade, enquanto outras pessoas estão posicionadas ao fundo e nas laterais, apoiados na estrutura metálica. À esquerda, observam-se janelas altas e retangulares que permitem a entrada de luz natural. O registro visual documenta a infraestrutura e o cotidiano de circulação em uma das alas da instituição na década de 1970.</t>
  </si>
  <si>
    <t>Casa de Detenção; Pavilhão; Grade de ferro; Sistema prisional; São Paulo; Circulação interna.</t>
  </si>
  <si>
    <t>ESTADO DE SÃO PAULO = PENITENCIÁRIA E PRESIDIOS = CASA DE DETENÇÃO
Aspecto interior de uma das alas da Casa de Detenção.
DN-16/1/78.</t>
  </si>
  <si>
    <t>Registro arquitetônico do portão principal de acesso da Casa de Detenção da Avenida Tiradentes.</t>
  </si>
  <si>
    <t>Fotografia analógica em preto e branco, capturada em plano médio, apresentando a fachada de um antigo portão com arco de volta inteira. A estrutura possui colunas laterais e detalhes ornamentais no topo, exibindo sinais de desgaste e tijolos expostos na extremidade esquerda. Diversos cabos de fiação elétrica cruzam a imagem em primeiro plano. Ao fundo, à esquerda, observa-se parte de um edifício alvo com janelas. O registro documenta a fachada do edifício que, segundo o verso, possui mais de 150 anos de história no contexto do sistema prisional paulista.</t>
  </si>
  <si>
    <t>Casa de Detenção; Avenida Tiradentes; Arquitetura; Patrimônio histórico; portão; São Paulo.</t>
  </si>
  <si>
    <t>ESTADO DE SÃO PAULO = PENITENCIARIAS E PRESIDIOS = CASA DE DETENÇÃO (Av.Tiradentes)
Através destes portos passaram protagonistas de dramas e tragédias.
é o casarão da Av.Tiradentes que tem mais de 150 anos.
DSP-13/3/77-dcp.</t>
  </si>
  <si>
    <t>Densidade demográfica e superlotação na Casa de Detenção.</t>
  </si>
  <si>
    <t>Fotografia analógica em preto e branco capturada em plano aberto, documentando uma grande aglomeração de detentos sentados no chão do pátio externo da instituição. Ao fundo, observam-se os muros altos que delimitam o presídio, com pequenas estruturas de observação no topo. A imagem registra visualmente o estado de superlotação da unidade em maio de 1976, servindo de lastro para o dado estatístico presente no verso, que indica a presença de 6.041 pessoas em um espaço com capacidade projetada para 2.200.</t>
  </si>
  <si>
    <t>Casa de Detenção; Superlotação; População carcerária; Sistema prisional; São Paulo; Pátio.</t>
  </si>
  <si>
    <t>ESTADO DE SÃO PAULO - PENITENCIARIA E PRESIDIOS - CASA DE DETENÇÃO
Onde cabem 2.200 estão 6.041. É a cadeia superlotada
DN.17/5/1976--dcc</t>
  </si>
  <si>
    <t>Pavilhão 5 na data da inauguração (17.12.1963)</t>
  </si>
  <si>
    <t>Vista externa de um pavilhão carcerário de três andares com janelas gradeadas, protegido por uma muralha de segurança e passarelas de vigilância com guaritas. Em primeiro plano, observa-se uma área aberta com a presença de carros antigos e pequenos grupos de pessoas, possivelmente autoridades e funcionários no dia da inauguração.</t>
  </si>
  <si>
    <t>Inauguração; Pavilhão; Ademar de Barros; Carandiru; Arquitetura prisional; Muralha</t>
  </si>
  <si>
    <t>"Digitalização de fotografia em preto e branco 
(analógica original)"</t>
  </si>
  <si>
    <t>ESTADO DE SAO PAULO = PENITENCIARIAS E PRESIDIOS - CASA DE DETENÇÃO DO CARANDIRÚ -
ADEMAR INAUGURA PRESÍDIO - Foi inaugurado hoje, mais um pavilhão da nova Casa de Detenção, no Carandiru. O bloco possui 500 celas individuais e é o quinto a ser inaugurado dos nove projetados, destinando-se aos detentos de crimes de peculato que se encontram mantidos no presidio da avenida Tiradentes. O ato foi abrilhantado pela banda de musica daquele estabelecimento penal e contou com a presença do governador Ademar Pereira de Barros, sua esposa dona Leonor Mendes, do sr. Joao Tavares da Silva, diretor da Casa de Detenção e outras autoridades.
ver, DN. 2a. Ed. 17/12/1963-cjs.
DSP- 3/9/1975- dec</t>
  </si>
  <si>
    <t>Atendimento médico emergencial após tentativa de evasão na Casa de Detenção.</t>
  </si>
  <si>
    <t>Fotografia analógica em tom sépia, capturada em plano médio no interior de uma ambulância. A imagem registra um homem deitado em uma maca, vestindo trajes claros e apresentando graves ferimentos na região da face. À direita, um profissional de saúde, vestindo branco, inclina-se sobre o paciente em atitude de assistência. No fundo do compartimento, observa-se um cilindro de oxigênio com manômetro e uma tela de ventilação. O registro documenta o socorro prestado a Mauro Cardoso da Silva após ser atingido durante uma tentativa de fuga coletiva na madrugada de 13 de dezembro de 1961, conforme detalhado no verso do documento.</t>
  </si>
  <si>
    <t>Casa de Detenção; Avenida Tiradentes; Tentativa de fuga; Atendimento médico; Ambulância; Mauro Cardoso da Silva; Sistema prisional.</t>
  </si>
  <si>
    <t>ESTADO DE SÃO PAULO - PENITENCIARIAS E PRESIDIOS - CASA DE DETENÇÃO DA AVENIDA TIRADENTES
METRALHADOS DURANTE A FUGA OS PRESIDIARIOS. O assaltante Mauro Cardoso da Silva, que participou do motim no Manicomio Judiciário, há três anos, é assistido no interior de uma ambulância, em estado desesperador por ter sido atingido com três tiros de metralhadora em pleno rosto quando tentava fugir juntamente com outros presidiários, da Casa de Detenção da Avenida Tiradentes, na madrugada de 12 para 13 de dezembro de 1961.
Ver DN., 1a Ed., 13/12/961 acf</t>
  </si>
  <si>
    <t>Mobilização policial após fuga coletiva na Casa de Detenção da Avenida Tiradentes.</t>
  </si>
  <si>
    <t>Fotografia analógica em preto e branco capturada em plano aberto em frente à Casa de Detenção da Avenida Tiradentes. A imagem registra o momento em que tropas da Força Pública (FP) chegam ao local para reforçar o policiamento após a notícia de uma fuga coletiva. Em primeiro plano, observa-se um contingente de soldados fardados, equipados com capacetes e rifles, posicionados de costas para a câmera em direção à entrada do presídio. À direita, civis e outros funcionários acompanham a movimentação próximo a uma guarita. O registro visual documenta a resposta institucional a uma evasão realizada por meio de um túnel de 12 metros, conforme relatado no verso do documento.</t>
  </si>
  <si>
    <t>Casa de Detenção; Avenida Tiradentes; Fuga; Força Pública; Policiamento; São Paulo.</t>
  </si>
  <si>
    <t>ESTADO DE SÃO PAULO - PENITENCIARIAS E PRESIDIOS = CASA DE DETENÇÃO DA AVENIDA TIRADENTES=
POR UM TUNEL DE 12 METROS EVADIRAM-SE NOVE CRIMINOSOS
Flagrante tomado na tarde do dia 6/3/960, em frente à Casa de Detenção, quando foi noticiada a fuga dos detentos: Joaquim Gonçalves dos Santos; Antonio Paulo Lima Filho; Jose da Silva; Benedito França Nantes; Darci da Silva; Americo Calice; Carlos Marcelo Catapreta; Sergio Bonafe e Mario Alves de Oliveira, quase todos ladrões. Na foto, tropas da FP chegam para reforçar o policiamento no presídio.
DN Ia.Ed. 7/3/960 W-</t>
  </si>
  <si>
    <t>Mobilização de familiares após notícia de fuga na Casa de Detenção.</t>
  </si>
  <si>
    <t>Fotografia analógica em preto e branco capturada em plano aberto, registrando uma aglomeração de pessoas em frente à entrada da Casa de Detenção da Avenida Tiradentes. A imagem foca no grupo de familiares que aguardam informações oficiais sobre os detentos após a divulgação de uma fuga coletiva via túnel. À direita, vê-se uma guarita de alvenaria e, ao fundo, a fachada do presídio emoldurada por árvores. O registro documenta o clima de expectativa e a repercussão social do evento ocorrido em março de 1960.</t>
  </si>
  <si>
    <t>Casa de Detenção; Avenida Tiradentes; Fuga; Familiares; Repercussão social; São Paulo.</t>
  </si>
  <si>
    <t>ESTADO DE SÃO PAULO - PENITENCIARIAS E PRESIDIOS = CASA DE DETENÇÃO DA AVENIDA TIRADENTES
POR UM TUNEL DE 12 METROS EVADIRAM-SE NOVE CRIMINOSOS
Flagrante tomado na tarde do dia 6/3/1960, em frente à Casa de Detenção, instantes depois de ter sido noticiado a fuga de vários detentos. Familiares dos presos esperam a ordem da administração para ser iniciada a visita, quando então saberiam-se entre os fugitivos figuravam ou não algum parente. Os fugitivos foram: Joaquim Gonçalves dos Santos; Antonio Paulo Lima Filho; Jose da Silva; Benedito França Nantes; Darci da Silva; Americo Calice; Carlos Marcelo Catapreta; Sergio Bonafé e Mario Alves de Oliveira, quase todos ladrões.
DN Ia.Ed. 7/3/1960 W</t>
  </si>
  <si>
    <t>Solenidade de homenagem e pronunciamento de detento na Casa de Detenção.</t>
  </si>
  <si>
    <t>Fotografia analógica em preto e branco capturada em plano médio, apresentando um grupo de homens em um ambiente interno. No centro da composição, o detento Antonio Seledo é retratado de perfil enquanto profere um discurso. Ao seu redor, figuram autoridades identificadas no verso como o diretor do presídio, Sr. Rubens Liberatori, e o presidente da U.P.B., Sr. Lucio Inacio. O registro documenta uma cerimônia de homenagem prestada pelos detentos ao jornal "Diario da Noite" e à U.P.B. em janeiro de 1955.</t>
  </si>
  <si>
    <t>Casa de Detenção; Antonio Seledo; Rubens Liberatori; Lucio Inacio; U.P.B.; Homenagem; São Paulo.</t>
  </si>
  <si>
    <t>ESTADO DE S. PAULO-PENITENCIARIAS E PRESIDIOS - CASA DE DETENÇÃO DA AVENIDA TIRADENTES
APÓS A EXIBIÇÃO PASSARAM A NOITE "PRATICANDO" BOX
Os detentos fizeram questão de homenagear o Diario da Noite e a U.P.B. Vemos na foto, o detento Antonio Seledo, quando fazia uso da palavra, aparecendo tambem o diretor do presidio, sr. Rubens Liberatori e o sr. Lucio Inacio, presidente da U.P.B.
D.N.2a.Ed.28/1/955 j1</t>
  </si>
  <si>
    <t>Exercícios de instrução e formação cívica na Casa de Detenção.</t>
  </si>
  <si>
    <t>Fotografia analógica em preto e branco, capturada em plano aberto, apresentando um grande contingente de homens vestidos com uniformes claros, alinhados em formação em um pátio externo. No muro ao fundo, observa-se um painel com a inscrição: "APAIXONA-TE PELA TUA PATRIA, TRABALHA, CONFIA E PROSPERA". A imagem registra a realização de exercícios denominados como "pré-militar" pelos detentos da unidade em julho de 1944, servindo como documento visual dos métodos de disciplina e exaltação patriótica vigentes no sistema prisional paulista no período.</t>
  </si>
  <si>
    <t>Casa de Detenção; Exercícios pré-militares; Instrução cívica; Sistema prisional; São Paulo; Pátio.</t>
  </si>
  <si>
    <t>GRUPO DE PRESOS DA CASA DE DETENÇÃO, QUANDO FAZIAM EXERCIOS PRÉ-MILITAR
DN.-2A.-1/7/944
ESTADO DE SÃO PAULO - PENITENCIARIAS E PRESIDIOS - CASA DE DETENÇÃO DA AVENIDA TIRADENTES</t>
  </si>
  <si>
    <t>Registro de produção artesanal por detento e interface com a imprensa na Casa de Detenção.</t>
  </si>
  <si>
    <t>Fotografia analógica em preto e branco, capturada em plano médio, que documenta a interação entre um profissional de imprensa e um detento da unidade. À esquerda, o repórter, vestindo terno e óculos, observa com atenção um objeto pequeno e escuro posicionado sobre um pano branco. À direita, o detento identificado como "Guaraná" segura o item, apresentando-o como um de seus trabalhos artesanais. O preso utiliza um gorro listrado e uma camiseta clara com detalhes escuros na gola. A imagem registra o cotidiano de labor e a visibilidade mediática de prisioneiros em meados da década de 1950.</t>
  </si>
  <si>
    <t>Casa de Detenção; Artesanato; "Guaraná"; Repórter; Trabalho prisional; São Paulo.</t>
  </si>
  <si>
    <t>ESTADO DE SAO PAULO - PENITENCIARIAS E PRESIDIOS-CASA DE DETENÇÃO DA AVENIDA TIRADENTES.
SOMENTE PARA A JOGATINA NÃO HAVIA CÂMBIO NEGRO NA CADA DE DETENÇÃO
"Guaraná", um dos prisioneiros da Casa de Detenção, exibe ao reporter um dos seus trabalhos.
D.N.Ed.Unica 1/11/954 j1</t>
  </si>
  <si>
    <t>Evento coletivo e registro de superlotação no pátio da Casa de Detenção.</t>
  </si>
  <si>
    <t>Fotografia analógica em preto e branco capturada em plano aberto a partir de uma perspectiva elevada ou de um palco. Em primeiro plano, veem-se as costas de cinco pessoas voltadas para uma vasta multidão de detentos sentados no pátio, com um microfone visível na parte superior, possivelmente, uma banda artística. Ao fundo, destaca-se um edifício prisional de múltiplos andares. A imagem documenta visualmente a escala da população carcerária em um período de superlotação crítica, servindo de evidência para o dado estatístico do verso, que aponta a presença de 6.041 presos em um local com capacidade para 2.200.</t>
  </si>
  <si>
    <t>Casa de Detenção; Superlotação; População carcerária; Evento no pátio; Sistema prisional; São Paulo.</t>
  </si>
  <si>
    <t>ESTADO DE SÃO PAULO = PENITENCIARIAS E PRESIDIOS = CASA DE DETENÇÃO
3.841 presos a mais na Casa de Detenção, o grande perigo. Onde cabem 2.200 estão 6.041. É a cadeia superlotada.
XXX. DN. 17/5/976</t>
  </si>
  <si>
    <t>Atividade cultural e registro de superlotação no pátio da Casa de Detenção.</t>
  </si>
  <si>
    <t>Fotografia analógica em preto e branco capturada em plano aberto a partir de uma perspectiva lateral sobre um palco. No palco, observa-se um grupo de músicos, com destaque para um jovem em primeiro plano tocando um tamborim ou pequeno instrumento de percussão. Ao fundo, uma vasta multidão de detentos sentados no pátio assiste à apresentação, emoldurada pela arquitetura de um dos pavilhões da unidade. O registro documenta um momento de entretenimento coletivo que contrasta com o dado estatístico de superlotação anotado no verso, indicando a presença de 6.041 pessoas em um espaço projetado para 2.200.</t>
  </si>
  <si>
    <t>Casa de Detenção; Atividade cultural; Música; Superlotação; População carcerária; São Paulo; Pátio.</t>
  </si>
  <si>
    <t>ESTADO DE SÃO PAULO - PENITENCIARIA E PRESIDIOS - CASA DE DETENÇÃO
Onde cabem 2.200 estão 6.041. É a cadeia superlotada
BN.17/5/1976--dcc</t>
  </si>
  <si>
    <t>Fachada interna da antiga Casa de Detenção da Avenida Tiradentes.</t>
  </si>
  <si>
    <t>Registro fotográfico da área interna da antiga Casa de Detenção de São Paulo, localizada na Avenida Tiradentes, por ocasião de seu fechamento definitivo em 1964. A imagem destaca a arquitetura prisional de múltiplos pavimentos com janelas gradeadas e pátio interno. O verso contém um recorte de jornal e datilografias que enfatizam o caráter histórico e o encerramento das atividades do prédio após 112 anos de funcionamento, mencionando seu uso anterior como presídio político.</t>
  </si>
  <si>
    <t>Casa de Detenção; Avenida Tiradentes; Sistema Prisional; São Paulo; História Política; Arquitetura Judiciária.</t>
  </si>
  <si>
    <t>ESTADO DE S. PAULO - PENITENCIARIAS E PRESIDIOS - CASA DE DETENÇÃO DA AVENIDA TIRADENTES
FECHAM-SE AS PORTAS DA VELHA CASA DE DETENÇÃO
Somente sombras. Ninguem para dizer da historia que estas paredes frias guardaram durante 112 anos.
DN, 2a Ed. 7/5/1964 W/
Cento e doze anos depois de sua inauguração (7 de maio de 1852) fecham-se as portas da velha Casa de Detenção da avenida Tiradentes. Fecham-se para não abrir nunca mais. Por ali passaram nomes famosos. Tristemente famosos. Ali estiveram homens publicos quando, pouco tempo depois de sua inauguração a Casa de Detenção foi presidio politico. E toda a historia que termina agora - da velha cadeia se escreveu pela violencia. Violencia gerada pela promiscuidade em que sempre viveram aqueles que ali estiveram.</t>
  </si>
  <si>
    <t>Celebração de Natal para detentos e seus familiares na Casa de Detenção da Avenida Tiradentes.</t>
  </si>
  <si>
    <t>Registro fotográfico de uma aglomeração de pessoas durante uma festividade natalina no interior da unidade prisional. A imagem captura homens, mulheres e crianças (familiares dos detentos) reunidos em um pátio. O texto no verso detalha que o evento foi realizado pela direção da Casa de Detenção para mais de 800 pessoas, com a distribuição de doces, brinquedos e roupas para os filhos dos presos, sendo o flagrante registrado pela reportagem do "Diario da Noite".</t>
  </si>
  <si>
    <t>Palavras-chave: Casa de Detenção; Avenida Tiradentes; Natal; Assistência Social; Familias; "Detentos".</t>
  </si>
  <si>
    <t>ESTADO DE S. PAULO - PENITENCIARIAS E PRESIDIOS - CASA DE DETENÇÃO DA AVENIDA TIRADENTES
NATAL NA CASA DE DETENÇÃO
Depois de enfrentar dificuldades inumeras, a direção da Casa de Detenção conseguiu fazer realizar o Natal dos detentos. Mais de 800 homens e mulheres, ali recolhidos tiveram a satisfação de ver suas familias numa festa que tocou fundo no coração de todos. Doces, brinquedos e roupas foram distribuidos para os filhos de presos. Houve alegria, conforme mostra o flagrante colhido pela reportagem do Diario da Noite,
D.N. 2a. Ed. 27/12/954 jl</t>
  </si>
  <si>
    <t>Sentinela em frente ao novo Pavilhão 8 da Casa de Detenção do Carandiru</t>
  </si>
  <si>
    <t>Registro fotográfico da área externa do complexo do Carandiru, destacando a fachada lateral de um dos novos pavilhões (Pavilhão 8) com múltiplas janelas pequenas e uniformes. Em primeiro plano, observa-se um soldado armado e equipado com capacete, de costas para a câmera, realizando a guarda da unidade. O verso da imagem contém recortes e anotações datilografadas sobre a inauguração do Pavilhão 8, mencionando a presença do governador Carvalho Pinto, a capacidade de 562 celas individuais e o investimento de 300 milhões de cruzeiros como parte do Plano de Ação para solucionar o problema carcerário da capital.</t>
  </si>
  <si>
    <t>Palavras-chave: Casa de Detenção do Carandiru; Pavilhão 8; Policiamento; Inauguração; Arquitetura Prisional; Carvalho Pinto.</t>
  </si>
  <si>
    <t>ESTADO DE SÃO PAULO = PENITENCIARIAS E PRESIDIOS - CASA DE DETENÇÃO DO CARANDIRU
VAI SER INAUGURADO O PAVILHÃO NUMERO 8 DA CASA DE DETENÇÃO - Será inaugurado no proximo dia 23, em solenidade a realizar-se às onze horas, com a presença do governador Carvalho Pinto, o Pavilhão numero oito da Casa de Detenção de São Paulo, no Carandiru, contando com 562 celas individuais. Na sua construção, juntamente com a do Pavilhão numero nove, com igual capacidade e em fase final de obras, foram já aplicados 300 milhões de cruzeiros de verbas do Plano de Ação. Trata-se de um esforço para a solução do problema carcerario da Capital. Os objetivos do PA nesse setor incluem, tambem, a proxima conclusão da Penitenciaria de Presidente Wenceslau e a construção de outras duas Penitenciarias regionais. No clichê, aspecto do novo Pavilhão da Casa de Detenção de São Paulo.
DSP 20/8/960 acf
NÃO HA BEIJOS NAS VISITAS NA NOVA CASA DE DETENÇÃO
DN Ia. Ed. 14/8/1961 W/
CARANDIRU: OS FRIOS MUROS DE CONCRETO
DSP., Supl. Bairros, 14/11/1965-drb
DN 1a ed. 3/9/75-MBO</t>
  </si>
  <si>
    <t>Pavilhões 2, 5 e 8 – grafite e muralhas internas (08.01.1969)</t>
  </si>
  <si>
    <t>Caixa: 3055
Folder: 3</t>
  </si>
  <si>
    <t>Fotografia do pátio interno da Casa de Detenção, pavimentado com paralelepípedos. Em primeiro plano, à direita, destaca-se um grande painel curvo com ilustrações de personagens infantis (como os Três Porquinhos, o Lobo Mau, o Peter Pan e o Grilo Falante) e um balão de fala com a frase: "anos nossos amiguinhos, sinceros votos de Boas Festas e Alegre Ano Nôvo...". Ao fundo, observam-se pavilhões carcerários, muros de segurança e um pequeno grupo de pessoas próximas a uma edificação branca.</t>
  </si>
  <si>
    <t>Casa de Detenção; Carandiru; Natal; Humanização; Painel decorativo; Personagens infantis; Pátio.</t>
  </si>
  <si>
    <t>ESTADO DE SÃO PAULO _ PENITENCIÁRIAS E PRESIDIOS - CASA DE DETENÇÃO DO CARANDIRÚ
CARANDIRÚ: UMA DETENÇÃO QUE SE TORNA MAIS HUMANA.
Um aspecto tomado no interior da Casa de Detenção, à época dos festejos natalinos.
DN.2a.Ed.- 8/1/1969 - JCM</t>
  </si>
  <si>
    <t>Homem em atividade de organização de arquivos e prontuários no interior da Casa de Detenção do Carandiru.</t>
  </si>
  <si>
    <t>Fotografia em plano médio registrando um homem de costas, trajando camisa e calças claras, em frente a uma extensa estante repleta de pastas, documentos ou prontuários organizados verticalmente. A cena captura o ambiente de arquivamento da Casa de Detenção do Carandiru, evidenciando a infraestrutura administrativa da época. No topo das prateleiras, nota-se uma fileira de livros volumosos, encadernados e numerados. O teto possui tubulações hidráulicas aparentes e há cortinas de tecido claro nas extremidades das estantes, sugerindo a divisão ou proteção do acervo documental.</t>
  </si>
  <si>
    <t>Carandiru; Casa de Detenção; Arquivo; Prontuários; Administração Prisional; São Paulo; História Penitenciária.</t>
  </si>
  <si>
    <t>ESTADO DE SÃO PAULO - PENITENCIÁRIAS E PRESIDIOS - CASA DE DETENÇÃO DO CARANDIRÚ.
CARANDIRÚ: UMA DETENÇÃO QUE SE TORNA MAIS HUMANA.
Aspecto tomado no interior do presidio.
DN.2a.Ed.- 8/1/1969 - JCM</t>
  </si>
  <si>
    <t>Familiares e crianças aguardam entrada na Casa de Detenção do Carandiru em contexto de instabilidade.</t>
  </si>
  <si>
    <t>Fotografia em preto e branco capturada em plano médio, retratando um grupo de mulheres e crianças em uma área externa, possivelmente o pátio ou entrada da Casa de Detenção do Carandiru. À direita, um oficial fardado é visto de costas, voltado para o grupo. As expressões das mulheres denotam preocupação e apreensão. O chão está repleto de fragmentos de papel e detritos. No plano de fundo, observam-se edificações urbanas e a estrutura de um veículo de carga. A composição registra o momento de tensão e a espera de familiares por notícias ou permissão de ingresso após um episódio de conflito interno na unidade.</t>
  </si>
  <si>
    <t>Carandiru; Casa de Detenção; Familiares de presos; Tensão social; São Paulo; História Prisional.</t>
  </si>
  <si>
    <t>ESTADO DE SAO PAULO - PENITENCIÁRIAS E PRESIDIOS - CASA DE DETENÇÃO DO CARANDIRÚ -
DETENÇÃO: REGIME DO TERROR PROVOCOU MOTIM -
Dúvida, intranquilidade e temor levaram esse gen te às portas da Casa de Detenção, cuja barreira foi vencida pela resignação. A proibição caiu e todos puderam entrar no cenario da reeblião.
DN. 2a. Ed. 17/8/1964-cjs. 8 18 (1)</t>
  </si>
  <si>
    <t>Intervenção do Corpo de Bombeiros no pátio da Casa de Detenção do Carandiru durante ocorrência noturna.</t>
  </si>
  <si>
    <t>Fotografia noturna registrando a parte traseira de um caminhão de bombeiros da "Força Pública" estacionado em uma área coberta ou garagem. Sobre a plataforma do veículo, dois bombeiros fardados e equipados com capacetes manuseiam equipamentos. No canto direito, um oficial em uniforme escuro observa a operação. A imagem retrata a mobilização de forças de segurança e socorro em resposta a um "motim" ocorrido na noite do dia 14.</t>
  </si>
  <si>
    <t>Carandiru; Casa de Detenção; Motim; Corpo de Bombeiros; Força Pública; São Paulo; Segurança Pública.</t>
  </si>
  <si>
    <t>ESTADO DE SÃO PAULO =
PENITENCIÁRIAS E PRESIDIOS - CASA DE DETENÇÃO DO CARANDIRU -
MOTIM DE ODIO E DESESPÊRO SACUDIU CASA DE DETENÇÃO -
Flagrante tomado durante o tragico motim ocorrido na Casa de Detenção do Carandiru, na noite do dia 14.
Ver, DN, 1a. Ed. 17/8/1964 dmc</t>
  </si>
  <si>
    <t>Vista externa da muralha e celas iluminadas da Casa de Detenção do Carandiru durante a noite.</t>
  </si>
  <si>
    <t>Fotografia noturna com alto contraste apresentando a fachada de um dos pavilhões da Casa de Detenção. Em primeiro plano, destacam-se estruturas verticais que parecem ser postes ou parte da segurança perimetral. Ao fundo, a muralha exibe uma fileira de janelas pequenas e quadradas, intensamente iluminadas, criando pontos de luz contra a escuridão. O registro visual enfatiza o estado de vigilância da unidade durante o período noturno relacionado ao "motim" citado na documentação.</t>
  </si>
  <si>
    <t>Carandiru; Casa de Detenção; Arquitetura Prisional; Vigilância; São Paulo; História Penitenciária.</t>
  </si>
  <si>
    <t>ESTADO DE SAI OAYKI =
PENITENCIÁRIAS E PRESIDIOS - CASA DE DETENÇÃO DO CARANDIRU -
MOTIM DE ODIO E DESEPÊRO SACUDIU A CASA DE DETENÇÃO -
Flagrante tomado durante o tragico motim ocorrido na Casa de Detenção do Carandiru, na noite do dia 14.
Ver, DN, 1a. d. 17/8/1964 dmc</t>
  </si>
  <si>
    <t>Vista do interior de uma cela individual na Casa de Detenção do Carandiru.</t>
  </si>
  <si>
    <t>Fotografia em plano médio do interior de uma cela individual, apresentando uma cama de ferro com lençóis e travesseiro. À esquerda, observa-se um pequeno móvel com objetos pessoais, livros empilhados no chão, uma mala e jornais sob a cama. Ao fundo, uma janela alta com grades permite a entrada de luz natural. A documentação indica que esta era uma das cerca de 2.400 celas idênticas em fase de construção para a unidade.</t>
  </si>
  <si>
    <t>Casa de Detenção; Cela individual; Arquitetura Prisional; Condições de encarceramento; São Paulo.</t>
  </si>
  <si>
    <t>ESTADO DE SAO PAULO
PENITENCIARIAS E PRESIDIOS = CASA DE DETENÇÃO DO CARANDIRU
UM MILHÃO DE CRUZEIROS CUSTARÁ CADA CELA DA CASA DE DETENÇÃO
Interior de uma cela individual da nova Casa de Detenção. Cerca de 2.400 celas idênticas estão sendo construídas naquele local
DN Ia.Ed. 30/11/960 W/</t>
  </si>
  <si>
    <t>Pavilhões 4 e 7 em obras (1977)</t>
  </si>
  <si>
    <t>Registro fotográfico de um grande edifício carcerário em fase de construção, com toda a sua fachada lateral coberta por uma extensa e complexa estrutura de andaimes de madeira. A imagem detalha as aberturas das janelas com grades já instaladas na alvenaria de tijolos aparentes. No plano inferior, observa-se o canteiro de obras com terra batida, um trator de pequeno porte e materiais de construção espalhados.</t>
  </si>
  <si>
    <t>Casa de Detenção; Carandiru; Construção civil; Expansão prisional; Andaimes; Pavilhões; Infraestrutura.</t>
  </si>
  <si>
    <t>ESTADO DE SÃO PAULO = PENITENCIARIAS E PRESIDIOS = CASA DE DETENÇÃO
Os novos pavilhões da Casa de Detenção ampliarão em 1.300 vagas a capacidade normal do estabelecimento.
Arq. 26/5/1977</t>
  </si>
  <si>
    <t>Fachada, 1976. Legenda indica que 40 pessoas saíram no indulto natalino do General Geisel</t>
  </si>
  <si>
    <t>Fotografia noturna da fachada da Casa de Detenção, com o letreiro "CASA DE DETENÇÃO" em destaque no topo do pórtico de entrada. A imagem registra o momento em que detentos, beneficiados por indulto presidencial, deixam o estabelecimento. Observa-se a movimentação de pessoas no pátio de entrada, veículos estacionados e o tráfego de um automóvel em movimento (efeito de rastro) no primeiro plano.</t>
  </si>
  <si>
    <t>Casa de Detenção; Indulto natalino; Libertação de presos; Fachada noturna; Sistema prisional; São Paulo.</t>
  </si>
  <si>
    <t>ESTADO DE SÃO PAULO - CAPITAL - PENITENCIARIAS E PRESIDIOS - CASA DE DETENÇÃO
Ontem a noite, cerca das 21.30 horas os portões da Casa de Detenção abriram-se para dar liberdade a um grupo de aproximadamente 40 detentos que foram beneficiados com o idulto natalino do presidente da Republica
DNZ. 24/12/1976 - dcc</t>
  </si>
  <si>
    <t>Fotografia que registra o canteiro de obras de um grande pavilhão carcerário de cinco andares. O edifício apresenta estrutura de concreto e alvenaria de tijolos aparentes, com janelas já dotadas de grades metálicas. É possível observar andaimes de madeira instalados em uma das faces do prédio, um guindaste ao fundo e diversos operários trabalhando na base da construção, em meio a materiais e terra batida.</t>
  </si>
  <si>
    <t>Casa de Detenção; Carandiru; Construção civil; Superlotação carcerária; Expansão prisional; Pavilhões; Operários.</t>
  </si>
  <si>
    <t>PENITENCIARIA E PRESIDIOS - CASAA DE DETENÇÃO -
O Governo do Estado esta construindo dois predios com cinco andares cada, para aliviar o problemas da superpulação existente na Casa de Detenção
DN. 26/5/1977</t>
  </si>
  <si>
    <t>Oficial de segurança operando portão de ferro na entrada da Casa de Detenção do Carandiru.</t>
  </si>
  <si>
    <t>Fotografia em plano médio registrando um homem fardado, possivelmente um guarda prisional, com a mão sobre a fechadura de um grande portão de grades de ferro. Através das grades, observa-se a fachada de um edifício de múltiplos pavimentos com várias janelas pequenas e repetitivas. A imagem documenta o controle de acesso e a infraestrutura de segurança da unidade, descrita na documentação como a "nova Casa de Detenção" em registros de arquivo.</t>
  </si>
  <si>
    <t>Carandiru; Casa de Detenção; Segurança; Guarda prisional; Arquitetura Prisional; São Paulo; Acesso.</t>
  </si>
  <si>
    <t>ESTADO DE SAO PAULO - PENITENCIARIAS E PRESIDIOS - CASA DE DETENÇÃO (CARANDIRÚ)
Porta de segurança da entrada, da nova Casa de Detenção do Carandirú.
Arq. 12/9/956 j1
"ESQUEMA 4" INVADE A CASA DE DETENÇÃO"
DN. 1ª Ed., 3/3/1964 - wjp.</t>
  </si>
  <si>
    <t>Sentinelas posicionados no topo das muralhas da Casa de Detenção do Carandiru.</t>
  </si>
  <si>
    <t>Fotografia em ângulo baixo capturando a extensão vertical da muralha de concreto da unidade prisional. No topo, observam-se três homens em trajes de serviço realizando a vigilância perimetral. Na parte inferior esquerda, é visível uma janela protegida por grades de ferro. A imagem integra a documentação histórica sobre a infraestrutura de segurança da então "nova" Casa de Detenção.</t>
  </si>
  <si>
    <t>Carandiru; Casa de Detenção; Muralhas; Vigilância; Arquitetura Prisional; São Paulo; Segurança.</t>
  </si>
  <si>
    <t>ESTADO DE SAO PAULO = PENITENCIÁRIAS E PRESIDIOS - CASA DE DETENÇÃO (CARANDIRÚ)
Muralhas da nova Casa de Detenção do Carandirú.
Arq. 12/9/956 j1</t>
  </si>
  <si>
    <t>Interior de cela da Casa de Detenção da Avenida Tiradentes (São Paulo)</t>
  </si>
  <si>
    <t>Fotografia em preto e branco do interior de uma cela da antiga Casa de Detenção da Avenida Tiradentes, em São Paulo, produzida no contexto do fechamento definitivo da instituição após 112 anos de funcionamento. A imagem apresenta uma porta metálica parcialmente aberta, com a inscrição “20” na parte superior. Observam-se paredes com desgaste acentuado, descascamento do reboco e marcas de umidade, além de piso simples e ambiente vazio, sem presença humana. O registro documenta as condições físicas internas de uma das celas do antigo presídio no momento em que suas atividades foram encerradas.</t>
  </si>
  <si>
    <t>Casa de Detenção; Avenida Tiradentes; São Paulo; sistema prisional; cela; penitenciária; cárcere; fechamento institucional; 1964; patrimônio histórico.</t>
  </si>
  <si>
    <t>ESTADO DE S. PAULO – PENITENCIARIAS E PRESIDIOS – CASA DE DETENÇÃO DA AVENIDA TIRADENTES
FECHAM-SE AS PORTAS DA VELHA CASA DE DETENÇÃO
Aspecto interno de uma cela da velha Casa de Detenção. Não será mais usada. Nem esta nem nenhuma outra do antigo presidio da avenida Tiradentes, que depois de cento e doze anos de sua inauguração teve fechadas para sempre as suas portas.
Ver DN 2ª Ed., 7/5/1964 – JCM
DSP-13/3/77-dcp.</t>
  </si>
  <si>
    <t>Remoção de mulher ferida durante motim na Casa de Detenção do Carandiru (São Paulo)</t>
  </si>
  <si>
    <t>Fotografia em tonalidade sépia representando o momento em que policiais carregam uma mulher ferida durante o motim ocorrido na Casa de Detenção do Carandiru, em São Paulo, na noite do dia 14 de agosto de 1964. A mulher é transportada nos braços por dois agentes, um deles utilizando capacete e uniforme operacional. A cena ocorre em área externa, com veículos estacionados ao fundo e edificações visíveis. Um menino caminha em primeiro plano à direita, afastando-se do grupo. A imagem documenta a atuação policial e as consequências do motim, que resultou em mortos e centenas de feridos, conforme indicado na transcrição datilografada no verso.</t>
  </si>
  <si>
    <t>Casa de Detenção do Carandiru; São Paulo; motim; sistema prisional; violência institucional; polícia; 1964; feridos; remoção de vítimas; registro documental.</t>
  </si>
  <si>
    <t>ESTADO DE SÃO PAULO – PENITENCIARIAS E PRESIDIOS – CASA DE DETENÇÃO DO CARANDIRU
SANGRENTO MOTIM NA CASA DE DETENÇÃO: MUITOS MORTOS E CENTENAS DE FERIDOS
Na foto, policiais carregam uma das mulheres, vítima do trágico motim ocorrido na Casa de Detenção na noite do dia 14.
DSP, 16/8/1964</t>
  </si>
  <si>
    <t>Estrutura em fase inicial das obras do conjunto carcerário da nova Casa de Detenção do Carandiru.</t>
  </si>
  <si>
    <t>A fotografia registra o estágio inicial das obras de expansão do complexo penitenciário, destacando a estrutura de concreto armado (pilares e vigas) de um grande conjunto de edifícios ainda sem alvenaria. O canteiro de obras é visto à distância, cercado por arame farpado em primeiro plano e vegetação rasteira. Ao centro, observa-se uma pequena construção rústica de madeira com telhado cerâmico, possivelmente um abrigo de apoio para a obra.</t>
  </si>
  <si>
    <t>Casa de Detenção; Carandiru; Obras; Estrutura; Expansão prisional; Conjunto carcerário; Construção civil.</t>
  </si>
  <si>
    <t>ESTADO DE SÃO PAULO = PENITENCIARIAS E PRESIDIOS - CASA DE DETENÇÃO -
FICOU NA ESTRUTURA O MAIOR CONJUNTO CARCERÁRIO DA NOVA CASA DE DETENÇÃO
Aspecto das obras da Casa de Detenção de São Paulo.
Ver D.N. 2a. Ed. 11/12/957 jl</t>
  </si>
  <si>
    <t>“Total abandono” – Pavilhões 8 e 9 (1957)</t>
  </si>
  <si>
    <t>A fotografia registra uma estrutura de concreto inacabada de um grande edifício carcerário. A construção apresenta apenas as fundações, pilares e a laje do segundo pavimento, evidenciando a interrupção das obras. Ao redor da estrutura, observa-se um terreno plano com vegetação rasteira e algumas árvores ao fundo, sem sinais de atividade de construção civil no momento do registro.</t>
  </si>
  <si>
    <t>Casa de Detenção; Carandiru; Obras paralisadas; Estrutura de concreto; Abandono; Conjunto carcerário; Sistema prisional.</t>
  </si>
  <si>
    <t>ESTADO DE SÃO PAULO = PENITENCIÁRIAS E PRESIDIOS - CASA DE DETENÇÃO -
FICOU NA ESTRUTURA O MAIOR CONJUNTO CARCERÁRIO DA NOVA CASA DE DETENÇÃO
O maior edificio do conjunto carcerário, que poderia resolver provisoriamente o problema de alojamento dos presos à disposição da Justiça, parou na laje do segundo piso. Seu estado é de total abandono.
D.N. 2a. Ed. 11/12/957 jl</t>
  </si>
  <si>
    <t>Interior de cela de concreto armado da Casa de Detenção (São Paulo)</t>
  </si>
  <si>
    <t>Fotografia em preto e branco representando o interior de uma cela da Casa de Detenção, em São Paulo. O ambiente é composto por paredes e teto de concreto, com acabamento simples e sem revestimentos aparentes. Observam-se duas bases de concreto que funcionam como leitos fixos, além de uma prateleira também em concreto, suspensa na parede lateral. Ao fundo, há uma pequena janela com grades metálicas, permitindo entrada de luz natural. O registro enfatiza a estrutura das instalações em concreto armado, conforme indicado na transcrição, documentando o modelo construtivo das celas e suas condições físicas.</t>
  </si>
  <si>
    <t>Casa de Detenção; São Paulo; sistema prisional; cela; concreto armado; arquitetura prisional; instalações carcerárias; década de 1970; registro documental.</t>
  </si>
  <si>
    <t>ESTADO DE SÃO PAULO – PENITENCIARIAS E PRESIDIOS – CASA DE DETENÇÃO.
Todas as instalações das celas serão de concreto armado, proporcionando bom nível de conforto aos detentos.
DSP-26/5/77-dcp.</t>
  </si>
  <si>
    <t>Muralhas da nova Casa de Detenção do Carandiru</t>
  </si>
  <si>
    <t>Fotografia em preto e branco retratando as muralhas externas da nova Casa de Detenção do Carandiru, em São Paulo. A imagem foi realizada a partir de um ponto baixo, enfatizando a perspectiva alongada de um corredor formado por duas extensas paredes de alvenaria que convergem ao fundo. No centro distante da composição, observa-se a presença de uma figura humana próxima às muralhas, o que reforça a escala da construção. O registro destaca a imponência e a extensão das estruturas de contenção que compõem o complexo prisional, documentando suas características arquitetônicas e espaciais.</t>
  </si>
  <si>
    <t>Casa de Detenção do Carandiru; São Paulo; sistema prisional; muralhas; arquitetura prisional; espaço carcerário; década de 1950; registro documental; perspectiva fotográfica.</t>
  </si>
  <si>
    <t>ESTADO DE SÃO PAULO – PENITENCIARIAS E PRESIDIOS – CASA DE DETENÇÃO – (CARANDIRU)
Muralhas da nova Casa de Detenção do Carandiru.
Arq. 12/9/956 jl</t>
  </si>
  <si>
    <t>Partida do Campeonato de Futebol da Casa de Detenção (São Paulo)</t>
  </si>
  <si>
    <t>Fotografia em preto e branco registrando flagrante de uma partida válida pelo Campeonato de Futebol da Casa de Detenção, em São Paulo, realizada em 9 de novembro de 1978. A imagem mostra o momento exato em que um jogador chuta a bola em direção ao gol, sendo marcado de perto por um adversário. Outro jogador aparece à direita, parcialmente enquadrado. Ao fundo, um numeroso grupo de detentos acompanha a partida, alguns em pé e outros sentados junto ao muro que delimita o espaço do jogo, formando plateia compacta ao longo da parede. O registro evidencia a prática esportiva no interior da instituição prisional, bem como a participação coletiva dos internos como espectadores do campeonato.</t>
  </si>
  <si>
    <t>Casa de Detenção; São Paulo; sistema prisional; futebol; campeonato interno; prática esportiva; detentos; lazer no cárcere; 1978; registro documental.</t>
  </si>
  <si>
    <t>ESTADO DE SÃO PAULO – PENITENCIARIAS E PRESIDIOS – CASA DE DETENÇÃO
Flagrante colhido durante a disputada de uma partida válida pelo Campeonato de Futebol da Casa de Detenção
DN. 9/11/1978
(Anotações manuscritas no verso:)
“Polícia Militar”
“4574”</t>
  </si>
  <si>
    <t>Registro de corda improvisada utilizada em fuga na Casa de Detenção (Carandiru).</t>
  </si>
  <si>
    <t>Fotografia documental em plano médio mostrando, em primeiro plano e em silhueta, o perfil de um homem observando uma corda feita de lençóis ou tecidos (conhecida como "teresa") amarrada às grades de uma janela. Através da janela, é possível ver a fachada de outro pavilhão do complexo penitenciário. A imagem registra os vestígios de uma fuga de presos.</t>
  </si>
  <si>
    <t>Carandiru; Casa de Detenção; Fuga de presos; Sistema prisional; São Paulo; Corda improvisada; Fotografia documental.</t>
  </si>
  <si>
    <t>ESTADO DE SÃO PAULO _ PENITENCIARIA E PRESIDIOS= CASA DE DETENÇÃO = CARANDIRU 4 DELINQUENTES FUGIRAM DE MADRUGADA DA CASA DE DETENÇÃO
Na foto, a corda improvisada pela qual os fugitivos, Geraldo de Oliveira, Carlos Alberto Borges, Mario de Carvalho e Luis Faria empreenderam na madrugada de 5/7/956, sua sensacional fuga. DN, Ia.Ed. 6/7/956 W ATRAS DAS GRADES DE UMA CELA, ELES PREFERIRAM A MORTE - DN.2a.Ed. 13/2/1973 im</t>
  </si>
  <si>
    <t>Seleção de futebol da Casa de Detenção (Carandiru) em registro de partida contra o "Makambira's Boys".</t>
  </si>
  <si>
    <t>Fotografia documental em plano aberto capturando um grupo de homens posando para um registro oficial em um campo de futebol de terra. A equipe principal está uniformizada com camisas de listras verticais. Entre o grupo, encontram-se homens em trajes civis e outros fardados. Ao fundo, é visível a estrutura da penitenciária, composta por muros altos e uma torre de vigilância centralizada. A cena retrata a prática esportiva como elemento de convivência no ambiente prisional.</t>
  </si>
  <si>
    <t>Carandiru; Casa de Detenção; Futebol; Sistema prisional; São Paulo; Reintegração; Lazer.</t>
  </si>
  <si>
    <t>ESTADO DE SÃO PAULO - PENITENCIÁRIAS E PRESÍDIOS - CASA DE DETENÇÃO DO CARANDIRU
DETENÇÃO DEU SHOW DO COMEÇO AO FIM
Na foto, a seleção de futebol da Casa de Detenção, que venceu o "Makambira's" por 4 a 0.
DN. 1ª Ed. 12/10/1966 - wjp
Sabado foi dia de muita festa na Casa de Detenção. Graças ao espirito empreendedor e do dinamismo do seu diretor, sr. Fernandes José Fernandes, a turma aqui da casa, representada pelos atletas do "Makabira's Boys", lá esteve para enfrentar a forte seleção dos recolhidos àquela casa penal.</t>
  </si>
  <si>
    <t>Posto de observação da Casa de Detenção de Carandiru</t>
  </si>
  <si>
    <t>Registro fotográfico de uma torre de vigilância (posto de observação) da Casa de Detenção de Carandiru. Na parte superior da estrutura, observa-se um homem posicionado atrás de uma grade ou parapeito, ladeado por refletores. A arquitetura da torre apresenta janelas com vidros inclinados e aberturas em arco na seção inferior. Elementos de vegetação, como galhos de árvore e uma palmeira, emolduram a composição.</t>
  </si>
  <si>
    <t>Sistema prisional; Casa de Detenção de Carandiru; Vigilância; Arquitetura prisional; São Paulo.</t>
  </si>
  <si>
    <t>ESTADO DE SÃO PAULO - PENITENCIARIAS E PRESIDIOS - CASA DE DETENÇÃO DE CARANDIRU
DOIS FORAGIDOS DA PENITENCIARIA JÁ ESTÃO DE VOLTA. ELES VISITARAM A FAMILIA E PASSEARAM
Na fototo, posto de observação da Casa de Detenção de Carandiru
DN.1ª Ed. 23/10/1972-dec</t>
  </si>
  <si>
    <t>Salão de barba e cabelo da Casa de Detenção de Carandiru</t>
  </si>
  <si>
    <t>Vista interna de uma barbearia instalada nas dependências da Casa de Detenção de Carandiru. A imagem revela um salão amplo com diversas cadeiras de barbeiro profissionais distribuídas pelo espaço, algumas fixas ao chão e outras com bases articuladas. Nas paredes, veem-se pequenos armários suspensos de madeira, nichos e o que parecem ser decorações ou informativos. Ao fundo, janelas com grades horizontais permitem a entrada de luz no ambiente, que possui piso com padrão de tacos ou blocos pequenos.</t>
  </si>
  <si>
    <t>Barbearia; Casa de Detenção de Carandiru; Higiene; Reabilitação; Sistema prisional; São Paulo.</t>
  </si>
  <si>
    <t>ESTADO DE SÃO PAULO _ PENITENCIÁRIAS E PRESIDIOS _ CASA DE DETENÇÃO DO CARANDIRÚ.
CARANDIRÚ: UMA DETENÇÃO QUE SE TORNA MAIS HUMANA.
Salão de barba e cabelo, um toque de elegância na fria Casa de Detenção.
DN.2a.Ed.- 8/1/1969 - JCM</t>
  </si>
  <si>
    <t>Um aspecto tomado do interior do presídio (Oficina de trabalho)</t>
  </si>
  <si>
    <t>Registro fotográfico de uma área de trabalho manual no interior da Casa de Detenção de Carandiru. Em primeiro plano, uma longa bancada de madeira está repleta de pequenas caixas ou componentes retangulares organizados de forma dispersa. Ao lado esquerdo, pilhas altas desses mesmos objetos alcançam o teto. O ambiente é dividido por uma mureta baixa com fechamento em ripas de madeira em formato de "X". Ao fundo, nota-se uma área de oficina com ferramentas e materiais, indicando atividade laboral ou produtiva dos detentos.</t>
  </si>
  <si>
    <t>Trabalho prisional; Casa de Detenção de Carandiru; Oficina; Reabilitação; Interior de presídio; São Paulo.</t>
  </si>
  <si>
    <t>ESTADO DE SÃO PAULO - PENITENCIÁRIAS E PRESIDIOS _ CASA DE DETENÇÃO DO CARANDIRÚ
CARANDIRÚ: UMA DETENÇÃO QUE SE TORNA MAIS HUMANA.
Um aspecto tomado do interior do presidio.
DN.2ª.Ed.- 8/1/1969 - JCM</t>
  </si>
  <si>
    <t>Show na Casa de Detenção para 5 mil detentos</t>
  </si>
  <si>
    <t>Registro de uma apresentação musical realizada no pátio externo da Casa de Detenção de São Paulo. Em primeiro plano, uma cantora de costas segura um microfone, apresentando-se em um palco improvisado com equipamentos de som e cabos espalhados pelo chão. Diante dela, uma multidão compacta de cerca de 5.000 detentos assiste ao espetáculo, ocupando o pátio e as muretas ao fundo. Ao centro, homens em trajes formais (terno e gravata) estão sentados em cadeiras, observando a apresentação. Ao fundo, ergue-se o edifício da penitenciária com suas inúmeras janelas quadradas e pequenas.</t>
  </si>
  <si>
    <t>Show musical; Casa de Detenção de São Paulo; Lazer prisional; População carcerária; Noel Rosa; São Paulo.</t>
  </si>
  <si>
    <t>ESTADO DE SÃO PAULO = PENITENCIÁRIAS E PRESÍDIOS = CASA DE DETENÇÃO
NOEL ROSA, PSICOGRAFADO NUM "SHOW" NA DETENÇÃO
Flagrante colhido na casa de Detenção de São Paulo, onde cerca de 5.000 detentos assistiram ao "show".
DSP.-17/12/1977 - naf.</t>
  </si>
  <si>
    <t>Local onde estudantes presos no Congresso de Ibiúna foram detidos</t>
  </si>
  <si>
    <t>Fotografia noturna da fachada do "velho casarão" na Avenida Tiradentes, identificado como a antiga Casa de Detenção. A imagem mostra a arquitetura do edifício com grandes janelas em arco e detalhes em tijolos. Em frente ao prédio, há uma movimentação de veículos da época, incluindo vários Fuscas estacionados ou circulando, além de postes de iluminação pública que geram pontos de luz intensa na foto. A cena registra o local onde estudantes presos no Congresso de Ibiúna foram detidos.</t>
  </si>
  <si>
    <t>Casa de Detenção; Avenida Tiradentes; Presos políticos; Congresso de Ibiúna; Ditadura Militar; São Paulo.</t>
  </si>
  <si>
    <t>ESTADO DE SÃO PAULO _ PENITENCIARIAS E PRESIDIOS _ CASA DE DETENÇÃO
"DOIS DOS NOSSOS ESTÃO MORRENDO" .
No velho casarão da avenida Tiradentes, antiga Casa de Detenção, estão detidos os estudantes presos em Ibiuna no último dia 12.
D.N.Ed.Nac. - 16/ 10/1968 - JCM
DSP-13/B/77-dcp.</t>
  </si>
  <si>
    <t>Missa oficiada por Dom Evaristo Arns</t>
  </si>
  <si>
    <t>Registro de uma cerimônia religiosa católica no interior da Penitenciária do Estado (Carandiru). A fotografia, em plano médio, foca no momento da comunhão, onde um sacerdote, de costas para a câmera e vestindo paramentos litúrgicos decorados, oferece a hóstia a um detento. Uma fila de homens aguarda sua vez, enquanto ao fundo e nas laterais observam-se outras pessoas, incluindo homens em trajes civis (ternos) e grades que delimitam o espaço prisional. A missa foi oficiada por Dom Evaristo Arns e contou com a presença do Coral Nossa Senhora das Dores.</t>
  </si>
  <si>
    <t>Missa; Comunhão; Dom Evaristo Arns; Penitenciária do Estado; Carandiru; Assistência religiosa; São Paulo.</t>
  </si>
  <si>
    <t>ESTADO DE SÃO PAULO = PENITENCIARIAS E PRESIDIOS = PENITENCIARIA DO ESTADO =(CARANDIRU)
MISSA PARA O SENTENCIADO — Todos os presidiários de uma das alas da Penitenciária do Estado (Carandiru) assistiram ontem à missa oficiada por Dom Evaristo Arns, bispo da Zona Norte. Muitos dos presidiários e pessoas presentes receberam durante a missa, a comunhão. O Coral Nossa Senhora das Dores cantou durante o ato religioso dirigido aos detentos. Como presente de Natal, o diretor do DIPE — Departamento de Institutos Penais do Estado, — sr. Fernando José Fernandes, que na ocasião representava o secretário da Segurança, general Viana Moog, anunciou que, a pedido do bispo da Zona Norte, estavam indultados todos os presos que se encontravam em cela forte para as celas comuns. O presépio armado no Carandiru está aberto à visitação publica, todos os sábados e domingos, das 9 às 17 horas, a partir de amanhã, até quarta-feira de cinzas.
DSP.-24/12/1969-MBO
S.P. 23 DE 12 DE 69</t>
  </si>
  <si>
    <t>Antiga Casa de Correção sendo demolida</t>
  </si>
  <si>
    <t>Registro fotográfico do processo de demolição da Antiga Casa de Correção (construída em 1851), localizada na Avenida Tiradentes. A imagem apresenta em primeiro plano grandes pilhas de tijolos e escombros resultantes do desmonte da estrutura. Ao fundo, observa-se a fachada de um edifício remanescente, postes de iluminação pública e fiações elétricas. A perspectiva da foto enfatiza a extensão do entulho acumulado no terreno.</t>
  </si>
  <si>
    <t>Demolição; Casa de Correção; Avenida Tiradentes; Arquitetura histórica; São Paulo.</t>
  </si>
  <si>
    <t>ESTADO DE SÃO PAULO = PENITENCIÁRIAS E PRESÍDIOS = CASA DE DETENÇÃO (Av. Tiradentes).
Antiga Casa de Correção, contruída em 1851, está sendo demolida.
DSP-13/3/77-dcp.</t>
  </si>
  <si>
    <t>Detalhe do portão principal da antiga Casa de Correção com o ano de 1851</t>
  </si>
  <si>
    <t>Close-up de um detalhe arquitetônico em ferro forjado, localizado na parte superior do portão principal de acesso à antiga Casa de Correção. O desenho ornamental é composto por barras de ferro que se abrem em leque a partir de um semicírculo central. Dentro desse semicírculo, destaca-se a inscrição do ano "1851" em algarismos de ferro. O estilo é típico das construções institucionais do século XIX em São Paulo.</t>
  </si>
  <si>
    <t>Arquitetura prisional; Casa de Correção; 1851; Ferro forjado; História de São Paulo; Avenida Tiradentes.</t>
  </si>
  <si>
    <t>ESTADO DE SÃO PAULO = PENITENCIARIAS E PRESÍDIOS = CASA DE DETENÇÃO-(Av.Tiradentes)
Em 1851 surgiu a Casa de Correção, um edifício que se tornaria tenebroso para a população paulista.
DSP-13/3/77*dcp.</t>
  </si>
  <si>
    <t>Conflito entre detentos</t>
  </si>
  <si>
    <t>Registro fotográfico de objetos apreendidos após uma revista ("batida") no Pavilhão 8 da Casa de Detenção de Carandiru. A imagem, capturada através das grades de uma cela que aparecem em primeiro plano como silhuetas escuras, mostra um amontoado de materiais diversos, incluindo estiletes e outros objetos irregulares que estavam em poder dos presidiários. A apreensão ocorreu após uma luta corporal entre detentos durante o "banho de sol", que resultou na morte de um homem e ferimentos em outros dois.</t>
  </si>
  <si>
    <t>Conflito; Apreensão; Estiletes; Pavilhão 8; Casa de Detenção de Carandiru; Violência prisional; São Paulo.</t>
  </si>
  <si>
    <t>ESTADO DE SÃO PAULO - PENITENCIÁRIAS E PRESÍDIOS - CASA DE DETENÇÃO DO CARANDIRÚ
CONFLITO ENTRE DETENTOS: UM MORTO E DOIS FERIDOS
Vários prêsos que cumprem pena na Casa de Detenção, quando estavam tomando "banho de sol", no campo de esportes do Pavilhão 8, que abriga criminosos reincidentes, por motivos ainda ignorados pelas autoridades policiais, empenharam-se em luta corporal que sòmente foi dominada com a intervenção de guardas do presídio, que separaram os contendores a tempo de evitar verdadeira carnificina. Em consequência, três detentos - Roberto Silva, Miguel Nunes da Silva e Edemar da Silva - estavam feridos a golpes de estilete, tendo Edemar falecido no Hospital das Clínicas.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Ver DN. Ed.Ún. 29/6/1966 - cv.</t>
  </si>
  <si>
    <t>Conflito entre detentos com mortos e feridos</t>
  </si>
  <si>
    <t>Registro fotográfico capturado através das grades de uma cela, mostrando o resultado de uma revista ("batida") no Pavilhão 8 da Casa de Detenção de Carandiru. A imagem foca em um amontoado de objetos apreendidos, descritos como "muamba", que incluem estiletes e armas rudimentares fabricadas pelos próprios detentos a partir de espetos de caixas de descarga. A apreensão ocorreu após um conflito no campo de esportes durante o "banho de sol", que resultou na morte do detento Edemar da Silva e ferimentos em outros dois.</t>
  </si>
  <si>
    <t>Conflito prisional; Apreensão de armas; Pavilhão 8; Casa de Detenção de Carandiru; Violência; São Paulo.</t>
  </si>
  <si>
    <t>ESTADO DE SÃO PAULO - PENITENCIÁRIAS E PRESÍDIOS - CASA DE DETENÇÃO DO CARANDIRÚ
CONFLITO ENTRE DETENTOS: UM MORTO E DOIS FERIDOS
DN.Ed.ún. 29/6/1966 - wjp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Varios presos que cumprem pena na Casa de Detenção, quando estavam tomando "banho de sol" no campo de esportes do Pavilhão 8, que abriga criminosos reincidentes, por motivos ainda ignorados pelas autoridades policiais, empenharam-se em luta corporal que somente foi dominada com a intervenção de guardas do presídio, que separaram os contendores a tempo de evitar verdadeira carnificina.
UM MORTO E DOIS FERIDOS
Restabelecida a ordem, após alguns minutos de confusão, verificou-se que três detentos — Roberto Silva, que usa também o nome de Varley Silva; Miguel Nunes da Silva e Edemar da Silva — estavam feridos a golpe de estilete, arma rudimentar fabricada pelos detentos com o aproveitamento de espetos das caixas de descargas das dependencias sanitarias do estabelecimento penal.
Os três feridos, depois de socorridos na enfermaria da propria Casa de Detenção, foram imediatamente removidos para o Hospital das Clinicas, onde Edemar, não resistindo aos ferimentos recebidos, faleceu, antes que pudesse prestar declarações sobre os motivos que originaram a sua participação no conflito.
PROVIDENCIAS DA DIREÇÃO
O diretor da Casa de Detenção, sr. Fernando José Fernandes, que reassumiu o cargo há apenas poucos dias, depois de dirigir os trabalhos de normalização da situação, procurou situar a posição dos responsaveis pelos incidentes, ao mesmo tempo em que determinava uma revista geral em todo o pavilhão 8, onde acabou sendo feita a apreensão de inumeros objetos cujo uso não é permitido nas célas.
Durante as investigações realizadas pelo proprio diretor Fernando José Fernandes, ficou apurado que, além dos três detentos acima citados, participaram da refrega outros três presidiarios, cujos nomes, todavia, não foram apurados, pois os demais companheiros de carcere, mantendo o "Codigo de Honra" entre eles, negaram-se a fornecer a identidade e mesmo os motivos que originaram a contenda que terminou com a morte de um preso e ferimentos em outros dois.
O inquerito sobre a ocorrencia será efetuado pela Delegacia de Vigilancia e Capturas, a quem caberá, agora, elucidar quem foi o autor dos ferimentos que culminaram com a morte de Edemar da Silva.</t>
  </si>
  <si>
    <t>Designação do conjunto documental (FUNDO)</t>
  </si>
  <si>
    <t>Conteúdo</t>
  </si>
  <si>
    <t>Obrigatório</t>
  </si>
  <si>
    <t>Opcional</t>
  </si>
  <si>
    <t>Fotografias</t>
  </si>
  <si>
    <t>Brasil</t>
  </si>
  <si>
    <t>São Paulo</t>
  </si>
  <si>
    <t>Arquivo Público do Estado de São Paulo</t>
  </si>
  <si>
    <t>Diários Associados de São Paulo</t>
  </si>
  <si>
    <t xml:space="preserve">Penitenciárias E Presídios - 
Casa De Detenção Do Carandiru </t>
  </si>
  <si>
    <t>Iconográfico</t>
  </si>
  <si>
    <t>Fotografia</t>
  </si>
  <si>
    <t>Digitalizado</t>
  </si>
  <si>
    <t>Matriz bruta (produção manual)</t>
  </si>
  <si>
    <t>Cx. e pasta</t>
  </si>
  <si>
    <t>3055-005
3055-003
2767-001
2776-012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</si>
</sst>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25">
    <font>
      <sz val="10.0"/>
      <color rgb="FF000000"/>
      <name val="Arial"/>
      <scheme val="minor"/>
    </font>
    <font>
      <color theme="1"/>
      <name val="Arial"/>
    </font>
    <font>
      <b/>
      <color theme="1"/>
      <name val="Arial"/>
    </font>
    <font>
      <b/>
      <color rgb="FF000000"/>
      <name val="Arial"/>
    </font>
    <font/>
    <font>
      <color theme="4"/>
      <name val="Roboto Mono"/>
    </font>
    <font>
      <color rgb="FF000000"/>
      <name val="Roboto Mono"/>
    </font>
    <font>
      <color theme="8"/>
      <name val="Roboto Mono"/>
    </font>
    <font>
      <color rgb="FF34A853"/>
      <name val="Roboto Mono"/>
    </font>
    <font>
      <color rgb="FFEA4335"/>
      <name val="Roboto Mono"/>
    </font>
    <font>
      <color theme="5"/>
      <name val="Roboto Mono"/>
    </font>
    <font>
      <color rgb="FF073763"/>
      <name val="Roboto Mono"/>
    </font>
    <font>
      <sz val="11.0"/>
      <color theme="1"/>
      <name val="Roboto Mono"/>
    </font>
    <font>
      <sz val="10.0"/>
      <color rgb="FF073763"/>
      <name val="Roboto Mono"/>
    </font>
    <font>
      <sz val="11.0"/>
      <color rgb="FFFF6D01"/>
      <name val="Roboto Mono"/>
    </font>
    <font>
      <color theme="9"/>
      <name val="Roboto Mono"/>
    </font>
    <font>
      <color theme="6"/>
      <name val="Roboto Mono"/>
    </font>
    <font>
      <sz val="12.0"/>
      <color theme="1"/>
      <name val="Roboto Mono"/>
    </font>
    <font>
      <b/>
      <sz val="12.0"/>
      <color rgb="FFFFFFFF"/>
      <name val="Merriweather"/>
    </font>
    <font>
      <b/>
      <color rgb="FFFFFFFF"/>
      <name val="Merriweather"/>
    </font>
    <font>
      <sz val="12.0"/>
      <color rgb="FF000000"/>
      <name val="Roboto"/>
    </font>
    <font>
      <sz val="12.0"/>
      <color theme="1"/>
      <name val="Roboto"/>
    </font>
    <font>
      <sz val="12.0"/>
      <color rgb="FF028BCD"/>
      <name val="Roboto"/>
    </font>
    <font>
      <sz val="11.0"/>
      <color theme="1"/>
      <name val="Cardo"/>
    </font>
    <font>
      <sz val="10.0"/>
      <color theme="1"/>
      <name val="Cardo"/>
    </font>
  </fonts>
  <fills count="12">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C6DBFF"/>
        <bgColor rgb="FFC6DBFF"/>
      </patternFill>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s>
  <borders count="19">
    <border/>
    <border>
      <bottom style="thick">
        <color rgb="FF999999"/>
      </bottom>
    </border>
    <border>
      <right style="thin">
        <color rgb="FF999999"/>
      </right>
    </border>
    <border>
      <left style="thick">
        <color rgb="FF999999"/>
      </left>
      <right style="thick">
        <color rgb="FF999999"/>
      </right>
      <top style="thick">
        <color rgb="FF999999"/>
      </top>
    </border>
    <border>
      <left style="thick">
        <color rgb="FF999999"/>
      </left>
    </border>
    <border>
      <bottom style="medium">
        <color rgb="FFB7B7B7"/>
      </bottom>
    </border>
    <border>
      <top style="medium">
        <color rgb="FFB7B7B7"/>
      </top>
      <bottom style="medium">
        <color rgb="FFB7B7B7"/>
      </bottom>
    </border>
    <border>
      <top style="medium">
        <color rgb="FFB7B7B7"/>
      </top>
    </border>
    <border>
      <left style="thin">
        <color rgb="FFB7B7B7"/>
      </left>
      <right style="thin">
        <color rgb="FFB7B7B7"/>
      </right>
      <top style="thin">
        <color rgb="FFB7B7B7"/>
      </top>
      <bottom style="medium">
        <color rgb="FFB7B7B7"/>
      </bottom>
    </border>
    <border>
      <left style="thin">
        <color rgb="FFB7B7B7"/>
      </left>
      <right style="thin">
        <color rgb="FFB7B7B7"/>
      </right>
      <top style="medium">
        <color rgb="FFB7B7B7"/>
      </top>
      <bottom style="medium">
        <color rgb="FFB7B7B7"/>
      </bottom>
    </border>
    <border>
      <left style="thin">
        <color rgb="FFB7B7B7"/>
      </left>
      <right style="thin">
        <color rgb="FFB7B7B7"/>
      </right>
      <top style="medium">
        <color rgb="FFB7B7B7"/>
      </top>
      <bottom style="thin">
        <color rgb="FFB7B7B7"/>
      </bottom>
    </border>
    <border>
      <left style="thick">
        <color rgb="FF999999"/>
      </left>
      <right style="thick">
        <color rgb="FF999999"/>
      </right>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4" numFmtId="0" xfId="0" applyBorder="1" applyFont="1"/>
    <xf borderId="1"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0" fillId="2" fontId="1"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0" fontId="10" numFmtId="0" xfId="0" applyAlignment="1" applyFont="1">
      <alignment horizontal="center"/>
    </xf>
    <xf borderId="0" fillId="0" fontId="11" numFmtId="49" xfId="0" applyAlignment="1" applyFont="1" applyNumberFormat="1">
      <alignment horizontal="center"/>
    </xf>
    <xf borderId="2" fillId="0" fontId="11" numFmtId="49" xfId="0" applyAlignment="1" applyBorder="1" applyFont="1" applyNumberFormat="1">
      <alignment horizontal="center"/>
    </xf>
    <xf borderId="0" fillId="0" fontId="11" numFmtId="0" xfId="0" applyAlignment="1" applyFont="1">
      <alignment horizontal="left"/>
    </xf>
    <xf borderId="0" fillId="0" fontId="12" numFmtId="0" xfId="0" applyFont="1"/>
    <xf borderId="0" fillId="3" fontId="5" numFmtId="0" xfId="0" applyAlignment="1" applyFill="1" applyFont="1">
      <alignment horizontal="center"/>
    </xf>
    <xf borderId="0" fillId="3" fontId="6" numFmtId="0" xfId="0" applyAlignment="1" applyFont="1">
      <alignment horizontal="center"/>
    </xf>
    <xf borderId="0" fillId="3" fontId="7" numFmtId="0" xfId="0" applyAlignment="1" applyFont="1">
      <alignment horizontal="center"/>
    </xf>
    <xf borderId="0" fillId="3" fontId="8" numFmtId="0" xfId="0" applyAlignment="1" applyFont="1">
      <alignment horizontal="center"/>
    </xf>
    <xf borderId="0" fillId="3" fontId="10" numFmtId="0" xfId="0" applyAlignment="1" applyFont="1">
      <alignment horizontal="center"/>
    </xf>
    <xf borderId="0" fillId="3" fontId="11" numFmtId="49" xfId="0" applyAlignment="1" applyFont="1" applyNumberFormat="1">
      <alignment horizontal="center"/>
    </xf>
    <xf borderId="2" fillId="3" fontId="11" numFmtId="49" xfId="0" applyAlignment="1" applyBorder="1" applyFont="1" applyNumberFormat="1">
      <alignment horizontal="center"/>
    </xf>
    <xf borderId="0" fillId="3" fontId="11" numFmtId="0" xfId="0" applyAlignment="1" applyFont="1">
      <alignment horizontal="left"/>
    </xf>
    <xf borderId="2" fillId="0" fontId="13" numFmtId="49" xfId="0" applyAlignment="1" applyBorder="1" applyFont="1" applyNumberFormat="1">
      <alignment horizontal="center"/>
    </xf>
    <xf borderId="2" fillId="3" fontId="13" numFmtId="49" xfId="0" applyAlignment="1" applyBorder="1" applyFont="1" applyNumberFormat="1">
      <alignment horizontal="center"/>
    </xf>
    <xf borderId="0" fillId="0" fontId="14" numFmtId="0" xfId="0" applyAlignment="1" applyFont="1">
      <alignment horizontal="center"/>
    </xf>
    <xf borderId="2" fillId="4" fontId="11" numFmtId="49" xfId="0" applyAlignment="1" applyBorder="1" applyFill="1" applyFont="1" applyNumberFormat="1">
      <alignment horizontal="center"/>
    </xf>
    <xf borderId="0" fillId="0" fontId="7" numFmtId="49" xfId="0" applyAlignment="1" applyFont="1" applyNumberFormat="1">
      <alignment horizontal="center"/>
    </xf>
    <xf borderId="0" fillId="0" fontId="11" numFmtId="49" xfId="0" applyAlignment="1" applyFont="1" applyNumberFormat="1">
      <alignment horizontal="left"/>
    </xf>
    <xf borderId="0" fillId="3" fontId="7" numFmtId="49" xfId="0" applyAlignment="1" applyFont="1" applyNumberFormat="1">
      <alignment horizontal="center"/>
    </xf>
    <xf borderId="0" fillId="3" fontId="11" numFmtId="49" xfId="0" applyAlignment="1" applyFont="1" applyNumberFormat="1">
      <alignment horizontal="left"/>
    </xf>
    <xf borderId="0" fillId="0" fontId="15" numFmtId="49" xfId="0" applyAlignment="1" applyFont="1" applyNumberFormat="1">
      <alignment horizontal="center"/>
    </xf>
    <xf borderId="0" fillId="3" fontId="15" numFmtId="49" xfId="0" applyAlignment="1" applyFont="1" applyNumberFormat="1">
      <alignment horizontal="center"/>
    </xf>
    <xf borderId="0" fillId="0" fontId="16" numFmtId="49" xfId="0" applyAlignment="1" applyFont="1" applyNumberFormat="1">
      <alignment horizontal="center"/>
    </xf>
    <xf borderId="0" fillId="3" fontId="16" numFmtId="49" xfId="0" applyAlignment="1" applyFont="1" applyNumberFormat="1">
      <alignment horizontal="center"/>
    </xf>
    <xf borderId="3" fillId="0" fontId="17" numFmtId="0" xfId="0" applyAlignment="1" applyBorder="1" applyFont="1">
      <alignment horizontal="center" vertical="center"/>
    </xf>
    <xf borderId="0" fillId="5" fontId="18" numFmtId="0" xfId="0" applyAlignment="1" applyFill="1" applyFont="1">
      <alignment horizontal="center" shrinkToFit="0" vertical="center" wrapText="1"/>
    </xf>
    <xf borderId="0" fillId="6" fontId="18" numFmtId="0" xfId="0" applyAlignment="1" applyFill="1" applyFont="1">
      <alignment horizontal="center" vertical="center"/>
    </xf>
    <xf borderId="0" fillId="6" fontId="18" numFmtId="0" xfId="0" applyAlignment="1" applyFont="1">
      <alignment horizontal="center" shrinkToFit="0" vertical="center" wrapText="1"/>
    </xf>
    <xf borderId="0" fillId="5" fontId="18" numFmtId="0" xfId="0" applyAlignment="1" applyFont="1">
      <alignment horizontal="center" vertical="center"/>
    </xf>
    <xf borderId="0" fillId="7" fontId="18" numFmtId="0" xfId="0" applyAlignment="1" applyFill="1" applyFont="1">
      <alignment horizontal="center" shrinkToFit="0" vertical="center" wrapText="1"/>
    </xf>
    <xf borderId="0" fillId="5" fontId="19" numFmtId="0" xfId="0" applyAlignment="1" applyFont="1">
      <alignment horizontal="center" vertical="center"/>
    </xf>
    <xf borderId="4" fillId="2" fontId="17" numFmtId="0" xfId="0" applyAlignment="1" applyBorder="1" applyFont="1">
      <alignment horizontal="center" vertical="center"/>
    </xf>
    <xf borderId="5" fillId="0" fontId="20" numFmtId="0" xfId="0" applyAlignment="1" applyBorder="1" applyFont="1">
      <alignment shrinkToFit="0" vertical="center" wrapText="1"/>
    </xf>
    <xf borderId="5" fillId="0" fontId="21" numFmtId="0" xfId="0" applyAlignment="1" applyBorder="1" applyFont="1">
      <alignment horizontal="center" vertical="center"/>
    </xf>
    <xf borderId="5" fillId="0" fontId="20" numFmtId="164" xfId="0" applyAlignment="1" applyBorder="1" applyFont="1" applyNumberFormat="1">
      <alignment horizontal="center" vertical="center"/>
    </xf>
    <xf borderId="5" fillId="0" fontId="22" numFmtId="0" xfId="0" applyAlignment="1" applyBorder="1" applyFont="1">
      <alignment horizontal="center" shrinkToFit="0" vertical="center" wrapText="1"/>
    </xf>
    <xf borderId="5" fillId="0" fontId="21" numFmtId="0" xfId="0" applyAlignment="1" applyBorder="1" applyFont="1">
      <alignment horizontal="left" shrinkToFit="0" vertical="center" wrapText="1"/>
    </xf>
    <xf borderId="5" fillId="0" fontId="21" numFmtId="0" xfId="0" applyAlignment="1" applyBorder="1" applyFont="1">
      <alignment shrinkToFit="0" vertical="center" wrapText="1"/>
    </xf>
    <xf borderId="5" fillId="0" fontId="20" numFmtId="0" xfId="0" applyAlignment="1" applyBorder="1" applyFont="1">
      <alignment horizontal="center" shrinkToFit="0" vertical="center" wrapText="1"/>
    </xf>
    <xf borderId="5" fillId="8" fontId="17" numFmtId="0" xfId="0" applyAlignment="1" applyBorder="1" applyFill="1" applyFont="1">
      <alignment horizontal="center" shrinkToFit="0" vertical="center" wrapText="1"/>
    </xf>
    <xf borderId="5" fillId="8" fontId="21" numFmtId="0" xfId="0" applyAlignment="1" applyBorder="1" applyFont="1">
      <alignment shrinkToFit="0" vertical="center" wrapText="1"/>
    </xf>
    <xf borderId="6" fillId="0" fontId="20" numFmtId="0" xfId="0" applyAlignment="1" applyBorder="1" applyFont="1">
      <alignment shrinkToFit="0" vertical="center" wrapText="1"/>
    </xf>
    <xf borderId="6" fillId="0" fontId="21" numFmtId="0" xfId="0" applyAlignment="1" applyBorder="1" applyFont="1">
      <alignment horizontal="center" vertical="center"/>
    </xf>
    <xf borderId="6" fillId="0" fontId="20" numFmtId="164" xfId="0" applyAlignment="1" applyBorder="1" applyFont="1" applyNumberFormat="1">
      <alignment horizontal="center" vertical="center"/>
    </xf>
    <xf borderId="6" fillId="0" fontId="22" numFmtId="0" xfId="0" applyAlignment="1" applyBorder="1" applyFont="1">
      <alignment horizontal="center" shrinkToFit="0" vertical="center" wrapText="1"/>
    </xf>
    <xf borderId="6" fillId="0" fontId="21" numFmtId="0" xfId="0" applyAlignment="1" applyBorder="1" applyFont="1">
      <alignment horizontal="left" shrinkToFit="0" vertical="center" wrapText="1"/>
    </xf>
    <xf borderId="6" fillId="0" fontId="21" numFmtId="0" xfId="0" applyAlignment="1" applyBorder="1" applyFont="1">
      <alignment shrinkToFit="0" vertical="center" wrapText="1"/>
    </xf>
    <xf borderId="6" fillId="0" fontId="21" numFmtId="0" xfId="0" applyAlignment="1" applyBorder="1" applyFont="1">
      <alignment horizontal="center" shrinkToFit="0" vertical="center" wrapText="1"/>
    </xf>
    <xf borderId="6" fillId="8" fontId="17" numFmtId="0" xfId="0" applyAlignment="1" applyBorder="1" applyFont="1">
      <alignment horizontal="center" shrinkToFit="0" vertical="center" wrapText="1"/>
    </xf>
    <xf borderId="6" fillId="8" fontId="21" numFmtId="0" xfId="0" applyAlignment="1" applyBorder="1" applyFont="1">
      <alignment shrinkToFit="0" vertical="center" wrapText="1"/>
    </xf>
    <xf borderId="6" fillId="9" fontId="21" numFmtId="0" xfId="0" applyAlignment="1" applyBorder="1" applyFill="1" applyFont="1">
      <alignment shrinkToFit="0" vertical="center" wrapText="1"/>
    </xf>
    <xf borderId="6" fillId="0" fontId="21" numFmtId="0" xfId="0" applyAlignment="1" applyBorder="1" applyFont="1">
      <alignment horizontal="left" vertical="center"/>
    </xf>
    <xf borderId="6" fillId="10" fontId="21" numFmtId="0" xfId="0" applyAlignment="1" applyBorder="1" applyFill="1" applyFont="1">
      <alignment shrinkToFit="0" vertical="center" wrapText="1"/>
    </xf>
    <xf borderId="7" fillId="0" fontId="20" numFmtId="0" xfId="0" applyAlignment="1" applyBorder="1" applyFont="1">
      <alignment shrinkToFit="0" vertical="center" wrapText="1"/>
    </xf>
    <xf borderId="7" fillId="0" fontId="21" numFmtId="0" xfId="0" applyAlignment="1" applyBorder="1" applyFont="1">
      <alignment horizontal="center" vertical="center"/>
    </xf>
    <xf borderId="7" fillId="0" fontId="20" numFmtId="0" xfId="0" applyAlignment="1" applyBorder="1" applyFont="1">
      <alignment horizontal="center" vertical="center"/>
    </xf>
    <xf borderId="7" fillId="0" fontId="22" numFmtId="0" xfId="0" applyAlignment="1" applyBorder="1" applyFont="1">
      <alignment horizontal="center" shrinkToFit="0" vertical="center" wrapText="1"/>
    </xf>
    <xf borderId="7" fillId="0" fontId="21" numFmtId="0" xfId="0" applyAlignment="1" applyBorder="1" applyFont="1">
      <alignment shrinkToFit="0" vertical="center" wrapText="1"/>
    </xf>
    <xf borderId="7" fillId="0" fontId="21" numFmtId="0" xfId="0" applyAlignment="1" applyBorder="1" applyFont="1">
      <alignment horizontal="center" shrinkToFit="0" vertical="center" wrapText="1"/>
    </xf>
    <xf borderId="7" fillId="8" fontId="17" numFmtId="0" xfId="0" applyAlignment="1" applyBorder="1" applyFont="1">
      <alignment horizontal="center" shrinkToFit="0" vertical="center" wrapText="1"/>
    </xf>
    <xf borderId="7" fillId="0" fontId="21" numFmtId="0" xfId="0" applyAlignment="1" applyBorder="1" applyFont="1">
      <alignment horizontal="left" vertical="center"/>
    </xf>
    <xf borderId="7" fillId="8" fontId="21" numFmtId="0" xfId="0" applyAlignment="1" applyBorder="1" applyFont="1">
      <alignment shrinkToFit="0" vertical="center" wrapText="1"/>
    </xf>
    <xf borderId="3" fillId="2" fontId="17" numFmtId="0" xfId="0" applyAlignment="1" applyBorder="1" applyFont="1">
      <alignment horizontal="center" vertical="center"/>
    </xf>
    <xf borderId="0" fillId="6" fontId="18" numFmtId="0" xfId="0" applyAlignment="1" applyFont="1">
      <alignment horizontal="left" vertical="center"/>
    </xf>
    <xf borderId="8" fillId="0" fontId="20" numFmtId="0" xfId="0" applyAlignment="1" applyBorder="1" applyFont="1">
      <alignment shrinkToFit="0" vertical="center" wrapText="1"/>
    </xf>
    <xf borderId="8" fillId="0" fontId="21" numFmtId="0" xfId="0" applyAlignment="1" applyBorder="1" applyFont="1">
      <alignment horizontal="center" vertical="center"/>
    </xf>
    <xf borderId="8" fillId="0" fontId="20" numFmtId="165" xfId="0" applyAlignment="1" applyBorder="1" applyFont="1" applyNumberFormat="1">
      <alignment horizontal="center" vertical="center"/>
    </xf>
    <xf borderId="8" fillId="0" fontId="22" numFmtId="0" xfId="0" applyAlignment="1" applyBorder="1" applyFont="1">
      <alignment horizontal="center" shrinkToFit="0" vertical="center" wrapText="1"/>
    </xf>
    <xf borderId="8" fillId="0" fontId="21" numFmtId="0" xfId="0" applyAlignment="1" applyBorder="1" applyFont="1">
      <alignment horizontal="left" shrinkToFit="0" vertical="center" wrapText="1"/>
    </xf>
    <xf borderId="8" fillId="0" fontId="21" numFmtId="0" xfId="0" applyAlignment="1" applyBorder="1" applyFont="1">
      <alignment shrinkToFit="0" vertical="center" wrapText="1"/>
    </xf>
    <xf borderId="8" fillId="0" fontId="20" numFmtId="0" xfId="0" applyAlignment="1" applyBorder="1" applyFont="1">
      <alignment horizontal="center" shrinkToFit="0" vertical="center" wrapText="1"/>
    </xf>
    <xf borderId="8" fillId="8" fontId="17" numFmtId="0" xfId="0" applyAlignment="1" applyBorder="1" applyFont="1">
      <alignment horizontal="center" shrinkToFit="0" vertical="center" wrapText="1"/>
    </xf>
    <xf borderId="8" fillId="8" fontId="21" numFmtId="0" xfId="0" applyAlignment="1" applyBorder="1" applyFont="1">
      <alignment shrinkToFit="0" vertical="center" wrapText="1"/>
    </xf>
    <xf borderId="9" fillId="0" fontId="20" numFmtId="0" xfId="0" applyAlignment="1" applyBorder="1" applyFont="1">
      <alignment shrinkToFit="0" vertical="center" wrapText="1"/>
    </xf>
    <xf borderId="9" fillId="0" fontId="21" numFmtId="0" xfId="0" applyAlignment="1" applyBorder="1" applyFont="1">
      <alignment horizontal="center" vertical="center"/>
    </xf>
    <xf borderId="9" fillId="0" fontId="20" numFmtId="164" xfId="0" applyAlignment="1" applyBorder="1" applyFont="1" applyNumberFormat="1">
      <alignment horizontal="center" vertical="center"/>
    </xf>
    <xf borderId="9" fillId="0" fontId="22" numFmtId="0" xfId="0" applyAlignment="1" applyBorder="1" applyFont="1">
      <alignment horizontal="center" shrinkToFit="0" vertical="center" wrapText="1"/>
    </xf>
    <xf borderId="9" fillId="0" fontId="21" numFmtId="0" xfId="0" applyAlignment="1" applyBorder="1" applyFont="1">
      <alignment horizontal="left" shrinkToFit="0" vertical="center" wrapText="1"/>
    </xf>
    <xf borderId="9" fillId="0" fontId="21" numFmtId="0" xfId="0" applyAlignment="1" applyBorder="1" applyFont="1">
      <alignment shrinkToFit="0" vertical="center" wrapText="1"/>
    </xf>
    <xf borderId="9" fillId="0" fontId="20" numFmtId="0" xfId="0" applyAlignment="1" applyBorder="1" applyFont="1">
      <alignment horizontal="center" shrinkToFit="0" vertical="center" wrapText="1"/>
    </xf>
    <xf borderId="9" fillId="8" fontId="17" numFmtId="0" xfId="0" applyAlignment="1" applyBorder="1" applyFont="1">
      <alignment horizontal="center" shrinkToFit="0" vertical="center" wrapText="1"/>
    </xf>
    <xf borderId="9" fillId="8" fontId="21" numFmtId="0" xfId="0" applyAlignment="1" applyBorder="1" applyFont="1">
      <alignment shrinkToFit="0" vertical="center" wrapText="1"/>
    </xf>
    <xf borderId="9" fillId="0" fontId="20" numFmtId="165" xfId="0" applyAlignment="1" applyBorder="1" applyFont="1" applyNumberFormat="1">
      <alignment horizontal="center" vertical="center"/>
    </xf>
    <xf borderId="9" fillId="0" fontId="20" numFmtId="166" xfId="0" applyAlignment="1" applyBorder="1" applyFont="1" applyNumberFormat="1">
      <alignment horizontal="center" vertical="center"/>
    </xf>
    <xf borderId="9" fillId="0" fontId="21" numFmtId="0" xfId="0" applyAlignment="1" applyBorder="1" applyFont="1">
      <alignment horizontal="center" shrinkToFit="0" vertical="center" wrapText="1"/>
    </xf>
    <xf borderId="10" fillId="0" fontId="20" numFmtId="0" xfId="0" applyAlignment="1" applyBorder="1" applyFont="1">
      <alignment shrinkToFit="0" vertical="center" wrapText="1"/>
    </xf>
    <xf borderId="10" fillId="0" fontId="21" numFmtId="0" xfId="0" applyAlignment="1" applyBorder="1" applyFont="1">
      <alignment horizontal="center" vertical="center"/>
    </xf>
    <xf borderId="10" fillId="0" fontId="20" numFmtId="164" xfId="0" applyAlignment="1" applyBorder="1" applyFont="1" applyNumberFormat="1">
      <alignment horizontal="center" vertical="center"/>
    </xf>
    <xf borderId="10" fillId="0" fontId="22" numFmtId="0" xfId="0" applyAlignment="1" applyBorder="1" applyFont="1">
      <alignment horizontal="center" shrinkToFit="0" vertical="center" wrapText="1"/>
    </xf>
    <xf borderId="10" fillId="0" fontId="21" numFmtId="0" xfId="0" applyAlignment="1" applyBorder="1" applyFont="1">
      <alignment horizontal="left" shrinkToFit="0" vertical="center" wrapText="1"/>
    </xf>
    <xf borderId="10" fillId="0" fontId="21" numFmtId="0" xfId="0" applyAlignment="1" applyBorder="1" applyFont="1">
      <alignment shrinkToFit="0" vertical="center" wrapText="1"/>
    </xf>
    <xf borderId="10" fillId="0" fontId="21" numFmtId="0" xfId="0" applyAlignment="1" applyBorder="1" applyFont="1">
      <alignment horizontal="center" shrinkToFit="0" vertical="center" wrapText="1"/>
    </xf>
    <xf borderId="10" fillId="8" fontId="17" numFmtId="0" xfId="0" applyAlignment="1" applyBorder="1" applyFont="1">
      <alignment horizontal="center" shrinkToFit="0" vertical="center" wrapText="1"/>
    </xf>
    <xf borderId="10" fillId="8" fontId="21" numFmtId="0" xfId="0" applyAlignment="1" applyBorder="1" applyFont="1">
      <alignment shrinkToFit="0" vertical="center" wrapText="1"/>
    </xf>
    <xf borderId="0" fillId="5" fontId="19" numFmtId="0" xfId="0" applyAlignment="1" applyFont="1">
      <alignment horizontal="center" shrinkToFit="0" vertical="center" wrapText="1"/>
    </xf>
    <xf borderId="8" fillId="0" fontId="20" numFmtId="164" xfId="0" applyAlignment="1" applyBorder="1" applyFont="1" applyNumberFormat="1">
      <alignment horizontal="center" vertical="center"/>
    </xf>
    <xf borderId="8" fillId="8" fontId="17" numFmtId="0" xfId="0" applyAlignment="1" applyBorder="1" applyFont="1">
      <alignment shrinkToFit="0" vertical="center" wrapText="1"/>
    </xf>
    <xf borderId="8" fillId="8" fontId="21" numFmtId="0" xfId="0" applyAlignment="1" applyBorder="1" applyFont="1">
      <alignment horizontal="left" shrinkToFit="0" vertical="center" wrapText="1"/>
    </xf>
    <xf borderId="9" fillId="8" fontId="17" numFmtId="0" xfId="0" applyAlignment="1" applyBorder="1" applyFont="1">
      <alignment shrinkToFit="0" vertical="center" wrapText="1"/>
    </xf>
    <xf borderId="9" fillId="8" fontId="21" numFmtId="0" xfId="0" applyAlignment="1" applyBorder="1" applyFont="1">
      <alignment horizontal="left" shrinkToFit="0" vertical="center" wrapText="1"/>
    </xf>
    <xf borderId="9" fillId="0" fontId="20" numFmtId="165" xfId="0" applyAlignment="1" applyBorder="1" applyFont="1" applyNumberFormat="1">
      <alignment horizontal="center" readingOrder="0" vertical="center"/>
    </xf>
    <xf borderId="10" fillId="0" fontId="20" numFmtId="0" xfId="0" applyAlignment="1" applyBorder="1" applyFont="1">
      <alignment horizontal="center" shrinkToFit="0" vertical="center" wrapText="1"/>
    </xf>
    <xf borderId="10" fillId="8" fontId="17" numFmtId="0" xfId="0" applyAlignment="1" applyBorder="1" applyFont="1">
      <alignment shrinkToFit="0" vertical="center" wrapText="1"/>
    </xf>
    <xf borderId="10" fillId="8" fontId="21" numFmtId="0" xfId="0" applyAlignment="1" applyBorder="1" applyFont="1">
      <alignment horizontal="left" shrinkToFit="0" vertical="center" wrapText="1"/>
    </xf>
    <xf borderId="11" fillId="2" fontId="17" numFmtId="0" xfId="0" applyAlignment="1" applyBorder="1" applyFont="1">
      <alignment horizontal="center" vertical="center"/>
    </xf>
    <xf borderId="0" fillId="0" fontId="1" numFmtId="0" xfId="0" applyAlignment="1" applyFont="1">
      <alignment vertical="center"/>
    </xf>
    <xf borderId="12" fillId="2" fontId="23" numFmtId="0" xfId="0" applyAlignment="1" applyBorder="1" applyFont="1">
      <alignment horizontal="center" shrinkToFit="0" vertical="center" wrapText="1"/>
    </xf>
    <xf borderId="13" fillId="2" fontId="23" numFmtId="0" xfId="0" applyAlignment="1" applyBorder="1" applyFont="1">
      <alignment horizontal="center" shrinkToFit="0" vertical="center" wrapText="1"/>
    </xf>
    <xf borderId="14" fillId="2"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23" numFmtId="0" xfId="0" applyAlignment="1" applyFont="1">
      <alignment horizontal="center" shrinkToFit="0" vertical="center" wrapText="1"/>
    </xf>
    <xf borderId="4" fillId="0" fontId="23" numFmtId="0" xfId="0" applyAlignment="1" applyBorder="1" applyFont="1">
      <alignment horizontal="center" shrinkToFit="0" vertical="center" wrapText="1"/>
    </xf>
    <xf borderId="15" fillId="0" fontId="23" numFmtId="0" xfId="0" applyAlignment="1" applyBorder="1" applyFont="1">
      <alignment horizontal="center" shrinkToFit="0" vertical="center" wrapText="1"/>
    </xf>
    <xf borderId="16" fillId="2" fontId="23" numFmtId="0" xfId="0" applyAlignment="1" applyBorder="1" applyFont="1">
      <alignment horizontal="center" shrinkToFit="0" vertical="center" wrapText="1"/>
    </xf>
    <xf borderId="17" fillId="0" fontId="4" numFmtId="0" xfId="0" applyBorder="1" applyFont="1"/>
    <xf borderId="17" fillId="11" fontId="23" numFmtId="0" xfId="0" applyAlignment="1" applyBorder="1" applyFill="1" applyFont="1">
      <alignment horizontal="center" shrinkToFit="0" vertical="center" wrapText="1"/>
    </xf>
    <xf borderId="1" fillId="11" fontId="23" numFmtId="0" xfId="0" applyAlignment="1" applyBorder="1" applyFont="1">
      <alignment horizontal="center" shrinkToFit="0" vertical="center" wrapText="1"/>
    </xf>
    <xf borderId="18" fillId="11" fontId="23" numFmtId="49" xfId="0" applyAlignment="1" applyBorder="1" applyFont="1" applyNumberFormat="1">
      <alignment horizontal="center" shrinkToFit="0" vertical="center" wrapText="1"/>
    </xf>
    <xf borderId="0" fillId="0" fontId="24" numFmtId="0" xfId="0" applyFont="1"/>
    <xf borderId="0" fillId="0" fontId="24" numFmtId="49" xfId="0" applyFont="1" applyNumberFormat="1"/>
    <xf borderId="0" fillId="0" fontId="24"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3.13"/>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4.75"/>
    <col customWidth="1" min="22" max="22" width="6.13"/>
  </cols>
  <sheetData>
    <row r="1" ht="50.25" customHeight="1">
      <c r="A1" s="1"/>
      <c r="B1" s="2" t="s">
        <v>0</v>
      </c>
      <c r="C1" s="3"/>
      <c r="D1" s="2" t="s">
        <v>1</v>
      </c>
      <c r="E1" s="2" t="s">
        <v>2</v>
      </c>
      <c r="F1" s="3"/>
      <c r="G1" s="2" t="s">
        <v>3</v>
      </c>
      <c r="H1" s="3"/>
      <c r="I1" s="3" t="s">
        <v>4</v>
      </c>
      <c r="J1" s="3"/>
      <c r="K1" s="2" t="s">
        <v>5</v>
      </c>
      <c r="L1" s="3"/>
      <c r="M1" s="2" t="s">
        <v>6</v>
      </c>
      <c r="N1" s="3"/>
      <c r="O1" s="2" t="s">
        <v>7</v>
      </c>
      <c r="P1" s="3"/>
      <c r="Q1" s="2" t="s">
        <v>8</v>
      </c>
      <c r="R1" s="3"/>
      <c r="S1" s="2" t="s">
        <v>9</v>
      </c>
      <c r="T1" s="4"/>
      <c r="U1" s="5"/>
      <c r="V1" s="6"/>
    </row>
    <row r="2" ht="15.75" customHeight="1">
      <c r="A2" s="7">
        <v>1.0</v>
      </c>
      <c r="B2" s="8" t="s">
        <v>10</v>
      </c>
      <c r="C2" s="9" t="s">
        <v>11</v>
      </c>
      <c r="D2" s="8" t="s">
        <v>12</v>
      </c>
      <c r="E2" s="10" t="s">
        <v>13</v>
      </c>
      <c r="F2" s="9" t="s">
        <v>14</v>
      </c>
      <c r="G2" s="10" t="s">
        <v>15</v>
      </c>
      <c r="H2" s="9" t="s">
        <v>11</v>
      </c>
      <c r="I2" s="11" t="s">
        <v>16</v>
      </c>
      <c r="J2" s="9" t="s">
        <v>14</v>
      </c>
      <c r="K2" s="12" t="s">
        <v>17</v>
      </c>
      <c r="L2" s="9" t="s">
        <v>11</v>
      </c>
      <c r="M2" s="13" t="s">
        <v>18</v>
      </c>
      <c r="N2" s="9" t="s">
        <v>11</v>
      </c>
      <c r="O2" s="13" t="s">
        <v>19</v>
      </c>
      <c r="P2" s="9" t="s">
        <v>11</v>
      </c>
      <c r="Q2" s="13" t="s">
        <v>20</v>
      </c>
      <c r="R2" s="9" t="s">
        <v>14</v>
      </c>
      <c r="S2" s="14" t="s">
        <v>21</v>
      </c>
      <c r="T2" s="15" t="s">
        <v>22</v>
      </c>
      <c r="U2" s="16" t="s">
        <v>23</v>
      </c>
      <c r="V2" s="17" t="s">
        <v>24</v>
      </c>
    </row>
    <row r="3" ht="15.75" customHeight="1">
      <c r="A3" s="7">
        <v>2.0</v>
      </c>
      <c r="B3" s="18" t="s">
        <v>10</v>
      </c>
      <c r="C3" s="19" t="s">
        <v>11</v>
      </c>
      <c r="D3" s="18" t="s">
        <v>12</v>
      </c>
      <c r="E3" s="20" t="s">
        <v>13</v>
      </c>
      <c r="F3" s="19" t="s">
        <v>14</v>
      </c>
      <c r="G3" s="20" t="s">
        <v>15</v>
      </c>
      <c r="H3" s="19" t="s">
        <v>11</v>
      </c>
      <c r="I3" s="21" t="s">
        <v>16</v>
      </c>
      <c r="J3" s="19" t="s">
        <v>14</v>
      </c>
      <c r="K3" s="22" t="s">
        <v>17</v>
      </c>
      <c r="L3" s="19" t="s">
        <v>11</v>
      </c>
      <c r="M3" s="22" t="s">
        <v>18</v>
      </c>
      <c r="N3" s="19" t="s">
        <v>11</v>
      </c>
      <c r="O3" s="22" t="s">
        <v>19</v>
      </c>
      <c r="P3" s="19" t="s">
        <v>11</v>
      </c>
      <c r="Q3" s="22" t="s">
        <v>20</v>
      </c>
      <c r="R3" s="19" t="s">
        <v>14</v>
      </c>
      <c r="S3" s="23" t="s">
        <v>21</v>
      </c>
      <c r="T3" s="24" t="s">
        <v>22</v>
      </c>
      <c r="U3" s="25" t="s">
        <v>25</v>
      </c>
      <c r="V3" s="17" t="s">
        <v>24</v>
      </c>
    </row>
    <row r="4" ht="15.75" customHeight="1">
      <c r="A4" s="7">
        <v>3.0</v>
      </c>
      <c r="B4" s="8" t="s">
        <v>10</v>
      </c>
      <c r="C4" s="9" t="s">
        <v>11</v>
      </c>
      <c r="D4" s="8" t="s">
        <v>12</v>
      </c>
      <c r="E4" s="10" t="s">
        <v>13</v>
      </c>
      <c r="F4" s="9" t="s">
        <v>14</v>
      </c>
      <c r="G4" s="10" t="s">
        <v>15</v>
      </c>
      <c r="H4" s="9" t="s">
        <v>11</v>
      </c>
      <c r="I4" s="11" t="s">
        <v>16</v>
      </c>
      <c r="J4" s="9" t="s">
        <v>14</v>
      </c>
      <c r="K4" s="13" t="s">
        <v>17</v>
      </c>
      <c r="L4" s="9" t="s">
        <v>11</v>
      </c>
      <c r="M4" s="13" t="s">
        <v>18</v>
      </c>
      <c r="N4" s="9" t="s">
        <v>11</v>
      </c>
      <c r="O4" s="13" t="s">
        <v>19</v>
      </c>
      <c r="P4" s="9" t="s">
        <v>11</v>
      </c>
      <c r="Q4" s="13" t="s">
        <v>20</v>
      </c>
      <c r="R4" s="9" t="s">
        <v>14</v>
      </c>
      <c r="S4" s="14" t="s">
        <v>21</v>
      </c>
      <c r="T4" s="15" t="s">
        <v>26</v>
      </c>
      <c r="U4" s="16" t="s">
        <v>23</v>
      </c>
      <c r="V4" s="17" t="s">
        <v>24</v>
      </c>
    </row>
    <row r="5" ht="15.75" customHeight="1">
      <c r="A5" s="7">
        <v>4.0</v>
      </c>
      <c r="B5" s="18" t="s">
        <v>10</v>
      </c>
      <c r="C5" s="19" t="s">
        <v>11</v>
      </c>
      <c r="D5" s="18" t="s">
        <v>12</v>
      </c>
      <c r="E5" s="20" t="s">
        <v>13</v>
      </c>
      <c r="F5" s="19" t="s">
        <v>14</v>
      </c>
      <c r="G5" s="20" t="s">
        <v>15</v>
      </c>
      <c r="H5" s="19" t="s">
        <v>11</v>
      </c>
      <c r="I5" s="21" t="s">
        <v>16</v>
      </c>
      <c r="J5" s="19" t="s">
        <v>14</v>
      </c>
      <c r="K5" s="22" t="s">
        <v>17</v>
      </c>
      <c r="L5" s="19" t="s">
        <v>11</v>
      </c>
      <c r="M5" s="22" t="s">
        <v>18</v>
      </c>
      <c r="N5" s="19" t="s">
        <v>11</v>
      </c>
      <c r="O5" s="22" t="s">
        <v>19</v>
      </c>
      <c r="P5" s="19" t="s">
        <v>11</v>
      </c>
      <c r="Q5" s="22" t="s">
        <v>20</v>
      </c>
      <c r="R5" s="19" t="s">
        <v>14</v>
      </c>
      <c r="S5" s="23" t="s">
        <v>21</v>
      </c>
      <c r="T5" s="24" t="s">
        <v>26</v>
      </c>
      <c r="U5" s="25" t="s">
        <v>25</v>
      </c>
      <c r="V5" s="17" t="s">
        <v>24</v>
      </c>
    </row>
    <row r="6" ht="15.75" customHeight="1">
      <c r="A6" s="7">
        <v>5.0</v>
      </c>
      <c r="B6" s="8" t="s">
        <v>10</v>
      </c>
      <c r="C6" s="9" t="s">
        <v>11</v>
      </c>
      <c r="D6" s="8" t="s">
        <v>12</v>
      </c>
      <c r="E6" s="10" t="s">
        <v>13</v>
      </c>
      <c r="F6" s="9" t="s">
        <v>14</v>
      </c>
      <c r="G6" s="10" t="s">
        <v>15</v>
      </c>
      <c r="H6" s="9" t="s">
        <v>11</v>
      </c>
      <c r="I6" s="11" t="s">
        <v>16</v>
      </c>
      <c r="J6" s="9" t="s">
        <v>14</v>
      </c>
      <c r="K6" s="13" t="s">
        <v>17</v>
      </c>
      <c r="L6" s="9" t="s">
        <v>11</v>
      </c>
      <c r="M6" s="13" t="s">
        <v>18</v>
      </c>
      <c r="N6" s="9" t="s">
        <v>11</v>
      </c>
      <c r="O6" s="13" t="s">
        <v>19</v>
      </c>
      <c r="P6" s="9" t="s">
        <v>11</v>
      </c>
      <c r="Q6" s="13" t="s">
        <v>20</v>
      </c>
      <c r="R6" s="9" t="s">
        <v>14</v>
      </c>
      <c r="S6" s="14" t="s">
        <v>21</v>
      </c>
      <c r="T6" s="15" t="s">
        <v>27</v>
      </c>
      <c r="U6" s="16" t="s">
        <v>23</v>
      </c>
      <c r="V6" s="17" t="s">
        <v>24</v>
      </c>
    </row>
    <row r="7" ht="15.75" customHeight="1">
      <c r="A7" s="7">
        <v>6.0</v>
      </c>
      <c r="B7" s="18" t="s">
        <v>10</v>
      </c>
      <c r="C7" s="19" t="s">
        <v>11</v>
      </c>
      <c r="D7" s="18" t="s">
        <v>12</v>
      </c>
      <c r="E7" s="20" t="s">
        <v>13</v>
      </c>
      <c r="F7" s="19" t="s">
        <v>14</v>
      </c>
      <c r="G7" s="20" t="s">
        <v>15</v>
      </c>
      <c r="H7" s="19" t="s">
        <v>11</v>
      </c>
      <c r="I7" s="21" t="s">
        <v>16</v>
      </c>
      <c r="J7" s="19" t="s">
        <v>14</v>
      </c>
      <c r="K7" s="22" t="s">
        <v>17</v>
      </c>
      <c r="L7" s="19" t="s">
        <v>11</v>
      </c>
      <c r="M7" s="22" t="s">
        <v>18</v>
      </c>
      <c r="N7" s="19" t="s">
        <v>11</v>
      </c>
      <c r="O7" s="22" t="s">
        <v>19</v>
      </c>
      <c r="P7" s="19" t="s">
        <v>11</v>
      </c>
      <c r="Q7" s="22" t="s">
        <v>20</v>
      </c>
      <c r="R7" s="19" t="s">
        <v>14</v>
      </c>
      <c r="S7" s="23" t="s">
        <v>21</v>
      </c>
      <c r="T7" s="24" t="s">
        <v>27</v>
      </c>
      <c r="U7" s="25" t="s">
        <v>25</v>
      </c>
      <c r="V7" s="17" t="s">
        <v>24</v>
      </c>
    </row>
    <row r="8" ht="15.75" customHeight="1">
      <c r="A8" s="7">
        <v>7.0</v>
      </c>
      <c r="B8" s="8" t="s">
        <v>10</v>
      </c>
      <c r="C8" s="9" t="s">
        <v>11</v>
      </c>
      <c r="D8" s="8" t="s">
        <v>12</v>
      </c>
      <c r="E8" s="10" t="s">
        <v>13</v>
      </c>
      <c r="F8" s="9" t="s">
        <v>14</v>
      </c>
      <c r="G8" s="10" t="s">
        <v>15</v>
      </c>
      <c r="H8" s="9" t="s">
        <v>11</v>
      </c>
      <c r="I8" s="11" t="s">
        <v>16</v>
      </c>
      <c r="J8" s="9" t="s">
        <v>14</v>
      </c>
      <c r="K8" s="13" t="s">
        <v>17</v>
      </c>
      <c r="L8" s="9" t="s">
        <v>11</v>
      </c>
      <c r="M8" s="13" t="s">
        <v>18</v>
      </c>
      <c r="N8" s="9" t="s">
        <v>11</v>
      </c>
      <c r="O8" s="13" t="s">
        <v>19</v>
      </c>
      <c r="P8" s="9" t="s">
        <v>11</v>
      </c>
      <c r="Q8" s="13" t="s">
        <v>20</v>
      </c>
      <c r="R8" s="9" t="s">
        <v>14</v>
      </c>
      <c r="S8" s="14" t="s">
        <v>21</v>
      </c>
      <c r="T8" s="26" t="s">
        <v>28</v>
      </c>
      <c r="U8" s="16" t="s">
        <v>23</v>
      </c>
      <c r="V8" s="17" t="s">
        <v>24</v>
      </c>
    </row>
    <row r="9" ht="15.75" customHeight="1">
      <c r="A9" s="7">
        <v>8.0</v>
      </c>
      <c r="B9" s="18" t="s">
        <v>10</v>
      </c>
      <c r="C9" s="19" t="s">
        <v>11</v>
      </c>
      <c r="D9" s="18" t="s">
        <v>12</v>
      </c>
      <c r="E9" s="20" t="s">
        <v>13</v>
      </c>
      <c r="F9" s="19" t="s">
        <v>14</v>
      </c>
      <c r="G9" s="20" t="s">
        <v>15</v>
      </c>
      <c r="H9" s="19" t="s">
        <v>11</v>
      </c>
      <c r="I9" s="21" t="s">
        <v>16</v>
      </c>
      <c r="J9" s="19" t="s">
        <v>14</v>
      </c>
      <c r="K9" s="22" t="s">
        <v>17</v>
      </c>
      <c r="L9" s="19" t="s">
        <v>11</v>
      </c>
      <c r="M9" s="22" t="s">
        <v>18</v>
      </c>
      <c r="N9" s="19" t="s">
        <v>11</v>
      </c>
      <c r="O9" s="22" t="s">
        <v>19</v>
      </c>
      <c r="P9" s="19" t="s">
        <v>11</v>
      </c>
      <c r="Q9" s="22" t="s">
        <v>20</v>
      </c>
      <c r="R9" s="19" t="s">
        <v>14</v>
      </c>
      <c r="S9" s="23" t="s">
        <v>21</v>
      </c>
      <c r="T9" s="27" t="s">
        <v>28</v>
      </c>
      <c r="U9" s="25" t="s">
        <v>25</v>
      </c>
      <c r="V9" s="17" t="s">
        <v>24</v>
      </c>
    </row>
    <row r="10" ht="15.75" customHeight="1">
      <c r="A10" s="7">
        <v>9.0</v>
      </c>
      <c r="B10" s="8" t="s">
        <v>10</v>
      </c>
      <c r="C10" s="9" t="s">
        <v>11</v>
      </c>
      <c r="D10" s="8" t="s">
        <v>12</v>
      </c>
      <c r="E10" s="10" t="s">
        <v>13</v>
      </c>
      <c r="F10" s="9" t="s">
        <v>14</v>
      </c>
      <c r="G10" s="10" t="s">
        <v>15</v>
      </c>
      <c r="H10" s="9" t="s">
        <v>11</v>
      </c>
      <c r="I10" s="11" t="s">
        <v>16</v>
      </c>
      <c r="J10" s="9" t="s">
        <v>14</v>
      </c>
      <c r="K10" s="13" t="s">
        <v>17</v>
      </c>
      <c r="L10" s="9" t="s">
        <v>11</v>
      </c>
      <c r="M10" s="13" t="s">
        <v>18</v>
      </c>
      <c r="N10" s="9" t="s">
        <v>11</v>
      </c>
      <c r="O10" s="13" t="s">
        <v>19</v>
      </c>
      <c r="P10" s="9" t="s">
        <v>11</v>
      </c>
      <c r="Q10" s="13" t="s">
        <v>20</v>
      </c>
      <c r="R10" s="9" t="s">
        <v>14</v>
      </c>
      <c r="S10" s="14" t="s">
        <v>21</v>
      </c>
      <c r="T10" s="26" t="s">
        <v>29</v>
      </c>
      <c r="U10" s="16" t="s">
        <v>23</v>
      </c>
      <c r="V10" s="17" t="s">
        <v>24</v>
      </c>
    </row>
    <row r="11" ht="15.75" customHeight="1">
      <c r="A11" s="7">
        <v>10.0</v>
      </c>
      <c r="B11" s="18" t="s">
        <v>10</v>
      </c>
      <c r="C11" s="19" t="s">
        <v>11</v>
      </c>
      <c r="D11" s="18" t="s">
        <v>12</v>
      </c>
      <c r="E11" s="20" t="s">
        <v>13</v>
      </c>
      <c r="F11" s="19" t="s">
        <v>14</v>
      </c>
      <c r="G11" s="20" t="s">
        <v>15</v>
      </c>
      <c r="H11" s="19" t="s">
        <v>11</v>
      </c>
      <c r="I11" s="21" t="s">
        <v>16</v>
      </c>
      <c r="J11" s="19" t="s">
        <v>14</v>
      </c>
      <c r="K11" s="22" t="s">
        <v>17</v>
      </c>
      <c r="L11" s="19" t="s">
        <v>11</v>
      </c>
      <c r="M11" s="22" t="s">
        <v>18</v>
      </c>
      <c r="N11" s="19" t="s">
        <v>11</v>
      </c>
      <c r="O11" s="22" t="s">
        <v>19</v>
      </c>
      <c r="P11" s="19" t="s">
        <v>11</v>
      </c>
      <c r="Q11" s="22" t="s">
        <v>20</v>
      </c>
      <c r="R11" s="19" t="s">
        <v>14</v>
      </c>
      <c r="S11" s="23" t="s">
        <v>21</v>
      </c>
      <c r="T11" s="27" t="s">
        <v>29</v>
      </c>
      <c r="U11" s="25" t="s">
        <v>25</v>
      </c>
      <c r="V11" s="17" t="s">
        <v>24</v>
      </c>
    </row>
    <row r="12" ht="15.75" customHeight="1">
      <c r="A12" s="7">
        <v>11.0</v>
      </c>
      <c r="B12" s="8" t="s">
        <v>10</v>
      </c>
      <c r="C12" s="9" t="s">
        <v>11</v>
      </c>
      <c r="D12" s="8" t="s">
        <v>12</v>
      </c>
      <c r="E12" s="10" t="s">
        <v>13</v>
      </c>
      <c r="F12" s="9" t="s">
        <v>14</v>
      </c>
      <c r="G12" s="10" t="s">
        <v>15</v>
      </c>
      <c r="H12" s="9" t="s">
        <v>11</v>
      </c>
      <c r="I12" s="11" t="s">
        <v>16</v>
      </c>
      <c r="J12" s="9" t="s">
        <v>14</v>
      </c>
      <c r="K12" s="13" t="s">
        <v>17</v>
      </c>
      <c r="L12" s="9" t="s">
        <v>11</v>
      </c>
      <c r="M12" s="13" t="s">
        <v>18</v>
      </c>
      <c r="N12" s="9" t="s">
        <v>11</v>
      </c>
      <c r="O12" s="13" t="s">
        <v>19</v>
      </c>
      <c r="P12" s="9" t="s">
        <v>11</v>
      </c>
      <c r="Q12" s="13" t="s">
        <v>20</v>
      </c>
      <c r="R12" s="9" t="s">
        <v>14</v>
      </c>
      <c r="S12" s="14" t="s">
        <v>21</v>
      </c>
      <c r="T12" s="26" t="s">
        <v>30</v>
      </c>
      <c r="U12" s="16" t="s">
        <v>23</v>
      </c>
      <c r="V12" s="17" t="s">
        <v>24</v>
      </c>
    </row>
    <row r="13" ht="15.75" customHeight="1">
      <c r="A13" s="7">
        <v>12.0</v>
      </c>
      <c r="B13" s="18" t="s">
        <v>10</v>
      </c>
      <c r="C13" s="19" t="s">
        <v>11</v>
      </c>
      <c r="D13" s="18" t="s">
        <v>12</v>
      </c>
      <c r="E13" s="20" t="s">
        <v>13</v>
      </c>
      <c r="F13" s="19" t="s">
        <v>14</v>
      </c>
      <c r="G13" s="20" t="s">
        <v>15</v>
      </c>
      <c r="H13" s="19" t="s">
        <v>11</v>
      </c>
      <c r="I13" s="21" t="s">
        <v>16</v>
      </c>
      <c r="J13" s="19" t="s">
        <v>14</v>
      </c>
      <c r="K13" s="22" t="s">
        <v>17</v>
      </c>
      <c r="L13" s="19" t="s">
        <v>11</v>
      </c>
      <c r="M13" s="22" t="s">
        <v>18</v>
      </c>
      <c r="N13" s="19" t="s">
        <v>11</v>
      </c>
      <c r="O13" s="22" t="s">
        <v>19</v>
      </c>
      <c r="P13" s="19" t="s">
        <v>11</v>
      </c>
      <c r="Q13" s="22" t="s">
        <v>20</v>
      </c>
      <c r="R13" s="19" t="s">
        <v>14</v>
      </c>
      <c r="S13" s="23" t="s">
        <v>21</v>
      </c>
      <c r="T13" s="27" t="s">
        <v>30</v>
      </c>
      <c r="U13" s="25" t="s">
        <v>25</v>
      </c>
      <c r="V13" s="17" t="s">
        <v>24</v>
      </c>
    </row>
    <row r="14" ht="15.75" customHeight="1">
      <c r="A14" s="7">
        <v>13.0</v>
      </c>
      <c r="B14" s="8" t="s">
        <v>10</v>
      </c>
      <c r="C14" s="9" t="s">
        <v>11</v>
      </c>
      <c r="D14" s="8" t="s">
        <v>12</v>
      </c>
      <c r="E14" s="10" t="s">
        <v>13</v>
      </c>
      <c r="F14" s="9" t="s">
        <v>14</v>
      </c>
      <c r="G14" s="10" t="s">
        <v>15</v>
      </c>
      <c r="H14" s="9" t="s">
        <v>11</v>
      </c>
      <c r="I14" s="11" t="s">
        <v>16</v>
      </c>
      <c r="J14" s="9" t="s">
        <v>14</v>
      </c>
      <c r="K14" s="13" t="s">
        <v>17</v>
      </c>
      <c r="L14" s="9" t="s">
        <v>11</v>
      </c>
      <c r="M14" s="13" t="s">
        <v>18</v>
      </c>
      <c r="N14" s="9" t="s">
        <v>11</v>
      </c>
      <c r="O14" s="13" t="s">
        <v>19</v>
      </c>
      <c r="P14" s="9" t="s">
        <v>11</v>
      </c>
      <c r="Q14" s="13" t="s">
        <v>20</v>
      </c>
      <c r="R14" s="9" t="s">
        <v>14</v>
      </c>
      <c r="S14" s="14" t="s">
        <v>21</v>
      </c>
      <c r="T14" s="26" t="s">
        <v>31</v>
      </c>
      <c r="U14" s="16" t="s">
        <v>23</v>
      </c>
      <c r="V14" s="17" t="s">
        <v>24</v>
      </c>
    </row>
    <row r="15" ht="15.75" customHeight="1">
      <c r="A15" s="7">
        <v>14.0</v>
      </c>
      <c r="B15" s="18" t="s">
        <v>10</v>
      </c>
      <c r="C15" s="19" t="s">
        <v>11</v>
      </c>
      <c r="D15" s="18" t="s">
        <v>12</v>
      </c>
      <c r="E15" s="20" t="s">
        <v>13</v>
      </c>
      <c r="F15" s="19" t="s">
        <v>14</v>
      </c>
      <c r="G15" s="20" t="s">
        <v>15</v>
      </c>
      <c r="H15" s="19" t="s">
        <v>11</v>
      </c>
      <c r="I15" s="21" t="s">
        <v>16</v>
      </c>
      <c r="J15" s="19" t="s">
        <v>14</v>
      </c>
      <c r="K15" s="22" t="s">
        <v>17</v>
      </c>
      <c r="L15" s="19" t="s">
        <v>11</v>
      </c>
      <c r="M15" s="22" t="s">
        <v>18</v>
      </c>
      <c r="N15" s="19" t="s">
        <v>11</v>
      </c>
      <c r="O15" s="22" t="s">
        <v>19</v>
      </c>
      <c r="P15" s="19" t="s">
        <v>11</v>
      </c>
      <c r="Q15" s="22" t="s">
        <v>20</v>
      </c>
      <c r="R15" s="19" t="s">
        <v>14</v>
      </c>
      <c r="S15" s="23" t="s">
        <v>21</v>
      </c>
      <c r="T15" s="27" t="s">
        <v>31</v>
      </c>
      <c r="U15" s="25" t="s">
        <v>25</v>
      </c>
      <c r="V15" s="17" t="s">
        <v>24</v>
      </c>
    </row>
    <row r="16" ht="15.75" customHeight="1">
      <c r="A16" s="7">
        <v>15.0</v>
      </c>
      <c r="B16" s="8" t="s">
        <v>10</v>
      </c>
      <c r="C16" s="9" t="s">
        <v>11</v>
      </c>
      <c r="D16" s="8" t="s">
        <v>12</v>
      </c>
      <c r="E16" s="10" t="s">
        <v>13</v>
      </c>
      <c r="F16" s="9" t="s">
        <v>14</v>
      </c>
      <c r="G16" s="28" t="s">
        <v>15</v>
      </c>
      <c r="H16" s="9" t="s">
        <v>11</v>
      </c>
      <c r="I16" s="11" t="s">
        <v>16</v>
      </c>
      <c r="J16" s="9" t="s">
        <v>14</v>
      </c>
      <c r="K16" s="13" t="s">
        <v>17</v>
      </c>
      <c r="L16" s="9" t="s">
        <v>11</v>
      </c>
      <c r="M16" s="13" t="s">
        <v>18</v>
      </c>
      <c r="N16" s="9" t="s">
        <v>11</v>
      </c>
      <c r="O16" s="13" t="s">
        <v>19</v>
      </c>
      <c r="P16" s="9" t="s">
        <v>11</v>
      </c>
      <c r="Q16" s="13" t="s">
        <v>20</v>
      </c>
      <c r="R16" s="9" t="s">
        <v>14</v>
      </c>
      <c r="S16" s="14" t="s">
        <v>21</v>
      </c>
      <c r="T16" s="26" t="s">
        <v>32</v>
      </c>
      <c r="U16" s="16" t="s">
        <v>23</v>
      </c>
      <c r="V16" s="17" t="s">
        <v>24</v>
      </c>
    </row>
    <row r="17" ht="15.75" customHeight="1">
      <c r="A17" s="7">
        <v>16.0</v>
      </c>
      <c r="B17" s="18" t="s">
        <v>10</v>
      </c>
      <c r="C17" s="19" t="s">
        <v>11</v>
      </c>
      <c r="D17" s="18" t="s">
        <v>12</v>
      </c>
      <c r="E17" s="20" t="s">
        <v>13</v>
      </c>
      <c r="F17" s="19" t="s">
        <v>14</v>
      </c>
      <c r="G17" s="20" t="s">
        <v>15</v>
      </c>
      <c r="H17" s="19" t="s">
        <v>11</v>
      </c>
      <c r="I17" s="21" t="s">
        <v>16</v>
      </c>
      <c r="J17" s="19" t="s">
        <v>14</v>
      </c>
      <c r="K17" s="22" t="s">
        <v>17</v>
      </c>
      <c r="L17" s="19" t="s">
        <v>11</v>
      </c>
      <c r="M17" s="22" t="s">
        <v>18</v>
      </c>
      <c r="N17" s="19" t="s">
        <v>11</v>
      </c>
      <c r="O17" s="22" t="s">
        <v>19</v>
      </c>
      <c r="P17" s="19" t="s">
        <v>11</v>
      </c>
      <c r="Q17" s="22" t="s">
        <v>20</v>
      </c>
      <c r="R17" s="19" t="s">
        <v>14</v>
      </c>
      <c r="S17" s="23" t="s">
        <v>21</v>
      </c>
      <c r="T17" s="24" t="s">
        <v>32</v>
      </c>
      <c r="U17" s="25" t="s">
        <v>25</v>
      </c>
      <c r="V17" s="17" t="s">
        <v>24</v>
      </c>
    </row>
    <row r="18" ht="15.75" customHeight="1">
      <c r="A18" s="7">
        <v>17.0</v>
      </c>
      <c r="B18" s="8" t="s">
        <v>10</v>
      </c>
      <c r="C18" s="9" t="s">
        <v>11</v>
      </c>
      <c r="D18" s="8" t="s">
        <v>12</v>
      </c>
      <c r="E18" s="10" t="s">
        <v>13</v>
      </c>
      <c r="F18" s="9" t="s">
        <v>14</v>
      </c>
      <c r="G18" s="10" t="s">
        <v>15</v>
      </c>
      <c r="H18" s="9" t="s">
        <v>11</v>
      </c>
      <c r="I18" s="11" t="s">
        <v>16</v>
      </c>
      <c r="J18" s="9" t="s">
        <v>14</v>
      </c>
      <c r="K18" s="13" t="s">
        <v>17</v>
      </c>
      <c r="L18" s="9" t="s">
        <v>11</v>
      </c>
      <c r="M18" s="13" t="s">
        <v>18</v>
      </c>
      <c r="N18" s="9" t="s">
        <v>11</v>
      </c>
      <c r="O18" s="13" t="s">
        <v>19</v>
      </c>
      <c r="P18" s="9" t="s">
        <v>11</v>
      </c>
      <c r="Q18" s="13" t="s">
        <v>20</v>
      </c>
      <c r="R18" s="9" t="s">
        <v>14</v>
      </c>
      <c r="S18" s="14" t="s">
        <v>21</v>
      </c>
      <c r="T18" s="15" t="s">
        <v>33</v>
      </c>
      <c r="U18" s="16" t="s">
        <v>23</v>
      </c>
      <c r="V18" s="17" t="s">
        <v>24</v>
      </c>
    </row>
    <row r="19" ht="15.75" customHeight="1">
      <c r="A19" s="7">
        <v>18.0</v>
      </c>
      <c r="B19" s="18" t="s">
        <v>10</v>
      </c>
      <c r="C19" s="19" t="s">
        <v>11</v>
      </c>
      <c r="D19" s="18" t="s">
        <v>12</v>
      </c>
      <c r="E19" s="20" t="s">
        <v>13</v>
      </c>
      <c r="F19" s="19" t="s">
        <v>14</v>
      </c>
      <c r="G19" s="20" t="s">
        <v>15</v>
      </c>
      <c r="H19" s="19" t="s">
        <v>11</v>
      </c>
      <c r="I19" s="21" t="s">
        <v>16</v>
      </c>
      <c r="J19" s="19" t="s">
        <v>14</v>
      </c>
      <c r="K19" s="22" t="s">
        <v>17</v>
      </c>
      <c r="L19" s="19" t="s">
        <v>11</v>
      </c>
      <c r="M19" s="22" t="s">
        <v>18</v>
      </c>
      <c r="N19" s="19" t="s">
        <v>11</v>
      </c>
      <c r="O19" s="22" t="s">
        <v>19</v>
      </c>
      <c r="P19" s="19" t="s">
        <v>11</v>
      </c>
      <c r="Q19" s="22" t="s">
        <v>20</v>
      </c>
      <c r="R19" s="19" t="s">
        <v>14</v>
      </c>
      <c r="S19" s="23" t="s">
        <v>21</v>
      </c>
      <c r="T19" s="24" t="s">
        <v>33</v>
      </c>
      <c r="U19" s="25" t="s">
        <v>25</v>
      </c>
      <c r="V19" s="17" t="s">
        <v>24</v>
      </c>
    </row>
    <row r="20" ht="15.75" customHeight="1">
      <c r="A20" s="7">
        <v>19.0</v>
      </c>
      <c r="B20" s="8" t="s">
        <v>10</v>
      </c>
      <c r="C20" s="9" t="s">
        <v>11</v>
      </c>
      <c r="D20" s="8" t="s">
        <v>12</v>
      </c>
      <c r="E20" s="10" t="s">
        <v>13</v>
      </c>
      <c r="F20" s="9" t="s">
        <v>14</v>
      </c>
      <c r="G20" s="10" t="s">
        <v>15</v>
      </c>
      <c r="H20" s="9" t="s">
        <v>11</v>
      </c>
      <c r="I20" s="11" t="s">
        <v>16</v>
      </c>
      <c r="J20" s="9" t="s">
        <v>14</v>
      </c>
      <c r="K20" s="13" t="s">
        <v>17</v>
      </c>
      <c r="L20" s="9" t="s">
        <v>11</v>
      </c>
      <c r="M20" s="13" t="s">
        <v>18</v>
      </c>
      <c r="N20" s="9" t="s">
        <v>11</v>
      </c>
      <c r="O20" s="13" t="s">
        <v>19</v>
      </c>
      <c r="P20" s="9" t="s">
        <v>11</v>
      </c>
      <c r="Q20" s="13" t="s">
        <v>20</v>
      </c>
      <c r="R20" s="9" t="s">
        <v>14</v>
      </c>
      <c r="S20" s="14" t="s">
        <v>21</v>
      </c>
      <c r="T20" s="15" t="s">
        <v>34</v>
      </c>
      <c r="U20" s="16" t="s">
        <v>23</v>
      </c>
      <c r="V20" s="17" t="s">
        <v>24</v>
      </c>
    </row>
    <row r="21" ht="15.75" customHeight="1">
      <c r="A21" s="7">
        <v>20.0</v>
      </c>
      <c r="B21" s="18" t="s">
        <v>10</v>
      </c>
      <c r="C21" s="19" t="s">
        <v>11</v>
      </c>
      <c r="D21" s="18" t="s">
        <v>12</v>
      </c>
      <c r="E21" s="20" t="s">
        <v>13</v>
      </c>
      <c r="F21" s="19" t="s">
        <v>14</v>
      </c>
      <c r="G21" s="20" t="s">
        <v>15</v>
      </c>
      <c r="H21" s="19" t="s">
        <v>11</v>
      </c>
      <c r="I21" s="21" t="s">
        <v>16</v>
      </c>
      <c r="J21" s="19" t="s">
        <v>14</v>
      </c>
      <c r="K21" s="22" t="s">
        <v>17</v>
      </c>
      <c r="L21" s="19" t="s">
        <v>11</v>
      </c>
      <c r="M21" s="22" t="s">
        <v>18</v>
      </c>
      <c r="N21" s="19" t="s">
        <v>11</v>
      </c>
      <c r="O21" s="22" t="s">
        <v>19</v>
      </c>
      <c r="P21" s="19" t="s">
        <v>11</v>
      </c>
      <c r="Q21" s="22" t="s">
        <v>20</v>
      </c>
      <c r="R21" s="19" t="s">
        <v>14</v>
      </c>
      <c r="S21" s="23" t="s">
        <v>21</v>
      </c>
      <c r="T21" s="24" t="s">
        <v>34</v>
      </c>
      <c r="U21" s="25" t="s">
        <v>25</v>
      </c>
      <c r="V21" s="17" t="s">
        <v>24</v>
      </c>
    </row>
    <row r="22" ht="15.75" customHeight="1">
      <c r="A22" s="7">
        <v>21.0</v>
      </c>
      <c r="B22" s="8" t="s">
        <v>10</v>
      </c>
      <c r="C22" s="9" t="s">
        <v>11</v>
      </c>
      <c r="D22" s="8" t="s">
        <v>12</v>
      </c>
      <c r="E22" s="10" t="s">
        <v>13</v>
      </c>
      <c r="F22" s="9" t="s">
        <v>14</v>
      </c>
      <c r="G22" s="10" t="s">
        <v>15</v>
      </c>
      <c r="H22" s="9" t="s">
        <v>11</v>
      </c>
      <c r="I22" s="11" t="s">
        <v>16</v>
      </c>
      <c r="J22" s="9" t="s">
        <v>14</v>
      </c>
      <c r="K22" s="13" t="s">
        <v>17</v>
      </c>
      <c r="L22" s="9" t="s">
        <v>11</v>
      </c>
      <c r="M22" s="13" t="s">
        <v>18</v>
      </c>
      <c r="N22" s="9" t="s">
        <v>11</v>
      </c>
      <c r="O22" s="13" t="s">
        <v>19</v>
      </c>
      <c r="P22" s="9" t="s">
        <v>11</v>
      </c>
      <c r="Q22" s="13" t="s">
        <v>20</v>
      </c>
      <c r="R22" s="9" t="s">
        <v>14</v>
      </c>
      <c r="S22" s="14" t="s">
        <v>21</v>
      </c>
      <c r="T22" s="15" t="s">
        <v>35</v>
      </c>
      <c r="U22" s="16" t="s">
        <v>23</v>
      </c>
      <c r="V22" s="17" t="s">
        <v>24</v>
      </c>
    </row>
    <row r="23" ht="15.75" customHeight="1">
      <c r="A23" s="7">
        <v>22.0</v>
      </c>
      <c r="B23" s="18" t="s">
        <v>10</v>
      </c>
      <c r="C23" s="19" t="s">
        <v>11</v>
      </c>
      <c r="D23" s="18" t="s">
        <v>12</v>
      </c>
      <c r="E23" s="20" t="s">
        <v>13</v>
      </c>
      <c r="F23" s="19" t="s">
        <v>14</v>
      </c>
      <c r="G23" s="20" t="s">
        <v>15</v>
      </c>
      <c r="H23" s="19" t="s">
        <v>11</v>
      </c>
      <c r="I23" s="21" t="s">
        <v>16</v>
      </c>
      <c r="J23" s="19" t="s">
        <v>14</v>
      </c>
      <c r="K23" s="22" t="s">
        <v>17</v>
      </c>
      <c r="L23" s="19" t="s">
        <v>11</v>
      </c>
      <c r="M23" s="22" t="s">
        <v>18</v>
      </c>
      <c r="N23" s="19" t="s">
        <v>11</v>
      </c>
      <c r="O23" s="22" t="s">
        <v>19</v>
      </c>
      <c r="P23" s="19" t="s">
        <v>11</v>
      </c>
      <c r="Q23" s="22" t="s">
        <v>20</v>
      </c>
      <c r="R23" s="19" t="s">
        <v>14</v>
      </c>
      <c r="S23" s="23" t="s">
        <v>21</v>
      </c>
      <c r="T23" s="24" t="s">
        <v>35</v>
      </c>
      <c r="U23" s="25" t="s">
        <v>25</v>
      </c>
      <c r="V23" s="17" t="s">
        <v>24</v>
      </c>
    </row>
    <row r="24" ht="15.75" customHeight="1">
      <c r="A24" s="7">
        <v>23.0</v>
      </c>
      <c r="B24" s="8" t="s">
        <v>10</v>
      </c>
      <c r="C24" s="9" t="s">
        <v>11</v>
      </c>
      <c r="D24" s="8" t="s">
        <v>12</v>
      </c>
      <c r="E24" s="10" t="s">
        <v>13</v>
      </c>
      <c r="F24" s="9" t="s">
        <v>14</v>
      </c>
      <c r="G24" s="10" t="s">
        <v>15</v>
      </c>
      <c r="H24" s="9" t="s">
        <v>11</v>
      </c>
      <c r="I24" s="11" t="s">
        <v>16</v>
      </c>
      <c r="J24" s="9" t="s">
        <v>14</v>
      </c>
      <c r="K24" s="13" t="s">
        <v>17</v>
      </c>
      <c r="L24" s="9" t="s">
        <v>11</v>
      </c>
      <c r="M24" s="13" t="s">
        <v>18</v>
      </c>
      <c r="N24" s="9" t="s">
        <v>11</v>
      </c>
      <c r="O24" s="13" t="s">
        <v>19</v>
      </c>
      <c r="P24" s="9" t="s">
        <v>11</v>
      </c>
      <c r="Q24" s="13" t="s">
        <v>20</v>
      </c>
      <c r="R24" s="9" t="s">
        <v>14</v>
      </c>
      <c r="S24" s="14" t="s">
        <v>21</v>
      </c>
      <c r="T24" s="15" t="s">
        <v>36</v>
      </c>
      <c r="U24" s="16" t="s">
        <v>23</v>
      </c>
      <c r="V24" s="17" t="s">
        <v>24</v>
      </c>
    </row>
    <row r="25" ht="15.75" customHeight="1">
      <c r="A25" s="7">
        <v>24.0</v>
      </c>
      <c r="B25" s="18" t="s">
        <v>10</v>
      </c>
      <c r="C25" s="19" t="s">
        <v>11</v>
      </c>
      <c r="D25" s="18" t="s">
        <v>12</v>
      </c>
      <c r="E25" s="20" t="s">
        <v>13</v>
      </c>
      <c r="F25" s="19" t="s">
        <v>14</v>
      </c>
      <c r="G25" s="20" t="s">
        <v>15</v>
      </c>
      <c r="H25" s="19" t="s">
        <v>11</v>
      </c>
      <c r="I25" s="21" t="s">
        <v>16</v>
      </c>
      <c r="J25" s="19" t="s">
        <v>14</v>
      </c>
      <c r="K25" s="22" t="s">
        <v>17</v>
      </c>
      <c r="L25" s="19" t="s">
        <v>11</v>
      </c>
      <c r="M25" s="22" t="s">
        <v>18</v>
      </c>
      <c r="N25" s="19" t="s">
        <v>11</v>
      </c>
      <c r="O25" s="22" t="s">
        <v>19</v>
      </c>
      <c r="P25" s="19" t="s">
        <v>11</v>
      </c>
      <c r="Q25" s="22" t="s">
        <v>20</v>
      </c>
      <c r="R25" s="19" t="s">
        <v>14</v>
      </c>
      <c r="S25" s="23" t="s">
        <v>21</v>
      </c>
      <c r="T25" s="24" t="s">
        <v>36</v>
      </c>
      <c r="U25" s="25" t="s">
        <v>25</v>
      </c>
      <c r="V25" s="17" t="s">
        <v>24</v>
      </c>
    </row>
    <row r="26" ht="15.75" customHeight="1">
      <c r="A26" s="7">
        <v>25.0</v>
      </c>
      <c r="B26" s="8" t="s">
        <v>10</v>
      </c>
      <c r="C26" s="9" t="s">
        <v>11</v>
      </c>
      <c r="D26" s="8" t="s">
        <v>12</v>
      </c>
      <c r="E26" s="10" t="s">
        <v>13</v>
      </c>
      <c r="F26" s="9" t="s">
        <v>14</v>
      </c>
      <c r="G26" s="10" t="s">
        <v>15</v>
      </c>
      <c r="H26" s="9" t="s">
        <v>11</v>
      </c>
      <c r="I26" s="11" t="s">
        <v>16</v>
      </c>
      <c r="J26" s="9" t="s">
        <v>14</v>
      </c>
      <c r="K26" s="13" t="s">
        <v>17</v>
      </c>
      <c r="L26" s="9" t="s">
        <v>11</v>
      </c>
      <c r="M26" s="13" t="s">
        <v>18</v>
      </c>
      <c r="N26" s="9" t="s">
        <v>11</v>
      </c>
      <c r="O26" s="13" t="s">
        <v>19</v>
      </c>
      <c r="P26" s="9" t="s">
        <v>11</v>
      </c>
      <c r="Q26" s="13" t="s">
        <v>20</v>
      </c>
      <c r="R26" s="9" t="s">
        <v>14</v>
      </c>
      <c r="S26" s="14" t="s">
        <v>21</v>
      </c>
      <c r="T26" s="15" t="s">
        <v>37</v>
      </c>
      <c r="U26" s="16" t="s">
        <v>23</v>
      </c>
      <c r="V26" s="17" t="s">
        <v>24</v>
      </c>
    </row>
    <row r="27" ht="15.75" customHeight="1">
      <c r="A27" s="7">
        <v>26.0</v>
      </c>
      <c r="B27" s="18" t="s">
        <v>10</v>
      </c>
      <c r="C27" s="19" t="s">
        <v>11</v>
      </c>
      <c r="D27" s="18" t="s">
        <v>12</v>
      </c>
      <c r="E27" s="20" t="s">
        <v>13</v>
      </c>
      <c r="F27" s="19" t="s">
        <v>14</v>
      </c>
      <c r="G27" s="20" t="s">
        <v>15</v>
      </c>
      <c r="H27" s="19" t="s">
        <v>11</v>
      </c>
      <c r="I27" s="21" t="s">
        <v>16</v>
      </c>
      <c r="J27" s="19" t="s">
        <v>14</v>
      </c>
      <c r="K27" s="22" t="s">
        <v>17</v>
      </c>
      <c r="L27" s="19" t="s">
        <v>11</v>
      </c>
      <c r="M27" s="22" t="s">
        <v>18</v>
      </c>
      <c r="N27" s="19" t="s">
        <v>11</v>
      </c>
      <c r="O27" s="22" t="s">
        <v>19</v>
      </c>
      <c r="P27" s="19" t="s">
        <v>11</v>
      </c>
      <c r="Q27" s="22" t="s">
        <v>20</v>
      </c>
      <c r="R27" s="19" t="s">
        <v>14</v>
      </c>
      <c r="S27" s="23" t="s">
        <v>21</v>
      </c>
      <c r="T27" s="24" t="s">
        <v>37</v>
      </c>
      <c r="U27" s="25" t="s">
        <v>25</v>
      </c>
      <c r="V27" s="17" t="s">
        <v>24</v>
      </c>
    </row>
    <row r="28" ht="15.75" customHeight="1">
      <c r="A28" s="7">
        <v>27.0</v>
      </c>
      <c r="B28" s="8" t="s">
        <v>10</v>
      </c>
      <c r="C28" s="9" t="s">
        <v>11</v>
      </c>
      <c r="D28" s="8" t="s">
        <v>12</v>
      </c>
      <c r="E28" s="10" t="s">
        <v>13</v>
      </c>
      <c r="F28" s="9" t="s">
        <v>14</v>
      </c>
      <c r="G28" s="10" t="s">
        <v>15</v>
      </c>
      <c r="H28" s="9" t="s">
        <v>11</v>
      </c>
      <c r="I28" s="11" t="s">
        <v>16</v>
      </c>
      <c r="J28" s="9" t="s">
        <v>14</v>
      </c>
      <c r="K28" s="13" t="s">
        <v>17</v>
      </c>
      <c r="L28" s="9" t="s">
        <v>11</v>
      </c>
      <c r="M28" s="13" t="s">
        <v>18</v>
      </c>
      <c r="N28" s="9" t="s">
        <v>11</v>
      </c>
      <c r="O28" s="13" t="s">
        <v>19</v>
      </c>
      <c r="P28" s="9" t="s">
        <v>11</v>
      </c>
      <c r="Q28" s="13" t="s">
        <v>20</v>
      </c>
      <c r="R28" s="9" t="s">
        <v>14</v>
      </c>
      <c r="S28" s="14" t="s">
        <v>21</v>
      </c>
      <c r="T28" s="15" t="s">
        <v>38</v>
      </c>
      <c r="U28" s="16" t="s">
        <v>23</v>
      </c>
      <c r="V28" s="17" t="s">
        <v>24</v>
      </c>
    </row>
    <row r="29" ht="15.75" customHeight="1">
      <c r="A29" s="7">
        <v>28.0</v>
      </c>
      <c r="B29" s="18" t="s">
        <v>10</v>
      </c>
      <c r="C29" s="19" t="s">
        <v>11</v>
      </c>
      <c r="D29" s="18" t="s">
        <v>12</v>
      </c>
      <c r="E29" s="20" t="s">
        <v>13</v>
      </c>
      <c r="F29" s="19" t="s">
        <v>14</v>
      </c>
      <c r="G29" s="20" t="s">
        <v>15</v>
      </c>
      <c r="H29" s="19" t="s">
        <v>11</v>
      </c>
      <c r="I29" s="21" t="s">
        <v>16</v>
      </c>
      <c r="J29" s="19" t="s">
        <v>14</v>
      </c>
      <c r="K29" s="22" t="s">
        <v>17</v>
      </c>
      <c r="L29" s="19" t="s">
        <v>11</v>
      </c>
      <c r="M29" s="22" t="s">
        <v>18</v>
      </c>
      <c r="N29" s="19" t="s">
        <v>11</v>
      </c>
      <c r="O29" s="22" t="s">
        <v>19</v>
      </c>
      <c r="P29" s="19" t="s">
        <v>11</v>
      </c>
      <c r="Q29" s="22" t="s">
        <v>20</v>
      </c>
      <c r="R29" s="19" t="s">
        <v>14</v>
      </c>
      <c r="S29" s="23" t="s">
        <v>21</v>
      </c>
      <c r="T29" s="24" t="s">
        <v>38</v>
      </c>
      <c r="U29" s="25" t="s">
        <v>25</v>
      </c>
      <c r="V29" s="17" t="s">
        <v>24</v>
      </c>
    </row>
    <row r="30" ht="15.75" customHeight="1">
      <c r="A30" s="7">
        <v>29.0</v>
      </c>
      <c r="B30" s="8" t="s">
        <v>10</v>
      </c>
      <c r="C30" s="9" t="s">
        <v>11</v>
      </c>
      <c r="D30" s="8" t="s">
        <v>12</v>
      </c>
      <c r="E30" s="10" t="s">
        <v>13</v>
      </c>
      <c r="F30" s="9" t="s">
        <v>14</v>
      </c>
      <c r="G30" s="10" t="s">
        <v>15</v>
      </c>
      <c r="H30" s="9" t="s">
        <v>11</v>
      </c>
      <c r="I30" s="11" t="s">
        <v>16</v>
      </c>
      <c r="J30" s="9" t="s">
        <v>14</v>
      </c>
      <c r="K30" s="13" t="s">
        <v>17</v>
      </c>
      <c r="L30" s="9" t="s">
        <v>11</v>
      </c>
      <c r="M30" s="13" t="s">
        <v>18</v>
      </c>
      <c r="N30" s="9" t="s">
        <v>11</v>
      </c>
      <c r="O30" s="13" t="s">
        <v>19</v>
      </c>
      <c r="P30" s="9" t="s">
        <v>11</v>
      </c>
      <c r="Q30" s="13" t="s">
        <v>20</v>
      </c>
      <c r="R30" s="9" t="s">
        <v>14</v>
      </c>
      <c r="S30" s="14" t="s">
        <v>21</v>
      </c>
      <c r="T30" s="15" t="s">
        <v>39</v>
      </c>
      <c r="U30" s="16" t="s">
        <v>23</v>
      </c>
      <c r="V30" s="17" t="s">
        <v>24</v>
      </c>
    </row>
    <row r="31" ht="15.75" customHeight="1">
      <c r="A31" s="7">
        <v>30.0</v>
      </c>
      <c r="B31" s="18" t="s">
        <v>10</v>
      </c>
      <c r="C31" s="19" t="s">
        <v>11</v>
      </c>
      <c r="D31" s="18" t="s">
        <v>12</v>
      </c>
      <c r="E31" s="20" t="s">
        <v>13</v>
      </c>
      <c r="F31" s="19" t="s">
        <v>14</v>
      </c>
      <c r="G31" s="20" t="s">
        <v>15</v>
      </c>
      <c r="H31" s="19" t="s">
        <v>11</v>
      </c>
      <c r="I31" s="21" t="s">
        <v>16</v>
      </c>
      <c r="J31" s="19" t="s">
        <v>14</v>
      </c>
      <c r="K31" s="22" t="s">
        <v>17</v>
      </c>
      <c r="L31" s="19" t="s">
        <v>11</v>
      </c>
      <c r="M31" s="22" t="s">
        <v>18</v>
      </c>
      <c r="N31" s="19" t="s">
        <v>11</v>
      </c>
      <c r="O31" s="22" t="s">
        <v>19</v>
      </c>
      <c r="P31" s="19" t="s">
        <v>11</v>
      </c>
      <c r="Q31" s="22" t="s">
        <v>20</v>
      </c>
      <c r="R31" s="19" t="s">
        <v>14</v>
      </c>
      <c r="S31" s="23" t="s">
        <v>21</v>
      </c>
      <c r="T31" s="24" t="s">
        <v>39</v>
      </c>
      <c r="U31" s="25" t="s">
        <v>25</v>
      </c>
      <c r="V31" s="17" t="s">
        <v>24</v>
      </c>
    </row>
    <row r="32" ht="15.75" customHeight="1">
      <c r="A32" s="7">
        <v>31.0</v>
      </c>
      <c r="B32" s="8" t="s">
        <v>10</v>
      </c>
      <c r="C32" s="9" t="s">
        <v>11</v>
      </c>
      <c r="D32" s="8" t="s">
        <v>12</v>
      </c>
      <c r="E32" s="10" t="s">
        <v>13</v>
      </c>
      <c r="F32" s="9" t="s">
        <v>14</v>
      </c>
      <c r="G32" s="10" t="s">
        <v>15</v>
      </c>
      <c r="H32" s="9" t="s">
        <v>11</v>
      </c>
      <c r="I32" s="11" t="s">
        <v>16</v>
      </c>
      <c r="J32" s="9" t="s">
        <v>14</v>
      </c>
      <c r="K32" s="13" t="s">
        <v>17</v>
      </c>
      <c r="L32" s="9" t="s">
        <v>11</v>
      </c>
      <c r="M32" s="13" t="s">
        <v>18</v>
      </c>
      <c r="N32" s="9" t="s">
        <v>11</v>
      </c>
      <c r="O32" s="13" t="s">
        <v>19</v>
      </c>
      <c r="P32" s="9" t="s">
        <v>11</v>
      </c>
      <c r="Q32" s="13" t="s">
        <v>20</v>
      </c>
      <c r="R32" s="9" t="s">
        <v>14</v>
      </c>
      <c r="S32" s="14" t="s">
        <v>21</v>
      </c>
      <c r="T32" s="15" t="s">
        <v>40</v>
      </c>
      <c r="U32" s="16" t="s">
        <v>23</v>
      </c>
      <c r="V32" s="17" t="s">
        <v>24</v>
      </c>
    </row>
    <row r="33" ht="15.75" customHeight="1">
      <c r="A33" s="7">
        <v>32.0</v>
      </c>
      <c r="B33" s="18" t="s">
        <v>10</v>
      </c>
      <c r="C33" s="19" t="s">
        <v>11</v>
      </c>
      <c r="D33" s="18" t="s">
        <v>12</v>
      </c>
      <c r="E33" s="20" t="s">
        <v>13</v>
      </c>
      <c r="F33" s="19" t="s">
        <v>14</v>
      </c>
      <c r="G33" s="20" t="s">
        <v>15</v>
      </c>
      <c r="H33" s="19" t="s">
        <v>11</v>
      </c>
      <c r="I33" s="21" t="s">
        <v>16</v>
      </c>
      <c r="J33" s="19" t="s">
        <v>14</v>
      </c>
      <c r="K33" s="22" t="s">
        <v>17</v>
      </c>
      <c r="L33" s="19" t="s">
        <v>11</v>
      </c>
      <c r="M33" s="22" t="s">
        <v>18</v>
      </c>
      <c r="N33" s="19" t="s">
        <v>11</v>
      </c>
      <c r="O33" s="22" t="s">
        <v>19</v>
      </c>
      <c r="P33" s="19" t="s">
        <v>11</v>
      </c>
      <c r="Q33" s="22" t="s">
        <v>20</v>
      </c>
      <c r="R33" s="19" t="s">
        <v>14</v>
      </c>
      <c r="S33" s="23" t="s">
        <v>21</v>
      </c>
      <c r="T33" s="24" t="s">
        <v>40</v>
      </c>
      <c r="U33" s="25" t="s">
        <v>25</v>
      </c>
      <c r="V33" s="17" t="s">
        <v>24</v>
      </c>
    </row>
    <row r="34" ht="15.75" customHeight="1">
      <c r="A34" s="7">
        <v>33.0</v>
      </c>
      <c r="B34" s="8" t="s">
        <v>10</v>
      </c>
      <c r="C34" s="9" t="s">
        <v>11</v>
      </c>
      <c r="D34" s="8" t="s">
        <v>12</v>
      </c>
      <c r="E34" s="10" t="s">
        <v>13</v>
      </c>
      <c r="F34" s="9" t="s">
        <v>14</v>
      </c>
      <c r="G34" s="10" t="s">
        <v>15</v>
      </c>
      <c r="H34" s="9" t="s">
        <v>11</v>
      </c>
      <c r="I34" s="11" t="s">
        <v>16</v>
      </c>
      <c r="J34" s="9" t="s">
        <v>14</v>
      </c>
      <c r="K34" s="13" t="s">
        <v>17</v>
      </c>
      <c r="L34" s="9" t="s">
        <v>11</v>
      </c>
      <c r="M34" s="13" t="s">
        <v>18</v>
      </c>
      <c r="N34" s="9" t="s">
        <v>11</v>
      </c>
      <c r="O34" s="13" t="s">
        <v>19</v>
      </c>
      <c r="P34" s="9" t="s">
        <v>11</v>
      </c>
      <c r="Q34" s="13" t="s">
        <v>20</v>
      </c>
      <c r="R34" s="9" t="s">
        <v>14</v>
      </c>
      <c r="S34" s="14" t="s">
        <v>21</v>
      </c>
      <c r="T34" s="15" t="s">
        <v>41</v>
      </c>
      <c r="U34" s="16" t="s">
        <v>23</v>
      </c>
      <c r="V34" s="17" t="s">
        <v>24</v>
      </c>
    </row>
    <row r="35" ht="15.75" customHeight="1">
      <c r="A35" s="7">
        <v>34.0</v>
      </c>
      <c r="B35" s="18" t="s">
        <v>10</v>
      </c>
      <c r="C35" s="19" t="s">
        <v>11</v>
      </c>
      <c r="D35" s="18" t="s">
        <v>12</v>
      </c>
      <c r="E35" s="20" t="s">
        <v>13</v>
      </c>
      <c r="F35" s="19" t="s">
        <v>14</v>
      </c>
      <c r="G35" s="20" t="s">
        <v>15</v>
      </c>
      <c r="H35" s="19" t="s">
        <v>11</v>
      </c>
      <c r="I35" s="21" t="s">
        <v>16</v>
      </c>
      <c r="J35" s="19" t="s">
        <v>14</v>
      </c>
      <c r="K35" s="22" t="s">
        <v>17</v>
      </c>
      <c r="L35" s="19" t="s">
        <v>11</v>
      </c>
      <c r="M35" s="22" t="s">
        <v>18</v>
      </c>
      <c r="N35" s="19" t="s">
        <v>11</v>
      </c>
      <c r="O35" s="22" t="s">
        <v>19</v>
      </c>
      <c r="P35" s="19" t="s">
        <v>11</v>
      </c>
      <c r="Q35" s="22" t="s">
        <v>20</v>
      </c>
      <c r="R35" s="19" t="s">
        <v>14</v>
      </c>
      <c r="S35" s="23" t="s">
        <v>21</v>
      </c>
      <c r="T35" s="24" t="s">
        <v>41</v>
      </c>
      <c r="U35" s="25" t="s">
        <v>25</v>
      </c>
      <c r="V35" s="17" t="s">
        <v>24</v>
      </c>
    </row>
    <row r="36" ht="15.75" customHeight="1">
      <c r="A36" s="7">
        <v>35.0</v>
      </c>
      <c r="B36" s="8" t="s">
        <v>10</v>
      </c>
      <c r="C36" s="9" t="s">
        <v>11</v>
      </c>
      <c r="D36" s="8" t="s">
        <v>12</v>
      </c>
      <c r="E36" s="10" t="s">
        <v>13</v>
      </c>
      <c r="F36" s="9" t="s">
        <v>14</v>
      </c>
      <c r="G36" s="10" t="s">
        <v>15</v>
      </c>
      <c r="H36" s="9" t="s">
        <v>11</v>
      </c>
      <c r="I36" s="11" t="s">
        <v>16</v>
      </c>
      <c r="J36" s="9" t="s">
        <v>14</v>
      </c>
      <c r="K36" s="13" t="s">
        <v>17</v>
      </c>
      <c r="L36" s="9" t="s">
        <v>11</v>
      </c>
      <c r="M36" s="13" t="s">
        <v>18</v>
      </c>
      <c r="N36" s="9" t="s">
        <v>11</v>
      </c>
      <c r="O36" s="13" t="s">
        <v>19</v>
      </c>
      <c r="P36" s="9" t="s">
        <v>11</v>
      </c>
      <c r="Q36" s="13" t="s">
        <v>20</v>
      </c>
      <c r="R36" s="9" t="s">
        <v>14</v>
      </c>
      <c r="S36" s="14" t="s">
        <v>21</v>
      </c>
      <c r="T36" s="15" t="s">
        <v>42</v>
      </c>
      <c r="U36" s="16" t="s">
        <v>23</v>
      </c>
      <c r="V36" s="17" t="s">
        <v>24</v>
      </c>
    </row>
    <row r="37" ht="15.75" customHeight="1">
      <c r="A37" s="7">
        <v>36.0</v>
      </c>
      <c r="B37" s="18" t="s">
        <v>10</v>
      </c>
      <c r="C37" s="19" t="s">
        <v>11</v>
      </c>
      <c r="D37" s="18" t="s">
        <v>12</v>
      </c>
      <c r="E37" s="20" t="s">
        <v>13</v>
      </c>
      <c r="F37" s="19" t="s">
        <v>14</v>
      </c>
      <c r="G37" s="20" t="s">
        <v>15</v>
      </c>
      <c r="H37" s="19" t="s">
        <v>11</v>
      </c>
      <c r="I37" s="21" t="s">
        <v>16</v>
      </c>
      <c r="J37" s="19" t="s">
        <v>14</v>
      </c>
      <c r="K37" s="22" t="s">
        <v>17</v>
      </c>
      <c r="L37" s="19" t="s">
        <v>11</v>
      </c>
      <c r="M37" s="22" t="s">
        <v>18</v>
      </c>
      <c r="N37" s="19" t="s">
        <v>11</v>
      </c>
      <c r="O37" s="22" t="s">
        <v>19</v>
      </c>
      <c r="P37" s="19" t="s">
        <v>11</v>
      </c>
      <c r="Q37" s="22" t="s">
        <v>20</v>
      </c>
      <c r="R37" s="19" t="s">
        <v>14</v>
      </c>
      <c r="S37" s="23" t="s">
        <v>21</v>
      </c>
      <c r="T37" s="24" t="s">
        <v>42</v>
      </c>
      <c r="U37" s="25" t="s">
        <v>25</v>
      </c>
      <c r="V37" s="17" t="s">
        <v>24</v>
      </c>
    </row>
    <row r="38" ht="15.75" customHeight="1">
      <c r="A38" s="7">
        <v>37.0</v>
      </c>
      <c r="B38" s="8" t="s">
        <v>10</v>
      </c>
      <c r="C38" s="9" t="s">
        <v>11</v>
      </c>
      <c r="D38" s="8" t="s">
        <v>12</v>
      </c>
      <c r="E38" s="10" t="s">
        <v>13</v>
      </c>
      <c r="F38" s="9" t="s">
        <v>14</v>
      </c>
      <c r="G38" s="10" t="s">
        <v>15</v>
      </c>
      <c r="H38" s="9" t="s">
        <v>11</v>
      </c>
      <c r="I38" s="11" t="s">
        <v>16</v>
      </c>
      <c r="J38" s="9" t="s">
        <v>14</v>
      </c>
      <c r="K38" s="13" t="s">
        <v>17</v>
      </c>
      <c r="L38" s="9" t="s">
        <v>11</v>
      </c>
      <c r="M38" s="13" t="s">
        <v>18</v>
      </c>
      <c r="N38" s="9" t="s">
        <v>11</v>
      </c>
      <c r="O38" s="13" t="s">
        <v>19</v>
      </c>
      <c r="P38" s="9" t="s">
        <v>11</v>
      </c>
      <c r="Q38" s="13" t="s">
        <v>20</v>
      </c>
      <c r="R38" s="9" t="s">
        <v>14</v>
      </c>
      <c r="S38" s="14" t="s">
        <v>21</v>
      </c>
      <c r="T38" s="15" t="s">
        <v>43</v>
      </c>
      <c r="U38" s="16" t="s">
        <v>23</v>
      </c>
      <c r="V38" s="17" t="s">
        <v>24</v>
      </c>
    </row>
    <row r="39" ht="15.75" customHeight="1">
      <c r="A39" s="7">
        <v>38.0</v>
      </c>
      <c r="B39" s="18" t="s">
        <v>10</v>
      </c>
      <c r="C39" s="19" t="s">
        <v>11</v>
      </c>
      <c r="D39" s="18" t="s">
        <v>12</v>
      </c>
      <c r="E39" s="20" t="s">
        <v>13</v>
      </c>
      <c r="F39" s="19" t="s">
        <v>14</v>
      </c>
      <c r="G39" s="20" t="s">
        <v>15</v>
      </c>
      <c r="H39" s="19" t="s">
        <v>11</v>
      </c>
      <c r="I39" s="21" t="s">
        <v>16</v>
      </c>
      <c r="J39" s="19" t="s">
        <v>14</v>
      </c>
      <c r="K39" s="22" t="s">
        <v>17</v>
      </c>
      <c r="L39" s="19" t="s">
        <v>11</v>
      </c>
      <c r="M39" s="22" t="s">
        <v>18</v>
      </c>
      <c r="N39" s="19" t="s">
        <v>11</v>
      </c>
      <c r="O39" s="22" t="s">
        <v>19</v>
      </c>
      <c r="P39" s="19" t="s">
        <v>11</v>
      </c>
      <c r="Q39" s="22" t="s">
        <v>20</v>
      </c>
      <c r="R39" s="19" t="s">
        <v>14</v>
      </c>
      <c r="S39" s="23" t="s">
        <v>21</v>
      </c>
      <c r="T39" s="24" t="s">
        <v>43</v>
      </c>
      <c r="U39" s="25" t="s">
        <v>25</v>
      </c>
      <c r="V39" s="17" t="s">
        <v>24</v>
      </c>
    </row>
    <row r="40" ht="15.75" customHeight="1">
      <c r="A40" s="7">
        <v>39.0</v>
      </c>
      <c r="B40" s="8" t="s">
        <v>10</v>
      </c>
      <c r="C40" s="9" t="s">
        <v>11</v>
      </c>
      <c r="D40" s="8" t="s">
        <v>12</v>
      </c>
      <c r="E40" s="10" t="s">
        <v>13</v>
      </c>
      <c r="F40" s="9" t="s">
        <v>14</v>
      </c>
      <c r="G40" s="10" t="s">
        <v>15</v>
      </c>
      <c r="H40" s="9" t="s">
        <v>11</v>
      </c>
      <c r="I40" s="11" t="s">
        <v>16</v>
      </c>
      <c r="J40" s="9" t="s">
        <v>14</v>
      </c>
      <c r="K40" s="13" t="s">
        <v>17</v>
      </c>
      <c r="L40" s="9" t="s">
        <v>11</v>
      </c>
      <c r="M40" s="13" t="s">
        <v>18</v>
      </c>
      <c r="N40" s="9" t="s">
        <v>11</v>
      </c>
      <c r="O40" s="13" t="s">
        <v>19</v>
      </c>
      <c r="P40" s="9" t="s">
        <v>11</v>
      </c>
      <c r="Q40" s="13" t="s">
        <v>20</v>
      </c>
      <c r="R40" s="9" t="s">
        <v>14</v>
      </c>
      <c r="S40" s="14" t="s">
        <v>21</v>
      </c>
      <c r="T40" s="15" t="s">
        <v>44</v>
      </c>
      <c r="U40" s="16" t="s">
        <v>23</v>
      </c>
      <c r="V40" s="17" t="s">
        <v>24</v>
      </c>
    </row>
    <row r="41" ht="15.75" customHeight="1">
      <c r="A41" s="7">
        <v>40.0</v>
      </c>
      <c r="B41" s="18" t="s">
        <v>10</v>
      </c>
      <c r="C41" s="19" t="s">
        <v>11</v>
      </c>
      <c r="D41" s="18" t="s">
        <v>12</v>
      </c>
      <c r="E41" s="20" t="s">
        <v>13</v>
      </c>
      <c r="F41" s="19" t="s">
        <v>14</v>
      </c>
      <c r="G41" s="20" t="s">
        <v>15</v>
      </c>
      <c r="H41" s="19" t="s">
        <v>11</v>
      </c>
      <c r="I41" s="21" t="s">
        <v>16</v>
      </c>
      <c r="J41" s="19" t="s">
        <v>14</v>
      </c>
      <c r="K41" s="22" t="s">
        <v>17</v>
      </c>
      <c r="L41" s="19" t="s">
        <v>11</v>
      </c>
      <c r="M41" s="22" t="s">
        <v>18</v>
      </c>
      <c r="N41" s="19" t="s">
        <v>11</v>
      </c>
      <c r="O41" s="22" t="s">
        <v>19</v>
      </c>
      <c r="P41" s="19" t="s">
        <v>11</v>
      </c>
      <c r="Q41" s="22" t="s">
        <v>20</v>
      </c>
      <c r="R41" s="19" t="s">
        <v>14</v>
      </c>
      <c r="S41" s="23" t="s">
        <v>21</v>
      </c>
      <c r="T41" s="24" t="s">
        <v>44</v>
      </c>
      <c r="U41" s="25" t="s">
        <v>25</v>
      </c>
      <c r="V41" s="17" t="s">
        <v>24</v>
      </c>
    </row>
    <row r="42" ht="15.75" customHeight="1">
      <c r="A42" s="7">
        <v>41.0</v>
      </c>
      <c r="B42" s="8" t="s">
        <v>10</v>
      </c>
      <c r="C42" s="9" t="s">
        <v>11</v>
      </c>
      <c r="D42" s="8" t="s">
        <v>12</v>
      </c>
      <c r="E42" s="10" t="s">
        <v>13</v>
      </c>
      <c r="F42" s="9" t="s">
        <v>14</v>
      </c>
      <c r="G42" s="10" t="s">
        <v>15</v>
      </c>
      <c r="H42" s="9" t="s">
        <v>11</v>
      </c>
      <c r="I42" s="11" t="s">
        <v>16</v>
      </c>
      <c r="J42" s="9" t="s">
        <v>14</v>
      </c>
      <c r="K42" s="13" t="s">
        <v>17</v>
      </c>
      <c r="L42" s="9" t="s">
        <v>11</v>
      </c>
      <c r="M42" s="13" t="s">
        <v>18</v>
      </c>
      <c r="N42" s="9" t="s">
        <v>11</v>
      </c>
      <c r="O42" s="13" t="s">
        <v>19</v>
      </c>
      <c r="P42" s="9" t="s">
        <v>11</v>
      </c>
      <c r="Q42" s="13" t="s">
        <v>20</v>
      </c>
      <c r="R42" s="9" t="s">
        <v>14</v>
      </c>
      <c r="S42" s="14" t="s">
        <v>21</v>
      </c>
      <c r="T42" s="15" t="s">
        <v>45</v>
      </c>
      <c r="U42" s="16" t="s">
        <v>23</v>
      </c>
      <c r="V42" s="17" t="s">
        <v>24</v>
      </c>
    </row>
    <row r="43" ht="15.75" customHeight="1">
      <c r="A43" s="7">
        <v>42.0</v>
      </c>
      <c r="B43" s="18" t="s">
        <v>10</v>
      </c>
      <c r="C43" s="19" t="s">
        <v>11</v>
      </c>
      <c r="D43" s="18" t="s">
        <v>12</v>
      </c>
      <c r="E43" s="20" t="s">
        <v>13</v>
      </c>
      <c r="F43" s="19" t="s">
        <v>14</v>
      </c>
      <c r="G43" s="20" t="s">
        <v>15</v>
      </c>
      <c r="H43" s="19" t="s">
        <v>11</v>
      </c>
      <c r="I43" s="21" t="s">
        <v>16</v>
      </c>
      <c r="J43" s="19" t="s">
        <v>14</v>
      </c>
      <c r="K43" s="22" t="s">
        <v>17</v>
      </c>
      <c r="L43" s="19" t="s">
        <v>11</v>
      </c>
      <c r="M43" s="22" t="s">
        <v>18</v>
      </c>
      <c r="N43" s="19" t="s">
        <v>11</v>
      </c>
      <c r="O43" s="22" t="s">
        <v>19</v>
      </c>
      <c r="P43" s="19" t="s">
        <v>11</v>
      </c>
      <c r="Q43" s="22" t="s">
        <v>20</v>
      </c>
      <c r="R43" s="19" t="s">
        <v>14</v>
      </c>
      <c r="S43" s="23" t="s">
        <v>21</v>
      </c>
      <c r="T43" s="24" t="s">
        <v>45</v>
      </c>
      <c r="U43" s="25" t="s">
        <v>25</v>
      </c>
      <c r="V43" s="17" t="s">
        <v>24</v>
      </c>
    </row>
    <row r="44" ht="15.75" customHeight="1">
      <c r="A44" s="7">
        <v>43.0</v>
      </c>
      <c r="B44" s="8" t="s">
        <v>10</v>
      </c>
      <c r="C44" s="9" t="s">
        <v>11</v>
      </c>
      <c r="D44" s="8" t="s">
        <v>12</v>
      </c>
      <c r="E44" s="10" t="s">
        <v>13</v>
      </c>
      <c r="F44" s="9" t="s">
        <v>14</v>
      </c>
      <c r="G44" s="10" t="s">
        <v>15</v>
      </c>
      <c r="H44" s="9" t="s">
        <v>11</v>
      </c>
      <c r="I44" s="11" t="s">
        <v>16</v>
      </c>
      <c r="J44" s="9" t="s">
        <v>14</v>
      </c>
      <c r="K44" s="13" t="s">
        <v>17</v>
      </c>
      <c r="L44" s="9" t="s">
        <v>11</v>
      </c>
      <c r="M44" s="13" t="s">
        <v>18</v>
      </c>
      <c r="N44" s="9" t="s">
        <v>11</v>
      </c>
      <c r="O44" s="13" t="s">
        <v>19</v>
      </c>
      <c r="P44" s="9" t="s">
        <v>11</v>
      </c>
      <c r="Q44" s="13" t="s">
        <v>20</v>
      </c>
      <c r="R44" s="9" t="s">
        <v>14</v>
      </c>
      <c r="S44" s="14" t="s">
        <v>21</v>
      </c>
      <c r="T44" s="15" t="s">
        <v>46</v>
      </c>
      <c r="U44" s="16" t="s">
        <v>23</v>
      </c>
      <c r="V44" s="17" t="s">
        <v>24</v>
      </c>
    </row>
    <row r="45" ht="15.75" customHeight="1">
      <c r="A45" s="7">
        <v>44.0</v>
      </c>
      <c r="B45" s="18" t="s">
        <v>10</v>
      </c>
      <c r="C45" s="19" t="s">
        <v>11</v>
      </c>
      <c r="D45" s="18" t="s">
        <v>12</v>
      </c>
      <c r="E45" s="20" t="s">
        <v>13</v>
      </c>
      <c r="F45" s="19" t="s">
        <v>14</v>
      </c>
      <c r="G45" s="20" t="s">
        <v>15</v>
      </c>
      <c r="H45" s="19" t="s">
        <v>11</v>
      </c>
      <c r="I45" s="21" t="s">
        <v>16</v>
      </c>
      <c r="J45" s="19" t="s">
        <v>14</v>
      </c>
      <c r="K45" s="22" t="s">
        <v>17</v>
      </c>
      <c r="L45" s="19" t="s">
        <v>11</v>
      </c>
      <c r="M45" s="22" t="s">
        <v>18</v>
      </c>
      <c r="N45" s="19" t="s">
        <v>11</v>
      </c>
      <c r="O45" s="22" t="s">
        <v>19</v>
      </c>
      <c r="P45" s="19" t="s">
        <v>11</v>
      </c>
      <c r="Q45" s="22" t="s">
        <v>20</v>
      </c>
      <c r="R45" s="19" t="s">
        <v>14</v>
      </c>
      <c r="S45" s="23" t="s">
        <v>21</v>
      </c>
      <c r="T45" s="24" t="s">
        <v>46</v>
      </c>
      <c r="U45" s="25" t="s">
        <v>25</v>
      </c>
      <c r="V45" s="17" t="s">
        <v>24</v>
      </c>
    </row>
    <row r="46" ht="15.75" customHeight="1">
      <c r="A46" s="7">
        <v>45.0</v>
      </c>
      <c r="B46" s="8" t="s">
        <v>10</v>
      </c>
      <c r="C46" s="9" t="s">
        <v>11</v>
      </c>
      <c r="D46" s="8" t="s">
        <v>12</v>
      </c>
      <c r="E46" s="10" t="s">
        <v>13</v>
      </c>
      <c r="F46" s="9" t="s">
        <v>14</v>
      </c>
      <c r="G46" s="10" t="s">
        <v>15</v>
      </c>
      <c r="H46" s="9" t="s">
        <v>11</v>
      </c>
      <c r="I46" s="11" t="s">
        <v>16</v>
      </c>
      <c r="J46" s="9" t="s">
        <v>14</v>
      </c>
      <c r="K46" s="13" t="s">
        <v>17</v>
      </c>
      <c r="L46" s="9" t="s">
        <v>11</v>
      </c>
      <c r="M46" s="13" t="s">
        <v>18</v>
      </c>
      <c r="N46" s="9" t="s">
        <v>11</v>
      </c>
      <c r="O46" s="13" t="s">
        <v>19</v>
      </c>
      <c r="P46" s="9" t="s">
        <v>11</v>
      </c>
      <c r="Q46" s="13" t="s">
        <v>20</v>
      </c>
      <c r="R46" s="9" t="s">
        <v>14</v>
      </c>
      <c r="S46" s="14" t="s">
        <v>21</v>
      </c>
      <c r="T46" s="15" t="s">
        <v>47</v>
      </c>
      <c r="U46" s="16" t="s">
        <v>23</v>
      </c>
      <c r="V46" s="17" t="s">
        <v>24</v>
      </c>
    </row>
    <row r="47" ht="15.75" customHeight="1">
      <c r="A47" s="7">
        <v>46.0</v>
      </c>
      <c r="B47" s="18" t="s">
        <v>10</v>
      </c>
      <c r="C47" s="19" t="s">
        <v>11</v>
      </c>
      <c r="D47" s="18" t="s">
        <v>12</v>
      </c>
      <c r="E47" s="20" t="s">
        <v>13</v>
      </c>
      <c r="F47" s="19" t="s">
        <v>14</v>
      </c>
      <c r="G47" s="20" t="s">
        <v>15</v>
      </c>
      <c r="H47" s="19" t="s">
        <v>11</v>
      </c>
      <c r="I47" s="21" t="s">
        <v>16</v>
      </c>
      <c r="J47" s="19" t="s">
        <v>14</v>
      </c>
      <c r="K47" s="22" t="s">
        <v>17</v>
      </c>
      <c r="L47" s="19" t="s">
        <v>11</v>
      </c>
      <c r="M47" s="22" t="s">
        <v>18</v>
      </c>
      <c r="N47" s="19" t="s">
        <v>11</v>
      </c>
      <c r="O47" s="22" t="s">
        <v>19</v>
      </c>
      <c r="P47" s="19" t="s">
        <v>11</v>
      </c>
      <c r="Q47" s="22" t="s">
        <v>20</v>
      </c>
      <c r="R47" s="19" t="s">
        <v>14</v>
      </c>
      <c r="S47" s="23" t="s">
        <v>21</v>
      </c>
      <c r="T47" s="24" t="s">
        <v>47</v>
      </c>
      <c r="U47" s="25" t="s">
        <v>25</v>
      </c>
      <c r="V47" s="17" t="s">
        <v>24</v>
      </c>
    </row>
    <row r="48" ht="15.75" customHeight="1">
      <c r="A48" s="7">
        <v>47.0</v>
      </c>
      <c r="B48" s="8" t="s">
        <v>10</v>
      </c>
      <c r="C48" s="9" t="s">
        <v>11</v>
      </c>
      <c r="D48" s="8" t="s">
        <v>12</v>
      </c>
      <c r="E48" s="10" t="s">
        <v>13</v>
      </c>
      <c r="F48" s="9" t="s">
        <v>14</v>
      </c>
      <c r="G48" s="10" t="s">
        <v>15</v>
      </c>
      <c r="H48" s="9" t="s">
        <v>11</v>
      </c>
      <c r="I48" s="11" t="s">
        <v>16</v>
      </c>
      <c r="J48" s="9" t="s">
        <v>14</v>
      </c>
      <c r="K48" s="13" t="s">
        <v>17</v>
      </c>
      <c r="L48" s="9" t="s">
        <v>11</v>
      </c>
      <c r="M48" s="13" t="s">
        <v>18</v>
      </c>
      <c r="N48" s="9" t="s">
        <v>11</v>
      </c>
      <c r="O48" s="13" t="s">
        <v>19</v>
      </c>
      <c r="P48" s="9" t="s">
        <v>11</v>
      </c>
      <c r="Q48" s="13" t="s">
        <v>20</v>
      </c>
      <c r="R48" s="9" t="s">
        <v>14</v>
      </c>
      <c r="S48" s="14" t="s">
        <v>21</v>
      </c>
      <c r="T48" s="15" t="s">
        <v>48</v>
      </c>
      <c r="U48" s="16" t="s">
        <v>23</v>
      </c>
      <c r="V48" s="17" t="s">
        <v>24</v>
      </c>
    </row>
    <row r="49" ht="15.75" customHeight="1">
      <c r="A49" s="7">
        <v>48.0</v>
      </c>
      <c r="B49" s="18" t="s">
        <v>10</v>
      </c>
      <c r="C49" s="19" t="s">
        <v>11</v>
      </c>
      <c r="D49" s="18" t="s">
        <v>12</v>
      </c>
      <c r="E49" s="20" t="s">
        <v>13</v>
      </c>
      <c r="F49" s="19" t="s">
        <v>14</v>
      </c>
      <c r="G49" s="20" t="s">
        <v>15</v>
      </c>
      <c r="H49" s="19" t="s">
        <v>11</v>
      </c>
      <c r="I49" s="21" t="s">
        <v>16</v>
      </c>
      <c r="J49" s="19" t="s">
        <v>14</v>
      </c>
      <c r="K49" s="22" t="s">
        <v>17</v>
      </c>
      <c r="L49" s="19" t="s">
        <v>11</v>
      </c>
      <c r="M49" s="22" t="s">
        <v>18</v>
      </c>
      <c r="N49" s="19" t="s">
        <v>11</v>
      </c>
      <c r="O49" s="22" t="s">
        <v>19</v>
      </c>
      <c r="P49" s="19" t="s">
        <v>11</v>
      </c>
      <c r="Q49" s="22" t="s">
        <v>20</v>
      </c>
      <c r="R49" s="19" t="s">
        <v>14</v>
      </c>
      <c r="S49" s="23" t="s">
        <v>21</v>
      </c>
      <c r="T49" s="24" t="s">
        <v>48</v>
      </c>
      <c r="U49" s="25" t="s">
        <v>25</v>
      </c>
      <c r="V49" s="17" t="s">
        <v>24</v>
      </c>
    </row>
    <row r="50" ht="15.75" customHeight="1">
      <c r="A50" s="7">
        <v>49.0</v>
      </c>
      <c r="B50" s="8" t="s">
        <v>10</v>
      </c>
      <c r="C50" s="9" t="s">
        <v>11</v>
      </c>
      <c r="D50" s="8" t="s">
        <v>12</v>
      </c>
      <c r="E50" s="10" t="s">
        <v>13</v>
      </c>
      <c r="F50" s="9" t="s">
        <v>14</v>
      </c>
      <c r="G50" s="10" t="s">
        <v>15</v>
      </c>
      <c r="H50" s="9" t="s">
        <v>11</v>
      </c>
      <c r="I50" s="11" t="s">
        <v>16</v>
      </c>
      <c r="J50" s="9" t="s">
        <v>14</v>
      </c>
      <c r="K50" s="13" t="s">
        <v>17</v>
      </c>
      <c r="L50" s="9" t="s">
        <v>11</v>
      </c>
      <c r="M50" s="13" t="s">
        <v>18</v>
      </c>
      <c r="N50" s="9" t="s">
        <v>11</v>
      </c>
      <c r="O50" s="13" t="s">
        <v>19</v>
      </c>
      <c r="P50" s="9" t="s">
        <v>11</v>
      </c>
      <c r="Q50" s="13" t="s">
        <v>20</v>
      </c>
      <c r="R50" s="9" t="s">
        <v>14</v>
      </c>
      <c r="S50" s="14" t="s">
        <v>21</v>
      </c>
      <c r="T50" s="15" t="s">
        <v>49</v>
      </c>
      <c r="U50" s="16" t="s">
        <v>23</v>
      </c>
      <c r="V50" s="17" t="s">
        <v>24</v>
      </c>
    </row>
    <row r="51" ht="15.75" customHeight="1">
      <c r="A51" s="7">
        <v>50.0</v>
      </c>
      <c r="B51" s="18" t="s">
        <v>10</v>
      </c>
      <c r="C51" s="19" t="s">
        <v>11</v>
      </c>
      <c r="D51" s="18" t="s">
        <v>12</v>
      </c>
      <c r="E51" s="20" t="s">
        <v>13</v>
      </c>
      <c r="F51" s="19" t="s">
        <v>14</v>
      </c>
      <c r="G51" s="20" t="s">
        <v>15</v>
      </c>
      <c r="H51" s="19" t="s">
        <v>11</v>
      </c>
      <c r="I51" s="21" t="s">
        <v>16</v>
      </c>
      <c r="J51" s="19" t="s">
        <v>14</v>
      </c>
      <c r="K51" s="22" t="s">
        <v>17</v>
      </c>
      <c r="L51" s="19" t="s">
        <v>11</v>
      </c>
      <c r="M51" s="22" t="s">
        <v>18</v>
      </c>
      <c r="N51" s="19" t="s">
        <v>11</v>
      </c>
      <c r="O51" s="22" t="s">
        <v>19</v>
      </c>
      <c r="P51" s="19" t="s">
        <v>11</v>
      </c>
      <c r="Q51" s="22" t="s">
        <v>20</v>
      </c>
      <c r="R51" s="19" t="s">
        <v>14</v>
      </c>
      <c r="S51" s="23" t="s">
        <v>21</v>
      </c>
      <c r="T51" s="24" t="s">
        <v>49</v>
      </c>
      <c r="U51" s="25" t="s">
        <v>25</v>
      </c>
      <c r="V51" s="17" t="s">
        <v>24</v>
      </c>
    </row>
    <row r="52" ht="15.75" customHeight="1">
      <c r="A52" s="7">
        <v>51.0</v>
      </c>
      <c r="B52" s="8" t="s">
        <v>10</v>
      </c>
      <c r="C52" s="9" t="s">
        <v>11</v>
      </c>
      <c r="D52" s="8" t="s">
        <v>12</v>
      </c>
      <c r="E52" s="10" t="s">
        <v>13</v>
      </c>
      <c r="F52" s="9" t="s">
        <v>14</v>
      </c>
      <c r="G52" s="10" t="s">
        <v>15</v>
      </c>
      <c r="H52" s="9" t="s">
        <v>11</v>
      </c>
      <c r="I52" s="11" t="s">
        <v>16</v>
      </c>
      <c r="J52" s="9" t="s">
        <v>14</v>
      </c>
      <c r="K52" s="13" t="s">
        <v>17</v>
      </c>
      <c r="L52" s="9" t="s">
        <v>11</v>
      </c>
      <c r="M52" s="13" t="s">
        <v>18</v>
      </c>
      <c r="N52" s="9" t="s">
        <v>11</v>
      </c>
      <c r="O52" s="13" t="s">
        <v>19</v>
      </c>
      <c r="P52" s="9" t="s">
        <v>11</v>
      </c>
      <c r="Q52" s="13" t="s">
        <v>20</v>
      </c>
      <c r="R52" s="9" t="s">
        <v>14</v>
      </c>
      <c r="S52" s="14" t="s">
        <v>21</v>
      </c>
      <c r="T52" s="15" t="s">
        <v>50</v>
      </c>
      <c r="U52" s="16" t="s">
        <v>23</v>
      </c>
      <c r="V52" s="17" t="s">
        <v>24</v>
      </c>
    </row>
    <row r="53" ht="15.75" customHeight="1">
      <c r="A53" s="7">
        <v>52.0</v>
      </c>
      <c r="B53" s="18" t="s">
        <v>10</v>
      </c>
      <c r="C53" s="19" t="s">
        <v>11</v>
      </c>
      <c r="D53" s="18" t="s">
        <v>12</v>
      </c>
      <c r="E53" s="20" t="s">
        <v>13</v>
      </c>
      <c r="F53" s="19" t="s">
        <v>14</v>
      </c>
      <c r="G53" s="20" t="s">
        <v>15</v>
      </c>
      <c r="H53" s="19" t="s">
        <v>11</v>
      </c>
      <c r="I53" s="21" t="s">
        <v>16</v>
      </c>
      <c r="J53" s="19" t="s">
        <v>14</v>
      </c>
      <c r="K53" s="22" t="s">
        <v>17</v>
      </c>
      <c r="L53" s="19" t="s">
        <v>11</v>
      </c>
      <c r="M53" s="22" t="s">
        <v>18</v>
      </c>
      <c r="N53" s="19" t="s">
        <v>11</v>
      </c>
      <c r="O53" s="22" t="s">
        <v>19</v>
      </c>
      <c r="P53" s="19" t="s">
        <v>11</v>
      </c>
      <c r="Q53" s="22" t="s">
        <v>20</v>
      </c>
      <c r="R53" s="19" t="s">
        <v>14</v>
      </c>
      <c r="S53" s="23" t="s">
        <v>21</v>
      </c>
      <c r="T53" s="24" t="s">
        <v>50</v>
      </c>
      <c r="U53" s="25" t="s">
        <v>25</v>
      </c>
      <c r="V53" s="17" t="s">
        <v>24</v>
      </c>
    </row>
    <row r="54" ht="15.75" customHeight="1">
      <c r="A54" s="7">
        <v>53.0</v>
      </c>
      <c r="B54" s="8" t="s">
        <v>10</v>
      </c>
      <c r="C54" s="9" t="s">
        <v>11</v>
      </c>
      <c r="D54" s="8" t="s">
        <v>12</v>
      </c>
      <c r="E54" s="10" t="s">
        <v>13</v>
      </c>
      <c r="F54" s="9" t="s">
        <v>14</v>
      </c>
      <c r="G54" s="10" t="s">
        <v>15</v>
      </c>
      <c r="H54" s="9" t="s">
        <v>11</v>
      </c>
      <c r="I54" s="11" t="s">
        <v>16</v>
      </c>
      <c r="J54" s="9" t="s">
        <v>14</v>
      </c>
      <c r="K54" s="13" t="s">
        <v>17</v>
      </c>
      <c r="L54" s="9" t="s">
        <v>11</v>
      </c>
      <c r="M54" s="13" t="s">
        <v>18</v>
      </c>
      <c r="N54" s="9" t="s">
        <v>11</v>
      </c>
      <c r="O54" s="13" t="s">
        <v>19</v>
      </c>
      <c r="P54" s="9" t="s">
        <v>11</v>
      </c>
      <c r="Q54" s="13" t="s">
        <v>20</v>
      </c>
      <c r="R54" s="9" t="s">
        <v>14</v>
      </c>
      <c r="S54" s="14" t="s">
        <v>21</v>
      </c>
      <c r="T54" s="15" t="s">
        <v>51</v>
      </c>
      <c r="U54" s="16" t="s">
        <v>23</v>
      </c>
      <c r="V54" s="17" t="s">
        <v>24</v>
      </c>
    </row>
    <row r="55" ht="15.75" customHeight="1">
      <c r="A55" s="7">
        <v>54.0</v>
      </c>
      <c r="B55" s="18" t="s">
        <v>10</v>
      </c>
      <c r="C55" s="19" t="s">
        <v>11</v>
      </c>
      <c r="D55" s="18" t="s">
        <v>12</v>
      </c>
      <c r="E55" s="20" t="s">
        <v>13</v>
      </c>
      <c r="F55" s="19" t="s">
        <v>14</v>
      </c>
      <c r="G55" s="20" t="s">
        <v>15</v>
      </c>
      <c r="H55" s="19" t="s">
        <v>11</v>
      </c>
      <c r="I55" s="21" t="s">
        <v>16</v>
      </c>
      <c r="J55" s="19" t="s">
        <v>14</v>
      </c>
      <c r="K55" s="22" t="s">
        <v>17</v>
      </c>
      <c r="L55" s="19" t="s">
        <v>11</v>
      </c>
      <c r="M55" s="22" t="s">
        <v>18</v>
      </c>
      <c r="N55" s="19" t="s">
        <v>11</v>
      </c>
      <c r="O55" s="22" t="s">
        <v>19</v>
      </c>
      <c r="P55" s="19" t="s">
        <v>11</v>
      </c>
      <c r="Q55" s="22" t="s">
        <v>20</v>
      </c>
      <c r="R55" s="19" t="s">
        <v>14</v>
      </c>
      <c r="S55" s="23" t="s">
        <v>21</v>
      </c>
      <c r="T55" s="24" t="s">
        <v>51</v>
      </c>
      <c r="U55" s="25" t="s">
        <v>25</v>
      </c>
      <c r="V55" s="17" t="s">
        <v>24</v>
      </c>
    </row>
    <row r="56" ht="15.75" customHeight="1">
      <c r="A56" s="7">
        <v>55.0</v>
      </c>
      <c r="B56" s="8" t="s">
        <v>10</v>
      </c>
      <c r="C56" s="9" t="s">
        <v>11</v>
      </c>
      <c r="D56" s="8" t="s">
        <v>12</v>
      </c>
      <c r="E56" s="10" t="s">
        <v>13</v>
      </c>
      <c r="F56" s="9" t="s">
        <v>14</v>
      </c>
      <c r="G56" s="10" t="s">
        <v>15</v>
      </c>
      <c r="H56" s="9" t="s">
        <v>11</v>
      </c>
      <c r="I56" s="11" t="s">
        <v>16</v>
      </c>
      <c r="J56" s="9" t="s">
        <v>14</v>
      </c>
      <c r="K56" s="13" t="s">
        <v>17</v>
      </c>
      <c r="L56" s="9" t="s">
        <v>11</v>
      </c>
      <c r="M56" s="13" t="s">
        <v>18</v>
      </c>
      <c r="N56" s="9" t="s">
        <v>11</v>
      </c>
      <c r="O56" s="13" t="s">
        <v>19</v>
      </c>
      <c r="P56" s="9" t="s">
        <v>11</v>
      </c>
      <c r="Q56" s="13" t="s">
        <v>20</v>
      </c>
      <c r="R56" s="9" t="s">
        <v>14</v>
      </c>
      <c r="S56" s="14" t="s">
        <v>21</v>
      </c>
      <c r="T56" s="15" t="s">
        <v>52</v>
      </c>
      <c r="U56" s="16" t="s">
        <v>23</v>
      </c>
      <c r="V56" s="17" t="s">
        <v>24</v>
      </c>
    </row>
    <row r="57" ht="15.75" customHeight="1">
      <c r="A57" s="7">
        <v>56.0</v>
      </c>
      <c r="B57" s="18" t="s">
        <v>10</v>
      </c>
      <c r="C57" s="19" t="s">
        <v>11</v>
      </c>
      <c r="D57" s="18" t="s">
        <v>12</v>
      </c>
      <c r="E57" s="20" t="s">
        <v>13</v>
      </c>
      <c r="F57" s="19" t="s">
        <v>14</v>
      </c>
      <c r="G57" s="20" t="s">
        <v>15</v>
      </c>
      <c r="H57" s="19" t="s">
        <v>11</v>
      </c>
      <c r="I57" s="21" t="s">
        <v>16</v>
      </c>
      <c r="J57" s="19" t="s">
        <v>14</v>
      </c>
      <c r="K57" s="22" t="s">
        <v>17</v>
      </c>
      <c r="L57" s="19" t="s">
        <v>11</v>
      </c>
      <c r="M57" s="22" t="s">
        <v>18</v>
      </c>
      <c r="N57" s="19" t="s">
        <v>11</v>
      </c>
      <c r="O57" s="22" t="s">
        <v>19</v>
      </c>
      <c r="P57" s="19" t="s">
        <v>11</v>
      </c>
      <c r="Q57" s="22" t="s">
        <v>20</v>
      </c>
      <c r="R57" s="19" t="s">
        <v>14</v>
      </c>
      <c r="S57" s="23" t="s">
        <v>21</v>
      </c>
      <c r="T57" s="24" t="s">
        <v>52</v>
      </c>
      <c r="U57" s="25" t="s">
        <v>25</v>
      </c>
      <c r="V57" s="17" t="s">
        <v>24</v>
      </c>
    </row>
    <row r="58" ht="15.75" customHeight="1">
      <c r="A58" s="7">
        <v>57.0</v>
      </c>
      <c r="B58" s="8" t="s">
        <v>10</v>
      </c>
      <c r="C58" s="9" t="s">
        <v>11</v>
      </c>
      <c r="D58" s="8" t="s">
        <v>12</v>
      </c>
      <c r="E58" s="10" t="s">
        <v>13</v>
      </c>
      <c r="F58" s="9" t="s">
        <v>14</v>
      </c>
      <c r="G58" s="10" t="s">
        <v>15</v>
      </c>
      <c r="H58" s="9" t="s">
        <v>11</v>
      </c>
      <c r="I58" s="11" t="s">
        <v>16</v>
      </c>
      <c r="J58" s="9" t="s">
        <v>14</v>
      </c>
      <c r="K58" s="13" t="s">
        <v>17</v>
      </c>
      <c r="L58" s="9" t="s">
        <v>11</v>
      </c>
      <c r="M58" s="13" t="s">
        <v>18</v>
      </c>
      <c r="N58" s="9" t="s">
        <v>11</v>
      </c>
      <c r="O58" s="13" t="s">
        <v>19</v>
      </c>
      <c r="P58" s="9" t="s">
        <v>11</v>
      </c>
      <c r="Q58" s="13" t="s">
        <v>20</v>
      </c>
      <c r="R58" s="9" t="s">
        <v>14</v>
      </c>
      <c r="S58" s="14" t="s">
        <v>21</v>
      </c>
      <c r="T58" s="15" t="s">
        <v>53</v>
      </c>
      <c r="U58" s="16" t="s">
        <v>23</v>
      </c>
      <c r="V58" s="17" t="s">
        <v>24</v>
      </c>
    </row>
    <row r="59" ht="15.75" customHeight="1">
      <c r="A59" s="7">
        <v>58.0</v>
      </c>
      <c r="B59" s="18" t="s">
        <v>10</v>
      </c>
      <c r="C59" s="19" t="s">
        <v>11</v>
      </c>
      <c r="D59" s="18" t="s">
        <v>12</v>
      </c>
      <c r="E59" s="20" t="s">
        <v>13</v>
      </c>
      <c r="F59" s="19" t="s">
        <v>14</v>
      </c>
      <c r="G59" s="20" t="s">
        <v>15</v>
      </c>
      <c r="H59" s="19" t="s">
        <v>11</v>
      </c>
      <c r="I59" s="21" t="s">
        <v>16</v>
      </c>
      <c r="J59" s="19" t="s">
        <v>14</v>
      </c>
      <c r="K59" s="22" t="s">
        <v>17</v>
      </c>
      <c r="L59" s="19" t="s">
        <v>11</v>
      </c>
      <c r="M59" s="22" t="s">
        <v>18</v>
      </c>
      <c r="N59" s="19" t="s">
        <v>11</v>
      </c>
      <c r="O59" s="22" t="s">
        <v>19</v>
      </c>
      <c r="P59" s="19" t="s">
        <v>11</v>
      </c>
      <c r="Q59" s="22" t="s">
        <v>20</v>
      </c>
      <c r="R59" s="19" t="s">
        <v>14</v>
      </c>
      <c r="S59" s="23" t="s">
        <v>21</v>
      </c>
      <c r="T59" s="24" t="s">
        <v>53</v>
      </c>
      <c r="U59" s="25" t="s">
        <v>25</v>
      </c>
      <c r="V59" s="17" t="s">
        <v>24</v>
      </c>
    </row>
    <row r="60" ht="15.75" customHeight="1">
      <c r="A60" s="7">
        <v>59.0</v>
      </c>
      <c r="B60" s="8" t="s">
        <v>10</v>
      </c>
      <c r="C60" s="9" t="s">
        <v>11</v>
      </c>
      <c r="D60" s="8" t="s">
        <v>12</v>
      </c>
      <c r="E60" s="10" t="s">
        <v>13</v>
      </c>
      <c r="F60" s="9" t="s">
        <v>14</v>
      </c>
      <c r="G60" s="10" t="s">
        <v>15</v>
      </c>
      <c r="H60" s="9" t="s">
        <v>11</v>
      </c>
      <c r="I60" s="11" t="s">
        <v>16</v>
      </c>
      <c r="J60" s="9" t="s">
        <v>14</v>
      </c>
      <c r="K60" s="13" t="s">
        <v>17</v>
      </c>
      <c r="L60" s="9" t="s">
        <v>11</v>
      </c>
      <c r="M60" s="13" t="s">
        <v>18</v>
      </c>
      <c r="N60" s="9" t="s">
        <v>11</v>
      </c>
      <c r="O60" s="13" t="s">
        <v>19</v>
      </c>
      <c r="P60" s="9" t="s">
        <v>11</v>
      </c>
      <c r="Q60" s="13" t="s">
        <v>20</v>
      </c>
      <c r="R60" s="9" t="s">
        <v>14</v>
      </c>
      <c r="S60" s="14" t="s">
        <v>21</v>
      </c>
      <c r="T60" s="15" t="s">
        <v>54</v>
      </c>
      <c r="U60" s="16" t="s">
        <v>23</v>
      </c>
      <c r="V60" s="17" t="s">
        <v>24</v>
      </c>
    </row>
    <row r="61" ht="15.75" customHeight="1">
      <c r="A61" s="7">
        <v>60.0</v>
      </c>
      <c r="B61" s="18" t="s">
        <v>10</v>
      </c>
      <c r="C61" s="19" t="s">
        <v>11</v>
      </c>
      <c r="D61" s="18" t="s">
        <v>12</v>
      </c>
      <c r="E61" s="20" t="s">
        <v>13</v>
      </c>
      <c r="F61" s="19" t="s">
        <v>14</v>
      </c>
      <c r="G61" s="20" t="s">
        <v>15</v>
      </c>
      <c r="H61" s="19" t="s">
        <v>11</v>
      </c>
      <c r="I61" s="21" t="s">
        <v>16</v>
      </c>
      <c r="J61" s="19" t="s">
        <v>14</v>
      </c>
      <c r="K61" s="22" t="s">
        <v>17</v>
      </c>
      <c r="L61" s="19" t="s">
        <v>11</v>
      </c>
      <c r="M61" s="22" t="s">
        <v>18</v>
      </c>
      <c r="N61" s="19" t="s">
        <v>11</v>
      </c>
      <c r="O61" s="22" t="s">
        <v>19</v>
      </c>
      <c r="P61" s="19" t="s">
        <v>11</v>
      </c>
      <c r="Q61" s="22" t="s">
        <v>20</v>
      </c>
      <c r="R61" s="19" t="s">
        <v>14</v>
      </c>
      <c r="S61" s="23" t="s">
        <v>21</v>
      </c>
      <c r="T61" s="24" t="s">
        <v>54</v>
      </c>
      <c r="U61" s="25" t="s">
        <v>25</v>
      </c>
      <c r="V61" s="17" t="s">
        <v>24</v>
      </c>
    </row>
    <row r="62" ht="15.75" customHeight="1">
      <c r="A62" s="7">
        <v>61.0</v>
      </c>
      <c r="B62" s="8" t="s">
        <v>10</v>
      </c>
      <c r="C62" s="9" t="s">
        <v>11</v>
      </c>
      <c r="D62" s="8" t="s">
        <v>12</v>
      </c>
      <c r="E62" s="10" t="s">
        <v>13</v>
      </c>
      <c r="F62" s="9" t="s">
        <v>14</v>
      </c>
      <c r="G62" s="10" t="s">
        <v>15</v>
      </c>
      <c r="H62" s="9" t="s">
        <v>11</v>
      </c>
      <c r="I62" s="11" t="s">
        <v>16</v>
      </c>
      <c r="J62" s="9" t="s">
        <v>14</v>
      </c>
      <c r="K62" s="13" t="s">
        <v>17</v>
      </c>
      <c r="L62" s="9" t="s">
        <v>11</v>
      </c>
      <c r="M62" s="13" t="s">
        <v>18</v>
      </c>
      <c r="N62" s="9" t="s">
        <v>11</v>
      </c>
      <c r="O62" s="13" t="s">
        <v>19</v>
      </c>
      <c r="P62" s="9" t="s">
        <v>11</v>
      </c>
      <c r="Q62" s="13" t="s">
        <v>20</v>
      </c>
      <c r="R62" s="9" t="s">
        <v>14</v>
      </c>
      <c r="S62" s="14" t="s">
        <v>21</v>
      </c>
      <c r="T62" s="15" t="s">
        <v>55</v>
      </c>
      <c r="U62" s="16" t="s">
        <v>23</v>
      </c>
      <c r="V62" s="17" t="s">
        <v>24</v>
      </c>
    </row>
    <row r="63" ht="15.75" customHeight="1">
      <c r="A63" s="7">
        <v>62.0</v>
      </c>
      <c r="B63" s="18" t="s">
        <v>10</v>
      </c>
      <c r="C63" s="19" t="s">
        <v>11</v>
      </c>
      <c r="D63" s="18" t="s">
        <v>12</v>
      </c>
      <c r="E63" s="20" t="s">
        <v>13</v>
      </c>
      <c r="F63" s="19" t="s">
        <v>14</v>
      </c>
      <c r="G63" s="20" t="s">
        <v>15</v>
      </c>
      <c r="H63" s="19" t="s">
        <v>11</v>
      </c>
      <c r="I63" s="21" t="s">
        <v>16</v>
      </c>
      <c r="J63" s="19" t="s">
        <v>14</v>
      </c>
      <c r="K63" s="22" t="s">
        <v>17</v>
      </c>
      <c r="L63" s="19" t="s">
        <v>11</v>
      </c>
      <c r="M63" s="22" t="s">
        <v>18</v>
      </c>
      <c r="N63" s="19" t="s">
        <v>11</v>
      </c>
      <c r="O63" s="22" t="s">
        <v>19</v>
      </c>
      <c r="P63" s="19" t="s">
        <v>11</v>
      </c>
      <c r="Q63" s="22" t="s">
        <v>20</v>
      </c>
      <c r="R63" s="19" t="s">
        <v>14</v>
      </c>
      <c r="S63" s="23" t="s">
        <v>21</v>
      </c>
      <c r="T63" s="24" t="s">
        <v>55</v>
      </c>
      <c r="U63" s="25" t="s">
        <v>25</v>
      </c>
      <c r="V63" s="17" t="s">
        <v>24</v>
      </c>
    </row>
    <row r="64" ht="15.75" customHeight="1">
      <c r="A64" s="7">
        <v>63.0</v>
      </c>
      <c r="B64" s="8" t="s">
        <v>10</v>
      </c>
      <c r="C64" s="9" t="s">
        <v>11</v>
      </c>
      <c r="D64" s="8" t="s">
        <v>12</v>
      </c>
      <c r="E64" s="10" t="s">
        <v>13</v>
      </c>
      <c r="F64" s="9" t="s">
        <v>14</v>
      </c>
      <c r="G64" s="10" t="s">
        <v>15</v>
      </c>
      <c r="H64" s="9" t="s">
        <v>11</v>
      </c>
      <c r="I64" s="11" t="s">
        <v>16</v>
      </c>
      <c r="J64" s="9" t="s">
        <v>14</v>
      </c>
      <c r="K64" s="13" t="s">
        <v>17</v>
      </c>
      <c r="L64" s="9" t="s">
        <v>11</v>
      </c>
      <c r="M64" s="13" t="s">
        <v>18</v>
      </c>
      <c r="N64" s="9" t="s">
        <v>11</v>
      </c>
      <c r="O64" s="13" t="s">
        <v>19</v>
      </c>
      <c r="P64" s="9" t="s">
        <v>11</v>
      </c>
      <c r="Q64" s="13" t="s">
        <v>20</v>
      </c>
      <c r="R64" s="9" t="s">
        <v>14</v>
      </c>
      <c r="S64" s="14" t="s">
        <v>21</v>
      </c>
      <c r="T64" s="15" t="s">
        <v>56</v>
      </c>
      <c r="U64" s="16" t="s">
        <v>23</v>
      </c>
      <c r="V64" s="17" t="s">
        <v>24</v>
      </c>
    </row>
    <row r="65" ht="15.75" customHeight="1">
      <c r="A65" s="7">
        <v>64.0</v>
      </c>
      <c r="B65" s="18" t="s">
        <v>10</v>
      </c>
      <c r="C65" s="19" t="s">
        <v>11</v>
      </c>
      <c r="D65" s="18" t="s">
        <v>12</v>
      </c>
      <c r="E65" s="20" t="s">
        <v>13</v>
      </c>
      <c r="F65" s="19" t="s">
        <v>14</v>
      </c>
      <c r="G65" s="20" t="s">
        <v>15</v>
      </c>
      <c r="H65" s="19" t="s">
        <v>11</v>
      </c>
      <c r="I65" s="21" t="s">
        <v>16</v>
      </c>
      <c r="J65" s="19" t="s">
        <v>14</v>
      </c>
      <c r="K65" s="22" t="s">
        <v>17</v>
      </c>
      <c r="L65" s="19" t="s">
        <v>11</v>
      </c>
      <c r="M65" s="22" t="s">
        <v>18</v>
      </c>
      <c r="N65" s="19" t="s">
        <v>11</v>
      </c>
      <c r="O65" s="22" t="s">
        <v>19</v>
      </c>
      <c r="P65" s="19" t="s">
        <v>11</v>
      </c>
      <c r="Q65" s="22" t="s">
        <v>20</v>
      </c>
      <c r="R65" s="19" t="s">
        <v>14</v>
      </c>
      <c r="S65" s="23" t="s">
        <v>21</v>
      </c>
      <c r="T65" s="24" t="s">
        <v>56</v>
      </c>
      <c r="U65" s="25" t="s">
        <v>25</v>
      </c>
      <c r="V65" s="17" t="s">
        <v>24</v>
      </c>
    </row>
    <row r="66" ht="15.75" customHeight="1">
      <c r="A66" s="7">
        <v>65.0</v>
      </c>
      <c r="B66" s="8" t="s">
        <v>10</v>
      </c>
      <c r="C66" s="9" t="s">
        <v>11</v>
      </c>
      <c r="D66" s="8" t="s">
        <v>12</v>
      </c>
      <c r="E66" s="10" t="s">
        <v>13</v>
      </c>
      <c r="F66" s="9" t="s">
        <v>14</v>
      </c>
      <c r="G66" s="10" t="s">
        <v>15</v>
      </c>
      <c r="H66" s="9" t="s">
        <v>11</v>
      </c>
      <c r="I66" s="11" t="s">
        <v>16</v>
      </c>
      <c r="J66" s="9" t="s">
        <v>14</v>
      </c>
      <c r="K66" s="13" t="s">
        <v>17</v>
      </c>
      <c r="L66" s="9" t="s">
        <v>11</v>
      </c>
      <c r="M66" s="13" t="s">
        <v>18</v>
      </c>
      <c r="N66" s="9" t="s">
        <v>11</v>
      </c>
      <c r="O66" s="13" t="s">
        <v>19</v>
      </c>
      <c r="P66" s="9" t="s">
        <v>11</v>
      </c>
      <c r="Q66" s="13" t="s">
        <v>20</v>
      </c>
      <c r="R66" s="9" t="s">
        <v>14</v>
      </c>
      <c r="S66" s="14" t="s">
        <v>21</v>
      </c>
      <c r="T66" s="15" t="s">
        <v>57</v>
      </c>
      <c r="U66" s="16" t="s">
        <v>23</v>
      </c>
      <c r="V66" s="17" t="s">
        <v>24</v>
      </c>
    </row>
    <row r="67" ht="15.75" customHeight="1">
      <c r="A67" s="7">
        <v>66.0</v>
      </c>
      <c r="B67" s="18" t="s">
        <v>10</v>
      </c>
      <c r="C67" s="19" t="s">
        <v>11</v>
      </c>
      <c r="D67" s="18" t="s">
        <v>12</v>
      </c>
      <c r="E67" s="20" t="s">
        <v>13</v>
      </c>
      <c r="F67" s="19" t="s">
        <v>14</v>
      </c>
      <c r="G67" s="20" t="s">
        <v>15</v>
      </c>
      <c r="H67" s="19" t="s">
        <v>11</v>
      </c>
      <c r="I67" s="21" t="s">
        <v>16</v>
      </c>
      <c r="J67" s="19" t="s">
        <v>14</v>
      </c>
      <c r="K67" s="22" t="s">
        <v>17</v>
      </c>
      <c r="L67" s="19" t="s">
        <v>11</v>
      </c>
      <c r="M67" s="22" t="s">
        <v>18</v>
      </c>
      <c r="N67" s="19" t="s">
        <v>11</v>
      </c>
      <c r="O67" s="22" t="s">
        <v>19</v>
      </c>
      <c r="P67" s="19" t="s">
        <v>11</v>
      </c>
      <c r="Q67" s="22" t="s">
        <v>20</v>
      </c>
      <c r="R67" s="19" t="s">
        <v>14</v>
      </c>
      <c r="S67" s="23" t="s">
        <v>21</v>
      </c>
      <c r="T67" s="24" t="s">
        <v>57</v>
      </c>
      <c r="U67" s="25" t="s">
        <v>25</v>
      </c>
      <c r="V67" s="17" t="s">
        <v>24</v>
      </c>
    </row>
    <row r="68" ht="15.75" customHeight="1">
      <c r="A68" s="7">
        <v>67.0</v>
      </c>
      <c r="B68" s="8" t="s">
        <v>10</v>
      </c>
      <c r="C68" s="9" t="s">
        <v>11</v>
      </c>
      <c r="D68" s="8" t="s">
        <v>12</v>
      </c>
      <c r="E68" s="10" t="s">
        <v>13</v>
      </c>
      <c r="F68" s="9" t="s">
        <v>14</v>
      </c>
      <c r="G68" s="10" t="s">
        <v>15</v>
      </c>
      <c r="H68" s="9" t="s">
        <v>11</v>
      </c>
      <c r="I68" s="11" t="s">
        <v>16</v>
      </c>
      <c r="J68" s="9" t="s">
        <v>14</v>
      </c>
      <c r="K68" s="13" t="s">
        <v>17</v>
      </c>
      <c r="L68" s="9" t="s">
        <v>11</v>
      </c>
      <c r="M68" s="13" t="s">
        <v>18</v>
      </c>
      <c r="N68" s="9" t="s">
        <v>11</v>
      </c>
      <c r="O68" s="13" t="s">
        <v>19</v>
      </c>
      <c r="P68" s="9" t="s">
        <v>11</v>
      </c>
      <c r="Q68" s="13" t="s">
        <v>20</v>
      </c>
      <c r="R68" s="9" t="s">
        <v>14</v>
      </c>
      <c r="S68" s="14" t="s">
        <v>21</v>
      </c>
      <c r="T68" s="15" t="s">
        <v>58</v>
      </c>
      <c r="U68" s="16" t="s">
        <v>23</v>
      </c>
      <c r="V68" s="17" t="s">
        <v>24</v>
      </c>
    </row>
    <row r="69" ht="15.75" customHeight="1">
      <c r="A69" s="7">
        <v>68.0</v>
      </c>
      <c r="B69" s="18" t="s">
        <v>10</v>
      </c>
      <c r="C69" s="19" t="s">
        <v>11</v>
      </c>
      <c r="D69" s="18" t="s">
        <v>12</v>
      </c>
      <c r="E69" s="20" t="s">
        <v>13</v>
      </c>
      <c r="F69" s="19" t="s">
        <v>14</v>
      </c>
      <c r="G69" s="20" t="s">
        <v>15</v>
      </c>
      <c r="H69" s="19" t="s">
        <v>11</v>
      </c>
      <c r="I69" s="21" t="s">
        <v>16</v>
      </c>
      <c r="J69" s="19" t="s">
        <v>14</v>
      </c>
      <c r="K69" s="22" t="s">
        <v>17</v>
      </c>
      <c r="L69" s="19" t="s">
        <v>11</v>
      </c>
      <c r="M69" s="22" t="s">
        <v>18</v>
      </c>
      <c r="N69" s="19" t="s">
        <v>11</v>
      </c>
      <c r="O69" s="22" t="s">
        <v>19</v>
      </c>
      <c r="P69" s="19" t="s">
        <v>11</v>
      </c>
      <c r="Q69" s="22" t="s">
        <v>20</v>
      </c>
      <c r="R69" s="19" t="s">
        <v>14</v>
      </c>
      <c r="S69" s="23" t="s">
        <v>21</v>
      </c>
      <c r="T69" s="24" t="s">
        <v>58</v>
      </c>
      <c r="U69" s="25" t="s">
        <v>25</v>
      </c>
      <c r="V69" s="17" t="s">
        <v>24</v>
      </c>
    </row>
    <row r="70" ht="15.75" customHeight="1">
      <c r="A70" s="7">
        <v>69.0</v>
      </c>
      <c r="B70" s="8" t="s">
        <v>10</v>
      </c>
      <c r="C70" s="9" t="s">
        <v>11</v>
      </c>
      <c r="D70" s="8" t="s">
        <v>12</v>
      </c>
      <c r="E70" s="10" t="s">
        <v>13</v>
      </c>
      <c r="F70" s="9" t="s">
        <v>14</v>
      </c>
      <c r="G70" s="10" t="s">
        <v>15</v>
      </c>
      <c r="H70" s="9" t="s">
        <v>11</v>
      </c>
      <c r="I70" s="11" t="s">
        <v>16</v>
      </c>
      <c r="J70" s="9" t="s">
        <v>14</v>
      </c>
      <c r="K70" s="13" t="s">
        <v>17</v>
      </c>
      <c r="L70" s="9" t="s">
        <v>11</v>
      </c>
      <c r="M70" s="13" t="s">
        <v>18</v>
      </c>
      <c r="N70" s="9" t="s">
        <v>11</v>
      </c>
      <c r="O70" s="13" t="s">
        <v>19</v>
      </c>
      <c r="P70" s="9" t="s">
        <v>11</v>
      </c>
      <c r="Q70" s="13" t="s">
        <v>20</v>
      </c>
      <c r="R70" s="9" t="s">
        <v>14</v>
      </c>
      <c r="S70" s="14" t="s">
        <v>21</v>
      </c>
      <c r="T70" s="15" t="s">
        <v>59</v>
      </c>
      <c r="U70" s="16" t="s">
        <v>23</v>
      </c>
      <c r="V70" s="17" t="s">
        <v>24</v>
      </c>
    </row>
    <row r="71" ht="15.75" customHeight="1">
      <c r="A71" s="7">
        <v>70.0</v>
      </c>
      <c r="B71" s="18" t="s">
        <v>10</v>
      </c>
      <c r="C71" s="19" t="s">
        <v>11</v>
      </c>
      <c r="D71" s="18" t="s">
        <v>12</v>
      </c>
      <c r="E71" s="20" t="s">
        <v>13</v>
      </c>
      <c r="F71" s="19" t="s">
        <v>14</v>
      </c>
      <c r="G71" s="20" t="s">
        <v>15</v>
      </c>
      <c r="H71" s="19" t="s">
        <v>11</v>
      </c>
      <c r="I71" s="21" t="s">
        <v>16</v>
      </c>
      <c r="J71" s="19" t="s">
        <v>14</v>
      </c>
      <c r="K71" s="22" t="s">
        <v>17</v>
      </c>
      <c r="L71" s="19" t="s">
        <v>11</v>
      </c>
      <c r="M71" s="22" t="s">
        <v>18</v>
      </c>
      <c r="N71" s="19" t="s">
        <v>11</v>
      </c>
      <c r="O71" s="22" t="s">
        <v>19</v>
      </c>
      <c r="P71" s="19" t="s">
        <v>11</v>
      </c>
      <c r="Q71" s="22" t="s">
        <v>20</v>
      </c>
      <c r="R71" s="19" t="s">
        <v>14</v>
      </c>
      <c r="S71" s="23" t="s">
        <v>21</v>
      </c>
      <c r="T71" s="24" t="s">
        <v>59</v>
      </c>
      <c r="U71" s="25" t="s">
        <v>25</v>
      </c>
      <c r="V71" s="17" t="s">
        <v>24</v>
      </c>
    </row>
    <row r="72" ht="15.75" customHeight="1">
      <c r="A72" s="7">
        <v>71.0</v>
      </c>
      <c r="B72" s="8" t="s">
        <v>10</v>
      </c>
      <c r="C72" s="9" t="s">
        <v>11</v>
      </c>
      <c r="D72" s="8" t="s">
        <v>12</v>
      </c>
      <c r="E72" s="10" t="s">
        <v>13</v>
      </c>
      <c r="F72" s="9" t="s">
        <v>14</v>
      </c>
      <c r="G72" s="10" t="s">
        <v>15</v>
      </c>
      <c r="H72" s="9" t="s">
        <v>11</v>
      </c>
      <c r="I72" s="11" t="s">
        <v>16</v>
      </c>
      <c r="J72" s="9" t="s">
        <v>14</v>
      </c>
      <c r="K72" s="13" t="s">
        <v>17</v>
      </c>
      <c r="L72" s="9" t="s">
        <v>11</v>
      </c>
      <c r="M72" s="13" t="s">
        <v>18</v>
      </c>
      <c r="N72" s="9" t="s">
        <v>11</v>
      </c>
      <c r="O72" s="13" t="s">
        <v>19</v>
      </c>
      <c r="P72" s="9" t="s">
        <v>11</v>
      </c>
      <c r="Q72" s="13" t="s">
        <v>20</v>
      </c>
      <c r="R72" s="9" t="s">
        <v>14</v>
      </c>
      <c r="S72" s="14" t="s">
        <v>21</v>
      </c>
      <c r="T72" s="15" t="s">
        <v>60</v>
      </c>
      <c r="U72" s="16" t="s">
        <v>23</v>
      </c>
      <c r="V72" s="17" t="s">
        <v>24</v>
      </c>
    </row>
    <row r="73" ht="15.75" customHeight="1">
      <c r="A73" s="7">
        <v>72.0</v>
      </c>
      <c r="B73" s="18" t="s">
        <v>10</v>
      </c>
      <c r="C73" s="19" t="s">
        <v>11</v>
      </c>
      <c r="D73" s="18" t="s">
        <v>12</v>
      </c>
      <c r="E73" s="20" t="s">
        <v>13</v>
      </c>
      <c r="F73" s="19" t="s">
        <v>14</v>
      </c>
      <c r="G73" s="20" t="s">
        <v>15</v>
      </c>
      <c r="H73" s="19" t="s">
        <v>11</v>
      </c>
      <c r="I73" s="21" t="s">
        <v>16</v>
      </c>
      <c r="J73" s="19" t="s">
        <v>14</v>
      </c>
      <c r="K73" s="22" t="s">
        <v>17</v>
      </c>
      <c r="L73" s="19" t="s">
        <v>11</v>
      </c>
      <c r="M73" s="22" t="s">
        <v>18</v>
      </c>
      <c r="N73" s="19" t="s">
        <v>11</v>
      </c>
      <c r="O73" s="22" t="s">
        <v>19</v>
      </c>
      <c r="P73" s="19" t="s">
        <v>11</v>
      </c>
      <c r="Q73" s="22" t="s">
        <v>20</v>
      </c>
      <c r="R73" s="19" t="s">
        <v>14</v>
      </c>
      <c r="S73" s="23" t="s">
        <v>21</v>
      </c>
      <c r="T73" s="24" t="s">
        <v>60</v>
      </c>
      <c r="U73" s="25" t="s">
        <v>25</v>
      </c>
      <c r="V73" s="17" t="s">
        <v>24</v>
      </c>
    </row>
    <row r="74" ht="15.75" customHeight="1">
      <c r="A74" s="7">
        <v>73.0</v>
      </c>
      <c r="B74" s="8" t="s">
        <v>10</v>
      </c>
      <c r="C74" s="9" t="s">
        <v>11</v>
      </c>
      <c r="D74" s="8" t="s">
        <v>12</v>
      </c>
      <c r="E74" s="10" t="s">
        <v>13</v>
      </c>
      <c r="F74" s="9" t="s">
        <v>14</v>
      </c>
      <c r="G74" s="10" t="s">
        <v>15</v>
      </c>
      <c r="H74" s="9" t="s">
        <v>11</v>
      </c>
      <c r="I74" s="11" t="s">
        <v>16</v>
      </c>
      <c r="J74" s="9" t="s">
        <v>14</v>
      </c>
      <c r="K74" s="13" t="s">
        <v>17</v>
      </c>
      <c r="L74" s="9" t="s">
        <v>11</v>
      </c>
      <c r="M74" s="13" t="s">
        <v>18</v>
      </c>
      <c r="N74" s="9" t="s">
        <v>11</v>
      </c>
      <c r="O74" s="13" t="s">
        <v>19</v>
      </c>
      <c r="P74" s="9" t="s">
        <v>11</v>
      </c>
      <c r="Q74" s="13" t="s">
        <v>20</v>
      </c>
      <c r="R74" s="9" t="s">
        <v>14</v>
      </c>
      <c r="S74" s="14" t="s">
        <v>21</v>
      </c>
      <c r="T74" s="15" t="s">
        <v>61</v>
      </c>
      <c r="U74" s="16" t="s">
        <v>23</v>
      </c>
      <c r="V74" s="17" t="s">
        <v>24</v>
      </c>
    </row>
    <row r="75" ht="15.75" customHeight="1">
      <c r="A75" s="7">
        <v>74.0</v>
      </c>
      <c r="B75" s="18" t="s">
        <v>10</v>
      </c>
      <c r="C75" s="19" t="s">
        <v>11</v>
      </c>
      <c r="D75" s="18" t="s">
        <v>12</v>
      </c>
      <c r="E75" s="20" t="s">
        <v>13</v>
      </c>
      <c r="F75" s="19" t="s">
        <v>14</v>
      </c>
      <c r="G75" s="20" t="s">
        <v>15</v>
      </c>
      <c r="H75" s="19" t="s">
        <v>11</v>
      </c>
      <c r="I75" s="21" t="s">
        <v>16</v>
      </c>
      <c r="J75" s="19" t="s">
        <v>14</v>
      </c>
      <c r="K75" s="22" t="s">
        <v>17</v>
      </c>
      <c r="L75" s="19" t="s">
        <v>11</v>
      </c>
      <c r="M75" s="22" t="s">
        <v>18</v>
      </c>
      <c r="N75" s="19" t="s">
        <v>11</v>
      </c>
      <c r="O75" s="22" t="s">
        <v>19</v>
      </c>
      <c r="P75" s="19" t="s">
        <v>11</v>
      </c>
      <c r="Q75" s="22" t="s">
        <v>20</v>
      </c>
      <c r="R75" s="19" t="s">
        <v>14</v>
      </c>
      <c r="S75" s="23" t="s">
        <v>21</v>
      </c>
      <c r="T75" s="24" t="s">
        <v>61</v>
      </c>
      <c r="U75" s="25" t="s">
        <v>25</v>
      </c>
      <c r="V75" s="17" t="s">
        <v>24</v>
      </c>
    </row>
    <row r="76" ht="15.75" customHeight="1">
      <c r="A76" s="7">
        <v>75.0</v>
      </c>
      <c r="B76" s="8" t="s">
        <v>10</v>
      </c>
      <c r="C76" s="9" t="s">
        <v>11</v>
      </c>
      <c r="D76" s="8" t="s">
        <v>12</v>
      </c>
      <c r="E76" s="10" t="s">
        <v>13</v>
      </c>
      <c r="F76" s="9" t="s">
        <v>14</v>
      </c>
      <c r="G76" s="10" t="s">
        <v>15</v>
      </c>
      <c r="H76" s="9" t="s">
        <v>11</v>
      </c>
      <c r="I76" s="11" t="s">
        <v>16</v>
      </c>
      <c r="J76" s="9" t="s">
        <v>14</v>
      </c>
      <c r="K76" s="13" t="s">
        <v>17</v>
      </c>
      <c r="L76" s="9" t="s">
        <v>11</v>
      </c>
      <c r="M76" s="13" t="s">
        <v>18</v>
      </c>
      <c r="N76" s="9" t="s">
        <v>11</v>
      </c>
      <c r="O76" s="13" t="s">
        <v>19</v>
      </c>
      <c r="P76" s="9" t="s">
        <v>11</v>
      </c>
      <c r="Q76" s="13" t="s">
        <v>20</v>
      </c>
      <c r="R76" s="9" t="s">
        <v>14</v>
      </c>
      <c r="S76" s="14" t="s">
        <v>21</v>
      </c>
      <c r="T76" s="15" t="s">
        <v>62</v>
      </c>
      <c r="U76" s="16" t="s">
        <v>23</v>
      </c>
      <c r="V76" s="17" t="s">
        <v>24</v>
      </c>
    </row>
    <row r="77" ht="15.75" customHeight="1">
      <c r="A77" s="7">
        <v>76.0</v>
      </c>
      <c r="B77" s="8" t="s">
        <v>10</v>
      </c>
      <c r="C77" s="9" t="s">
        <v>11</v>
      </c>
      <c r="D77" s="8" t="s">
        <v>12</v>
      </c>
      <c r="E77" s="10" t="s">
        <v>13</v>
      </c>
      <c r="F77" s="9" t="s">
        <v>14</v>
      </c>
      <c r="G77" s="10" t="s">
        <v>15</v>
      </c>
      <c r="H77" s="9" t="s">
        <v>11</v>
      </c>
      <c r="I77" s="11" t="s">
        <v>16</v>
      </c>
      <c r="J77" s="9" t="s">
        <v>14</v>
      </c>
      <c r="K77" s="13" t="s">
        <v>17</v>
      </c>
      <c r="L77" s="9" t="s">
        <v>11</v>
      </c>
      <c r="M77" s="13" t="s">
        <v>18</v>
      </c>
      <c r="N77" s="9" t="s">
        <v>11</v>
      </c>
      <c r="O77" s="13" t="s">
        <v>19</v>
      </c>
      <c r="P77" s="9" t="s">
        <v>11</v>
      </c>
      <c r="Q77" s="13" t="s">
        <v>20</v>
      </c>
      <c r="R77" s="9" t="s">
        <v>14</v>
      </c>
      <c r="S77" s="14" t="s">
        <v>21</v>
      </c>
      <c r="T77" s="15" t="s">
        <v>63</v>
      </c>
      <c r="U77" s="16" t="s">
        <v>23</v>
      </c>
      <c r="V77" s="17" t="s">
        <v>24</v>
      </c>
    </row>
    <row r="78" ht="15.75" customHeight="1">
      <c r="A78" s="7">
        <v>77.0</v>
      </c>
      <c r="B78" s="18" t="s">
        <v>10</v>
      </c>
      <c r="C78" s="19" t="s">
        <v>11</v>
      </c>
      <c r="D78" s="18" t="s">
        <v>12</v>
      </c>
      <c r="E78" s="20" t="s">
        <v>13</v>
      </c>
      <c r="F78" s="19" t="s">
        <v>14</v>
      </c>
      <c r="G78" s="20" t="s">
        <v>15</v>
      </c>
      <c r="H78" s="19" t="s">
        <v>11</v>
      </c>
      <c r="I78" s="21" t="s">
        <v>16</v>
      </c>
      <c r="J78" s="19" t="s">
        <v>14</v>
      </c>
      <c r="K78" s="22" t="s">
        <v>17</v>
      </c>
      <c r="L78" s="19" t="s">
        <v>11</v>
      </c>
      <c r="M78" s="22" t="s">
        <v>18</v>
      </c>
      <c r="N78" s="19" t="s">
        <v>11</v>
      </c>
      <c r="O78" s="22" t="s">
        <v>19</v>
      </c>
      <c r="P78" s="19" t="s">
        <v>11</v>
      </c>
      <c r="Q78" s="22" t="s">
        <v>20</v>
      </c>
      <c r="R78" s="19" t="s">
        <v>14</v>
      </c>
      <c r="S78" s="23" t="s">
        <v>21</v>
      </c>
      <c r="T78" s="24" t="s">
        <v>63</v>
      </c>
      <c r="U78" s="25" t="s">
        <v>25</v>
      </c>
      <c r="V78" s="17" t="s">
        <v>24</v>
      </c>
    </row>
    <row r="79" ht="15.75" customHeight="1">
      <c r="A79" s="7">
        <v>78.0</v>
      </c>
      <c r="B79" s="8" t="s">
        <v>10</v>
      </c>
      <c r="C79" s="9" t="s">
        <v>11</v>
      </c>
      <c r="D79" s="8" t="s">
        <v>12</v>
      </c>
      <c r="E79" s="10" t="s">
        <v>13</v>
      </c>
      <c r="F79" s="9" t="s">
        <v>14</v>
      </c>
      <c r="G79" s="10" t="s">
        <v>15</v>
      </c>
      <c r="H79" s="9" t="s">
        <v>11</v>
      </c>
      <c r="I79" s="11" t="s">
        <v>16</v>
      </c>
      <c r="J79" s="9" t="s">
        <v>14</v>
      </c>
      <c r="K79" s="13" t="s">
        <v>17</v>
      </c>
      <c r="L79" s="9" t="s">
        <v>11</v>
      </c>
      <c r="M79" s="13" t="s">
        <v>18</v>
      </c>
      <c r="N79" s="9" t="s">
        <v>11</v>
      </c>
      <c r="O79" s="13" t="s">
        <v>19</v>
      </c>
      <c r="P79" s="9" t="s">
        <v>11</v>
      </c>
      <c r="Q79" s="13" t="s">
        <v>20</v>
      </c>
      <c r="R79" s="9" t="s">
        <v>14</v>
      </c>
      <c r="S79" s="14" t="s">
        <v>21</v>
      </c>
      <c r="T79" s="15" t="s">
        <v>64</v>
      </c>
      <c r="U79" s="16" t="s">
        <v>23</v>
      </c>
      <c r="V79" s="17" t="s">
        <v>24</v>
      </c>
    </row>
    <row r="80" ht="15.75" customHeight="1">
      <c r="A80" s="7">
        <v>79.0</v>
      </c>
      <c r="B80" s="18" t="s">
        <v>10</v>
      </c>
      <c r="C80" s="19" t="s">
        <v>11</v>
      </c>
      <c r="D80" s="18" t="s">
        <v>12</v>
      </c>
      <c r="E80" s="20" t="s">
        <v>13</v>
      </c>
      <c r="F80" s="19" t="s">
        <v>14</v>
      </c>
      <c r="G80" s="20" t="s">
        <v>15</v>
      </c>
      <c r="H80" s="19" t="s">
        <v>11</v>
      </c>
      <c r="I80" s="21" t="s">
        <v>16</v>
      </c>
      <c r="J80" s="19" t="s">
        <v>14</v>
      </c>
      <c r="K80" s="22" t="s">
        <v>17</v>
      </c>
      <c r="L80" s="19" t="s">
        <v>11</v>
      </c>
      <c r="M80" s="22" t="s">
        <v>18</v>
      </c>
      <c r="N80" s="19" t="s">
        <v>11</v>
      </c>
      <c r="O80" s="22" t="s">
        <v>19</v>
      </c>
      <c r="P80" s="19" t="s">
        <v>11</v>
      </c>
      <c r="Q80" s="22" t="s">
        <v>20</v>
      </c>
      <c r="R80" s="19" t="s">
        <v>14</v>
      </c>
      <c r="S80" s="23" t="s">
        <v>21</v>
      </c>
      <c r="T80" s="24" t="s">
        <v>64</v>
      </c>
      <c r="U80" s="25" t="s">
        <v>25</v>
      </c>
      <c r="V80" s="17" t="s">
        <v>24</v>
      </c>
    </row>
    <row r="81" ht="15.75" customHeight="1">
      <c r="A81" s="7">
        <v>80.0</v>
      </c>
      <c r="B81" s="8" t="s">
        <v>10</v>
      </c>
      <c r="C81" s="9" t="s">
        <v>11</v>
      </c>
      <c r="D81" s="8" t="s">
        <v>12</v>
      </c>
      <c r="E81" s="10" t="s">
        <v>13</v>
      </c>
      <c r="F81" s="9" t="s">
        <v>14</v>
      </c>
      <c r="G81" s="10" t="s">
        <v>15</v>
      </c>
      <c r="H81" s="9" t="s">
        <v>11</v>
      </c>
      <c r="I81" s="11" t="s">
        <v>16</v>
      </c>
      <c r="J81" s="9" t="s">
        <v>14</v>
      </c>
      <c r="K81" s="13" t="s">
        <v>17</v>
      </c>
      <c r="L81" s="9" t="s">
        <v>11</v>
      </c>
      <c r="M81" s="13" t="s">
        <v>18</v>
      </c>
      <c r="N81" s="9" t="s">
        <v>11</v>
      </c>
      <c r="O81" s="13" t="s">
        <v>19</v>
      </c>
      <c r="P81" s="9" t="s">
        <v>11</v>
      </c>
      <c r="Q81" s="13" t="s">
        <v>20</v>
      </c>
      <c r="R81" s="9" t="s">
        <v>14</v>
      </c>
      <c r="S81" s="14" t="s">
        <v>21</v>
      </c>
      <c r="T81" s="15" t="s">
        <v>65</v>
      </c>
      <c r="U81" s="16" t="s">
        <v>23</v>
      </c>
      <c r="V81" s="17" t="s">
        <v>24</v>
      </c>
    </row>
    <row r="82" ht="15.75" customHeight="1">
      <c r="A82" s="7">
        <v>81.0</v>
      </c>
      <c r="B82" s="18" t="s">
        <v>10</v>
      </c>
      <c r="C82" s="19" t="s">
        <v>11</v>
      </c>
      <c r="D82" s="18" t="s">
        <v>12</v>
      </c>
      <c r="E82" s="20" t="s">
        <v>13</v>
      </c>
      <c r="F82" s="19" t="s">
        <v>14</v>
      </c>
      <c r="G82" s="20" t="s">
        <v>15</v>
      </c>
      <c r="H82" s="19" t="s">
        <v>11</v>
      </c>
      <c r="I82" s="21" t="s">
        <v>16</v>
      </c>
      <c r="J82" s="19" t="s">
        <v>14</v>
      </c>
      <c r="K82" s="22" t="s">
        <v>17</v>
      </c>
      <c r="L82" s="19" t="s">
        <v>11</v>
      </c>
      <c r="M82" s="22" t="s">
        <v>18</v>
      </c>
      <c r="N82" s="19" t="s">
        <v>11</v>
      </c>
      <c r="O82" s="22" t="s">
        <v>19</v>
      </c>
      <c r="P82" s="19" t="s">
        <v>11</v>
      </c>
      <c r="Q82" s="22" t="s">
        <v>20</v>
      </c>
      <c r="R82" s="19" t="s">
        <v>14</v>
      </c>
      <c r="S82" s="23" t="s">
        <v>21</v>
      </c>
      <c r="T82" s="24" t="s">
        <v>65</v>
      </c>
      <c r="U82" s="25" t="s">
        <v>25</v>
      </c>
      <c r="V82" s="17" t="s">
        <v>24</v>
      </c>
    </row>
    <row r="83" ht="15.75" customHeight="1">
      <c r="A83" s="7">
        <v>82.0</v>
      </c>
      <c r="B83" s="8" t="s">
        <v>10</v>
      </c>
      <c r="C83" s="9" t="s">
        <v>11</v>
      </c>
      <c r="D83" s="8" t="s">
        <v>12</v>
      </c>
      <c r="E83" s="10" t="s">
        <v>13</v>
      </c>
      <c r="F83" s="9" t="s">
        <v>14</v>
      </c>
      <c r="G83" s="10" t="s">
        <v>15</v>
      </c>
      <c r="H83" s="9" t="s">
        <v>11</v>
      </c>
      <c r="I83" s="11" t="s">
        <v>16</v>
      </c>
      <c r="J83" s="9" t="s">
        <v>14</v>
      </c>
      <c r="K83" s="13" t="s">
        <v>17</v>
      </c>
      <c r="L83" s="9" t="s">
        <v>11</v>
      </c>
      <c r="M83" s="13" t="s">
        <v>18</v>
      </c>
      <c r="N83" s="9" t="s">
        <v>11</v>
      </c>
      <c r="O83" s="13" t="s">
        <v>19</v>
      </c>
      <c r="P83" s="9" t="s">
        <v>11</v>
      </c>
      <c r="Q83" s="13" t="s">
        <v>20</v>
      </c>
      <c r="R83" s="9" t="s">
        <v>14</v>
      </c>
      <c r="S83" s="14" t="s">
        <v>21</v>
      </c>
      <c r="T83" s="15" t="s">
        <v>66</v>
      </c>
      <c r="U83" s="16" t="s">
        <v>23</v>
      </c>
      <c r="V83" s="17" t="s">
        <v>24</v>
      </c>
    </row>
    <row r="84" ht="15.75" customHeight="1">
      <c r="A84" s="7">
        <v>83.0</v>
      </c>
      <c r="B84" s="18" t="s">
        <v>10</v>
      </c>
      <c r="C84" s="19" t="s">
        <v>11</v>
      </c>
      <c r="D84" s="18" t="s">
        <v>12</v>
      </c>
      <c r="E84" s="20" t="s">
        <v>13</v>
      </c>
      <c r="F84" s="19" t="s">
        <v>14</v>
      </c>
      <c r="G84" s="20" t="s">
        <v>15</v>
      </c>
      <c r="H84" s="19" t="s">
        <v>11</v>
      </c>
      <c r="I84" s="21" t="s">
        <v>16</v>
      </c>
      <c r="J84" s="19" t="s">
        <v>14</v>
      </c>
      <c r="K84" s="22" t="s">
        <v>17</v>
      </c>
      <c r="L84" s="19" t="s">
        <v>11</v>
      </c>
      <c r="M84" s="22" t="s">
        <v>18</v>
      </c>
      <c r="N84" s="19" t="s">
        <v>11</v>
      </c>
      <c r="O84" s="22" t="s">
        <v>19</v>
      </c>
      <c r="P84" s="19" t="s">
        <v>11</v>
      </c>
      <c r="Q84" s="22" t="s">
        <v>20</v>
      </c>
      <c r="R84" s="19" t="s">
        <v>14</v>
      </c>
      <c r="S84" s="23" t="s">
        <v>21</v>
      </c>
      <c r="T84" s="24" t="s">
        <v>66</v>
      </c>
      <c r="U84" s="25" t="s">
        <v>25</v>
      </c>
      <c r="V84" s="17" t="s">
        <v>24</v>
      </c>
    </row>
    <row r="85" ht="15.75" customHeight="1">
      <c r="A85" s="7">
        <v>84.0</v>
      </c>
      <c r="B85" s="8" t="s">
        <v>10</v>
      </c>
      <c r="C85" s="9" t="s">
        <v>11</v>
      </c>
      <c r="D85" s="8" t="s">
        <v>12</v>
      </c>
      <c r="E85" s="10" t="s">
        <v>13</v>
      </c>
      <c r="F85" s="9" t="s">
        <v>14</v>
      </c>
      <c r="G85" s="10" t="s">
        <v>15</v>
      </c>
      <c r="H85" s="9" t="s">
        <v>11</v>
      </c>
      <c r="I85" s="11" t="s">
        <v>16</v>
      </c>
      <c r="J85" s="9" t="s">
        <v>14</v>
      </c>
      <c r="K85" s="13" t="s">
        <v>17</v>
      </c>
      <c r="L85" s="9" t="s">
        <v>11</v>
      </c>
      <c r="M85" s="13" t="s">
        <v>18</v>
      </c>
      <c r="N85" s="9" t="s">
        <v>11</v>
      </c>
      <c r="O85" s="13" t="s">
        <v>19</v>
      </c>
      <c r="P85" s="9" t="s">
        <v>11</v>
      </c>
      <c r="Q85" s="13" t="s">
        <v>20</v>
      </c>
      <c r="R85" s="9" t="s">
        <v>14</v>
      </c>
      <c r="S85" s="14" t="s">
        <v>21</v>
      </c>
      <c r="T85" s="15" t="s">
        <v>67</v>
      </c>
      <c r="U85" s="16" t="s">
        <v>23</v>
      </c>
      <c r="V85" s="17" t="s">
        <v>24</v>
      </c>
    </row>
    <row r="86" ht="15.75" customHeight="1">
      <c r="A86" s="7">
        <v>85.0</v>
      </c>
      <c r="B86" s="18" t="s">
        <v>10</v>
      </c>
      <c r="C86" s="19" t="s">
        <v>11</v>
      </c>
      <c r="D86" s="18" t="s">
        <v>12</v>
      </c>
      <c r="E86" s="20" t="s">
        <v>13</v>
      </c>
      <c r="F86" s="19" t="s">
        <v>14</v>
      </c>
      <c r="G86" s="20" t="s">
        <v>15</v>
      </c>
      <c r="H86" s="19" t="s">
        <v>11</v>
      </c>
      <c r="I86" s="21" t="s">
        <v>16</v>
      </c>
      <c r="J86" s="19" t="s">
        <v>14</v>
      </c>
      <c r="K86" s="22" t="s">
        <v>17</v>
      </c>
      <c r="L86" s="19" t="s">
        <v>11</v>
      </c>
      <c r="M86" s="22" t="s">
        <v>18</v>
      </c>
      <c r="N86" s="19" t="s">
        <v>11</v>
      </c>
      <c r="O86" s="22" t="s">
        <v>19</v>
      </c>
      <c r="P86" s="19" t="s">
        <v>11</v>
      </c>
      <c r="Q86" s="22" t="s">
        <v>20</v>
      </c>
      <c r="R86" s="19" t="s">
        <v>14</v>
      </c>
      <c r="S86" s="23" t="s">
        <v>21</v>
      </c>
      <c r="T86" s="24" t="s">
        <v>67</v>
      </c>
      <c r="U86" s="25" t="s">
        <v>25</v>
      </c>
      <c r="V86" s="17" t="s">
        <v>24</v>
      </c>
    </row>
    <row r="87" ht="15.75" customHeight="1">
      <c r="A87" s="7">
        <v>86.0</v>
      </c>
      <c r="B87" s="8" t="s">
        <v>10</v>
      </c>
      <c r="C87" s="9" t="s">
        <v>11</v>
      </c>
      <c r="D87" s="8" t="s">
        <v>12</v>
      </c>
      <c r="E87" s="10" t="s">
        <v>13</v>
      </c>
      <c r="F87" s="9" t="s">
        <v>14</v>
      </c>
      <c r="G87" s="10" t="s">
        <v>15</v>
      </c>
      <c r="H87" s="9" t="s">
        <v>11</v>
      </c>
      <c r="I87" s="11" t="s">
        <v>16</v>
      </c>
      <c r="J87" s="9" t="s">
        <v>14</v>
      </c>
      <c r="K87" s="13" t="s">
        <v>17</v>
      </c>
      <c r="L87" s="9" t="s">
        <v>11</v>
      </c>
      <c r="M87" s="13" t="s">
        <v>18</v>
      </c>
      <c r="N87" s="9" t="s">
        <v>11</v>
      </c>
      <c r="O87" s="13" t="s">
        <v>19</v>
      </c>
      <c r="P87" s="9" t="s">
        <v>11</v>
      </c>
      <c r="Q87" s="13" t="s">
        <v>20</v>
      </c>
      <c r="R87" s="9" t="s">
        <v>14</v>
      </c>
      <c r="S87" s="14" t="s">
        <v>21</v>
      </c>
      <c r="T87" s="15" t="s">
        <v>68</v>
      </c>
      <c r="U87" s="16" t="s">
        <v>23</v>
      </c>
      <c r="V87" s="17" t="s">
        <v>24</v>
      </c>
    </row>
    <row r="88" ht="15.75" customHeight="1">
      <c r="A88" s="7">
        <v>87.0</v>
      </c>
      <c r="B88" s="18" t="s">
        <v>10</v>
      </c>
      <c r="C88" s="19" t="s">
        <v>11</v>
      </c>
      <c r="D88" s="18" t="s">
        <v>12</v>
      </c>
      <c r="E88" s="20" t="s">
        <v>13</v>
      </c>
      <c r="F88" s="19" t="s">
        <v>14</v>
      </c>
      <c r="G88" s="20" t="s">
        <v>15</v>
      </c>
      <c r="H88" s="19" t="s">
        <v>11</v>
      </c>
      <c r="I88" s="21" t="s">
        <v>16</v>
      </c>
      <c r="J88" s="19" t="s">
        <v>14</v>
      </c>
      <c r="K88" s="22" t="s">
        <v>17</v>
      </c>
      <c r="L88" s="19" t="s">
        <v>11</v>
      </c>
      <c r="M88" s="22" t="s">
        <v>18</v>
      </c>
      <c r="N88" s="19" t="s">
        <v>11</v>
      </c>
      <c r="O88" s="22" t="s">
        <v>19</v>
      </c>
      <c r="P88" s="19" t="s">
        <v>11</v>
      </c>
      <c r="Q88" s="22" t="s">
        <v>20</v>
      </c>
      <c r="R88" s="19" t="s">
        <v>14</v>
      </c>
      <c r="S88" s="23" t="s">
        <v>21</v>
      </c>
      <c r="T88" s="24" t="s">
        <v>68</v>
      </c>
      <c r="U88" s="25" t="s">
        <v>25</v>
      </c>
      <c r="V88" s="17" t="s">
        <v>24</v>
      </c>
    </row>
    <row r="89" ht="15.75" customHeight="1">
      <c r="A89" s="7">
        <v>88.0</v>
      </c>
      <c r="B89" s="8" t="s">
        <v>10</v>
      </c>
      <c r="C89" s="9" t="s">
        <v>11</v>
      </c>
      <c r="D89" s="8" t="s">
        <v>12</v>
      </c>
      <c r="E89" s="10" t="s">
        <v>13</v>
      </c>
      <c r="F89" s="9" t="s">
        <v>14</v>
      </c>
      <c r="G89" s="10" t="s">
        <v>15</v>
      </c>
      <c r="H89" s="9" t="s">
        <v>11</v>
      </c>
      <c r="I89" s="11" t="s">
        <v>16</v>
      </c>
      <c r="J89" s="9" t="s">
        <v>14</v>
      </c>
      <c r="K89" s="13" t="s">
        <v>17</v>
      </c>
      <c r="L89" s="9" t="s">
        <v>11</v>
      </c>
      <c r="M89" s="13" t="s">
        <v>18</v>
      </c>
      <c r="N89" s="9" t="s">
        <v>11</v>
      </c>
      <c r="O89" s="13" t="s">
        <v>19</v>
      </c>
      <c r="P89" s="9" t="s">
        <v>11</v>
      </c>
      <c r="Q89" s="13" t="s">
        <v>20</v>
      </c>
      <c r="R89" s="9" t="s">
        <v>14</v>
      </c>
      <c r="S89" s="14" t="s">
        <v>21</v>
      </c>
      <c r="T89" s="15" t="s">
        <v>69</v>
      </c>
      <c r="U89" s="16" t="s">
        <v>23</v>
      </c>
      <c r="V89" s="17" t="s">
        <v>24</v>
      </c>
    </row>
    <row r="90" ht="15.75" customHeight="1">
      <c r="A90" s="7">
        <v>89.0</v>
      </c>
      <c r="B90" s="18" t="s">
        <v>10</v>
      </c>
      <c r="C90" s="19" t="s">
        <v>11</v>
      </c>
      <c r="D90" s="18" t="s">
        <v>12</v>
      </c>
      <c r="E90" s="20" t="s">
        <v>13</v>
      </c>
      <c r="F90" s="19" t="s">
        <v>14</v>
      </c>
      <c r="G90" s="20" t="s">
        <v>15</v>
      </c>
      <c r="H90" s="19" t="s">
        <v>11</v>
      </c>
      <c r="I90" s="21" t="s">
        <v>16</v>
      </c>
      <c r="J90" s="19" t="s">
        <v>14</v>
      </c>
      <c r="K90" s="22" t="s">
        <v>17</v>
      </c>
      <c r="L90" s="19" t="s">
        <v>11</v>
      </c>
      <c r="M90" s="22" t="s">
        <v>18</v>
      </c>
      <c r="N90" s="19" t="s">
        <v>11</v>
      </c>
      <c r="O90" s="22" t="s">
        <v>19</v>
      </c>
      <c r="P90" s="19" t="s">
        <v>11</v>
      </c>
      <c r="Q90" s="22" t="s">
        <v>20</v>
      </c>
      <c r="R90" s="19" t="s">
        <v>14</v>
      </c>
      <c r="S90" s="23" t="s">
        <v>21</v>
      </c>
      <c r="T90" s="24" t="s">
        <v>69</v>
      </c>
      <c r="U90" s="25" t="s">
        <v>25</v>
      </c>
      <c r="V90" s="17" t="s">
        <v>24</v>
      </c>
    </row>
    <row r="91" ht="15.75" customHeight="1">
      <c r="A91" s="7">
        <v>90.0</v>
      </c>
      <c r="B91" s="8" t="s">
        <v>10</v>
      </c>
      <c r="C91" s="9" t="s">
        <v>11</v>
      </c>
      <c r="D91" s="8" t="s">
        <v>12</v>
      </c>
      <c r="E91" s="10" t="s">
        <v>13</v>
      </c>
      <c r="F91" s="9" t="s">
        <v>14</v>
      </c>
      <c r="G91" s="10" t="s">
        <v>15</v>
      </c>
      <c r="H91" s="9" t="s">
        <v>11</v>
      </c>
      <c r="I91" s="11" t="s">
        <v>16</v>
      </c>
      <c r="J91" s="9" t="s">
        <v>14</v>
      </c>
      <c r="K91" s="13" t="s">
        <v>17</v>
      </c>
      <c r="L91" s="9" t="s">
        <v>11</v>
      </c>
      <c r="M91" s="13" t="s">
        <v>18</v>
      </c>
      <c r="N91" s="9" t="s">
        <v>11</v>
      </c>
      <c r="O91" s="13" t="s">
        <v>19</v>
      </c>
      <c r="P91" s="9" t="s">
        <v>11</v>
      </c>
      <c r="Q91" s="13" t="s">
        <v>20</v>
      </c>
      <c r="R91" s="9" t="s">
        <v>14</v>
      </c>
      <c r="S91" s="14" t="s">
        <v>21</v>
      </c>
      <c r="T91" s="15" t="s">
        <v>70</v>
      </c>
      <c r="U91" s="16" t="s">
        <v>23</v>
      </c>
      <c r="V91" s="17" t="s">
        <v>24</v>
      </c>
    </row>
    <row r="92" ht="15.75" customHeight="1">
      <c r="A92" s="7">
        <v>91.0</v>
      </c>
      <c r="B92" s="18" t="s">
        <v>10</v>
      </c>
      <c r="C92" s="19" t="s">
        <v>11</v>
      </c>
      <c r="D92" s="18" t="s">
        <v>12</v>
      </c>
      <c r="E92" s="20" t="s">
        <v>13</v>
      </c>
      <c r="F92" s="19" t="s">
        <v>14</v>
      </c>
      <c r="G92" s="20" t="s">
        <v>15</v>
      </c>
      <c r="H92" s="19" t="s">
        <v>11</v>
      </c>
      <c r="I92" s="21" t="s">
        <v>16</v>
      </c>
      <c r="J92" s="19" t="s">
        <v>14</v>
      </c>
      <c r="K92" s="22" t="s">
        <v>17</v>
      </c>
      <c r="L92" s="19" t="s">
        <v>11</v>
      </c>
      <c r="M92" s="22" t="s">
        <v>18</v>
      </c>
      <c r="N92" s="19" t="s">
        <v>11</v>
      </c>
      <c r="O92" s="22" t="s">
        <v>19</v>
      </c>
      <c r="P92" s="19" t="s">
        <v>11</v>
      </c>
      <c r="Q92" s="22" t="s">
        <v>20</v>
      </c>
      <c r="R92" s="19" t="s">
        <v>14</v>
      </c>
      <c r="S92" s="23" t="s">
        <v>21</v>
      </c>
      <c r="T92" s="24" t="s">
        <v>70</v>
      </c>
      <c r="U92" s="25" t="s">
        <v>25</v>
      </c>
      <c r="V92" s="17" t="s">
        <v>24</v>
      </c>
    </row>
    <row r="93" ht="15.75" customHeight="1">
      <c r="A93" s="7">
        <v>92.0</v>
      </c>
      <c r="B93" s="8" t="s">
        <v>10</v>
      </c>
      <c r="C93" s="9" t="s">
        <v>11</v>
      </c>
      <c r="D93" s="8" t="s">
        <v>12</v>
      </c>
      <c r="E93" s="10" t="s">
        <v>13</v>
      </c>
      <c r="F93" s="9" t="s">
        <v>14</v>
      </c>
      <c r="G93" s="10" t="s">
        <v>15</v>
      </c>
      <c r="H93" s="9" t="s">
        <v>11</v>
      </c>
      <c r="I93" s="11" t="s">
        <v>16</v>
      </c>
      <c r="J93" s="9" t="s">
        <v>14</v>
      </c>
      <c r="K93" s="13" t="s">
        <v>17</v>
      </c>
      <c r="L93" s="9" t="s">
        <v>11</v>
      </c>
      <c r="M93" s="13" t="s">
        <v>18</v>
      </c>
      <c r="N93" s="9" t="s">
        <v>11</v>
      </c>
      <c r="O93" s="13" t="s">
        <v>19</v>
      </c>
      <c r="P93" s="9" t="s">
        <v>11</v>
      </c>
      <c r="Q93" s="13" t="s">
        <v>20</v>
      </c>
      <c r="R93" s="9" t="s">
        <v>14</v>
      </c>
      <c r="S93" s="14" t="s">
        <v>21</v>
      </c>
      <c r="T93" s="15" t="s">
        <v>71</v>
      </c>
      <c r="U93" s="16" t="s">
        <v>23</v>
      </c>
      <c r="V93" s="17" t="s">
        <v>24</v>
      </c>
    </row>
    <row r="94" ht="15.75" customHeight="1">
      <c r="A94" s="7">
        <v>93.0</v>
      </c>
      <c r="B94" s="18" t="s">
        <v>10</v>
      </c>
      <c r="C94" s="19" t="s">
        <v>11</v>
      </c>
      <c r="D94" s="18" t="s">
        <v>12</v>
      </c>
      <c r="E94" s="20" t="s">
        <v>13</v>
      </c>
      <c r="F94" s="19" t="s">
        <v>14</v>
      </c>
      <c r="G94" s="20" t="s">
        <v>15</v>
      </c>
      <c r="H94" s="19" t="s">
        <v>11</v>
      </c>
      <c r="I94" s="21" t="s">
        <v>16</v>
      </c>
      <c r="J94" s="19" t="s">
        <v>14</v>
      </c>
      <c r="K94" s="22" t="s">
        <v>17</v>
      </c>
      <c r="L94" s="19" t="s">
        <v>11</v>
      </c>
      <c r="M94" s="22" t="s">
        <v>18</v>
      </c>
      <c r="N94" s="19" t="s">
        <v>11</v>
      </c>
      <c r="O94" s="22" t="s">
        <v>19</v>
      </c>
      <c r="P94" s="19" t="s">
        <v>11</v>
      </c>
      <c r="Q94" s="22" t="s">
        <v>20</v>
      </c>
      <c r="R94" s="19" t="s">
        <v>14</v>
      </c>
      <c r="S94" s="23" t="s">
        <v>21</v>
      </c>
      <c r="T94" s="24" t="s">
        <v>71</v>
      </c>
      <c r="U94" s="25" t="s">
        <v>25</v>
      </c>
      <c r="V94" s="17" t="s">
        <v>24</v>
      </c>
    </row>
    <row r="95" ht="15.75" customHeight="1">
      <c r="A95" s="7">
        <v>94.0</v>
      </c>
      <c r="B95" s="8" t="s">
        <v>10</v>
      </c>
      <c r="C95" s="9" t="s">
        <v>11</v>
      </c>
      <c r="D95" s="8" t="s">
        <v>12</v>
      </c>
      <c r="E95" s="10" t="s">
        <v>13</v>
      </c>
      <c r="F95" s="9" t="s">
        <v>14</v>
      </c>
      <c r="G95" s="10" t="s">
        <v>15</v>
      </c>
      <c r="H95" s="9" t="s">
        <v>11</v>
      </c>
      <c r="I95" s="11" t="s">
        <v>16</v>
      </c>
      <c r="J95" s="9" t="s">
        <v>14</v>
      </c>
      <c r="K95" s="13" t="s">
        <v>17</v>
      </c>
      <c r="L95" s="9" t="s">
        <v>11</v>
      </c>
      <c r="M95" s="13" t="s">
        <v>18</v>
      </c>
      <c r="N95" s="9" t="s">
        <v>11</v>
      </c>
      <c r="O95" s="13" t="s">
        <v>19</v>
      </c>
      <c r="P95" s="9" t="s">
        <v>11</v>
      </c>
      <c r="Q95" s="13" t="s">
        <v>20</v>
      </c>
      <c r="R95" s="9" t="s">
        <v>14</v>
      </c>
      <c r="S95" s="14" t="s">
        <v>21</v>
      </c>
      <c r="T95" s="15" t="s">
        <v>72</v>
      </c>
      <c r="U95" s="16" t="s">
        <v>23</v>
      </c>
      <c r="V95" s="17" t="s">
        <v>24</v>
      </c>
    </row>
    <row r="96" ht="15.75" customHeight="1">
      <c r="A96" s="7">
        <v>95.0</v>
      </c>
      <c r="B96" s="18" t="s">
        <v>10</v>
      </c>
      <c r="C96" s="19" t="s">
        <v>11</v>
      </c>
      <c r="D96" s="18" t="s">
        <v>12</v>
      </c>
      <c r="E96" s="20" t="s">
        <v>13</v>
      </c>
      <c r="F96" s="19" t="s">
        <v>14</v>
      </c>
      <c r="G96" s="20" t="s">
        <v>15</v>
      </c>
      <c r="H96" s="19" t="s">
        <v>11</v>
      </c>
      <c r="I96" s="21" t="s">
        <v>16</v>
      </c>
      <c r="J96" s="19" t="s">
        <v>14</v>
      </c>
      <c r="K96" s="22" t="s">
        <v>17</v>
      </c>
      <c r="L96" s="19" t="s">
        <v>11</v>
      </c>
      <c r="M96" s="22" t="s">
        <v>18</v>
      </c>
      <c r="N96" s="19" t="s">
        <v>11</v>
      </c>
      <c r="O96" s="22" t="s">
        <v>19</v>
      </c>
      <c r="P96" s="19" t="s">
        <v>11</v>
      </c>
      <c r="Q96" s="22" t="s">
        <v>20</v>
      </c>
      <c r="R96" s="19" t="s">
        <v>14</v>
      </c>
      <c r="S96" s="23" t="s">
        <v>21</v>
      </c>
      <c r="T96" s="24" t="s">
        <v>72</v>
      </c>
      <c r="U96" s="25" t="s">
        <v>25</v>
      </c>
      <c r="V96" s="17" t="s">
        <v>24</v>
      </c>
    </row>
    <row r="97" ht="15.75" customHeight="1">
      <c r="A97" s="7">
        <v>96.0</v>
      </c>
      <c r="B97" s="8" t="s">
        <v>10</v>
      </c>
      <c r="C97" s="9" t="s">
        <v>11</v>
      </c>
      <c r="D97" s="8" t="s">
        <v>12</v>
      </c>
      <c r="E97" s="10" t="s">
        <v>13</v>
      </c>
      <c r="F97" s="9" t="s">
        <v>14</v>
      </c>
      <c r="G97" s="10" t="s">
        <v>15</v>
      </c>
      <c r="H97" s="9" t="s">
        <v>11</v>
      </c>
      <c r="I97" s="11" t="s">
        <v>16</v>
      </c>
      <c r="J97" s="9" t="s">
        <v>14</v>
      </c>
      <c r="K97" s="13" t="s">
        <v>17</v>
      </c>
      <c r="L97" s="9" t="s">
        <v>11</v>
      </c>
      <c r="M97" s="13" t="s">
        <v>18</v>
      </c>
      <c r="N97" s="9" t="s">
        <v>11</v>
      </c>
      <c r="O97" s="13" t="s">
        <v>19</v>
      </c>
      <c r="P97" s="9" t="s">
        <v>11</v>
      </c>
      <c r="Q97" s="13" t="s">
        <v>20</v>
      </c>
      <c r="R97" s="9" t="s">
        <v>14</v>
      </c>
      <c r="S97" s="14" t="s">
        <v>21</v>
      </c>
      <c r="T97" s="15" t="s">
        <v>73</v>
      </c>
      <c r="U97" s="16" t="s">
        <v>23</v>
      </c>
      <c r="V97" s="17" t="s">
        <v>24</v>
      </c>
    </row>
    <row r="98" ht="15.75" customHeight="1">
      <c r="A98" s="7">
        <v>97.0</v>
      </c>
      <c r="B98" s="18" t="s">
        <v>10</v>
      </c>
      <c r="C98" s="19" t="s">
        <v>11</v>
      </c>
      <c r="D98" s="18" t="s">
        <v>12</v>
      </c>
      <c r="E98" s="20" t="s">
        <v>13</v>
      </c>
      <c r="F98" s="19" t="s">
        <v>14</v>
      </c>
      <c r="G98" s="20" t="s">
        <v>15</v>
      </c>
      <c r="H98" s="19" t="s">
        <v>11</v>
      </c>
      <c r="I98" s="21" t="s">
        <v>16</v>
      </c>
      <c r="J98" s="19" t="s">
        <v>14</v>
      </c>
      <c r="K98" s="22" t="s">
        <v>17</v>
      </c>
      <c r="L98" s="19" t="s">
        <v>11</v>
      </c>
      <c r="M98" s="22" t="s">
        <v>18</v>
      </c>
      <c r="N98" s="19" t="s">
        <v>11</v>
      </c>
      <c r="O98" s="22" t="s">
        <v>19</v>
      </c>
      <c r="P98" s="19" t="s">
        <v>11</v>
      </c>
      <c r="Q98" s="22" t="s">
        <v>20</v>
      </c>
      <c r="R98" s="19" t="s">
        <v>14</v>
      </c>
      <c r="S98" s="23" t="s">
        <v>21</v>
      </c>
      <c r="T98" s="24" t="s">
        <v>73</v>
      </c>
      <c r="U98" s="25" t="s">
        <v>25</v>
      </c>
      <c r="V98" s="17" t="s">
        <v>24</v>
      </c>
    </row>
    <row r="99" ht="15.75" customHeight="1">
      <c r="A99" s="7">
        <v>98.0</v>
      </c>
      <c r="B99" s="8" t="s">
        <v>10</v>
      </c>
      <c r="C99" s="9" t="s">
        <v>11</v>
      </c>
      <c r="D99" s="8" t="s">
        <v>12</v>
      </c>
      <c r="E99" s="10" t="s">
        <v>13</v>
      </c>
      <c r="F99" s="9" t="s">
        <v>14</v>
      </c>
      <c r="G99" s="10" t="s">
        <v>15</v>
      </c>
      <c r="H99" s="9" t="s">
        <v>11</v>
      </c>
      <c r="I99" s="11" t="s">
        <v>16</v>
      </c>
      <c r="J99" s="9" t="s">
        <v>14</v>
      </c>
      <c r="K99" s="13" t="s">
        <v>17</v>
      </c>
      <c r="L99" s="9" t="s">
        <v>11</v>
      </c>
      <c r="M99" s="13" t="s">
        <v>18</v>
      </c>
      <c r="N99" s="9" t="s">
        <v>11</v>
      </c>
      <c r="O99" s="13" t="s">
        <v>19</v>
      </c>
      <c r="P99" s="9" t="s">
        <v>11</v>
      </c>
      <c r="Q99" s="13" t="s">
        <v>20</v>
      </c>
      <c r="R99" s="9" t="s">
        <v>14</v>
      </c>
      <c r="S99" s="14" t="s">
        <v>21</v>
      </c>
      <c r="T99" s="15" t="s">
        <v>74</v>
      </c>
      <c r="U99" s="16" t="s">
        <v>23</v>
      </c>
      <c r="V99" s="17" t="s">
        <v>24</v>
      </c>
    </row>
    <row r="100" ht="15.75" customHeight="1">
      <c r="A100" s="7">
        <v>99.0</v>
      </c>
      <c r="B100" s="18" t="s">
        <v>10</v>
      </c>
      <c r="C100" s="19" t="s">
        <v>11</v>
      </c>
      <c r="D100" s="18" t="s">
        <v>12</v>
      </c>
      <c r="E100" s="20" t="s">
        <v>13</v>
      </c>
      <c r="F100" s="19" t="s">
        <v>14</v>
      </c>
      <c r="G100" s="20" t="s">
        <v>15</v>
      </c>
      <c r="H100" s="19" t="s">
        <v>11</v>
      </c>
      <c r="I100" s="21" t="s">
        <v>16</v>
      </c>
      <c r="J100" s="19" t="s">
        <v>14</v>
      </c>
      <c r="K100" s="22" t="s">
        <v>17</v>
      </c>
      <c r="L100" s="19" t="s">
        <v>11</v>
      </c>
      <c r="M100" s="22" t="s">
        <v>18</v>
      </c>
      <c r="N100" s="19" t="s">
        <v>11</v>
      </c>
      <c r="O100" s="22" t="s">
        <v>19</v>
      </c>
      <c r="P100" s="19" t="s">
        <v>11</v>
      </c>
      <c r="Q100" s="22" t="s">
        <v>20</v>
      </c>
      <c r="R100" s="19" t="s">
        <v>14</v>
      </c>
      <c r="S100" s="23" t="s">
        <v>21</v>
      </c>
      <c r="T100" s="24" t="s">
        <v>74</v>
      </c>
      <c r="U100" s="25" t="s">
        <v>25</v>
      </c>
      <c r="V100" s="17" t="s">
        <v>24</v>
      </c>
    </row>
    <row r="101" ht="15.75" customHeight="1">
      <c r="A101" s="7">
        <v>100.0</v>
      </c>
      <c r="B101" s="8" t="s">
        <v>10</v>
      </c>
      <c r="C101" s="9" t="s">
        <v>11</v>
      </c>
      <c r="D101" s="8" t="s">
        <v>12</v>
      </c>
      <c r="E101" s="10" t="s">
        <v>13</v>
      </c>
      <c r="F101" s="9" t="s">
        <v>14</v>
      </c>
      <c r="G101" s="10" t="s">
        <v>15</v>
      </c>
      <c r="H101" s="9" t="s">
        <v>11</v>
      </c>
      <c r="I101" s="11" t="s">
        <v>16</v>
      </c>
      <c r="J101" s="9" t="s">
        <v>14</v>
      </c>
      <c r="K101" s="13" t="s">
        <v>17</v>
      </c>
      <c r="L101" s="9" t="s">
        <v>11</v>
      </c>
      <c r="M101" s="13" t="s">
        <v>18</v>
      </c>
      <c r="N101" s="9" t="s">
        <v>11</v>
      </c>
      <c r="O101" s="13" t="s">
        <v>19</v>
      </c>
      <c r="P101" s="9" t="s">
        <v>11</v>
      </c>
      <c r="Q101" s="13" t="s">
        <v>20</v>
      </c>
      <c r="R101" s="9" t="s">
        <v>14</v>
      </c>
      <c r="S101" s="14" t="s">
        <v>21</v>
      </c>
      <c r="T101" s="15" t="s">
        <v>75</v>
      </c>
      <c r="U101" s="16" t="s">
        <v>23</v>
      </c>
      <c r="V101" s="17" t="s">
        <v>24</v>
      </c>
    </row>
    <row r="102" ht="15.75" customHeight="1">
      <c r="A102" s="7">
        <v>101.0</v>
      </c>
      <c r="B102" s="18" t="s">
        <v>10</v>
      </c>
      <c r="C102" s="19" t="s">
        <v>11</v>
      </c>
      <c r="D102" s="18" t="s">
        <v>12</v>
      </c>
      <c r="E102" s="20" t="s">
        <v>13</v>
      </c>
      <c r="F102" s="19" t="s">
        <v>14</v>
      </c>
      <c r="G102" s="20" t="s">
        <v>15</v>
      </c>
      <c r="H102" s="19" t="s">
        <v>11</v>
      </c>
      <c r="I102" s="21" t="s">
        <v>16</v>
      </c>
      <c r="J102" s="19" t="s">
        <v>14</v>
      </c>
      <c r="K102" s="22" t="s">
        <v>17</v>
      </c>
      <c r="L102" s="19" t="s">
        <v>11</v>
      </c>
      <c r="M102" s="22" t="s">
        <v>18</v>
      </c>
      <c r="N102" s="19" t="s">
        <v>11</v>
      </c>
      <c r="O102" s="22" t="s">
        <v>19</v>
      </c>
      <c r="P102" s="19" t="s">
        <v>11</v>
      </c>
      <c r="Q102" s="22" t="s">
        <v>20</v>
      </c>
      <c r="R102" s="19" t="s">
        <v>14</v>
      </c>
      <c r="S102" s="23" t="s">
        <v>21</v>
      </c>
      <c r="T102" s="24" t="s">
        <v>75</v>
      </c>
      <c r="U102" s="25" t="s">
        <v>25</v>
      </c>
      <c r="V102" s="17" t="s">
        <v>24</v>
      </c>
    </row>
    <row r="103" ht="15.75" customHeight="1">
      <c r="A103" s="7">
        <v>102.0</v>
      </c>
      <c r="B103" s="8" t="s">
        <v>10</v>
      </c>
      <c r="C103" s="9" t="s">
        <v>11</v>
      </c>
      <c r="D103" s="8" t="s">
        <v>12</v>
      </c>
      <c r="E103" s="10" t="s">
        <v>13</v>
      </c>
      <c r="F103" s="9" t="s">
        <v>14</v>
      </c>
      <c r="G103" s="10" t="s">
        <v>15</v>
      </c>
      <c r="H103" s="9" t="s">
        <v>11</v>
      </c>
      <c r="I103" s="11" t="s">
        <v>16</v>
      </c>
      <c r="J103" s="9" t="s">
        <v>14</v>
      </c>
      <c r="K103" s="13" t="s">
        <v>17</v>
      </c>
      <c r="L103" s="9" t="s">
        <v>11</v>
      </c>
      <c r="M103" s="13" t="s">
        <v>18</v>
      </c>
      <c r="N103" s="9" t="s">
        <v>11</v>
      </c>
      <c r="O103" s="13" t="s">
        <v>19</v>
      </c>
      <c r="P103" s="9" t="s">
        <v>11</v>
      </c>
      <c r="Q103" s="13" t="s">
        <v>20</v>
      </c>
      <c r="R103" s="9" t="s">
        <v>14</v>
      </c>
      <c r="S103" s="14" t="s">
        <v>21</v>
      </c>
      <c r="T103" s="15" t="s">
        <v>76</v>
      </c>
      <c r="U103" s="16" t="s">
        <v>23</v>
      </c>
      <c r="V103" s="17" t="s">
        <v>24</v>
      </c>
    </row>
    <row r="104" ht="15.75" customHeight="1">
      <c r="A104" s="7">
        <v>103.0</v>
      </c>
      <c r="B104" s="18" t="s">
        <v>10</v>
      </c>
      <c r="C104" s="19" t="s">
        <v>11</v>
      </c>
      <c r="D104" s="18" t="s">
        <v>12</v>
      </c>
      <c r="E104" s="20" t="s">
        <v>13</v>
      </c>
      <c r="F104" s="19" t="s">
        <v>14</v>
      </c>
      <c r="G104" s="20" t="s">
        <v>15</v>
      </c>
      <c r="H104" s="19" t="s">
        <v>11</v>
      </c>
      <c r="I104" s="21" t="s">
        <v>16</v>
      </c>
      <c r="J104" s="19" t="s">
        <v>14</v>
      </c>
      <c r="K104" s="22" t="s">
        <v>17</v>
      </c>
      <c r="L104" s="19" t="s">
        <v>11</v>
      </c>
      <c r="M104" s="22" t="s">
        <v>18</v>
      </c>
      <c r="N104" s="19" t="s">
        <v>11</v>
      </c>
      <c r="O104" s="22" t="s">
        <v>19</v>
      </c>
      <c r="P104" s="19" t="s">
        <v>11</v>
      </c>
      <c r="Q104" s="22" t="s">
        <v>20</v>
      </c>
      <c r="R104" s="19" t="s">
        <v>14</v>
      </c>
      <c r="S104" s="23" t="s">
        <v>21</v>
      </c>
      <c r="T104" s="24" t="s">
        <v>76</v>
      </c>
      <c r="U104" s="25" t="s">
        <v>25</v>
      </c>
      <c r="V104" s="17" t="s">
        <v>24</v>
      </c>
    </row>
    <row r="105" ht="15.75" customHeight="1">
      <c r="A105" s="7">
        <v>104.0</v>
      </c>
      <c r="B105" s="8" t="s">
        <v>10</v>
      </c>
      <c r="C105" s="9" t="s">
        <v>11</v>
      </c>
      <c r="D105" s="8" t="s">
        <v>12</v>
      </c>
      <c r="E105" s="10" t="s">
        <v>13</v>
      </c>
      <c r="F105" s="9" t="s">
        <v>14</v>
      </c>
      <c r="G105" s="10" t="s">
        <v>15</v>
      </c>
      <c r="H105" s="9" t="s">
        <v>11</v>
      </c>
      <c r="I105" s="11" t="s">
        <v>16</v>
      </c>
      <c r="J105" s="9" t="s">
        <v>14</v>
      </c>
      <c r="K105" s="13" t="s">
        <v>17</v>
      </c>
      <c r="L105" s="9" t="s">
        <v>11</v>
      </c>
      <c r="M105" s="13" t="s">
        <v>18</v>
      </c>
      <c r="N105" s="9" t="s">
        <v>11</v>
      </c>
      <c r="O105" s="13" t="s">
        <v>19</v>
      </c>
      <c r="P105" s="9" t="s">
        <v>11</v>
      </c>
      <c r="Q105" s="13" t="s">
        <v>20</v>
      </c>
      <c r="R105" s="9" t="s">
        <v>14</v>
      </c>
      <c r="S105" s="14" t="s">
        <v>21</v>
      </c>
      <c r="T105" s="15" t="s">
        <v>77</v>
      </c>
      <c r="U105" s="16" t="s">
        <v>23</v>
      </c>
      <c r="V105" s="17" t="s">
        <v>24</v>
      </c>
    </row>
    <row r="106" ht="15.75" customHeight="1">
      <c r="A106" s="7">
        <v>105.0</v>
      </c>
      <c r="B106" s="18" t="s">
        <v>10</v>
      </c>
      <c r="C106" s="19" t="s">
        <v>11</v>
      </c>
      <c r="D106" s="18" t="s">
        <v>12</v>
      </c>
      <c r="E106" s="20" t="s">
        <v>13</v>
      </c>
      <c r="F106" s="19" t="s">
        <v>14</v>
      </c>
      <c r="G106" s="20" t="s">
        <v>15</v>
      </c>
      <c r="H106" s="19" t="s">
        <v>11</v>
      </c>
      <c r="I106" s="21" t="s">
        <v>16</v>
      </c>
      <c r="J106" s="19" t="s">
        <v>14</v>
      </c>
      <c r="K106" s="22" t="s">
        <v>17</v>
      </c>
      <c r="L106" s="19" t="s">
        <v>11</v>
      </c>
      <c r="M106" s="22" t="s">
        <v>18</v>
      </c>
      <c r="N106" s="19" t="s">
        <v>11</v>
      </c>
      <c r="O106" s="22" t="s">
        <v>19</v>
      </c>
      <c r="P106" s="19" t="s">
        <v>11</v>
      </c>
      <c r="Q106" s="22" t="s">
        <v>20</v>
      </c>
      <c r="R106" s="19" t="s">
        <v>14</v>
      </c>
      <c r="S106" s="23" t="s">
        <v>21</v>
      </c>
      <c r="T106" s="24" t="s">
        <v>77</v>
      </c>
      <c r="U106" s="25" t="s">
        <v>25</v>
      </c>
      <c r="V106" s="17" t="s">
        <v>24</v>
      </c>
    </row>
    <row r="107" ht="15.75" customHeight="1">
      <c r="A107" s="7">
        <v>106.0</v>
      </c>
      <c r="B107" s="8" t="s">
        <v>10</v>
      </c>
      <c r="C107" s="9" t="s">
        <v>11</v>
      </c>
      <c r="D107" s="8" t="s">
        <v>12</v>
      </c>
      <c r="E107" s="10" t="s">
        <v>13</v>
      </c>
      <c r="F107" s="9" t="s">
        <v>14</v>
      </c>
      <c r="G107" s="10" t="s">
        <v>15</v>
      </c>
      <c r="H107" s="9" t="s">
        <v>11</v>
      </c>
      <c r="I107" s="11" t="s">
        <v>16</v>
      </c>
      <c r="J107" s="9" t="s">
        <v>14</v>
      </c>
      <c r="K107" s="13" t="s">
        <v>17</v>
      </c>
      <c r="L107" s="9" t="s">
        <v>11</v>
      </c>
      <c r="M107" s="13" t="s">
        <v>18</v>
      </c>
      <c r="N107" s="9" t="s">
        <v>11</v>
      </c>
      <c r="O107" s="13" t="s">
        <v>19</v>
      </c>
      <c r="P107" s="9" t="s">
        <v>11</v>
      </c>
      <c r="Q107" s="13" t="s">
        <v>20</v>
      </c>
      <c r="R107" s="9" t="s">
        <v>14</v>
      </c>
      <c r="S107" s="14" t="s">
        <v>21</v>
      </c>
      <c r="T107" s="15" t="s">
        <v>78</v>
      </c>
      <c r="U107" s="16" t="s">
        <v>23</v>
      </c>
      <c r="V107" s="17" t="s">
        <v>24</v>
      </c>
    </row>
    <row r="108" ht="15.75" customHeight="1">
      <c r="A108" s="7">
        <v>107.0</v>
      </c>
      <c r="B108" s="18" t="s">
        <v>10</v>
      </c>
      <c r="C108" s="19" t="s">
        <v>11</v>
      </c>
      <c r="D108" s="18" t="s">
        <v>12</v>
      </c>
      <c r="E108" s="20" t="s">
        <v>13</v>
      </c>
      <c r="F108" s="19" t="s">
        <v>14</v>
      </c>
      <c r="G108" s="20" t="s">
        <v>15</v>
      </c>
      <c r="H108" s="19" t="s">
        <v>11</v>
      </c>
      <c r="I108" s="21" t="s">
        <v>16</v>
      </c>
      <c r="J108" s="19" t="s">
        <v>14</v>
      </c>
      <c r="K108" s="22" t="s">
        <v>17</v>
      </c>
      <c r="L108" s="19" t="s">
        <v>11</v>
      </c>
      <c r="M108" s="22" t="s">
        <v>18</v>
      </c>
      <c r="N108" s="19" t="s">
        <v>11</v>
      </c>
      <c r="O108" s="22" t="s">
        <v>19</v>
      </c>
      <c r="P108" s="19" t="s">
        <v>11</v>
      </c>
      <c r="Q108" s="22" t="s">
        <v>20</v>
      </c>
      <c r="R108" s="19" t="s">
        <v>14</v>
      </c>
      <c r="S108" s="23" t="s">
        <v>21</v>
      </c>
      <c r="T108" s="24" t="s">
        <v>78</v>
      </c>
      <c r="U108" s="25" t="s">
        <v>25</v>
      </c>
      <c r="V108" s="17" t="s">
        <v>24</v>
      </c>
    </row>
    <row r="109" ht="15.75" customHeight="1">
      <c r="A109" s="7">
        <v>108.0</v>
      </c>
      <c r="B109" s="8" t="s">
        <v>10</v>
      </c>
      <c r="C109" s="9" t="s">
        <v>11</v>
      </c>
      <c r="D109" s="8" t="s">
        <v>12</v>
      </c>
      <c r="E109" s="10" t="s">
        <v>13</v>
      </c>
      <c r="F109" s="9" t="s">
        <v>14</v>
      </c>
      <c r="G109" s="10" t="s">
        <v>15</v>
      </c>
      <c r="H109" s="9" t="s">
        <v>11</v>
      </c>
      <c r="I109" s="11" t="s">
        <v>16</v>
      </c>
      <c r="J109" s="9" t="s">
        <v>14</v>
      </c>
      <c r="K109" s="13" t="s">
        <v>17</v>
      </c>
      <c r="L109" s="9" t="s">
        <v>11</v>
      </c>
      <c r="M109" s="13" t="s">
        <v>18</v>
      </c>
      <c r="N109" s="9" t="s">
        <v>11</v>
      </c>
      <c r="O109" s="13" t="s">
        <v>19</v>
      </c>
      <c r="P109" s="9" t="s">
        <v>11</v>
      </c>
      <c r="Q109" s="13" t="s">
        <v>20</v>
      </c>
      <c r="R109" s="9" t="s">
        <v>14</v>
      </c>
      <c r="S109" s="14" t="s">
        <v>21</v>
      </c>
      <c r="T109" s="15" t="s">
        <v>79</v>
      </c>
      <c r="U109" s="16" t="s">
        <v>23</v>
      </c>
      <c r="V109" s="17" t="s">
        <v>24</v>
      </c>
    </row>
    <row r="110" ht="15.75" customHeight="1">
      <c r="A110" s="7">
        <v>109.0</v>
      </c>
      <c r="B110" s="18" t="s">
        <v>10</v>
      </c>
      <c r="C110" s="19" t="s">
        <v>11</v>
      </c>
      <c r="D110" s="18" t="s">
        <v>12</v>
      </c>
      <c r="E110" s="20" t="s">
        <v>13</v>
      </c>
      <c r="F110" s="19" t="s">
        <v>14</v>
      </c>
      <c r="G110" s="20" t="s">
        <v>15</v>
      </c>
      <c r="H110" s="19" t="s">
        <v>11</v>
      </c>
      <c r="I110" s="21" t="s">
        <v>16</v>
      </c>
      <c r="J110" s="19" t="s">
        <v>14</v>
      </c>
      <c r="K110" s="22" t="s">
        <v>17</v>
      </c>
      <c r="L110" s="19" t="s">
        <v>11</v>
      </c>
      <c r="M110" s="22" t="s">
        <v>18</v>
      </c>
      <c r="N110" s="19" t="s">
        <v>11</v>
      </c>
      <c r="O110" s="22" t="s">
        <v>19</v>
      </c>
      <c r="P110" s="19" t="s">
        <v>11</v>
      </c>
      <c r="Q110" s="22" t="s">
        <v>20</v>
      </c>
      <c r="R110" s="19" t="s">
        <v>14</v>
      </c>
      <c r="S110" s="23" t="s">
        <v>21</v>
      </c>
      <c r="T110" s="24" t="s">
        <v>79</v>
      </c>
      <c r="U110" s="25" t="s">
        <v>25</v>
      </c>
      <c r="V110" s="17" t="s">
        <v>24</v>
      </c>
    </row>
    <row r="111" ht="15.75" customHeight="1">
      <c r="A111" s="7">
        <v>110.0</v>
      </c>
      <c r="B111" s="8" t="s">
        <v>10</v>
      </c>
      <c r="C111" s="9" t="s">
        <v>11</v>
      </c>
      <c r="D111" s="8" t="s">
        <v>12</v>
      </c>
      <c r="E111" s="10" t="s">
        <v>13</v>
      </c>
      <c r="F111" s="9" t="s">
        <v>14</v>
      </c>
      <c r="G111" s="10" t="s">
        <v>15</v>
      </c>
      <c r="H111" s="9" t="s">
        <v>11</v>
      </c>
      <c r="I111" s="11" t="s">
        <v>16</v>
      </c>
      <c r="J111" s="9" t="s">
        <v>14</v>
      </c>
      <c r="K111" s="13" t="s">
        <v>17</v>
      </c>
      <c r="L111" s="9" t="s">
        <v>11</v>
      </c>
      <c r="M111" s="13" t="s">
        <v>18</v>
      </c>
      <c r="N111" s="9" t="s">
        <v>11</v>
      </c>
      <c r="O111" s="13" t="s">
        <v>19</v>
      </c>
      <c r="P111" s="9" t="s">
        <v>11</v>
      </c>
      <c r="Q111" s="13" t="s">
        <v>20</v>
      </c>
      <c r="R111" s="9" t="s">
        <v>14</v>
      </c>
      <c r="S111" s="14" t="s">
        <v>21</v>
      </c>
      <c r="T111" s="15" t="s">
        <v>80</v>
      </c>
      <c r="U111" s="16" t="s">
        <v>23</v>
      </c>
      <c r="V111" s="17" t="s">
        <v>24</v>
      </c>
    </row>
    <row r="112" ht="15.75" customHeight="1">
      <c r="A112" s="7">
        <v>111.0</v>
      </c>
      <c r="B112" s="18" t="s">
        <v>10</v>
      </c>
      <c r="C112" s="19" t="s">
        <v>11</v>
      </c>
      <c r="D112" s="18" t="s">
        <v>12</v>
      </c>
      <c r="E112" s="20" t="s">
        <v>13</v>
      </c>
      <c r="F112" s="19" t="s">
        <v>14</v>
      </c>
      <c r="G112" s="20" t="s">
        <v>15</v>
      </c>
      <c r="H112" s="19" t="s">
        <v>11</v>
      </c>
      <c r="I112" s="21" t="s">
        <v>16</v>
      </c>
      <c r="J112" s="19" t="s">
        <v>14</v>
      </c>
      <c r="K112" s="22" t="s">
        <v>17</v>
      </c>
      <c r="L112" s="19" t="s">
        <v>11</v>
      </c>
      <c r="M112" s="22" t="s">
        <v>18</v>
      </c>
      <c r="N112" s="19" t="s">
        <v>11</v>
      </c>
      <c r="O112" s="22" t="s">
        <v>19</v>
      </c>
      <c r="P112" s="19" t="s">
        <v>11</v>
      </c>
      <c r="Q112" s="22" t="s">
        <v>20</v>
      </c>
      <c r="R112" s="19" t="s">
        <v>14</v>
      </c>
      <c r="S112" s="23" t="s">
        <v>21</v>
      </c>
      <c r="T112" s="24" t="s">
        <v>80</v>
      </c>
      <c r="U112" s="25" t="s">
        <v>25</v>
      </c>
      <c r="V112" s="17" t="s">
        <v>24</v>
      </c>
    </row>
    <row r="113" ht="15.75" customHeight="1">
      <c r="A113" s="7">
        <v>112.0</v>
      </c>
      <c r="B113" s="8" t="s">
        <v>10</v>
      </c>
      <c r="C113" s="9" t="s">
        <v>11</v>
      </c>
      <c r="D113" s="8" t="s">
        <v>12</v>
      </c>
      <c r="E113" s="10" t="s">
        <v>13</v>
      </c>
      <c r="F113" s="9" t="s">
        <v>14</v>
      </c>
      <c r="G113" s="10" t="s">
        <v>15</v>
      </c>
      <c r="H113" s="9" t="s">
        <v>11</v>
      </c>
      <c r="I113" s="11" t="s">
        <v>16</v>
      </c>
      <c r="J113" s="9" t="s">
        <v>14</v>
      </c>
      <c r="K113" s="13" t="s">
        <v>17</v>
      </c>
      <c r="L113" s="9" t="s">
        <v>11</v>
      </c>
      <c r="M113" s="13" t="s">
        <v>18</v>
      </c>
      <c r="N113" s="9" t="s">
        <v>11</v>
      </c>
      <c r="O113" s="13" t="s">
        <v>19</v>
      </c>
      <c r="P113" s="9" t="s">
        <v>11</v>
      </c>
      <c r="Q113" s="13" t="s">
        <v>20</v>
      </c>
      <c r="R113" s="9" t="s">
        <v>14</v>
      </c>
      <c r="S113" s="14" t="s">
        <v>21</v>
      </c>
      <c r="T113" s="15" t="s">
        <v>81</v>
      </c>
      <c r="U113" s="16" t="s">
        <v>23</v>
      </c>
      <c r="V113" s="17" t="s">
        <v>24</v>
      </c>
    </row>
    <row r="114" ht="15.75" customHeight="1">
      <c r="A114" s="7">
        <v>113.0</v>
      </c>
      <c r="B114" s="18" t="s">
        <v>10</v>
      </c>
      <c r="C114" s="19" t="s">
        <v>11</v>
      </c>
      <c r="D114" s="18" t="s">
        <v>12</v>
      </c>
      <c r="E114" s="20" t="s">
        <v>13</v>
      </c>
      <c r="F114" s="19" t="s">
        <v>14</v>
      </c>
      <c r="G114" s="20" t="s">
        <v>15</v>
      </c>
      <c r="H114" s="19" t="s">
        <v>11</v>
      </c>
      <c r="I114" s="21" t="s">
        <v>16</v>
      </c>
      <c r="J114" s="19" t="s">
        <v>14</v>
      </c>
      <c r="K114" s="22" t="s">
        <v>17</v>
      </c>
      <c r="L114" s="19" t="s">
        <v>11</v>
      </c>
      <c r="M114" s="22" t="s">
        <v>18</v>
      </c>
      <c r="N114" s="19" t="s">
        <v>11</v>
      </c>
      <c r="O114" s="22" t="s">
        <v>19</v>
      </c>
      <c r="P114" s="19" t="s">
        <v>11</v>
      </c>
      <c r="Q114" s="22" t="s">
        <v>20</v>
      </c>
      <c r="R114" s="19" t="s">
        <v>14</v>
      </c>
      <c r="S114" s="23" t="s">
        <v>21</v>
      </c>
      <c r="T114" s="24" t="s">
        <v>81</v>
      </c>
      <c r="U114" s="25" t="s">
        <v>25</v>
      </c>
      <c r="V114" s="17" t="s">
        <v>24</v>
      </c>
    </row>
    <row r="115" ht="15.75" customHeight="1">
      <c r="A115" s="7">
        <v>114.0</v>
      </c>
      <c r="B115" s="8" t="s">
        <v>10</v>
      </c>
      <c r="C115" s="9" t="s">
        <v>11</v>
      </c>
      <c r="D115" s="8" t="s">
        <v>12</v>
      </c>
      <c r="E115" s="10" t="s">
        <v>13</v>
      </c>
      <c r="F115" s="9" t="s">
        <v>14</v>
      </c>
      <c r="G115" s="10" t="s">
        <v>15</v>
      </c>
      <c r="H115" s="9" t="s">
        <v>11</v>
      </c>
      <c r="I115" s="11" t="s">
        <v>16</v>
      </c>
      <c r="J115" s="9" t="s">
        <v>14</v>
      </c>
      <c r="K115" s="13" t="s">
        <v>17</v>
      </c>
      <c r="L115" s="9" t="s">
        <v>11</v>
      </c>
      <c r="M115" s="13" t="s">
        <v>18</v>
      </c>
      <c r="N115" s="9" t="s">
        <v>11</v>
      </c>
      <c r="O115" s="13" t="s">
        <v>19</v>
      </c>
      <c r="P115" s="9" t="s">
        <v>11</v>
      </c>
      <c r="Q115" s="13" t="s">
        <v>20</v>
      </c>
      <c r="R115" s="9" t="s">
        <v>14</v>
      </c>
      <c r="S115" s="14" t="s">
        <v>21</v>
      </c>
      <c r="T115" s="15" t="s">
        <v>82</v>
      </c>
      <c r="U115" s="16" t="s">
        <v>23</v>
      </c>
      <c r="V115" s="17" t="s">
        <v>24</v>
      </c>
    </row>
    <row r="116" ht="15.75" customHeight="1">
      <c r="A116" s="7">
        <v>115.0</v>
      </c>
      <c r="B116" s="18" t="s">
        <v>10</v>
      </c>
      <c r="C116" s="19" t="s">
        <v>11</v>
      </c>
      <c r="D116" s="18" t="s">
        <v>12</v>
      </c>
      <c r="E116" s="20" t="s">
        <v>13</v>
      </c>
      <c r="F116" s="19" t="s">
        <v>14</v>
      </c>
      <c r="G116" s="20" t="s">
        <v>15</v>
      </c>
      <c r="H116" s="19" t="s">
        <v>11</v>
      </c>
      <c r="I116" s="21" t="s">
        <v>16</v>
      </c>
      <c r="J116" s="19" t="s">
        <v>14</v>
      </c>
      <c r="K116" s="22" t="s">
        <v>17</v>
      </c>
      <c r="L116" s="19" t="s">
        <v>11</v>
      </c>
      <c r="M116" s="22" t="s">
        <v>18</v>
      </c>
      <c r="N116" s="19" t="s">
        <v>11</v>
      </c>
      <c r="O116" s="22" t="s">
        <v>19</v>
      </c>
      <c r="P116" s="19" t="s">
        <v>11</v>
      </c>
      <c r="Q116" s="22" t="s">
        <v>20</v>
      </c>
      <c r="R116" s="19" t="s">
        <v>14</v>
      </c>
      <c r="S116" s="23" t="s">
        <v>21</v>
      </c>
      <c r="T116" s="24" t="s">
        <v>82</v>
      </c>
      <c r="U116" s="25" t="s">
        <v>25</v>
      </c>
      <c r="V116" s="17" t="s">
        <v>24</v>
      </c>
    </row>
    <row r="117" ht="15.75" customHeight="1">
      <c r="A117" s="7">
        <v>116.0</v>
      </c>
      <c r="B117" s="8" t="s">
        <v>10</v>
      </c>
      <c r="C117" s="9" t="s">
        <v>11</v>
      </c>
      <c r="D117" s="8" t="s">
        <v>12</v>
      </c>
      <c r="E117" s="10" t="s">
        <v>13</v>
      </c>
      <c r="F117" s="9" t="s">
        <v>14</v>
      </c>
      <c r="G117" s="10" t="s">
        <v>15</v>
      </c>
      <c r="H117" s="9" t="s">
        <v>11</v>
      </c>
      <c r="I117" s="11" t="s">
        <v>16</v>
      </c>
      <c r="J117" s="9" t="s">
        <v>14</v>
      </c>
      <c r="K117" s="13" t="s">
        <v>17</v>
      </c>
      <c r="L117" s="9" t="s">
        <v>11</v>
      </c>
      <c r="M117" s="13" t="s">
        <v>18</v>
      </c>
      <c r="N117" s="9" t="s">
        <v>11</v>
      </c>
      <c r="O117" s="13" t="s">
        <v>19</v>
      </c>
      <c r="P117" s="9" t="s">
        <v>11</v>
      </c>
      <c r="Q117" s="13" t="s">
        <v>20</v>
      </c>
      <c r="R117" s="9" t="s">
        <v>14</v>
      </c>
      <c r="S117" s="14" t="s">
        <v>21</v>
      </c>
      <c r="T117" s="15" t="s">
        <v>83</v>
      </c>
      <c r="U117" s="16" t="s">
        <v>23</v>
      </c>
      <c r="V117" s="17" t="s">
        <v>24</v>
      </c>
    </row>
    <row r="118" ht="15.75" customHeight="1">
      <c r="A118" s="7">
        <v>117.0</v>
      </c>
      <c r="B118" s="18" t="s">
        <v>10</v>
      </c>
      <c r="C118" s="19" t="s">
        <v>11</v>
      </c>
      <c r="D118" s="18" t="s">
        <v>12</v>
      </c>
      <c r="E118" s="20" t="s">
        <v>13</v>
      </c>
      <c r="F118" s="19" t="s">
        <v>14</v>
      </c>
      <c r="G118" s="20" t="s">
        <v>15</v>
      </c>
      <c r="H118" s="19" t="s">
        <v>11</v>
      </c>
      <c r="I118" s="21" t="s">
        <v>16</v>
      </c>
      <c r="J118" s="19" t="s">
        <v>14</v>
      </c>
      <c r="K118" s="22" t="s">
        <v>17</v>
      </c>
      <c r="L118" s="19" t="s">
        <v>11</v>
      </c>
      <c r="M118" s="22" t="s">
        <v>18</v>
      </c>
      <c r="N118" s="19" t="s">
        <v>11</v>
      </c>
      <c r="O118" s="22" t="s">
        <v>19</v>
      </c>
      <c r="P118" s="19" t="s">
        <v>11</v>
      </c>
      <c r="Q118" s="22" t="s">
        <v>20</v>
      </c>
      <c r="R118" s="19" t="s">
        <v>14</v>
      </c>
      <c r="S118" s="23" t="s">
        <v>21</v>
      </c>
      <c r="T118" s="24" t="s">
        <v>83</v>
      </c>
      <c r="U118" s="25" t="s">
        <v>25</v>
      </c>
      <c r="V118" s="17" t="s">
        <v>24</v>
      </c>
    </row>
    <row r="119" ht="15.75" customHeight="1">
      <c r="A119" s="7">
        <v>118.0</v>
      </c>
      <c r="B119" s="8" t="s">
        <v>10</v>
      </c>
      <c r="C119" s="9" t="s">
        <v>11</v>
      </c>
      <c r="D119" s="8" t="s">
        <v>12</v>
      </c>
      <c r="E119" s="10" t="s">
        <v>13</v>
      </c>
      <c r="F119" s="9" t="s">
        <v>14</v>
      </c>
      <c r="G119" s="10" t="s">
        <v>15</v>
      </c>
      <c r="H119" s="9" t="s">
        <v>11</v>
      </c>
      <c r="I119" s="11" t="s">
        <v>16</v>
      </c>
      <c r="J119" s="9" t="s">
        <v>14</v>
      </c>
      <c r="K119" s="13" t="s">
        <v>17</v>
      </c>
      <c r="L119" s="9" t="s">
        <v>11</v>
      </c>
      <c r="M119" s="13" t="s">
        <v>18</v>
      </c>
      <c r="N119" s="9" t="s">
        <v>11</v>
      </c>
      <c r="O119" s="13" t="s">
        <v>19</v>
      </c>
      <c r="P119" s="9" t="s">
        <v>11</v>
      </c>
      <c r="Q119" s="13" t="s">
        <v>20</v>
      </c>
      <c r="R119" s="9" t="s">
        <v>14</v>
      </c>
      <c r="S119" s="14" t="s">
        <v>21</v>
      </c>
      <c r="T119" s="15" t="s">
        <v>84</v>
      </c>
      <c r="U119" s="16" t="s">
        <v>23</v>
      </c>
      <c r="V119" s="17" t="s">
        <v>24</v>
      </c>
    </row>
    <row r="120" ht="15.75" customHeight="1">
      <c r="A120" s="7">
        <v>119.0</v>
      </c>
      <c r="B120" s="18" t="s">
        <v>10</v>
      </c>
      <c r="C120" s="19" t="s">
        <v>11</v>
      </c>
      <c r="D120" s="18" t="s">
        <v>12</v>
      </c>
      <c r="E120" s="20" t="s">
        <v>13</v>
      </c>
      <c r="F120" s="19" t="s">
        <v>14</v>
      </c>
      <c r="G120" s="20" t="s">
        <v>15</v>
      </c>
      <c r="H120" s="19" t="s">
        <v>11</v>
      </c>
      <c r="I120" s="21" t="s">
        <v>16</v>
      </c>
      <c r="J120" s="19" t="s">
        <v>14</v>
      </c>
      <c r="K120" s="22" t="s">
        <v>17</v>
      </c>
      <c r="L120" s="19" t="s">
        <v>11</v>
      </c>
      <c r="M120" s="22" t="s">
        <v>18</v>
      </c>
      <c r="N120" s="19" t="s">
        <v>11</v>
      </c>
      <c r="O120" s="22" t="s">
        <v>19</v>
      </c>
      <c r="P120" s="19" t="s">
        <v>11</v>
      </c>
      <c r="Q120" s="22" t="s">
        <v>20</v>
      </c>
      <c r="R120" s="19" t="s">
        <v>14</v>
      </c>
      <c r="S120" s="23" t="s">
        <v>21</v>
      </c>
      <c r="T120" s="24" t="s">
        <v>84</v>
      </c>
      <c r="U120" s="25" t="s">
        <v>25</v>
      </c>
      <c r="V120" s="17" t="s">
        <v>24</v>
      </c>
    </row>
    <row r="121" ht="15.75" customHeight="1">
      <c r="A121" s="7">
        <v>120.0</v>
      </c>
      <c r="B121" s="8" t="s">
        <v>10</v>
      </c>
      <c r="C121" s="9" t="s">
        <v>11</v>
      </c>
      <c r="D121" s="8" t="s">
        <v>12</v>
      </c>
      <c r="E121" s="10" t="s">
        <v>13</v>
      </c>
      <c r="F121" s="9" t="s">
        <v>14</v>
      </c>
      <c r="G121" s="10" t="s">
        <v>15</v>
      </c>
      <c r="H121" s="9" t="s">
        <v>11</v>
      </c>
      <c r="I121" s="11" t="s">
        <v>16</v>
      </c>
      <c r="J121" s="9" t="s">
        <v>14</v>
      </c>
      <c r="K121" s="13" t="s">
        <v>17</v>
      </c>
      <c r="L121" s="9" t="s">
        <v>11</v>
      </c>
      <c r="M121" s="13" t="s">
        <v>18</v>
      </c>
      <c r="N121" s="9" t="s">
        <v>11</v>
      </c>
      <c r="O121" s="13" t="s">
        <v>19</v>
      </c>
      <c r="P121" s="9" t="s">
        <v>11</v>
      </c>
      <c r="Q121" s="13" t="s">
        <v>20</v>
      </c>
      <c r="R121" s="9" t="s">
        <v>14</v>
      </c>
      <c r="S121" s="14" t="s">
        <v>21</v>
      </c>
      <c r="T121" s="15" t="s">
        <v>85</v>
      </c>
      <c r="U121" s="16" t="s">
        <v>23</v>
      </c>
      <c r="V121" s="17" t="s">
        <v>24</v>
      </c>
    </row>
    <row r="122" ht="15.75" customHeight="1">
      <c r="A122" s="7">
        <v>121.0</v>
      </c>
      <c r="B122" s="18" t="s">
        <v>10</v>
      </c>
      <c r="C122" s="19" t="s">
        <v>11</v>
      </c>
      <c r="D122" s="18" t="s">
        <v>12</v>
      </c>
      <c r="E122" s="20" t="s">
        <v>13</v>
      </c>
      <c r="F122" s="19" t="s">
        <v>14</v>
      </c>
      <c r="G122" s="20" t="s">
        <v>15</v>
      </c>
      <c r="H122" s="19" t="s">
        <v>11</v>
      </c>
      <c r="I122" s="21" t="s">
        <v>16</v>
      </c>
      <c r="J122" s="19" t="s">
        <v>14</v>
      </c>
      <c r="K122" s="22" t="s">
        <v>17</v>
      </c>
      <c r="L122" s="19" t="s">
        <v>11</v>
      </c>
      <c r="M122" s="22" t="s">
        <v>18</v>
      </c>
      <c r="N122" s="19" t="s">
        <v>11</v>
      </c>
      <c r="O122" s="22" t="s">
        <v>19</v>
      </c>
      <c r="P122" s="19" t="s">
        <v>11</v>
      </c>
      <c r="Q122" s="22" t="s">
        <v>20</v>
      </c>
      <c r="R122" s="19" t="s">
        <v>14</v>
      </c>
      <c r="S122" s="23" t="s">
        <v>21</v>
      </c>
      <c r="T122" s="24" t="s">
        <v>85</v>
      </c>
      <c r="U122" s="25" t="s">
        <v>25</v>
      </c>
      <c r="V122" s="17" t="s">
        <v>24</v>
      </c>
    </row>
    <row r="123" ht="15.75" customHeight="1">
      <c r="A123" s="7">
        <v>122.0</v>
      </c>
      <c r="B123" s="8" t="s">
        <v>10</v>
      </c>
      <c r="C123" s="9" t="s">
        <v>11</v>
      </c>
      <c r="D123" s="8" t="s">
        <v>12</v>
      </c>
      <c r="E123" s="10" t="s">
        <v>13</v>
      </c>
      <c r="F123" s="9" t="s">
        <v>14</v>
      </c>
      <c r="G123" s="10" t="s">
        <v>15</v>
      </c>
      <c r="H123" s="9" t="s">
        <v>11</v>
      </c>
      <c r="I123" s="11" t="s">
        <v>16</v>
      </c>
      <c r="J123" s="9" t="s">
        <v>14</v>
      </c>
      <c r="K123" s="13" t="s">
        <v>17</v>
      </c>
      <c r="L123" s="9" t="s">
        <v>11</v>
      </c>
      <c r="M123" s="13" t="s">
        <v>18</v>
      </c>
      <c r="N123" s="9" t="s">
        <v>11</v>
      </c>
      <c r="O123" s="13" t="s">
        <v>19</v>
      </c>
      <c r="P123" s="9" t="s">
        <v>11</v>
      </c>
      <c r="Q123" s="13" t="s">
        <v>20</v>
      </c>
      <c r="R123" s="9" t="s">
        <v>14</v>
      </c>
      <c r="S123" s="14" t="s">
        <v>21</v>
      </c>
      <c r="T123" s="15" t="s">
        <v>86</v>
      </c>
      <c r="U123" s="16" t="s">
        <v>23</v>
      </c>
      <c r="V123" s="17" t="s">
        <v>24</v>
      </c>
    </row>
    <row r="124" ht="15.75" customHeight="1">
      <c r="A124" s="7">
        <v>123.0</v>
      </c>
      <c r="B124" s="18" t="s">
        <v>10</v>
      </c>
      <c r="C124" s="19" t="s">
        <v>11</v>
      </c>
      <c r="D124" s="18" t="s">
        <v>12</v>
      </c>
      <c r="E124" s="20" t="s">
        <v>13</v>
      </c>
      <c r="F124" s="19" t="s">
        <v>14</v>
      </c>
      <c r="G124" s="20" t="s">
        <v>15</v>
      </c>
      <c r="H124" s="19" t="s">
        <v>11</v>
      </c>
      <c r="I124" s="21" t="s">
        <v>16</v>
      </c>
      <c r="J124" s="19" t="s">
        <v>14</v>
      </c>
      <c r="K124" s="22" t="s">
        <v>17</v>
      </c>
      <c r="L124" s="19" t="s">
        <v>11</v>
      </c>
      <c r="M124" s="22" t="s">
        <v>18</v>
      </c>
      <c r="N124" s="19" t="s">
        <v>11</v>
      </c>
      <c r="O124" s="22" t="s">
        <v>19</v>
      </c>
      <c r="P124" s="19" t="s">
        <v>11</v>
      </c>
      <c r="Q124" s="22" t="s">
        <v>20</v>
      </c>
      <c r="R124" s="19" t="s">
        <v>14</v>
      </c>
      <c r="S124" s="23" t="s">
        <v>21</v>
      </c>
      <c r="T124" s="24" t="s">
        <v>86</v>
      </c>
      <c r="U124" s="25" t="s">
        <v>25</v>
      </c>
      <c r="V124" s="17" t="s">
        <v>24</v>
      </c>
    </row>
    <row r="125" ht="15.75" customHeight="1">
      <c r="A125" s="7">
        <v>124.0</v>
      </c>
      <c r="B125" s="8" t="s">
        <v>10</v>
      </c>
      <c r="C125" s="9" t="s">
        <v>11</v>
      </c>
      <c r="D125" s="8" t="s">
        <v>12</v>
      </c>
      <c r="E125" s="10" t="s">
        <v>13</v>
      </c>
      <c r="F125" s="9" t="s">
        <v>14</v>
      </c>
      <c r="G125" s="10" t="s">
        <v>15</v>
      </c>
      <c r="H125" s="9" t="s">
        <v>11</v>
      </c>
      <c r="I125" s="11" t="s">
        <v>16</v>
      </c>
      <c r="J125" s="9" t="s">
        <v>14</v>
      </c>
      <c r="K125" s="13" t="s">
        <v>17</v>
      </c>
      <c r="L125" s="9" t="s">
        <v>11</v>
      </c>
      <c r="M125" s="13" t="s">
        <v>18</v>
      </c>
      <c r="N125" s="9" t="s">
        <v>11</v>
      </c>
      <c r="O125" s="13" t="s">
        <v>19</v>
      </c>
      <c r="P125" s="9" t="s">
        <v>11</v>
      </c>
      <c r="Q125" s="13" t="s">
        <v>20</v>
      </c>
      <c r="R125" s="9" t="s">
        <v>14</v>
      </c>
      <c r="S125" s="14" t="s">
        <v>21</v>
      </c>
      <c r="T125" s="15" t="s">
        <v>87</v>
      </c>
      <c r="U125" s="16" t="s">
        <v>23</v>
      </c>
      <c r="V125" s="17" t="s">
        <v>24</v>
      </c>
    </row>
    <row r="126" ht="15.75" customHeight="1">
      <c r="A126" s="7">
        <v>125.0</v>
      </c>
      <c r="B126" s="18" t="s">
        <v>10</v>
      </c>
      <c r="C126" s="19" t="s">
        <v>11</v>
      </c>
      <c r="D126" s="18" t="s">
        <v>12</v>
      </c>
      <c r="E126" s="20" t="s">
        <v>13</v>
      </c>
      <c r="F126" s="19" t="s">
        <v>14</v>
      </c>
      <c r="G126" s="20" t="s">
        <v>15</v>
      </c>
      <c r="H126" s="19" t="s">
        <v>11</v>
      </c>
      <c r="I126" s="21" t="s">
        <v>16</v>
      </c>
      <c r="J126" s="19" t="s">
        <v>14</v>
      </c>
      <c r="K126" s="22" t="s">
        <v>17</v>
      </c>
      <c r="L126" s="19" t="s">
        <v>11</v>
      </c>
      <c r="M126" s="22" t="s">
        <v>18</v>
      </c>
      <c r="N126" s="19" t="s">
        <v>11</v>
      </c>
      <c r="O126" s="22" t="s">
        <v>19</v>
      </c>
      <c r="P126" s="19" t="s">
        <v>11</v>
      </c>
      <c r="Q126" s="22" t="s">
        <v>20</v>
      </c>
      <c r="R126" s="19" t="s">
        <v>14</v>
      </c>
      <c r="S126" s="23" t="s">
        <v>21</v>
      </c>
      <c r="T126" s="24" t="s">
        <v>87</v>
      </c>
      <c r="U126" s="25" t="s">
        <v>25</v>
      </c>
      <c r="V126" s="17" t="s">
        <v>24</v>
      </c>
    </row>
    <row r="127" ht="15.75" customHeight="1">
      <c r="A127" s="7">
        <v>126.0</v>
      </c>
      <c r="B127" s="8" t="s">
        <v>10</v>
      </c>
      <c r="C127" s="9" t="s">
        <v>11</v>
      </c>
      <c r="D127" s="8" t="s">
        <v>12</v>
      </c>
      <c r="E127" s="10" t="s">
        <v>13</v>
      </c>
      <c r="F127" s="9" t="s">
        <v>14</v>
      </c>
      <c r="G127" s="10" t="s">
        <v>15</v>
      </c>
      <c r="H127" s="9" t="s">
        <v>11</v>
      </c>
      <c r="I127" s="11" t="s">
        <v>16</v>
      </c>
      <c r="J127" s="9" t="s">
        <v>14</v>
      </c>
      <c r="K127" s="13" t="s">
        <v>17</v>
      </c>
      <c r="L127" s="9" t="s">
        <v>11</v>
      </c>
      <c r="M127" s="13" t="s">
        <v>18</v>
      </c>
      <c r="N127" s="9" t="s">
        <v>11</v>
      </c>
      <c r="O127" s="13" t="s">
        <v>19</v>
      </c>
      <c r="P127" s="9" t="s">
        <v>11</v>
      </c>
      <c r="Q127" s="13" t="s">
        <v>20</v>
      </c>
      <c r="R127" s="9" t="s">
        <v>14</v>
      </c>
      <c r="S127" s="14" t="s">
        <v>21</v>
      </c>
      <c r="T127" s="15" t="s">
        <v>88</v>
      </c>
      <c r="U127" s="16" t="s">
        <v>23</v>
      </c>
      <c r="V127" s="17" t="s">
        <v>24</v>
      </c>
    </row>
    <row r="128" ht="15.75" customHeight="1">
      <c r="A128" s="7">
        <v>127.0</v>
      </c>
      <c r="B128" s="18" t="s">
        <v>10</v>
      </c>
      <c r="C128" s="19" t="s">
        <v>11</v>
      </c>
      <c r="D128" s="18" t="s">
        <v>12</v>
      </c>
      <c r="E128" s="20" t="s">
        <v>13</v>
      </c>
      <c r="F128" s="19" t="s">
        <v>14</v>
      </c>
      <c r="G128" s="20" t="s">
        <v>15</v>
      </c>
      <c r="H128" s="19" t="s">
        <v>11</v>
      </c>
      <c r="I128" s="21" t="s">
        <v>16</v>
      </c>
      <c r="J128" s="19" t="s">
        <v>14</v>
      </c>
      <c r="K128" s="22" t="s">
        <v>17</v>
      </c>
      <c r="L128" s="19" t="s">
        <v>11</v>
      </c>
      <c r="M128" s="22" t="s">
        <v>18</v>
      </c>
      <c r="N128" s="19" t="s">
        <v>11</v>
      </c>
      <c r="O128" s="22" t="s">
        <v>19</v>
      </c>
      <c r="P128" s="19" t="s">
        <v>11</v>
      </c>
      <c r="Q128" s="22" t="s">
        <v>20</v>
      </c>
      <c r="R128" s="19" t="s">
        <v>14</v>
      </c>
      <c r="S128" s="23" t="s">
        <v>21</v>
      </c>
      <c r="T128" s="24" t="s">
        <v>88</v>
      </c>
      <c r="U128" s="25" t="s">
        <v>25</v>
      </c>
      <c r="V128" s="17" t="s">
        <v>24</v>
      </c>
    </row>
    <row r="129" ht="15.75" customHeight="1">
      <c r="A129" s="7">
        <v>128.0</v>
      </c>
      <c r="B129" s="8" t="s">
        <v>10</v>
      </c>
      <c r="C129" s="9" t="s">
        <v>11</v>
      </c>
      <c r="D129" s="8" t="s">
        <v>12</v>
      </c>
      <c r="E129" s="10" t="s">
        <v>13</v>
      </c>
      <c r="F129" s="9" t="s">
        <v>14</v>
      </c>
      <c r="G129" s="10" t="s">
        <v>15</v>
      </c>
      <c r="H129" s="9" t="s">
        <v>11</v>
      </c>
      <c r="I129" s="11" t="s">
        <v>16</v>
      </c>
      <c r="J129" s="9" t="s">
        <v>14</v>
      </c>
      <c r="K129" s="13" t="s">
        <v>17</v>
      </c>
      <c r="L129" s="9" t="s">
        <v>11</v>
      </c>
      <c r="M129" s="13" t="s">
        <v>18</v>
      </c>
      <c r="N129" s="9" t="s">
        <v>11</v>
      </c>
      <c r="O129" s="13" t="s">
        <v>19</v>
      </c>
      <c r="P129" s="9" t="s">
        <v>11</v>
      </c>
      <c r="Q129" s="13" t="s">
        <v>20</v>
      </c>
      <c r="R129" s="9" t="s">
        <v>14</v>
      </c>
      <c r="S129" s="14" t="s">
        <v>21</v>
      </c>
      <c r="T129" s="15" t="s">
        <v>89</v>
      </c>
      <c r="U129" s="16" t="s">
        <v>23</v>
      </c>
      <c r="V129" s="17" t="s">
        <v>24</v>
      </c>
    </row>
    <row r="130" ht="15.75" customHeight="1">
      <c r="A130" s="7">
        <v>129.0</v>
      </c>
      <c r="B130" s="18" t="s">
        <v>10</v>
      </c>
      <c r="C130" s="19" t="s">
        <v>11</v>
      </c>
      <c r="D130" s="18" t="s">
        <v>12</v>
      </c>
      <c r="E130" s="20" t="s">
        <v>13</v>
      </c>
      <c r="F130" s="19" t="s">
        <v>14</v>
      </c>
      <c r="G130" s="20" t="s">
        <v>15</v>
      </c>
      <c r="H130" s="19" t="s">
        <v>11</v>
      </c>
      <c r="I130" s="21" t="s">
        <v>16</v>
      </c>
      <c r="J130" s="19" t="s">
        <v>14</v>
      </c>
      <c r="K130" s="22" t="s">
        <v>17</v>
      </c>
      <c r="L130" s="19" t="s">
        <v>11</v>
      </c>
      <c r="M130" s="22" t="s">
        <v>18</v>
      </c>
      <c r="N130" s="19" t="s">
        <v>11</v>
      </c>
      <c r="O130" s="22" t="s">
        <v>19</v>
      </c>
      <c r="P130" s="19" t="s">
        <v>11</v>
      </c>
      <c r="Q130" s="22" t="s">
        <v>20</v>
      </c>
      <c r="R130" s="19" t="s">
        <v>14</v>
      </c>
      <c r="S130" s="23" t="s">
        <v>21</v>
      </c>
      <c r="T130" s="24" t="s">
        <v>89</v>
      </c>
      <c r="U130" s="25" t="s">
        <v>25</v>
      </c>
      <c r="V130" s="17" t="s">
        <v>24</v>
      </c>
    </row>
    <row r="131" ht="15.75" customHeight="1">
      <c r="A131" s="7">
        <v>130.0</v>
      </c>
      <c r="B131" s="8" t="s">
        <v>10</v>
      </c>
      <c r="C131" s="9" t="s">
        <v>11</v>
      </c>
      <c r="D131" s="8" t="s">
        <v>12</v>
      </c>
      <c r="E131" s="10" t="s">
        <v>13</v>
      </c>
      <c r="F131" s="9" t="s">
        <v>14</v>
      </c>
      <c r="G131" s="10" t="s">
        <v>15</v>
      </c>
      <c r="H131" s="9" t="s">
        <v>11</v>
      </c>
      <c r="I131" s="11" t="s">
        <v>16</v>
      </c>
      <c r="J131" s="9" t="s">
        <v>14</v>
      </c>
      <c r="K131" s="13" t="s">
        <v>17</v>
      </c>
      <c r="L131" s="9" t="s">
        <v>11</v>
      </c>
      <c r="M131" s="13" t="s">
        <v>18</v>
      </c>
      <c r="N131" s="9" t="s">
        <v>11</v>
      </c>
      <c r="O131" s="13" t="s">
        <v>19</v>
      </c>
      <c r="P131" s="9" t="s">
        <v>11</v>
      </c>
      <c r="Q131" s="13" t="s">
        <v>20</v>
      </c>
      <c r="R131" s="9" t="s">
        <v>14</v>
      </c>
      <c r="S131" s="14" t="s">
        <v>21</v>
      </c>
      <c r="T131" s="15" t="s">
        <v>90</v>
      </c>
      <c r="U131" s="16" t="s">
        <v>23</v>
      </c>
      <c r="V131" s="17" t="s">
        <v>24</v>
      </c>
    </row>
    <row r="132" ht="15.75" customHeight="1">
      <c r="A132" s="7">
        <v>131.0</v>
      </c>
      <c r="B132" s="18" t="s">
        <v>10</v>
      </c>
      <c r="C132" s="19" t="s">
        <v>11</v>
      </c>
      <c r="D132" s="18" t="s">
        <v>12</v>
      </c>
      <c r="E132" s="20" t="s">
        <v>13</v>
      </c>
      <c r="F132" s="19" t="s">
        <v>14</v>
      </c>
      <c r="G132" s="20" t="s">
        <v>15</v>
      </c>
      <c r="H132" s="19" t="s">
        <v>11</v>
      </c>
      <c r="I132" s="21" t="s">
        <v>16</v>
      </c>
      <c r="J132" s="19" t="s">
        <v>14</v>
      </c>
      <c r="K132" s="22" t="s">
        <v>17</v>
      </c>
      <c r="L132" s="19" t="s">
        <v>11</v>
      </c>
      <c r="M132" s="22" t="s">
        <v>18</v>
      </c>
      <c r="N132" s="19" t="s">
        <v>11</v>
      </c>
      <c r="O132" s="22" t="s">
        <v>19</v>
      </c>
      <c r="P132" s="19" t="s">
        <v>11</v>
      </c>
      <c r="Q132" s="22" t="s">
        <v>20</v>
      </c>
      <c r="R132" s="19" t="s">
        <v>14</v>
      </c>
      <c r="S132" s="23" t="s">
        <v>21</v>
      </c>
      <c r="T132" s="29" t="s">
        <v>90</v>
      </c>
      <c r="U132" s="25" t="s">
        <v>25</v>
      </c>
      <c r="V132" s="17" t="s">
        <v>24</v>
      </c>
    </row>
    <row r="133" ht="15.75" customHeight="1">
      <c r="A133" s="7">
        <v>132.0</v>
      </c>
      <c r="B133" s="8" t="s">
        <v>10</v>
      </c>
      <c r="C133" s="9" t="s">
        <v>11</v>
      </c>
      <c r="D133" s="8" t="s">
        <v>12</v>
      </c>
      <c r="E133" s="10" t="s">
        <v>13</v>
      </c>
      <c r="F133" s="9" t="s">
        <v>14</v>
      </c>
      <c r="G133" s="10" t="s">
        <v>15</v>
      </c>
      <c r="H133" s="9" t="s">
        <v>11</v>
      </c>
      <c r="I133" s="11" t="s">
        <v>16</v>
      </c>
      <c r="J133" s="9" t="s">
        <v>14</v>
      </c>
      <c r="K133" s="13" t="s">
        <v>17</v>
      </c>
      <c r="L133" s="9" t="s">
        <v>11</v>
      </c>
      <c r="M133" s="13" t="s">
        <v>18</v>
      </c>
      <c r="N133" s="9" t="s">
        <v>11</v>
      </c>
      <c r="O133" s="13" t="s">
        <v>19</v>
      </c>
      <c r="P133" s="9" t="s">
        <v>11</v>
      </c>
      <c r="Q133" s="13" t="s">
        <v>20</v>
      </c>
      <c r="R133" s="9" t="s">
        <v>14</v>
      </c>
      <c r="S133" s="14" t="s">
        <v>21</v>
      </c>
      <c r="T133" s="15" t="s">
        <v>91</v>
      </c>
      <c r="U133" s="16" t="s">
        <v>23</v>
      </c>
      <c r="V133" s="17" t="s">
        <v>24</v>
      </c>
    </row>
    <row r="134" ht="15.75" customHeight="1">
      <c r="A134" s="7">
        <v>133.0</v>
      </c>
      <c r="B134" s="18" t="s">
        <v>10</v>
      </c>
      <c r="C134" s="19" t="s">
        <v>11</v>
      </c>
      <c r="D134" s="18" t="s">
        <v>12</v>
      </c>
      <c r="E134" s="20" t="s">
        <v>13</v>
      </c>
      <c r="F134" s="19" t="s">
        <v>14</v>
      </c>
      <c r="G134" s="20" t="s">
        <v>15</v>
      </c>
      <c r="H134" s="19" t="s">
        <v>11</v>
      </c>
      <c r="I134" s="21" t="s">
        <v>16</v>
      </c>
      <c r="J134" s="19" t="s">
        <v>14</v>
      </c>
      <c r="K134" s="22" t="s">
        <v>17</v>
      </c>
      <c r="L134" s="19" t="s">
        <v>11</v>
      </c>
      <c r="M134" s="22" t="s">
        <v>18</v>
      </c>
      <c r="N134" s="19" t="s">
        <v>11</v>
      </c>
      <c r="O134" s="22" t="s">
        <v>19</v>
      </c>
      <c r="P134" s="19" t="s">
        <v>11</v>
      </c>
      <c r="Q134" s="22" t="s">
        <v>20</v>
      </c>
      <c r="R134" s="19" t="s">
        <v>14</v>
      </c>
      <c r="S134" s="23" t="s">
        <v>21</v>
      </c>
      <c r="T134" s="24" t="s">
        <v>91</v>
      </c>
      <c r="U134" s="25" t="s">
        <v>25</v>
      </c>
      <c r="V134" s="17" t="s">
        <v>24</v>
      </c>
    </row>
    <row r="135" ht="15.75" customHeight="1">
      <c r="A135" s="7">
        <v>134.0</v>
      </c>
      <c r="B135" s="8" t="s">
        <v>10</v>
      </c>
      <c r="C135" s="9" t="s">
        <v>11</v>
      </c>
      <c r="D135" s="8" t="s">
        <v>12</v>
      </c>
      <c r="E135" s="10" t="s">
        <v>13</v>
      </c>
      <c r="F135" s="9" t="s">
        <v>14</v>
      </c>
      <c r="G135" s="10" t="s">
        <v>15</v>
      </c>
      <c r="H135" s="9" t="s">
        <v>11</v>
      </c>
      <c r="I135" s="11" t="s">
        <v>16</v>
      </c>
      <c r="J135" s="9" t="s">
        <v>14</v>
      </c>
      <c r="K135" s="13" t="s">
        <v>17</v>
      </c>
      <c r="L135" s="9" t="s">
        <v>11</v>
      </c>
      <c r="M135" s="13" t="s">
        <v>18</v>
      </c>
      <c r="N135" s="9" t="s">
        <v>11</v>
      </c>
      <c r="O135" s="13" t="s">
        <v>19</v>
      </c>
      <c r="P135" s="9" t="s">
        <v>11</v>
      </c>
      <c r="Q135" s="13" t="s">
        <v>20</v>
      </c>
      <c r="R135" s="9" t="s">
        <v>14</v>
      </c>
      <c r="S135" s="14" t="s">
        <v>21</v>
      </c>
      <c r="T135" s="15" t="s">
        <v>92</v>
      </c>
      <c r="U135" s="16" t="s">
        <v>23</v>
      </c>
      <c r="V135" s="17" t="s">
        <v>24</v>
      </c>
    </row>
    <row r="136" ht="15.75" customHeight="1">
      <c r="A136" s="7">
        <v>135.0</v>
      </c>
      <c r="B136" s="18" t="s">
        <v>10</v>
      </c>
      <c r="C136" s="19" t="s">
        <v>11</v>
      </c>
      <c r="D136" s="18" t="s">
        <v>12</v>
      </c>
      <c r="E136" s="20" t="s">
        <v>13</v>
      </c>
      <c r="F136" s="19" t="s">
        <v>14</v>
      </c>
      <c r="G136" s="20" t="s">
        <v>15</v>
      </c>
      <c r="H136" s="19" t="s">
        <v>11</v>
      </c>
      <c r="I136" s="21" t="s">
        <v>16</v>
      </c>
      <c r="J136" s="19" t="s">
        <v>14</v>
      </c>
      <c r="K136" s="22" t="s">
        <v>17</v>
      </c>
      <c r="L136" s="19" t="s">
        <v>11</v>
      </c>
      <c r="M136" s="22" t="s">
        <v>18</v>
      </c>
      <c r="N136" s="19" t="s">
        <v>11</v>
      </c>
      <c r="O136" s="22" t="s">
        <v>19</v>
      </c>
      <c r="P136" s="19" t="s">
        <v>11</v>
      </c>
      <c r="Q136" s="22" t="s">
        <v>20</v>
      </c>
      <c r="R136" s="19" t="s">
        <v>14</v>
      </c>
      <c r="S136" s="23" t="s">
        <v>21</v>
      </c>
      <c r="T136" s="24" t="s">
        <v>92</v>
      </c>
      <c r="U136" s="25" t="s">
        <v>25</v>
      </c>
      <c r="V136" s="17" t="s">
        <v>24</v>
      </c>
    </row>
    <row r="137" ht="15.75" customHeight="1">
      <c r="A137" s="7">
        <v>136.0</v>
      </c>
      <c r="B137" s="8" t="s">
        <v>10</v>
      </c>
      <c r="C137" s="9" t="s">
        <v>11</v>
      </c>
      <c r="D137" s="8" t="s">
        <v>12</v>
      </c>
      <c r="E137" s="10" t="s">
        <v>13</v>
      </c>
      <c r="F137" s="9" t="s">
        <v>14</v>
      </c>
      <c r="G137" s="10" t="s">
        <v>15</v>
      </c>
      <c r="H137" s="9" t="s">
        <v>11</v>
      </c>
      <c r="I137" s="11" t="s">
        <v>16</v>
      </c>
      <c r="J137" s="9" t="s">
        <v>14</v>
      </c>
      <c r="K137" s="13" t="s">
        <v>17</v>
      </c>
      <c r="L137" s="9" t="s">
        <v>11</v>
      </c>
      <c r="M137" s="13" t="s">
        <v>18</v>
      </c>
      <c r="N137" s="9" t="s">
        <v>11</v>
      </c>
      <c r="O137" s="13" t="s">
        <v>19</v>
      </c>
      <c r="P137" s="9" t="s">
        <v>11</v>
      </c>
      <c r="Q137" s="13" t="s">
        <v>20</v>
      </c>
      <c r="R137" s="9" t="s">
        <v>14</v>
      </c>
      <c r="S137" s="14" t="s">
        <v>21</v>
      </c>
      <c r="T137" s="15" t="s">
        <v>93</v>
      </c>
      <c r="U137" s="16" t="s">
        <v>23</v>
      </c>
      <c r="V137" s="17" t="s">
        <v>24</v>
      </c>
    </row>
    <row r="138" ht="15.75" customHeight="1">
      <c r="A138" s="7">
        <v>137.0</v>
      </c>
      <c r="B138" s="18" t="s">
        <v>10</v>
      </c>
      <c r="C138" s="19" t="s">
        <v>11</v>
      </c>
      <c r="D138" s="18" t="s">
        <v>12</v>
      </c>
      <c r="E138" s="20" t="s">
        <v>13</v>
      </c>
      <c r="F138" s="19" t="s">
        <v>14</v>
      </c>
      <c r="G138" s="20" t="s">
        <v>15</v>
      </c>
      <c r="H138" s="19" t="s">
        <v>11</v>
      </c>
      <c r="I138" s="21" t="s">
        <v>16</v>
      </c>
      <c r="J138" s="19" t="s">
        <v>14</v>
      </c>
      <c r="K138" s="22" t="s">
        <v>17</v>
      </c>
      <c r="L138" s="19" t="s">
        <v>11</v>
      </c>
      <c r="M138" s="22" t="s">
        <v>18</v>
      </c>
      <c r="N138" s="19" t="s">
        <v>11</v>
      </c>
      <c r="O138" s="22" t="s">
        <v>19</v>
      </c>
      <c r="P138" s="19" t="s">
        <v>11</v>
      </c>
      <c r="Q138" s="22" t="s">
        <v>20</v>
      </c>
      <c r="R138" s="19" t="s">
        <v>14</v>
      </c>
      <c r="S138" s="23" t="s">
        <v>21</v>
      </c>
      <c r="T138" s="24" t="s">
        <v>93</v>
      </c>
      <c r="U138" s="25" t="s">
        <v>25</v>
      </c>
      <c r="V138" s="17" t="s">
        <v>24</v>
      </c>
    </row>
    <row r="139" ht="15.75" customHeight="1">
      <c r="A139" s="7">
        <v>138.0</v>
      </c>
      <c r="B139" s="8" t="s">
        <v>10</v>
      </c>
      <c r="C139" s="9" t="s">
        <v>11</v>
      </c>
      <c r="D139" s="8" t="s">
        <v>12</v>
      </c>
      <c r="E139" s="10" t="s">
        <v>13</v>
      </c>
      <c r="F139" s="9" t="s">
        <v>14</v>
      </c>
      <c r="G139" s="10" t="s">
        <v>15</v>
      </c>
      <c r="H139" s="9" t="s">
        <v>11</v>
      </c>
      <c r="I139" s="11" t="s">
        <v>16</v>
      </c>
      <c r="J139" s="9" t="s">
        <v>14</v>
      </c>
      <c r="K139" s="13" t="s">
        <v>17</v>
      </c>
      <c r="L139" s="9" t="s">
        <v>11</v>
      </c>
      <c r="M139" s="13" t="s">
        <v>18</v>
      </c>
      <c r="N139" s="9" t="s">
        <v>11</v>
      </c>
      <c r="O139" s="13" t="s">
        <v>19</v>
      </c>
      <c r="P139" s="9" t="s">
        <v>11</v>
      </c>
      <c r="Q139" s="13" t="s">
        <v>20</v>
      </c>
      <c r="R139" s="9" t="s">
        <v>14</v>
      </c>
      <c r="S139" s="14" t="s">
        <v>21</v>
      </c>
      <c r="T139" s="15" t="s">
        <v>94</v>
      </c>
      <c r="U139" s="16" t="s">
        <v>23</v>
      </c>
      <c r="V139" s="17" t="s">
        <v>24</v>
      </c>
    </row>
    <row r="140" ht="15.75" customHeight="1">
      <c r="A140" s="7">
        <v>139.0</v>
      </c>
      <c r="B140" s="18" t="s">
        <v>10</v>
      </c>
      <c r="C140" s="19" t="s">
        <v>11</v>
      </c>
      <c r="D140" s="18" t="s">
        <v>12</v>
      </c>
      <c r="E140" s="20" t="s">
        <v>13</v>
      </c>
      <c r="F140" s="19" t="s">
        <v>14</v>
      </c>
      <c r="G140" s="20" t="s">
        <v>15</v>
      </c>
      <c r="H140" s="19" t="s">
        <v>11</v>
      </c>
      <c r="I140" s="21" t="s">
        <v>16</v>
      </c>
      <c r="J140" s="19" t="s">
        <v>14</v>
      </c>
      <c r="K140" s="22" t="s">
        <v>17</v>
      </c>
      <c r="L140" s="19" t="s">
        <v>11</v>
      </c>
      <c r="M140" s="22" t="s">
        <v>18</v>
      </c>
      <c r="N140" s="19" t="s">
        <v>11</v>
      </c>
      <c r="O140" s="22" t="s">
        <v>19</v>
      </c>
      <c r="P140" s="19" t="s">
        <v>11</v>
      </c>
      <c r="Q140" s="22" t="s">
        <v>20</v>
      </c>
      <c r="R140" s="19" t="s">
        <v>14</v>
      </c>
      <c r="S140" s="23" t="s">
        <v>21</v>
      </c>
      <c r="T140" s="24" t="s">
        <v>94</v>
      </c>
      <c r="U140" s="25" t="s">
        <v>25</v>
      </c>
      <c r="V140" s="17" t="s">
        <v>24</v>
      </c>
    </row>
    <row r="141" ht="15.75" customHeight="1">
      <c r="A141" s="7">
        <v>140.0</v>
      </c>
      <c r="B141" s="8" t="s">
        <v>10</v>
      </c>
      <c r="C141" s="9" t="s">
        <v>11</v>
      </c>
      <c r="D141" s="8" t="s">
        <v>12</v>
      </c>
      <c r="E141" s="10" t="s">
        <v>13</v>
      </c>
      <c r="F141" s="9" t="s">
        <v>14</v>
      </c>
      <c r="G141" s="10" t="s">
        <v>15</v>
      </c>
      <c r="H141" s="9" t="s">
        <v>11</v>
      </c>
      <c r="I141" s="11" t="s">
        <v>16</v>
      </c>
      <c r="J141" s="9" t="s">
        <v>14</v>
      </c>
      <c r="K141" s="13" t="s">
        <v>17</v>
      </c>
      <c r="L141" s="9" t="s">
        <v>11</v>
      </c>
      <c r="M141" s="13" t="s">
        <v>18</v>
      </c>
      <c r="N141" s="9" t="s">
        <v>11</v>
      </c>
      <c r="O141" s="13" t="s">
        <v>19</v>
      </c>
      <c r="P141" s="9" t="s">
        <v>11</v>
      </c>
      <c r="Q141" s="13" t="s">
        <v>20</v>
      </c>
      <c r="R141" s="9" t="s">
        <v>14</v>
      </c>
      <c r="S141" s="14" t="s">
        <v>21</v>
      </c>
      <c r="T141" s="15" t="s">
        <v>95</v>
      </c>
      <c r="U141" s="16" t="s">
        <v>23</v>
      </c>
      <c r="V141" s="17" t="s">
        <v>24</v>
      </c>
    </row>
    <row r="142" ht="15.75" customHeight="1">
      <c r="A142" s="7">
        <v>141.0</v>
      </c>
      <c r="B142" s="18" t="s">
        <v>10</v>
      </c>
      <c r="C142" s="19" t="s">
        <v>11</v>
      </c>
      <c r="D142" s="18" t="s">
        <v>12</v>
      </c>
      <c r="E142" s="20" t="s">
        <v>13</v>
      </c>
      <c r="F142" s="19" t="s">
        <v>14</v>
      </c>
      <c r="G142" s="20" t="s">
        <v>15</v>
      </c>
      <c r="H142" s="19" t="s">
        <v>11</v>
      </c>
      <c r="I142" s="21" t="s">
        <v>16</v>
      </c>
      <c r="J142" s="19" t="s">
        <v>14</v>
      </c>
      <c r="K142" s="22" t="s">
        <v>17</v>
      </c>
      <c r="L142" s="19" t="s">
        <v>11</v>
      </c>
      <c r="M142" s="22" t="s">
        <v>18</v>
      </c>
      <c r="N142" s="19" t="s">
        <v>11</v>
      </c>
      <c r="O142" s="22" t="s">
        <v>19</v>
      </c>
      <c r="P142" s="19" t="s">
        <v>11</v>
      </c>
      <c r="Q142" s="22" t="s">
        <v>20</v>
      </c>
      <c r="R142" s="19" t="s">
        <v>14</v>
      </c>
      <c r="S142" s="23" t="s">
        <v>21</v>
      </c>
      <c r="T142" s="24" t="s">
        <v>95</v>
      </c>
      <c r="U142" s="25" t="s">
        <v>25</v>
      </c>
      <c r="V142" s="17" t="s">
        <v>24</v>
      </c>
    </row>
    <row r="143" ht="15.75" customHeight="1">
      <c r="A143" s="7">
        <v>142.0</v>
      </c>
      <c r="B143" s="8" t="s">
        <v>10</v>
      </c>
      <c r="C143" s="9" t="s">
        <v>11</v>
      </c>
      <c r="D143" s="8" t="s">
        <v>12</v>
      </c>
      <c r="E143" s="10" t="s">
        <v>13</v>
      </c>
      <c r="F143" s="9" t="s">
        <v>14</v>
      </c>
      <c r="G143" s="10" t="s">
        <v>15</v>
      </c>
      <c r="H143" s="9" t="s">
        <v>11</v>
      </c>
      <c r="I143" s="11" t="s">
        <v>16</v>
      </c>
      <c r="J143" s="9" t="s">
        <v>14</v>
      </c>
      <c r="K143" s="13" t="s">
        <v>17</v>
      </c>
      <c r="L143" s="9" t="s">
        <v>11</v>
      </c>
      <c r="M143" s="13" t="s">
        <v>18</v>
      </c>
      <c r="N143" s="9" t="s">
        <v>11</v>
      </c>
      <c r="O143" s="13" t="s">
        <v>19</v>
      </c>
      <c r="P143" s="9" t="s">
        <v>11</v>
      </c>
      <c r="Q143" s="13" t="s">
        <v>20</v>
      </c>
      <c r="R143" s="9" t="s">
        <v>14</v>
      </c>
      <c r="S143" s="14" t="s">
        <v>21</v>
      </c>
      <c r="T143" s="15" t="s">
        <v>96</v>
      </c>
      <c r="U143" s="16" t="s">
        <v>23</v>
      </c>
      <c r="V143" s="17" t="s">
        <v>24</v>
      </c>
    </row>
    <row r="144" ht="15.75" customHeight="1">
      <c r="A144" s="7">
        <v>143.0</v>
      </c>
      <c r="B144" s="18" t="s">
        <v>10</v>
      </c>
      <c r="C144" s="19" t="s">
        <v>11</v>
      </c>
      <c r="D144" s="18" t="s">
        <v>12</v>
      </c>
      <c r="E144" s="20" t="s">
        <v>13</v>
      </c>
      <c r="F144" s="19" t="s">
        <v>14</v>
      </c>
      <c r="G144" s="20" t="s">
        <v>15</v>
      </c>
      <c r="H144" s="19" t="s">
        <v>11</v>
      </c>
      <c r="I144" s="21" t="s">
        <v>16</v>
      </c>
      <c r="J144" s="19" t="s">
        <v>14</v>
      </c>
      <c r="K144" s="22" t="s">
        <v>17</v>
      </c>
      <c r="L144" s="19" t="s">
        <v>11</v>
      </c>
      <c r="M144" s="22" t="s">
        <v>18</v>
      </c>
      <c r="N144" s="19" t="s">
        <v>11</v>
      </c>
      <c r="O144" s="22" t="s">
        <v>19</v>
      </c>
      <c r="P144" s="19" t="s">
        <v>11</v>
      </c>
      <c r="Q144" s="22" t="s">
        <v>20</v>
      </c>
      <c r="R144" s="19" t="s">
        <v>14</v>
      </c>
      <c r="S144" s="23" t="s">
        <v>21</v>
      </c>
      <c r="T144" s="24" t="s">
        <v>96</v>
      </c>
      <c r="U144" s="25" t="s">
        <v>25</v>
      </c>
      <c r="V144" s="17" t="s">
        <v>24</v>
      </c>
    </row>
    <row r="145" ht="15.75" customHeight="1">
      <c r="A145" s="7">
        <v>144.0</v>
      </c>
      <c r="B145" s="8" t="s">
        <v>10</v>
      </c>
      <c r="C145" s="9" t="s">
        <v>11</v>
      </c>
      <c r="D145" s="8" t="s">
        <v>12</v>
      </c>
      <c r="E145" s="10" t="s">
        <v>13</v>
      </c>
      <c r="F145" s="9" t="s">
        <v>14</v>
      </c>
      <c r="G145" s="10" t="s">
        <v>15</v>
      </c>
      <c r="H145" s="9" t="s">
        <v>11</v>
      </c>
      <c r="I145" s="11" t="s">
        <v>16</v>
      </c>
      <c r="J145" s="9" t="s">
        <v>14</v>
      </c>
      <c r="K145" s="13" t="s">
        <v>17</v>
      </c>
      <c r="L145" s="9" t="s">
        <v>11</v>
      </c>
      <c r="M145" s="13" t="s">
        <v>18</v>
      </c>
      <c r="N145" s="9" t="s">
        <v>11</v>
      </c>
      <c r="O145" s="13" t="s">
        <v>19</v>
      </c>
      <c r="P145" s="9" t="s">
        <v>11</v>
      </c>
      <c r="Q145" s="13" t="s">
        <v>20</v>
      </c>
      <c r="R145" s="9" t="s">
        <v>14</v>
      </c>
      <c r="S145" s="14" t="s">
        <v>21</v>
      </c>
      <c r="T145" s="15" t="s">
        <v>97</v>
      </c>
      <c r="U145" s="16" t="s">
        <v>23</v>
      </c>
      <c r="V145" s="17" t="s">
        <v>24</v>
      </c>
    </row>
    <row r="146" ht="15.75" customHeight="1">
      <c r="A146" s="7">
        <v>145.0</v>
      </c>
      <c r="B146" s="18" t="s">
        <v>10</v>
      </c>
      <c r="C146" s="19" t="s">
        <v>11</v>
      </c>
      <c r="D146" s="18" t="s">
        <v>12</v>
      </c>
      <c r="E146" s="20" t="s">
        <v>13</v>
      </c>
      <c r="F146" s="19" t="s">
        <v>14</v>
      </c>
      <c r="G146" s="20" t="s">
        <v>15</v>
      </c>
      <c r="H146" s="19" t="s">
        <v>11</v>
      </c>
      <c r="I146" s="21" t="s">
        <v>16</v>
      </c>
      <c r="J146" s="19" t="s">
        <v>14</v>
      </c>
      <c r="K146" s="22" t="s">
        <v>17</v>
      </c>
      <c r="L146" s="19" t="s">
        <v>11</v>
      </c>
      <c r="M146" s="22" t="s">
        <v>18</v>
      </c>
      <c r="N146" s="19" t="s">
        <v>11</v>
      </c>
      <c r="O146" s="22" t="s">
        <v>19</v>
      </c>
      <c r="P146" s="19" t="s">
        <v>11</v>
      </c>
      <c r="Q146" s="22" t="s">
        <v>20</v>
      </c>
      <c r="R146" s="19" t="s">
        <v>14</v>
      </c>
      <c r="S146" s="23" t="s">
        <v>21</v>
      </c>
      <c r="T146" s="24" t="s">
        <v>97</v>
      </c>
      <c r="U146" s="25" t="s">
        <v>25</v>
      </c>
      <c r="V146" s="17" t="s">
        <v>24</v>
      </c>
    </row>
    <row r="147" ht="15.75" customHeight="1">
      <c r="A147" s="7">
        <v>146.0</v>
      </c>
      <c r="B147" s="8" t="s">
        <v>10</v>
      </c>
      <c r="C147" s="9" t="s">
        <v>11</v>
      </c>
      <c r="D147" s="8" t="s">
        <v>12</v>
      </c>
      <c r="E147" s="10" t="s">
        <v>13</v>
      </c>
      <c r="F147" s="9" t="s">
        <v>14</v>
      </c>
      <c r="G147" s="10" t="s">
        <v>15</v>
      </c>
      <c r="H147" s="9" t="s">
        <v>11</v>
      </c>
      <c r="I147" s="11" t="s">
        <v>16</v>
      </c>
      <c r="J147" s="9" t="s">
        <v>14</v>
      </c>
      <c r="K147" s="13" t="s">
        <v>17</v>
      </c>
      <c r="L147" s="9" t="s">
        <v>11</v>
      </c>
      <c r="M147" s="13" t="s">
        <v>18</v>
      </c>
      <c r="N147" s="9" t="s">
        <v>11</v>
      </c>
      <c r="O147" s="13" t="s">
        <v>19</v>
      </c>
      <c r="P147" s="9" t="s">
        <v>11</v>
      </c>
      <c r="Q147" s="13" t="s">
        <v>20</v>
      </c>
      <c r="R147" s="9" t="s">
        <v>14</v>
      </c>
      <c r="S147" s="14" t="s">
        <v>21</v>
      </c>
      <c r="T147" s="15" t="s">
        <v>98</v>
      </c>
      <c r="U147" s="16" t="s">
        <v>23</v>
      </c>
      <c r="V147" s="17" t="s">
        <v>24</v>
      </c>
    </row>
    <row r="148" ht="15.75" customHeight="1">
      <c r="A148" s="7">
        <v>147.0</v>
      </c>
      <c r="B148" s="18" t="s">
        <v>10</v>
      </c>
      <c r="C148" s="19" t="s">
        <v>11</v>
      </c>
      <c r="D148" s="18" t="s">
        <v>12</v>
      </c>
      <c r="E148" s="20" t="s">
        <v>13</v>
      </c>
      <c r="F148" s="19" t="s">
        <v>14</v>
      </c>
      <c r="G148" s="20" t="s">
        <v>15</v>
      </c>
      <c r="H148" s="19" t="s">
        <v>11</v>
      </c>
      <c r="I148" s="21" t="s">
        <v>16</v>
      </c>
      <c r="J148" s="19" t="s">
        <v>14</v>
      </c>
      <c r="K148" s="22" t="s">
        <v>17</v>
      </c>
      <c r="L148" s="19" t="s">
        <v>11</v>
      </c>
      <c r="M148" s="22" t="s">
        <v>18</v>
      </c>
      <c r="N148" s="19" t="s">
        <v>11</v>
      </c>
      <c r="O148" s="22" t="s">
        <v>19</v>
      </c>
      <c r="P148" s="19" t="s">
        <v>11</v>
      </c>
      <c r="Q148" s="22" t="s">
        <v>20</v>
      </c>
      <c r="R148" s="19" t="s">
        <v>14</v>
      </c>
      <c r="S148" s="23" t="s">
        <v>21</v>
      </c>
      <c r="T148" s="24" t="s">
        <v>98</v>
      </c>
      <c r="U148" s="25" t="s">
        <v>25</v>
      </c>
      <c r="V148" s="17" t="s">
        <v>24</v>
      </c>
    </row>
    <row r="149" ht="15.75" customHeight="1">
      <c r="A149" s="7">
        <v>148.0</v>
      </c>
      <c r="B149" s="8" t="s">
        <v>10</v>
      </c>
      <c r="C149" s="9" t="s">
        <v>11</v>
      </c>
      <c r="D149" s="8" t="s">
        <v>12</v>
      </c>
      <c r="E149" s="10" t="s">
        <v>13</v>
      </c>
      <c r="F149" s="9" t="s">
        <v>14</v>
      </c>
      <c r="G149" s="10" t="s">
        <v>15</v>
      </c>
      <c r="H149" s="9" t="s">
        <v>11</v>
      </c>
      <c r="I149" s="11" t="s">
        <v>16</v>
      </c>
      <c r="J149" s="9" t="s">
        <v>14</v>
      </c>
      <c r="K149" s="13" t="s">
        <v>17</v>
      </c>
      <c r="L149" s="9" t="s">
        <v>11</v>
      </c>
      <c r="M149" s="13" t="s">
        <v>18</v>
      </c>
      <c r="N149" s="9" t="s">
        <v>11</v>
      </c>
      <c r="O149" s="13" t="s">
        <v>19</v>
      </c>
      <c r="P149" s="9" t="s">
        <v>11</v>
      </c>
      <c r="Q149" s="13" t="s">
        <v>20</v>
      </c>
      <c r="R149" s="9" t="s">
        <v>14</v>
      </c>
      <c r="S149" s="14" t="s">
        <v>21</v>
      </c>
      <c r="T149" s="15" t="s">
        <v>99</v>
      </c>
      <c r="U149" s="16" t="s">
        <v>23</v>
      </c>
      <c r="V149" s="17" t="s">
        <v>24</v>
      </c>
    </row>
    <row r="150" ht="15.75" customHeight="1">
      <c r="A150" s="7">
        <v>149.0</v>
      </c>
      <c r="B150" s="18" t="s">
        <v>10</v>
      </c>
      <c r="C150" s="19" t="s">
        <v>11</v>
      </c>
      <c r="D150" s="18" t="s">
        <v>12</v>
      </c>
      <c r="E150" s="20" t="s">
        <v>13</v>
      </c>
      <c r="F150" s="19" t="s">
        <v>14</v>
      </c>
      <c r="G150" s="20" t="s">
        <v>15</v>
      </c>
      <c r="H150" s="19" t="s">
        <v>11</v>
      </c>
      <c r="I150" s="21" t="s">
        <v>16</v>
      </c>
      <c r="J150" s="19" t="s">
        <v>14</v>
      </c>
      <c r="K150" s="22" t="s">
        <v>17</v>
      </c>
      <c r="L150" s="19" t="s">
        <v>11</v>
      </c>
      <c r="M150" s="22" t="s">
        <v>18</v>
      </c>
      <c r="N150" s="19" t="s">
        <v>11</v>
      </c>
      <c r="O150" s="22" t="s">
        <v>19</v>
      </c>
      <c r="P150" s="19" t="s">
        <v>11</v>
      </c>
      <c r="Q150" s="22" t="s">
        <v>20</v>
      </c>
      <c r="R150" s="19" t="s">
        <v>14</v>
      </c>
      <c r="S150" s="23" t="s">
        <v>21</v>
      </c>
      <c r="T150" s="24" t="s">
        <v>99</v>
      </c>
      <c r="U150" s="25" t="s">
        <v>25</v>
      </c>
      <c r="V150" s="17" t="s">
        <v>24</v>
      </c>
    </row>
    <row r="151" ht="15.75" customHeight="1">
      <c r="A151" s="7">
        <v>150.0</v>
      </c>
      <c r="B151" s="8" t="s">
        <v>10</v>
      </c>
      <c r="C151" s="9" t="s">
        <v>11</v>
      </c>
      <c r="D151" s="8" t="s">
        <v>12</v>
      </c>
      <c r="E151" s="10" t="s">
        <v>13</v>
      </c>
      <c r="F151" s="9" t="s">
        <v>14</v>
      </c>
      <c r="G151" s="10" t="s">
        <v>15</v>
      </c>
      <c r="H151" s="9" t="s">
        <v>11</v>
      </c>
      <c r="I151" s="11" t="s">
        <v>16</v>
      </c>
      <c r="J151" s="9" t="s">
        <v>14</v>
      </c>
      <c r="K151" s="13" t="s">
        <v>17</v>
      </c>
      <c r="L151" s="9" t="s">
        <v>11</v>
      </c>
      <c r="M151" s="13" t="s">
        <v>18</v>
      </c>
      <c r="N151" s="9" t="s">
        <v>11</v>
      </c>
      <c r="O151" s="13" t="s">
        <v>19</v>
      </c>
      <c r="P151" s="9" t="s">
        <v>11</v>
      </c>
      <c r="Q151" s="13" t="s">
        <v>20</v>
      </c>
      <c r="R151" s="9" t="s">
        <v>14</v>
      </c>
      <c r="S151" s="14" t="s">
        <v>21</v>
      </c>
      <c r="T151" s="15" t="s">
        <v>100</v>
      </c>
      <c r="U151" s="16" t="s">
        <v>23</v>
      </c>
      <c r="V151" s="17" t="s">
        <v>24</v>
      </c>
    </row>
    <row r="152" ht="15.75" customHeight="1">
      <c r="A152" s="7">
        <v>151.0</v>
      </c>
      <c r="B152" s="18" t="s">
        <v>10</v>
      </c>
      <c r="C152" s="19" t="s">
        <v>11</v>
      </c>
      <c r="D152" s="18" t="s">
        <v>12</v>
      </c>
      <c r="E152" s="20" t="s">
        <v>13</v>
      </c>
      <c r="F152" s="19" t="s">
        <v>14</v>
      </c>
      <c r="G152" s="20" t="s">
        <v>15</v>
      </c>
      <c r="H152" s="19" t="s">
        <v>11</v>
      </c>
      <c r="I152" s="21" t="s">
        <v>16</v>
      </c>
      <c r="J152" s="19" t="s">
        <v>14</v>
      </c>
      <c r="K152" s="22" t="s">
        <v>17</v>
      </c>
      <c r="L152" s="19" t="s">
        <v>11</v>
      </c>
      <c r="M152" s="22" t="s">
        <v>18</v>
      </c>
      <c r="N152" s="19" t="s">
        <v>11</v>
      </c>
      <c r="O152" s="22" t="s">
        <v>19</v>
      </c>
      <c r="P152" s="19" t="s">
        <v>11</v>
      </c>
      <c r="Q152" s="22" t="s">
        <v>20</v>
      </c>
      <c r="R152" s="19" t="s">
        <v>14</v>
      </c>
      <c r="S152" s="23" t="s">
        <v>21</v>
      </c>
      <c r="T152" s="24" t="s">
        <v>100</v>
      </c>
      <c r="U152" s="25" t="s">
        <v>25</v>
      </c>
      <c r="V152" s="17" t="s">
        <v>24</v>
      </c>
    </row>
    <row r="153" ht="15.75" customHeight="1">
      <c r="A153" s="7">
        <v>152.0</v>
      </c>
      <c r="B153" s="8" t="s">
        <v>10</v>
      </c>
      <c r="C153" s="9" t="s">
        <v>11</v>
      </c>
      <c r="D153" s="8" t="s">
        <v>12</v>
      </c>
      <c r="E153" s="10" t="s">
        <v>13</v>
      </c>
      <c r="F153" s="9" t="s">
        <v>14</v>
      </c>
      <c r="G153" s="10" t="s">
        <v>15</v>
      </c>
      <c r="H153" s="9" t="s">
        <v>11</v>
      </c>
      <c r="I153" s="11" t="s">
        <v>16</v>
      </c>
      <c r="J153" s="9" t="s">
        <v>14</v>
      </c>
      <c r="K153" s="13" t="s">
        <v>17</v>
      </c>
      <c r="L153" s="9" t="s">
        <v>11</v>
      </c>
      <c r="M153" s="13" t="s">
        <v>18</v>
      </c>
      <c r="N153" s="9" t="s">
        <v>11</v>
      </c>
      <c r="O153" s="13" t="s">
        <v>19</v>
      </c>
      <c r="P153" s="9" t="s">
        <v>11</v>
      </c>
      <c r="Q153" s="13" t="s">
        <v>20</v>
      </c>
      <c r="R153" s="9" t="s">
        <v>14</v>
      </c>
      <c r="S153" s="14" t="s">
        <v>21</v>
      </c>
      <c r="T153" s="15" t="s">
        <v>101</v>
      </c>
      <c r="U153" s="16" t="s">
        <v>23</v>
      </c>
      <c r="V153" s="17" t="s">
        <v>24</v>
      </c>
    </row>
    <row r="154" ht="15.75" customHeight="1">
      <c r="A154" s="7">
        <v>153.0</v>
      </c>
      <c r="B154" s="18" t="s">
        <v>10</v>
      </c>
      <c r="C154" s="19" t="s">
        <v>11</v>
      </c>
      <c r="D154" s="18" t="s">
        <v>12</v>
      </c>
      <c r="E154" s="20" t="s">
        <v>13</v>
      </c>
      <c r="F154" s="19" t="s">
        <v>14</v>
      </c>
      <c r="G154" s="20" t="s">
        <v>15</v>
      </c>
      <c r="H154" s="19" t="s">
        <v>11</v>
      </c>
      <c r="I154" s="21" t="s">
        <v>16</v>
      </c>
      <c r="J154" s="19" t="s">
        <v>14</v>
      </c>
      <c r="K154" s="22" t="s">
        <v>17</v>
      </c>
      <c r="L154" s="19" t="s">
        <v>11</v>
      </c>
      <c r="M154" s="22" t="s">
        <v>18</v>
      </c>
      <c r="N154" s="19" t="s">
        <v>11</v>
      </c>
      <c r="O154" s="22" t="s">
        <v>19</v>
      </c>
      <c r="P154" s="19" t="s">
        <v>11</v>
      </c>
      <c r="Q154" s="22" t="s">
        <v>20</v>
      </c>
      <c r="R154" s="19" t="s">
        <v>14</v>
      </c>
      <c r="S154" s="23" t="s">
        <v>21</v>
      </c>
      <c r="T154" s="24" t="s">
        <v>101</v>
      </c>
      <c r="U154" s="25" t="s">
        <v>25</v>
      </c>
      <c r="V154" s="17" t="s">
        <v>24</v>
      </c>
    </row>
    <row r="155" ht="15.75" customHeight="1">
      <c r="A155" s="7">
        <v>154.0</v>
      </c>
      <c r="B155" s="8" t="s">
        <v>10</v>
      </c>
      <c r="C155" s="9" t="s">
        <v>11</v>
      </c>
      <c r="D155" s="8" t="s">
        <v>12</v>
      </c>
      <c r="E155" s="10" t="s">
        <v>13</v>
      </c>
      <c r="F155" s="9" t="s">
        <v>14</v>
      </c>
      <c r="G155" s="10" t="s">
        <v>15</v>
      </c>
      <c r="H155" s="9" t="s">
        <v>11</v>
      </c>
      <c r="I155" s="11" t="s">
        <v>16</v>
      </c>
      <c r="J155" s="9" t="s">
        <v>14</v>
      </c>
      <c r="K155" s="13" t="s">
        <v>17</v>
      </c>
      <c r="L155" s="9" t="s">
        <v>11</v>
      </c>
      <c r="M155" s="13" t="s">
        <v>18</v>
      </c>
      <c r="N155" s="9" t="s">
        <v>11</v>
      </c>
      <c r="O155" s="13" t="s">
        <v>19</v>
      </c>
      <c r="P155" s="9" t="s">
        <v>11</v>
      </c>
      <c r="Q155" s="13" t="s">
        <v>20</v>
      </c>
      <c r="R155" s="9" t="s">
        <v>14</v>
      </c>
      <c r="S155" s="14" t="s">
        <v>21</v>
      </c>
      <c r="T155" s="15" t="s">
        <v>102</v>
      </c>
      <c r="U155" s="16" t="s">
        <v>23</v>
      </c>
      <c r="V155" s="17" t="s">
        <v>24</v>
      </c>
    </row>
    <row r="156" ht="15.75" customHeight="1">
      <c r="A156" s="7">
        <v>155.0</v>
      </c>
      <c r="B156" s="18" t="s">
        <v>10</v>
      </c>
      <c r="C156" s="19" t="s">
        <v>11</v>
      </c>
      <c r="D156" s="18" t="s">
        <v>12</v>
      </c>
      <c r="E156" s="20" t="s">
        <v>13</v>
      </c>
      <c r="F156" s="19" t="s">
        <v>14</v>
      </c>
      <c r="G156" s="20" t="s">
        <v>15</v>
      </c>
      <c r="H156" s="19" t="s">
        <v>11</v>
      </c>
      <c r="I156" s="21" t="s">
        <v>16</v>
      </c>
      <c r="J156" s="19" t="s">
        <v>14</v>
      </c>
      <c r="K156" s="22" t="s">
        <v>17</v>
      </c>
      <c r="L156" s="19" t="s">
        <v>11</v>
      </c>
      <c r="M156" s="22" t="s">
        <v>18</v>
      </c>
      <c r="N156" s="19" t="s">
        <v>11</v>
      </c>
      <c r="O156" s="22" t="s">
        <v>19</v>
      </c>
      <c r="P156" s="19" t="s">
        <v>11</v>
      </c>
      <c r="Q156" s="22" t="s">
        <v>20</v>
      </c>
      <c r="R156" s="19" t="s">
        <v>14</v>
      </c>
      <c r="S156" s="23" t="s">
        <v>21</v>
      </c>
      <c r="T156" s="29" t="s">
        <v>102</v>
      </c>
      <c r="U156" s="25" t="s">
        <v>25</v>
      </c>
      <c r="V156" s="17" t="s">
        <v>24</v>
      </c>
    </row>
    <row r="157" ht="15.75" customHeight="1">
      <c r="A157" s="7">
        <v>156.0</v>
      </c>
      <c r="B157" s="8" t="s">
        <v>10</v>
      </c>
      <c r="C157" s="9" t="s">
        <v>11</v>
      </c>
      <c r="D157" s="8" t="s">
        <v>12</v>
      </c>
      <c r="E157" s="10" t="s">
        <v>13</v>
      </c>
      <c r="F157" s="9" t="s">
        <v>14</v>
      </c>
      <c r="G157" s="10" t="s">
        <v>15</v>
      </c>
      <c r="H157" s="9" t="s">
        <v>11</v>
      </c>
      <c r="I157" s="11" t="s">
        <v>16</v>
      </c>
      <c r="J157" s="9" t="s">
        <v>14</v>
      </c>
      <c r="K157" s="13" t="s">
        <v>17</v>
      </c>
      <c r="L157" s="9" t="s">
        <v>11</v>
      </c>
      <c r="M157" s="13" t="s">
        <v>18</v>
      </c>
      <c r="N157" s="9" t="s">
        <v>11</v>
      </c>
      <c r="O157" s="13" t="s">
        <v>19</v>
      </c>
      <c r="P157" s="9" t="s">
        <v>11</v>
      </c>
      <c r="Q157" s="13" t="s">
        <v>20</v>
      </c>
      <c r="R157" s="9" t="s">
        <v>14</v>
      </c>
      <c r="S157" s="14" t="s">
        <v>21</v>
      </c>
      <c r="T157" s="15" t="s">
        <v>103</v>
      </c>
      <c r="U157" s="16" t="s">
        <v>23</v>
      </c>
      <c r="V157" s="17" t="s">
        <v>24</v>
      </c>
    </row>
    <row r="158" ht="15.75" customHeight="1">
      <c r="A158" s="7">
        <v>157.0</v>
      </c>
      <c r="B158" s="18" t="s">
        <v>10</v>
      </c>
      <c r="C158" s="19" t="s">
        <v>11</v>
      </c>
      <c r="D158" s="18" t="s">
        <v>12</v>
      </c>
      <c r="E158" s="20" t="s">
        <v>13</v>
      </c>
      <c r="F158" s="19" t="s">
        <v>14</v>
      </c>
      <c r="G158" s="20" t="s">
        <v>15</v>
      </c>
      <c r="H158" s="19" t="s">
        <v>11</v>
      </c>
      <c r="I158" s="21" t="s">
        <v>16</v>
      </c>
      <c r="J158" s="19" t="s">
        <v>14</v>
      </c>
      <c r="K158" s="22" t="s">
        <v>17</v>
      </c>
      <c r="L158" s="19" t="s">
        <v>11</v>
      </c>
      <c r="M158" s="22" t="s">
        <v>18</v>
      </c>
      <c r="N158" s="19" t="s">
        <v>11</v>
      </c>
      <c r="O158" s="22" t="s">
        <v>19</v>
      </c>
      <c r="P158" s="19" t="s">
        <v>11</v>
      </c>
      <c r="Q158" s="22" t="s">
        <v>20</v>
      </c>
      <c r="R158" s="19" t="s">
        <v>14</v>
      </c>
      <c r="S158" s="23" t="s">
        <v>21</v>
      </c>
      <c r="T158" s="24" t="s">
        <v>103</v>
      </c>
      <c r="U158" s="25" t="s">
        <v>25</v>
      </c>
      <c r="V158" s="17" t="s">
        <v>24</v>
      </c>
    </row>
    <row r="159" ht="15.75" customHeight="1">
      <c r="A159" s="7">
        <v>158.0</v>
      </c>
      <c r="B159" s="8" t="s">
        <v>10</v>
      </c>
      <c r="C159" s="9" t="s">
        <v>11</v>
      </c>
      <c r="D159" s="8" t="s">
        <v>12</v>
      </c>
      <c r="E159" s="10" t="s">
        <v>13</v>
      </c>
      <c r="F159" s="9" t="s">
        <v>14</v>
      </c>
      <c r="G159" s="10" t="s">
        <v>15</v>
      </c>
      <c r="H159" s="9" t="s">
        <v>11</v>
      </c>
      <c r="I159" s="11" t="s">
        <v>16</v>
      </c>
      <c r="J159" s="9" t="s">
        <v>14</v>
      </c>
      <c r="K159" s="13" t="s">
        <v>17</v>
      </c>
      <c r="L159" s="9" t="s">
        <v>11</v>
      </c>
      <c r="M159" s="13" t="s">
        <v>18</v>
      </c>
      <c r="N159" s="9" t="s">
        <v>11</v>
      </c>
      <c r="O159" s="13" t="s">
        <v>19</v>
      </c>
      <c r="P159" s="9" t="s">
        <v>11</v>
      </c>
      <c r="Q159" s="13" t="s">
        <v>20</v>
      </c>
      <c r="R159" s="9" t="s">
        <v>14</v>
      </c>
      <c r="S159" s="14" t="s">
        <v>21</v>
      </c>
      <c r="T159" s="15" t="s">
        <v>104</v>
      </c>
      <c r="U159" s="16" t="s">
        <v>23</v>
      </c>
      <c r="V159" s="17" t="s">
        <v>24</v>
      </c>
    </row>
    <row r="160" ht="15.75" customHeight="1">
      <c r="A160" s="7">
        <v>159.0</v>
      </c>
      <c r="B160" s="18" t="s">
        <v>10</v>
      </c>
      <c r="C160" s="19" t="s">
        <v>11</v>
      </c>
      <c r="D160" s="18" t="s">
        <v>12</v>
      </c>
      <c r="E160" s="20" t="s">
        <v>13</v>
      </c>
      <c r="F160" s="19" t="s">
        <v>14</v>
      </c>
      <c r="G160" s="20" t="s">
        <v>15</v>
      </c>
      <c r="H160" s="19" t="s">
        <v>11</v>
      </c>
      <c r="I160" s="21" t="s">
        <v>16</v>
      </c>
      <c r="J160" s="19" t="s">
        <v>14</v>
      </c>
      <c r="K160" s="22" t="s">
        <v>17</v>
      </c>
      <c r="L160" s="19" t="s">
        <v>11</v>
      </c>
      <c r="M160" s="22" t="s">
        <v>18</v>
      </c>
      <c r="N160" s="19" t="s">
        <v>11</v>
      </c>
      <c r="O160" s="22" t="s">
        <v>19</v>
      </c>
      <c r="P160" s="19" t="s">
        <v>11</v>
      </c>
      <c r="Q160" s="22" t="s">
        <v>20</v>
      </c>
      <c r="R160" s="19" t="s">
        <v>14</v>
      </c>
      <c r="S160" s="23" t="s">
        <v>21</v>
      </c>
      <c r="T160" s="29" t="s">
        <v>104</v>
      </c>
      <c r="U160" s="25" t="s">
        <v>25</v>
      </c>
      <c r="V160" s="17" t="s">
        <v>24</v>
      </c>
    </row>
    <row r="161" ht="15.75" customHeight="1">
      <c r="A161" s="7">
        <v>160.0</v>
      </c>
      <c r="B161" s="8" t="s">
        <v>10</v>
      </c>
      <c r="C161" s="9" t="s">
        <v>11</v>
      </c>
      <c r="D161" s="8" t="s">
        <v>12</v>
      </c>
      <c r="E161" s="10" t="s">
        <v>13</v>
      </c>
      <c r="F161" s="9" t="s">
        <v>14</v>
      </c>
      <c r="G161" s="10" t="s">
        <v>15</v>
      </c>
      <c r="H161" s="9" t="s">
        <v>11</v>
      </c>
      <c r="I161" s="11" t="s">
        <v>16</v>
      </c>
      <c r="J161" s="9" t="s">
        <v>14</v>
      </c>
      <c r="K161" s="13" t="s">
        <v>17</v>
      </c>
      <c r="L161" s="9" t="s">
        <v>11</v>
      </c>
      <c r="M161" s="13" t="s">
        <v>18</v>
      </c>
      <c r="N161" s="9" t="s">
        <v>11</v>
      </c>
      <c r="O161" s="13" t="s">
        <v>19</v>
      </c>
      <c r="P161" s="9" t="s">
        <v>11</v>
      </c>
      <c r="Q161" s="13" t="s">
        <v>20</v>
      </c>
      <c r="R161" s="9" t="s">
        <v>14</v>
      </c>
      <c r="S161" s="14" t="s">
        <v>21</v>
      </c>
      <c r="T161" s="15" t="s">
        <v>105</v>
      </c>
      <c r="U161" s="16" t="s">
        <v>23</v>
      </c>
      <c r="V161" s="17" t="s">
        <v>24</v>
      </c>
    </row>
    <row r="162" ht="15.75" customHeight="1">
      <c r="A162" s="7">
        <v>161.0</v>
      </c>
      <c r="B162" s="18" t="s">
        <v>10</v>
      </c>
      <c r="C162" s="19" t="s">
        <v>11</v>
      </c>
      <c r="D162" s="18" t="s">
        <v>12</v>
      </c>
      <c r="E162" s="20" t="s">
        <v>13</v>
      </c>
      <c r="F162" s="19" t="s">
        <v>14</v>
      </c>
      <c r="G162" s="20" t="s">
        <v>15</v>
      </c>
      <c r="H162" s="19" t="s">
        <v>11</v>
      </c>
      <c r="I162" s="21" t="s">
        <v>16</v>
      </c>
      <c r="J162" s="19" t="s">
        <v>14</v>
      </c>
      <c r="K162" s="22" t="s">
        <v>17</v>
      </c>
      <c r="L162" s="19" t="s">
        <v>11</v>
      </c>
      <c r="M162" s="22" t="s">
        <v>18</v>
      </c>
      <c r="N162" s="19" t="s">
        <v>11</v>
      </c>
      <c r="O162" s="22" t="s">
        <v>19</v>
      </c>
      <c r="P162" s="19" t="s">
        <v>11</v>
      </c>
      <c r="Q162" s="22" t="s">
        <v>20</v>
      </c>
      <c r="R162" s="19" t="s">
        <v>14</v>
      </c>
      <c r="S162" s="23" t="s">
        <v>21</v>
      </c>
      <c r="T162" s="24" t="s">
        <v>105</v>
      </c>
      <c r="U162" s="25" t="s">
        <v>25</v>
      </c>
      <c r="V162" s="17" t="s">
        <v>24</v>
      </c>
    </row>
    <row r="163" ht="15.75" customHeight="1">
      <c r="A163" s="7">
        <v>162.0</v>
      </c>
      <c r="B163" s="8" t="s">
        <v>10</v>
      </c>
      <c r="C163" s="9" t="s">
        <v>11</v>
      </c>
      <c r="D163" s="8" t="s">
        <v>12</v>
      </c>
      <c r="E163" s="10" t="s">
        <v>13</v>
      </c>
      <c r="F163" s="9" t="s">
        <v>14</v>
      </c>
      <c r="G163" s="10" t="s">
        <v>15</v>
      </c>
      <c r="H163" s="9" t="s">
        <v>11</v>
      </c>
      <c r="I163" s="11" t="s">
        <v>16</v>
      </c>
      <c r="J163" s="9" t="s">
        <v>14</v>
      </c>
      <c r="K163" s="13" t="s">
        <v>17</v>
      </c>
      <c r="L163" s="9" t="s">
        <v>11</v>
      </c>
      <c r="M163" s="13" t="s">
        <v>18</v>
      </c>
      <c r="N163" s="9" t="s">
        <v>11</v>
      </c>
      <c r="O163" s="13" t="s">
        <v>19</v>
      </c>
      <c r="P163" s="9" t="s">
        <v>11</v>
      </c>
      <c r="Q163" s="13" t="s">
        <v>20</v>
      </c>
      <c r="R163" s="9" t="s">
        <v>14</v>
      </c>
      <c r="S163" s="14" t="s">
        <v>21</v>
      </c>
      <c r="T163" s="15" t="s">
        <v>106</v>
      </c>
      <c r="U163" s="16" t="s">
        <v>23</v>
      </c>
      <c r="V163" s="17" t="s">
        <v>24</v>
      </c>
    </row>
    <row r="164" ht="15.75" customHeight="1">
      <c r="A164" s="7">
        <v>163.0</v>
      </c>
      <c r="B164" s="18" t="s">
        <v>10</v>
      </c>
      <c r="C164" s="19" t="s">
        <v>11</v>
      </c>
      <c r="D164" s="18" t="s">
        <v>12</v>
      </c>
      <c r="E164" s="20" t="s">
        <v>13</v>
      </c>
      <c r="F164" s="19" t="s">
        <v>14</v>
      </c>
      <c r="G164" s="20" t="s">
        <v>15</v>
      </c>
      <c r="H164" s="19" t="s">
        <v>11</v>
      </c>
      <c r="I164" s="21" t="s">
        <v>16</v>
      </c>
      <c r="J164" s="19" t="s">
        <v>14</v>
      </c>
      <c r="K164" s="22" t="s">
        <v>17</v>
      </c>
      <c r="L164" s="19" t="s">
        <v>11</v>
      </c>
      <c r="M164" s="22" t="s">
        <v>18</v>
      </c>
      <c r="N164" s="19" t="s">
        <v>11</v>
      </c>
      <c r="O164" s="22" t="s">
        <v>19</v>
      </c>
      <c r="P164" s="19" t="s">
        <v>11</v>
      </c>
      <c r="Q164" s="22" t="s">
        <v>20</v>
      </c>
      <c r="R164" s="19" t="s">
        <v>14</v>
      </c>
      <c r="S164" s="23" t="s">
        <v>21</v>
      </c>
      <c r="T164" s="24" t="s">
        <v>106</v>
      </c>
      <c r="U164" s="25" t="s">
        <v>25</v>
      </c>
      <c r="V164" s="17" t="s">
        <v>24</v>
      </c>
    </row>
    <row r="165" ht="15.75" customHeight="1">
      <c r="A165" s="7">
        <v>164.0</v>
      </c>
      <c r="B165" s="8" t="s">
        <v>10</v>
      </c>
      <c r="C165" s="9" t="s">
        <v>11</v>
      </c>
      <c r="D165" s="8" t="s">
        <v>12</v>
      </c>
      <c r="E165" s="10" t="s">
        <v>13</v>
      </c>
      <c r="F165" s="9" t="s">
        <v>14</v>
      </c>
      <c r="G165" s="10" t="s">
        <v>15</v>
      </c>
      <c r="H165" s="9" t="s">
        <v>11</v>
      </c>
      <c r="I165" s="11" t="s">
        <v>16</v>
      </c>
      <c r="J165" s="9" t="s">
        <v>14</v>
      </c>
      <c r="K165" s="13" t="s">
        <v>17</v>
      </c>
      <c r="L165" s="9" t="s">
        <v>11</v>
      </c>
      <c r="M165" s="13" t="s">
        <v>18</v>
      </c>
      <c r="N165" s="9" t="s">
        <v>11</v>
      </c>
      <c r="O165" s="13" t="s">
        <v>19</v>
      </c>
      <c r="P165" s="9" t="s">
        <v>11</v>
      </c>
      <c r="Q165" s="13" t="s">
        <v>20</v>
      </c>
      <c r="R165" s="9" t="s">
        <v>14</v>
      </c>
      <c r="S165" s="14" t="s">
        <v>21</v>
      </c>
      <c r="T165" s="15" t="s">
        <v>107</v>
      </c>
      <c r="U165" s="16" t="s">
        <v>23</v>
      </c>
      <c r="V165" s="17" t="s">
        <v>24</v>
      </c>
    </row>
    <row r="166" ht="15.75" customHeight="1">
      <c r="A166" s="7">
        <v>165.0</v>
      </c>
      <c r="B166" s="18" t="s">
        <v>10</v>
      </c>
      <c r="C166" s="19" t="s">
        <v>11</v>
      </c>
      <c r="D166" s="18" t="s">
        <v>12</v>
      </c>
      <c r="E166" s="20" t="s">
        <v>13</v>
      </c>
      <c r="F166" s="19" t="s">
        <v>14</v>
      </c>
      <c r="G166" s="20" t="s">
        <v>15</v>
      </c>
      <c r="H166" s="19" t="s">
        <v>11</v>
      </c>
      <c r="I166" s="21" t="s">
        <v>16</v>
      </c>
      <c r="J166" s="19" t="s">
        <v>14</v>
      </c>
      <c r="K166" s="22" t="s">
        <v>17</v>
      </c>
      <c r="L166" s="19" t="s">
        <v>11</v>
      </c>
      <c r="M166" s="22" t="s">
        <v>18</v>
      </c>
      <c r="N166" s="19" t="s">
        <v>11</v>
      </c>
      <c r="O166" s="22" t="s">
        <v>19</v>
      </c>
      <c r="P166" s="19" t="s">
        <v>11</v>
      </c>
      <c r="Q166" s="22" t="s">
        <v>20</v>
      </c>
      <c r="R166" s="19" t="s">
        <v>14</v>
      </c>
      <c r="S166" s="23" t="s">
        <v>21</v>
      </c>
      <c r="T166" s="24" t="s">
        <v>107</v>
      </c>
      <c r="U166" s="25" t="s">
        <v>25</v>
      </c>
      <c r="V166" s="17" t="s">
        <v>24</v>
      </c>
    </row>
    <row r="167" ht="15.75" customHeight="1">
      <c r="A167" s="7">
        <v>166.0</v>
      </c>
      <c r="B167" s="8" t="s">
        <v>10</v>
      </c>
      <c r="C167" s="9" t="s">
        <v>11</v>
      </c>
      <c r="D167" s="8" t="s">
        <v>12</v>
      </c>
      <c r="E167" s="10" t="s">
        <v>13</v>
      </c>
      <c r="F167" s="9" t="s">
        <v>14</v>
      </c>
      <c r="G167" s="10" t="s">
        <v>15</v>
      </c>
      <c r="H167" s="9" t="s">
        <v>11</v>
      </c>
      <c r="I167" s="11" t="s">
        <v>16</v>
      </c>
      <c r="J167" s="9" t="s">
        <v>14</v>
      </c>
      <c r="K167" s="13" t="s">
        <v>17</v>
      </c>
      <c r="L167" s="9" t="s">
        <v>11</v>
      </c>
      <c r="M167" s="13" t="s">
        <v>18</v>
      </c>
      <c r="N167" s="9" t="s">
        <v>11</v>
      </c>
      <c r="O167" s="13" t="s">
        <v>19</v>
      </c>
      <c r="P167" s="9" t="s">
        <v>11</v>
      </c>
      <c r="Q167" s="13" t="s">
        <v>20</v>
      </c>
      <c r="R167" s="9" t="s">
        <v>14</v>
      </c>
      <c r="S167" s="14" t="s">
        <v>21</v>
      </c>
      <c r="T167" s="15" t="s">
        <v>108</v>
      </c>
      <c r="U167" s="16" t="s">
        <v>23</v>
      </c>
      <c r="V167" s="17" t="s">
        <v>24</v>
      </c>
    </row>
    <row r="168" ht="15.75" customHeight="1">
      <c r="A168" s="7">
        <v>167.0</v>
      </c>
      <c r="B168" s="18" t="s">
        <v>10</v>
      </c>
      <c r="C168" s="19" t="s">
        <v>11</v>
      </c>
      <c r="D168" s="18" t="s">
        <v>12</v>
      </c>
      <c r="E168" s="20" t="s">
        <v>13</v>
      </c>
      <c r="F168" s="19" t="s">
        <v>14</v>
      </c>
      <c r="G168" s="20" t="s">
        <v>15</v>
      </c>
      <c r="H168" s="19" t="s">
        <v>11</v>
      </c>
      <c r="I168" s="21" t="s">
        <v>16</v>
      </c>
      <c r="J168" s="19" t="s">
        <v>14</v>
      </c>
      <c r="K168" s="22" t="s">
        <v>17</v>
      </c>
      <c r="L168" s="19" t="s">
        <v>11</v>
      </c>
      <c r="M168" s="22" t="s">
        <v>18</v>
      </c>
      <c r="N168" s="19" t="s">
        <v>11</v>
      </c>
      <c r="O168" s="22" t="s">
        <v>19</v>
      </c>
      <c r="P168" s="19" t="s">
        <v>11</v>
      </c>
      <c r="Q168" s="22" t="s">
        <v>20</v>
      </c>
      <c r="R168" s="19" t="s">
        <v>14</v>
      </c>
      <c r="S168" s="23" t="s">
        <v>21</v>
      </c>
      <c r="T168" s="24" t="s">
        <v>108</v>
      </c>
      <c r="U168" s="25" t="s">
        <v>25</v>
      </c>
      <c r="V168" s="17" t="s">
        <v>24</v>
      </c>
    </row>
    <row r="169" ht="15.75" customHeight="1">
      <c r="A169" s="7">
        <v>168.0</v>
      </c>
      <c r="B169" s="8" t="s">
        <v>10</v>
      </c>
      <c r="C169" s="9" t="s">
        <v>11</v>
      </c>
      <c r="D169" s="8" t="s">
        <v>12</v>
      </c>
      <c r="E169" s="10" t="s">
        <v>13</v>
      </c>
      <c r="F169" s="9" t="s">
        <v>14</v>
      </c>
      <c r="G169" s="10" t="s">
        <v>15</v>
      </c>
      <c r="H169" s="9" t="s">
        <v>11</v>
      </c>
      <c r="I169" s="11" t="s">
        <v>16</v>
      </c>
      <c r="J169" s="9" t="s">
        <v>14</v>
      </c>
      <c r="K169" s="13" t="s">
        <v>17</v>
      </c>
      <c r="L169" s="9" t="s">
        <v>11</v>
      </c>
      <c r="M169" s="13" t="s">
        <v>18</v>
      </c>
      <c r="N169" s="9" t="s">
        <v>11</v>
      </c>
      <c r="O169" s="13" t="s">
        <v>19</v>
      </c>
      <c r="P169" s="9" t="s">
        <v>11</v>
      </c>
      <c r="Q169" s="13" t="s">
        <v>20</v>
      </c>
      <c r="R169" s="9" t="s">
        <v>14</v>
      </c>
      <c r="S169" s="14" t="s">
        <v>21</v>
      </c>
      <c r="T169" s="15" t="s">
        <v>109</v>
      </c>
      <c r="U169" s="16" t="s">
        <v>23</v>
      </c>
      <c r="V169" s="17" t="s">
        <v>24</v>
      </c>
    </row>
    <row r="170" ht="15.75" customHeight="1">
      <c r="A170" s="7">
        <v>169.0</v>
      </c>
      <c r="B170" s="18" t="s">
        <v>10</v>
      </c>
      <c r="C170" s="19" t="s">
        <v>11</v>
      </c>
      <c r="D170" s="18" t="s">
        <v>12</v>
      </c>
      <c r="E170" s="20" t="s">
        <v>13</v>
      </c>
      <c r="F170" s="19" t="s">
        <v>14</v>
      </c>
      <c r="G170" s="20" t="s">
        <v>15</v>
      </c>
      <c r="H170" s="19" t="s">
        <v>11</v>
      </c>
      <c r="I170" s="21" t="s">
        <v>16</v>
      </c>
      <c r="J170" s="19" t="s">
        <v>14</v>
      </c>
      <c r="K170" s="22" t="s">
        <v>17</v>
      </c>
      <c r="L170" s="19" t="s">
        <v>11</v>
      </c>
      <c r="M170" s="22" t="s">
        <v>18</v>
      </c>
      <c r="N170" s="19" t="s">
        <v>11</v>
      </c>
      <c r="O170" s="22" t="s">
        <v>19</v>
      </c>
      <c r="P170" s="19" t="s">
        <v>11</v>
      </c>
      <c r="Q170" s="22" t="s">
        <v>20</v>
      </c>
      <c r="R170" s="19" t="s">
        <v>14</v>
      </c>
      <c r="S170" s="23" t="s">
        <v>21</v>
      </c>
      <c r="T170" s="29" t="s">
        <v>109</v>
      </c>
      <c r="U170" s="25" t="s">
        <v>25</v>
      </c>
      <c r="V170" s="17" t="s">
        <v>24</v>
      </c>
    </row>
    <row r="171" ht="15.75" customHeight="1">
      <c r="A171" s="7">
        <v>170.0</v>
      </c>
      <c r="B171" s="8" t="s">
        <v>10</v>
      </c>
      <c r="C171" s="9" t="s">
        <v>11</v>
      </c>
      <c r="D171" s="8" t="s">
        <v>12</v>
      </c>
      <c r="E171" s="10" t="s">
        <v>13</v>
      </c>
      <c r="F171" s="9" t="s">
        <v>14</v>
      </c>
      <c r="G171" s="10" t="s">
        <v>15</v>
      </c>
      <c r="H171" s="9" t="s">
        <v>11</v>
      </c>
      <c r="I171" s="11" t="s">
        <v>16</v>
      </c>
      <c r="J171" s="9" t="s">
        <v>14</v>
      </c>
      <c r="K171" s="13" t="s">
        <v>17</v>
      </c>
      <c r="L171" s="9" t="s">
        <v>11</v>
      </c>
      <c r="M171" s="13" t="s">
        <v>18</v>
      </c>
      <c r="N171" s="9" t="s">
        <v>11</v>
      </c>
      <c r="O171" s="13" t="s">
        <v>19</v>
      </c>
      <c r="P171" s="9" t="s">
        <v>11</v>
      </c>
      <c r="Q171" s="13" t="s">
        <v>20</v>
      </c>
      <c r="R171" s="9" t="s">
        <v>14</v>
      </c>
      <c r="S171" s="14" t="s">
        <v>21</v>
      </c>
      <c r="T171" s="15" t="s">
        <v>110</v>
      </c>
      <c r="U171" s="16" t="s">
        <v>23</v>
      </c>
      <c r="V171" s="17" t="s">
        <v>24</v>
      </c>
    </row>
    <row r="172" ht="15.75" customHeight="1">
      <c r="A172" s="7">
        <v>171.0</v>
      </c>
      <c r="B172" s="18" t="s">
        <v>10</v>
      </c>
      <c r="C172" s="19" t="s">
        <v>11</v>
      </c>
      <c r="D172" s="18" t="s">
        <v>12</v>
      </c>
      <c r="E172" s="20" t="s">
        <v>13</v>
      </c>
      <c r="F172" s="19" t="s">
        <v>14</v>
      </c>
      <c r="G172" s="20" t="s">
        <v>15</v>
      </c>
      <c r="H172" s="19" t="s">
        <v>11</v>
      </c>
      <c r="I172" s="21" t="s">
        <v>16</v>
      </c>
      <c r="J172" s="19" t="s">
        <v>14</v>
      </c>
      <c r="K172" s="22" t="s">
        <v>17</v>
      </c>
      <c r="L172" s="19" t="s">
        <v>11</v>
      </c>
      <c r="M172" s="22" t="s">
        <v>18</v>
      </c>
      <c r="N172" s="19" t="s">
        <v>11</v>
      </c>
      <c r="O172" s="22" t="s">
        <v>19</v>
      </c>
      <c r="P172" s="19" t="s">
        <v>11</v>
      </c>
      <c r="Q172" s="22" t="s">
        <v>20</v>
      </c>
      <c r="R172" s="19" t="s">
        <v>14</v>
      </c>
      <c r="S172" s="23" t="s">
        <v>21</v>
      </c>
      <c r="T172" s="24" t="s">
        <v>110</v>
      </c>
      <c r="U172" s="25" t="s">
        <v>25</v>
      </c>
      <c r="V172" s="17" t="s">
        <v>24</v>
      </c>
    </row>
    <row r="173" ht="15.75" customHeight="1">
      <c r="A173" s="7">
        <v>172.0</v>
      </c>
      <c r="B173" s="8" t="s">
        <v>10</v>
      </c>
      <c r="C173" s="9" t="s">
        <v>11</v>
      </c>
      <c r="D173" s="8" t="s">
        <v>12</v>
      </c>
      <c r="E173" s="10" t="s">
        <v>13</v>
      </c>
      <c r="F173" s="9" t="s">
        <v>14</v>
      </c>
      <c r="G173" s="10" t="s">
        <v>15</v>
      </c>
      <c r="H173" s="9" t="s">
        <v>11</v>
      </c>
      <c r="I173" s="11" t="s">
        <v>16</v>
      </c>
      <c r="J173" s="9" t="s">
        <v>14</v>
      </c>
      <c r="K173" s="13" t="s">
        <v>17</v>
      </c>
      <c r="L173" s="9" t="s">
        <v>11</v>
      </c>
      <c r="M173" s="13" t="s">
        <v>18</v>
      </c>
      <c r="N173" s="9" t="s">
        <v>11</v>
      </c>
      <c r="O173" s="13" t="s">
        <v>19</v>
      </c>
      <c r="P173" s="9" t="s">
        <v>11</v>
      </c>
      <c r="Q173" s="13" t="s">
        <v>20</v>
      </c>
      <c r="R173" s="9" t="s">
        <v>14</v>
      </c>
      <c r="S173" s="14" t="s">
        <v>21</v>
      </c>
      <c r="T173" s="15" t="s">
        <v>111</v>
      </c>
      <c r="U173" s="16" t="s">
        <v>23</v>
      </c>
      <c r="V173" s="17" t="s">
        <v>24</v>
      </c>
    </row>
    <row r="174" ht="15.75" customHeight="1">
      <c r="A174" s="7">
        <v>173.0</v>
      </c>
      <c r="B174" s="18" t="s">
        <v>10</v>
      </c>
      <c r="C174" s="19" t="s">
        <v>11</v>
      </c>
      <c r="D174" s="18" t="s">
        <v>12</v>
      </c>
      <c r="E174" s="20" t="s">
        <v>13</v>
      </c>
      <c r="F174" s="19" t="s">
        <v>14</v>
      </c>
      <c r="G174" s="20" t="s">
        <v>15</v>
      </c>
      <c r="H174" s="19" t="s">
        <v>11</v>
      </c>
      <c r="I174" s="21" t="s">
        <v>16</v>
      </c>
      <c r="J174" s="19" t="s">
        <v>14</v>
      </c>
      <c r="K174" s="22" t="s">
        <v>17</v>
      </c>
      <c r="L174" s="19" t="s">
        <v>11</v>
      </c>
      <c r="M174" s="22" t="s">
        <v>18</v>
      </c>
      <c r="N174" s="19" t="s">
        <v>11</v>
      </c>
      <c r="O174" s="22" t="s">
        <v>19</v>
      </c>
      <c r="P174" s="19" t="s">
        <v>11</v>
      </c>
      <c r="Q174" s="22" t="s">
        <v>20</v>
      </c>
      <c r="R174" s="19" t="s">
        <v>14</v>
      </c>
      <c r="S174" s="23" t="s">
        <v>21</v>
      </c>
      <c r="T174" s="24" t="s">
        <v>111</v>
      </c>
      <c r="U174" s="25" t="s">
        <v>25</v>
      </c>
      <c r="V174" s="17" t="s">
        <v>24</v>
      </c>
    </row>
    <row r="175" ht="15.75" customHeight="1">
      <c r="A175" s="7">
        <v>174.0</v>
      </c>
      <c r="B175" s="8" t="s">
        <v>10</v>
      </c>
      <c r="C175" s="9" t="s">
        <v>11</v>
      </c>
      <c r="D175" s="8" t="s">
        <v>12</v>
      </c>
      <c r="E175" s="10" t="s">
        <v>13</v>
      </c>
      <c r="F175" s="9" t="s">
        <v>14</v>
      </c>
      <c r="G175" s="10" t="s">
        <v>15</v>
      </c>
      <c r="H175" s="9" t="s">
        <v>11</v>
      </c>
      <c r="I175" s="11" t="s">
        <v>16</v>
      </c>
      <c r="J175" s="9" t="s">
        <v>14</v>
      </c>
      <c r="K175" s="13" t="s">
        <v>17</v>
      </c>
      <c r="L175" s="9" t="s">
        <v>11</v>
      </c>
      <c r="M175" s="13" t="s">
        <v>18</v>
      </c>
      <c r="N175" s="9" t="s">
        <v>11</v>
      </c>
      <c r="O175" s="13" t="s">
        <v>19</v>
      </c>
      <c r="P175" s="9" t="s">
        <v>11</v>
      </c>
      <c r="Q175" s="13" t="s">
        <v>20</v>
      </c>
      <c r="R175" s="9"/>
      <c r="S175" s="30" t="s">
        <v>112</v>
      </c>
      <c r="T175" s="15" t="s">
        <v>22</v>
      </c>
      <c r="U175" s="31" t="s">
        <v>23</v>
      </c>
      <c r="V175" s="17" t="s">
        <v>24</v>
      </c>
    </row>
    <row r="176" ht="15.75" customHeight="1">
      <c r="A176" s="7">
        <v>175.0</v>
      </c>
      <c r="B176" s="18" t="s">
        <v>10</v>
      </c>
      <c r="C176" s="19" t="s">
        <v>11</v>
      </c>
      <c r="D176" s="18" t="s">
        <v>12</v>
      </c>
      <c r="E176" s="20" t="s">
        <v>13</v>
      </c>
      <c r="F176" s="19" t="s">
        <v>14</v>
      </c>
      <c r="G176" s="20" t="s">
        <v>15</v>
      </c>
      <c r="H176" s="19" t="s">
        <v>11</v>
      </c>
      <c r="I176" s="21" t="s">
        <v>16</v>
      </c>
      <c r="J176" s="19" t="s">
        <v>14</v>
      </c>
      <c r="K176" s="22" t="s">
        <v>17</v>
      </c>
      <c r="L176" s="19" t="s">
        <v>11</v>
      </c>
      <c r="M176" s="22" t="s">
        <v>18</v>
      </c>
      <c r="N176" s="19" t="s">
        <v>11</v>
      </c>
      <c r="O176" s="22" t="s">
        <v>19</v>
      </c>
      <c r="P176" s="19" t="s">
        <v>11</v>
      </c>
      <c r="Q176" s="22" t="s">
        <v>20</v>
      </c>
      <c r="R176" s="19" t="s">
        <v>14</v>
      </c>
      <c r="S176" s="32" t="s">
        <v>112</v>
      </c>
      <c r="T176" s="24" t="s">
        <v>22</v>
      </c>
      <c r="U176" s="33" t="s">
        <v>25</v>
      </c>
      <c r="V176" s="17" t="s">
        <v>24</v>
      </c>
    </row>
    <row r="177" ht="15.75" customHeight="1">
      <c r="A177" s="7">
        <v>176.0</v>
      </c>
      <c r="B177" s="8" t="s">
        <v>10</v>
      </c>
      <c r="C177" s="9" t="s">
        <v>11</v>
      </c>
      <c r="D177" s="8" t="s">
        <v>12</v>
      </c>
      <c r="E177" s="10" t="s">
        <v>13</v>
      </c>
      <c r="F177" s="9" t="s">
        <v>14</v>
      </c>
      <c r="G177" s="10" t="s">
        <v>15</v>
      </c>
      <c r="H177" s="9" t="s">
        <v>11</v>
      </c>
      <c r="I177" s="11" t="s">
        <v>16</v>
      </c>
      <c r="J177" s="9" t="s">
        <v>14</v>
      </c>
      <c r="K177" s="13" t="s">
        <v>17</v>
      </c>
      <c r="L177" s="9" t="s">
        <v>11</v>
      </c>
      <c r="M177" s="13" t="s">
        <v>18</v>
      </c>
      <c r="N177" s="9" t="s">
        <v>11</v>
      </c>
      <c r="O177" s="13" t="s">
        <v>19</v>
      </c>
      <c r="P177" s="9" t="s">
        <v>11</v>
      </c>
      <c r="Q177" s="13" t="s">
        <v>20</v>
      </c>
      <c r="R177" s="9" t="s">
        <v>14</v>
      </c>
      <c r="S177" s="30" t="s">
        <v>112</v>
      </c>
      <c r="T177" s="15" t="s">
        <v>26</v>
      </c>
      <c r="U177" s="31" t="s">
        <v>23</v>
      </c>
      <c r="V177" s="17" t="s">
        <v>24</v>
      </c>
    </row>
    <row r="178" ht="15.75" customHeight="1">
      <c r="A178" s="7">
        <v>177.0</v>
      </c>
      <c r="B178" s="18" t="s">
        <v>10</v>
      </c>
      <c r="C178" s="19" t="s">
        <v>11</v>
      </c>
      <c r="D178" s="18" t="s">
        <v>12</v>
      </c>
      <c r="E178" s="20" t="s">
        <v>13</v>
      </c>
      <c r="F178" s="19" t="s">
        <v>14</v>
      </c>
      <c r="G178" s="20" t="s">
        <v>15</v>
      </c>
      <c r="H178" s="19" t="s">
        <v>11</v>
      </c>
      <c r="I178" s="21" t="s">
        <v>16</v>
      </c>
      <c r="J178" s="19" t="s">
        <v>14</v>
      </c>
      <c r="K178" s="22" t="s">
        <v>17</v>
      </c>
      <c r="L178" s="19" t="s">
        <v>11</v>
      </c>
      <c r="M178" s="22" t="s">
        <v>18</v>
      </c>
      <c r="N178" s="19" t="s">
        <v>11</v>
      </c>
      <c r="O178" s="22" t="s">
        <v>19</v>
      </c>
      <c r="P178" s="19" t="s">
        <v>11</v>
      </c>
      <c r="Q178" s="22" t="s">
        <v>20</v>
      </c>
      <c r="R178" s="19" t="s">
        <v>14</v>
      </c>
      <c r="S178" s="32" t="s">
        <v>112</v>
      </c>
      <c r="T178" s="24" t="s">
        <v>26</v>
      </c>
      <c r="U178" s="33" t="s">
        <v>25</v>
      </c>
      <c r="V178" s="17" t="s">
        <v>24</v>
      </c>
    </row>
    <row r="179" ht="15.75" customHeight="1">
      <c r="A179" s="7">
        <v>178.0</v>
      </c>
      <c r="B179" s="8" t="s">
        <v>10</v>
      </c>
      <c r="C179" s="9" t="s">
        <v>11</v>
      </c>
      <c r="D179" s="8" t="s">
        <v>12</v>
      </c>
      <c r="E179" s="10" t="s">
        <v>13</v>
      </c>
      <c r="F179" s="9" t="s">
        <v>14</v>
      </c>
      <c r="G179" s="10" t="s">
        <v>15</v>
      </c>
      <c r="H179" s="9" t="s">
        <v>11</v>
      </c>
      <c r="I179" s="11" t="s">
        <v>16</v>
      </c>
      <c r="J179" s="9" t="s">
        <v>14</v>
      </c>
      <c r="K179" s="13" t="s">
        <v>17</v>
      </c>
      <c r="L179" s="9" t="s">
        <v>11</v>
      </c>
      <c r="M179" s="13" t="s">
        <v>18</v>
      </c>
      <c r="N179" s="9" t="s">
        <v>11</v>
      </c>
      <c r="O179" s="13" t="s">
        <v>19</v>
      </c>
      <c r="P179" s="9" t="s">
        <v>11</v>
      </c>
      <c r="Q179" s="13" t="s">
        <v>20</v>
      </c>
      <c r="R179" s="9" t="s">
        <v>14</v>
      </c>
      <c r="S179" s="30" t="s">
        <v>112</v>
      </c>
      <c r="T179" s="15" t="s">
        <v>27</v>
      </c>
      <c r="U179" s="31" t="s">
        <v>23</v>
      </c>
      <c r="V179" s="17" t="s">
        <v>24</v>
      </c>
    </row>
    <row r="180" ht="15.75" customHeight="1">
      <c r="A180" s="7">
        <v>179.0</v>
      </c>
      <c r="B180" s="18" t="s">
        <v>10</v>
      </c>
      <c r="C180" s="19" t="s">
        <v>11</v>
      </c>
      <c r="D180" s="18" t="s">
        <v>12</v>
      </c>
      <c r="E180" s="20" t="s">
        <v>13</v>
      </c>
      <c r="F180" s="19" t="s">
        <v>14</v>
      </c>
      <c r="G180" s="20" t="s">
        <v>15</v>
      </c>
      <c r="H180" s="19" t="s">
        <v>11</v>
      </c>
      <c r="I180" s="21" t="s">
        <v>16</v>
      </c>
      <c r="J180" s="19" t="s">
        <v>14</v>
      </c>
      <c r="K180" s="22" t="s">
        <v>17</v>
      </c>
      <c r="L180" s="19" t="s">
        <v>11</v>
      </c>
      <c r="M180" s="22" t="s">
        <v>18</v>
      </c>
      <c r="N180" s="19" t="s">
        <v>11</v>
      </c>
      <c r="O180" s="22" t="s">
        <v>19</v>
      </c>
      <c r="P180" s="19" t="s">
        <v>11</v>
      </c>
      <c r="Q180" s="22" t="s">
        <v>20</v>
      </c>
      <c r="R180" s="19" t="s">
        <v>14</v>
      </c>
      <c r="S180" s="32" t="s">
        <v>112</v>
      </c>
      <c r="T180" s="24" t="s">
        <v>27</v>
      </c>
      <c r="U180" s="33" t="s">
        <v>25</v>
      </c>
      <c r="V180" s="17" t="s">
        <v>24</v>
      </c>
    </row>
    <row r="181" ht="15.75" customHeight="1">
      <c r="A181" s="7">
        <v>180.0</v>
      </c>
      <c r="B181" s="8" t="s">
        <v>10</v>
      </c>
      <c r="C181" s="9" t="s">
        <v>11</v>
      </c>
      <c r="D181" s="8" t="s">
        <v>12</v>
      </c>
      <c r="E181" s="10" t="s">
        <v>13</v>
      </c>
      <c r="F181" s="9" t="s">
        <v>14</v>
      </c>
      <c r="G181" s="10" t="s">
        <v>15</v>
      </c>
      <c r="H181" s="9" t="s">
        <v>11</v>
      </c>
      <c r="I181" s="11" t="s">
        <v>16</v>
      </c>
      <c r="J181" s="9" t="s">
        <v>14</v>
      </c>
      <c r="K181" s="13" t="s">
        <v>17</v>
      </c>
      <c r="L181" s="9" t="s">
        <v>11</v>
      </c>
      <c r="M181" s="13" t="s">
        <v>18</v>
      </c>
      <c r="N181" s="9" t="s">
        <v>11</v>
      </c>
      <c r="O181" s="13" t="s">
        <v>19</v>
      </c>
      <c r="P181" s="9" t="s">
        <v>11</v>
      </c>
      <c r="Q181" s="13" t="s">
        <v>20</v>
      </c>
      <c r="R181" s="9" t="s">
        <v>14</v>
      </c>
      <c r="S181" s="30" t="s">
        <v>112</v>
      </c>
      <c r="T181" s="15" t="s">
        <v>28</v>
      </c>
      <c r="U181" s="31" t="s">
        <v>23</v>
      </c>
      <c r="V181" s="17" t="s">
        <v>24</v>
      </c>
    </row>
    <row r="182" ht="15.75" customHeight="1">
      <c r="A182" s="7">
        <v>181.0</v>
      </c>
      <c r="B182" s="18" t="s">
        <v>10</v>
      </c>
      <c r="C182" s="19" t="s">
        <v>11</v>
      </c>
      <c r="D182" s="18" t="s">
        <v>12</v>
      </c>
      <c r="E182" s="20" t="s">
        <v>13</v>
      </c>
      <c r="F182" s="19" t="s">
        <v>14</v>
      </c>
      <c r="G182" s="20" t="s">
        <v>15</v>
      </c>
      <c r="H182" s="19" t="s">
        <v>11</v>
      </c>
      <c r="I182" s="21" t="s">
        <v>16</v>
      </c>
      <c r="J182" s="19" t="s">
        <v>14</v>
      </c>
      <c r="K182" s="22" t="s">
        <v>17</v>
      </c>
      <c r="L182" s="19" t="s">
        <v>11</v>
      </c>
      <c r="M182" s="22" t="s">
        <v>18</v>
      </c>
      <c r="N182" s="19" t="s">
        <v>11</v>
      </c>
      <c r="O182" s="22" t="s">
        <v>19</v>
      </c>
      <c r="P182" s="19" t="s">
        <v>11</v>
      </c>
      <c r="Q182" s="22" t="s">
        <v>20</v>
      </c>
      <c r="R182" s="19" t="s">
        <v>14</v>
      </c>
      <c r="S182" s="32" t="s">
        <v>112</v>
      </c>
      <c r="T182" s="24" t="s">
        <v>28</v>
      </c>
      <c r="U182" s="33" t="s">
        <v>25</v>
      </c>
      <c r="V182" s="17" t="s">
        <v>24</v>
      </c>
    </row>
    <row r="183" ht="15.75" customHeight="1">
      <c r="A183" s="7">
        <v>182.0</v>
      </c>
      <c r="B183" s="8" t="s">
        <v>10</v>
      </c>
      <c r="C183" s="9" t="s">
        <v>11</v>
      </c>
      <c r="D183" s="8" t="s">
        <v>12</v>
      </c>
      <c r="E183" s="10" t="s">
        <v>13</v>
      </c>
      <c r="F183" s="9" t="s">
        <v>14</v>
      </c>
      <c r="G183" s="10" t="s">
        <v>15</v>
      </c>
      <c r="H183" s="9" t="s">
        <v>11</v>
      </c>
      <c r="I183" s="11" t="s">
        <v>16</v>
      </c>
      <c r="J183" s="9" t="s">
        <v>14</v>
      </c>
      <c r="K183" s="13" t="s">
        <v>17</v>
      </c>
      <c r="L183" s="9" t="s">
        <v>11</v>
      </c>
      <c r="M183" s="13" t="s">
        <v>18</v>
      </c>
      <c r="N183" s="9" t="s">
        <v>11</v>
      </c>
      <c r="O183" s="13" t="s">
        <v>19</v>
      </c>
      <c r="P183" s="9" t="s">
        <v>11</v>
      </c>
      <c r="Q183" s="13" t="s">
        <v>20</v>
      </c>
      <c r="R183" s="9" t="s">
        <v>14</v>
      </c>
      <c r="S183" s="30" t="s">
        <v>112</v>
      </c>
      <c r="T183" s="15" t="s">
        <v>113</v>
      </c>
      <c r="U183" s="31" t="s">
        <v>23</v>
      </c>
      <c r="V183" s="17" t="s">
        <v>24</v>
      </c>
    </row>
    <row r="184" ht="15.75" customHeight="1">
      <c r="A184" s="7">
        <v>183.0</v>
      </c>
      <c r="B184" s="18" t="s">
        <v>10</v>
      </c>
      <c r="C184" s="19" t="s">
        <v>11</v>
      </c>
      <c r="D184" s="18" t="s">
        <v>12</v>
      </c>
      <c r="E184" s="20" t="s">
        <v>13</v>
      </c>
      <c r="F184" s="19" t="s">
        <v>14</v>
      </c>
      <c r="G184" s="20" t="s">
        <v>15</v>
      </c>
      <c r="H184" s="19" t="s">
        <v>11</v>
      </c>
      <c r="I184" s="21" t="s">
        <v>16</v>
      </c>
      <c r="J184" s="19" t="s">
        <v>14</v>
      </c>
      <c r="K184" s="22" t="s">
        <v>17</v>
      </c>
      <c r="L184" s="19" t="s">
        <v>11</v>
      </c>
      <c r="M184" s="22" t="s">
        <v>18</v>
      </c>
      <c r="N184" s="19" t="s">
        <v>11</v>
      </c>
      <c r="O184" s="22" t="s">
        <v>19</v>
      </c>
      <c r="P184" s="19" t="s">
        <v>11</v>
      </c>
      <c r="Q184" s="22" t="s">
        <v>20</v>
      </c>
      <c r="R184" s="19" t="s">
        <v>14</v>
      </c>
      <c r="S184" s="32" t="s">
        <v>112</v>
      </c>
      <c r="T184" s="24" t="s">
        <v>113</v>
      </c>
      <c r="U184" s="33" t="s">
        <v>25</v>
      </c>
      <c r="V184" s="17" t="s">
        <v>24</v>
      </c>
    </row>
    <row r="185" ht="15.75" customHeight="1">
      <c r="A185" s="7">
        <v>184.0</v>
      </c>
      <c r="B185" s="8" t="s">
        <v>10</v>
      </c>
      <c r="C185" s="9" t="s">
        <v>11</v>
      </c>
      <c r="D185" s="8" t="s">
        <v>12</v>
      </c>
      <c r="E185" s="10" t="s">
        <v>13</v>
      </c>
      <c r="F185" s="9" t="s">
        <v>14</v>
      </c>
      <c r="G185" s="10" t="s">
        <v>15</v>
      </c>
      <c r="H185" s="9" t="s">
        <v>11</v>
      </c>
      <c r="I185" s="11" t="s">
        <v>16</v>
      </c>
      <c r="J185" s="9" t="s">
        <v>14</v>
      </c>
      <c r="K185" s="13" t="s">
        <v>17</v>
      </c>
      <c r="L185" s="9" t="s">
        <v>11</v>
      </c>
      <c r="M185" s="13" t="s">
        <v>18</v>
      </c>
      <c r="N185" s="9" t="s">
        <v>11</v>
      </c>
      <c r="O185" s="13" t="s">
        <v>19</v>
      </c>
      <c r="P185" s="9" t="s">
        <v>11</v>
      </c>
      <c r="Q185" s="13" t="s">
        <v>20</v>
      </c>
      <c r="R185" s="9" t="s">
        <v>14</v>
      </c>
      <c r="S185" s="30" t="s">
        <v>112</v>
      </c>
      <c r="T185" s="15" t="s">
        <v>29</v>
      </c>
      <c r="U185" s="31" t="s">
        <v>23</v>
      </c>
      <c r="V185" s="17" t="s">
        <v>24</v>
      </c>
    </row>
    <row r="186" ht="15.75" customHeight="1">
      <c r="A186" s="7">
        <v>185.0</v>
      </c>
      <c r="B186" s="18" t="s">
        <v>10</v>
      </c>
      <c r="C186" s="19" t="s">
        <v>11</v>
      </c>
      <c r="D186" s="18" t="s">
        <v>12</v>
      </c>
      <c r="E186" s="20" t="s">
        <v>13</v>
      </c>
      <c r="F186" s="19" t="s">
        <v>14</v>
      </c>
      <c r="G186" s="20" t="s">
        <v>15</v>
      </c>
      <c r="H186" s="19" t="s">
        <v>11</v>
      </c>
      <c r="I186" s="21" t="s">
        <v>16</v>
      </c>
      <c r="J186" s="19" t="s">
        <v>14</v>
      </c>
      <c r="K186" s="22" t="s">
        <v>17</v>
      </c>
      <c r="L186" s="19" t="s">
        <v>11</v>
      </c>
      <c r="M186" s="22" t="s">
        <v>18</v>
      </c>
      <c r="N186" s="19" t="s">
        <v>11</v>
      </c>
      <c r="O186" s="22" t="s">
        <v>19</v>
      </c>
      <c r="P186" s="19" t="s">
        <v>11</v>
      </c>
      <c r="Q186" s="22" t="s">
        <v>20</v>
      </c>
      <c r="R186" s="19" t="s">
        <v>14</v>
      </c>
      <c r="S186" s="32" t="s">
        <v>112</v>
      </c>
      <c r="T186" s="24" t="s">
        <v>29</v>
      </c>
      <c r="U186" s="33" t="s">
        <v>25</v>
      </c>
      <c r="V186" s="17" t="s">
        <v>24</v>
      </c>
    </row>
    <row r="187" ht="15.75" customHeight="1">
      <c r="A187" s="7">
        <v>186.0</v>
      </c>
      <c r="B187" s="8" t="s">
        <v>10</v>
      </c>
      <c r="C187" s="9" t="s">
        <v>11</v>
      </c>
      <c r="D187" s="8" t="s">
        <v>12</v>
      </c>
      <c r="E187" s="10" t="s">
        <v>13</v>
      </c>
      <c r="F187" s="9" t="s">
        <v>14</v>
      </c>
      <c r="G187" s="10" t="s">
        <v>15</v>
      </c>
      <c r="H187" s="9" t="s">
        <v>11</v>
      </c>
      <c r="I187" s="11" t="s">
        <v>16</v>
      </c>
      <c r="J187" s="9" t="s">
        <v>14</v>
      </c>
      <c r="K187" s="13" t="s">
        <v>17</v>
      </c>
      <c r="L187" s="9" t="s">
        <v>11</v>
      </c>
      <c r="M187" s="13" t="s">
        <v>18</v>
      </c>
      <c r="N187" s="9" t="s">
        <v>11</v>
      </c>
      <c r="O187" s="13" t="s">
        <v>19</v>
      </c>
      <c r="P187" s="9" t="s">
        <v>11</v>
      </c>
      <c r="Q187" s="13" t="s">
        <v>20</v>
      </c>
      <c r="R187" s="9" t="s">
        <v>14</v>
      </c>
      <c r="S187" s="30" t="s">
        <v>112</v>
      </c>
      <c r="T187" s="15" t="s">
        <v>30</v>
      </c>
      <c r="U187" s="31" t="s">
        <v>23</v>
      </c>
      <c r="V187" s="17" t="s">
        <v>24</v>
      </c>
    </row>
    <row r="188" ht="15.75" customHeight="1">
      <c r="A188" s="7">
        <v>187.0</v>
      </c>
      <c r="B188" s="18" t="s">
        <v>10</v>
      </c>
      <c r="C188" s="19" t="s">
        <v>11</v>
      </c>
      <c r="D188" s="18" t="s">
        <v>12</v>
      </c>
      <c r="E188" s="20" t="s">
        <v>13</v>
      </c>
      <c r="F188" s="19" t="s">
        <v>14</v>
      </c>
      <c r="G188" s="20" t="s">
        <v>15</v>
      </c>
      <c r="H188" s="19" t="s">
        <v>11</v>
      </c>
      <c r="I188" s="21" t="s">
        <v>16</v>
      </c>
      <c r="J188" s="19" t="s">
        <v>14</v>
      </c>
      <c r="K188" s="22" t="s">
        <v>17</v>
      </c>
      <c r="L188" s="19" t="s">
        <v>11</v>
      </c>
      <c r="M188" s="22" t="s">
        <v>18</v>
      </c>
      <c r="N188" s="19" t="s">
        <v>11</v>
      </c>
      <c r="O188" s="22" t="s">
        <v>19</v>
      </c>
      <c r="P188" s="19" t="s">
        <v>11</v>
      </c>
      <c r="Q188" s="22" t="s">
        <v>20</v>
      </c>
      <c r="R188" s="19" t="s">
        <v>14</v>
      </c>
      <c r="S188" s="32" t="s">
        <v>112</v>
      </c>
      <c r="T188" s="24" t="s">
        <v>30</v>
      </c>
      <c r="U188" s="33" t="s">
        <v>25</v>
      </c>
      <c r="V188" s="17" t="s">
        <v>24</v>
      </c>
    </row>
    <row r="189" ht="15.75" customHeight="1">
      <c r="A189" s="7">
        <v>188.0</v>
      </c>
      <c r="B189" s="8" t="s">
        <v>10</v>
      </c>
      <c r="C189" s="9" t="s">
        <v>11</v>
      </c>
      <c r="D189" s="8" t="s">
        <v>12</v>
      </c>
      <c r="E189" s="10" t="s">
        <v>13</v>
      </c>
      <c r="F189" s="9" t="s">
        <v>14</v>
      </c>
      <c r="G189" s="10" t="s">
        <v>15</v>
      </c>
      <c r="H189" s="9" t="s">
        <v>11</v>
      </c>
      <c r="I189" s="11" t="s">
        <v>16</v>
      </c>
      <c r="J189" s="9" t="s">
        <v>14</v>
      </c>
      <c r="K189" s="13" t="s">
        <v>17</v>
      </c>
      <c r="L189" s="9" t="s">
        <v>11</v>
      </c>
      <c r="M189" s="13" t="s">
        <v>18</v>
      </c>
      <c r="N189" s="9" t="s">
        <v>11</v>
      </c>
      <c r="O189" s="13" t="s">
        <v>19</v>
      </c>
      <c r="P189" s="9" t="s">
        <v>11</v>
      </c>
      <c r="Q189" s="13" t="s">
        <v>20</v>
      </c>
      <c r="R189" s="9" t="s">
        <v>14</v>
      </c>
      <c r="S189" s="30" t="s">
        <v>112</v>
      </c>
      <c r="T189" s="15" t="s">
        <v>31</v>
      </c>
      <c r="U189" s="31" t="s">
        <v>23</v>
      </c>
      <c r="V189" s="17" t="s">
        <v>24</v>
      </c>
    </row>
    <row r="190" ht="15.75" customHeight="1">
      <c r="A190" s="7">
        <v>189.0</v>
      </c>
      <c r="B190" s="18" t="s">
        <v>10</v>
      </c>
      <c r="C190" s="19" t="s">
        <v>11</v>
      </c>
      <c r="D190" s="18" t="s">
        <v>12</v>
      </c>
      <c r="E190" s="20" t="s">
        <v>13</v>
      </c>
      <c r="F190" s="19" t="s">
        <v>14</v>
      </c>
      <c r="G190" s="20" t="s">
        <v>15</v>
      </c>
      <c r="H190" s="19" t="s">
        <v>11</v>
      </c>
      <c r="I190" s="21" t="s">
        <v>16</v>
      </c>
      <c r="J190" s="19" t="s">
        <v>14</v>
      </c>
      <c r="K190" s="22" t="s">
        <v>17</v>
      </c>
      <c r="L190" s="19" t="s">
        <v>11</v>
      </c>
      <c r="M190" s="22" t="s">
        <v>18</v>
      </c>
      <c r="N190" s="19" t="s">
        <v>11</v>
      </c>
      <c r="O190" s="22" t="s">
        <v>19</v>
      </c>
      <c r="P190" s="19" t="s">
        <v>11</v>
      </c>
      <c r="Q190" s="22" t="s">
        <v>20</v>
      </c>
      <c r="R190" s="19" t="s">
        <v>14</v>
      </c>
      <c r="S190" s="32" t="s">
        <v>112</v>
      </c>
      <c r="T190" s="24" t="s">
        <v>31</v>
      </c>
      <c r="U190" s="33" t="s">
        <v>25</v>
      </c>
      <c r="V190" s="17" t="s">
        <v>24</v>
      </c>
    </row>
    <row r="191" ht="15.75" customHeight="1">
      <c r="A191" s="7">
        <v>190.0</v>
      </c>
      <c r="B191" s="8" t="s">
        <v>10</v>
      </c>
      <c r="C191" s="9" t="s">
        <v>11</v>
      </c>
      <c r="D191" s="8" t="s">
        <v>12</v>
      </c>
      <c r="E191" s="10" t="s">
        <v>13</v>
      </c>
      <c r="F191" s="9" t="s">
        <v>14</v>
      </c>
      <c r="G191" s="10" t="s">
        <v>15</v>
      </c>
      <c r="H191" s="9" t="s">
        <v>11</v>
      </c>
      <c r="I191" s="11" t="s">
        <v>16</v>
      </c>
      <c r="J191" s="9" t="s">
        <v>14</v>
      </c>
      <c r="K191" s="13" t="s">
        <v>17</v>
      </c>
      <c r="L191" s="9" t="s">
        <v>11</v>
      </c>
      <c r="M191" s="13" t="s">
        <v>18</v>
      </c>
      <c r="N191" s="9" t="s">
        <v>11</v>
      </c>
      <c r="O191" s="13" t="s">
        <v>19</v>
      </c>
      <c r="P191" s="9" t="s">
        <v>11</v>
      </c>
      <c r="Q191" s="13" t="s">
        <v>20</v>
      </c>
      <c r="R191" s="9" t="s">
        <v>14</v>
      </c>
      <c r="S191" s="30" t="s">
        <v>112</v>
      </c>
      <c r="T191" s="15" t="s">
        <v>32</v>
      </c>
      <c r="U191" s="31" t="s">
        <v>23</v>
      </c>
      <c r="V191" s="17" t="s">
        <v>24</v>
      </c>
    </row>
    <row r="192" ht="15.75" customHeight="1">
      <c r="A192" s="7">
        <v>191.0</v>
      </c>
      <c r="B192" s="18" t="s">
        <v>10</v>
      </c>
      <c r="C192" s="19" t="s">
        <v>11</v>
      </c>
      <c r="D192" s="18" t="s">
        <v>12</v>
      </c>
      <c r="E192" s="20" t="s">
        <v>13</v>
      </c>
      <c r="F192" s="19" t="s">
        <v>14</v>
      </c>
      <c r="G192" s="20" t="s">
        <v>15</v>
      </c>
      <c r="H192" s="19" t="s">
        <v>11</v>
      </c>
      <c r="I192" s="21" t="s">
        <v>16</v>
      </c>
      <c r="J192" s="19" t="s">
        <v>14</v>
      </c>
      <c r="K192" s="22" t="s">
        <v>17</v>
      </c>
      <c r="L192" s="19" t="s">
        <v>11</v>
      </c>
      <c r="M192" s="22" t="s">
        <v>18</v>
      </c>
      <c r="N192" s="19" t="s">
        <v>11</v>
      </c>
      <c r="O192" s="22" t="s">
        <v>19</v>
      </c>
      <c r="P192" s="19" t="s">
        <v>11</v>
      </c>
      <c r="Q192" s="22" t="s">
        <v>20</v>
      </c>
      <c r="R192" s="19" t="s">
        <v>14</v>
      </c>
      <c r="S192" s="32" t="s">
        <v>112</v>
      </c>
      <c r="T192" s="24" t="s">
        <v>32</v>
      </c>
      <c r="U192" s="33" t="s">
        <v>25</v>
      </c>
      <c r="V192" s="17" t="s">
        <v>24</v>
      </c>
    </row>
    <row r="193" ht="15.75" customHeight="1">
      <c r="A193" s="7">
        <v>192.0</v>
      </c>
      <c r="B193" s="8" t="s">
        <v>10</v>
      </c>
      <c r="C193" s="9" t="s">
        <v>11</v>
      </c>
      <c r="D193" s="8" t="s">
        <v>12</v>
      </c>
      <c r="E193" s="10" t="s">
        <v>13</v>
      </c>
      <c r="F193" s="9" t="s">
        <v>14</v>
      </c>
      <c r="G193" s="10" t="s">
        <v>15</v>
      </c>
      <c r="H193" s="9" t="s">
        <v>11</v>
      </c>
      <c r="I193" s="11" t="s">
        <v>16</v>
      </c>
      <c r="J193" s="9" t="s">
        <v>14</v>
      </c>
      <c r="K193" s="13" t="s">
        <v>17</v>
      </c>
      <c r="L193" s="9" t="s">
        <v>11</v>
      </c>
      <c r="M193" s="13" t="s">
        <v>18</v>
      </c>
      <c r="N193" s="9" t="s">
        <v>11</v>
      </c>
      <c r="O193" s="13" t="s">
        <v>19</v>
      </c>
      <c r="P193" s="9" t="s">
        <v>11</v>
      </c>
      <c r="Q193" s="13" t="s">
        <v>20</v>
      </c>
      <c r="R193" s="9" t="s">
        <v>14</v>
      </c>
      <c r="S193" s="30" t="s">
        <v>112</v>
      </c>
      <c r="T193" s="15" t="s">
        <v>33</v>
      </c>
      <c r="U193" s="31" t="s">
        <v>23</v>
      </c>
      <c r="V193" s="17" t="s">
        <v>24</v>
      </c>
    </row>
    <row r="194" ht="15.75" customHeight="1">
      <c r="A194" s="7">
        <v>193.0</v>
      </c>
      <c r="B194" s="18" t="s">
        <v>10</v>
      </c>
      <c r="C194" s="19" t="s">
        <v>11</v>
      </c>
      <c r="D194" s="18" t="s">
        <v>12</v>
      </c>
      <c r="E194" s="20" t="s">
        <v>13</v>
      </c>
      <c r="F194" s="19" t="s">
        <v>14</v>
      </c>
      <c r="G194" s="20" t="s">
        <v>15</v>
      </c>
      <c r="H194" s="19" t="s">
        <v>11</v>
      </c>
      <c r="I194" s="21" t="s">
        <v>16</v>
      </c>
      <c r="J194" s="19" t="s">
        <v>14</v>
      </c>
      <c r="K194" s="22" t="s">
        <v>17</v>
      </c>
      <c r="L194" s="19" t="s">
        <v>11</v>
      </c>
      <c r="M194" s="22" t="s">
        <v>18</v>
      </c>
      <c r="N194" s="19" t="s">
        <v>11</v>
      </c>
      <c r="O194" s="22" t="s">
        <v>19</v>
      </c>
      <c r="P194" s="19" t="s">
        <v>11</v>
      </c>
      <c r="Q194" s="22" t="s">
        <v>20</v>
      </c>
      <c r="R194" s="19" t="s">
        <v>14</v>
      </c>
      <c r="S194" s="32" t="s">
        <v>112</v>
      </c>
      <c r="T194" s="24" t="s">
        <v>33</v>
      </c>
      <c r="U194" s="33" t="s">
        <v>25</v>
      </c>
      <c r="V194" s="17" t="s">
        <v>24</v>
      </c>
    </row>
    <row r="195" ht="15.75" customHeight="1">
      <c r="A195" s="7">
        <v>194.0</v>
      </c>
      <c r="B195" s="8" t="s">
        <v>10</v>
      </c>
      <c r="C195" s="9" t="s">
        <v>11</v>
      </c>
      <c r="D195" s="8" t="s">
        <v>12</v>
      </c>
      <c r="E195" s="10" t="s">
        <v>13</v>
      </c>
      <c r="F195" s="9" t="s">
        <v>14</v>
      </c>
      <c r="G195" s="10" t="s">
        <v>15</v>
      </c>
      <c r="H195" s="9" t="s">
        <v>11</v>
      </c>
      <c r="I195" s="11" t="s">
        <v>16</v>
      </c>
      <c r="J195" s="9" t="s">
        <v>14</v>
      </c>
      <c r="K195" s="13" t="s">
        <v>17</v>
      </c>
      <c r="L195" s="9" t="s">
        <v>11</v>
      </c>
      <c r="M195" s="13" t="s">
        <v>18</v>
      </c>
      <c r="N195" s="9" t="s">
        <v>11</v>
      </c>
      <c r="O195" s="13" t="s">
        <v>19</v>
      </c>
      <c r="P195" s="9" t="s">
        <v>11</v>
      </c>
      <c r="Q195" s="13" t="s">
        <v>20</v>
      </c>
      <c r="R195" s="9" t="s">
        <v>14</v>
      </c>
      <c r="S195" s="30" t="s">
        <v>112</v>
      </c>
      <c r="T195" s="15" t="s">
        <v>34</v>
      </c>
      <c r="U195" s="31" t="s">
        <v>23</v>
      </c>
      <c r="V195" s="17" t="s">
        <v>24</v>
      </c>
    </row>
    <row r="196" ht="15.75" customHeight="1">
      <c r="A196" s="7">
        <v>195.0</v>
      </c>
      <c r="B196" s="18" t="s">
        <v>10</v>
      </c>
      <c r="C196" s="19" t="s">
        <v>11</v>
      </c>
      <c r="D196" s="18" t="s">
        <v>12</v>
      </c>
      <c r="E196" s="20" t="s">
        <v>13</v>
      </c>
      <c r="F196" s="19" t="s">
        <v>14</v>
      </c>
      <c r="G196" s="20" t="s">
        <v>15</v>
      </c>
      <c r="H196" s="19" t="s">
        <v>11</v>
      </c>
      <c r="I196" s="21" t="s">
        <v>16</v>
      </c>
      <c r="J196" s="19" t="s">
        <v>14</v>
      </c>
      <c r="K196" s="22" t="s">
        <v>17</v>
      </c>
      <c r="L196" s="19" t="s">
        <v>11</v>
      </c>
      <c r="M196" s="22" t="s">
        <v>18</v>
      </c>
      <c r="N196" s="19" t="s">
        <v>11</v>
      </c>
      <c r="O196" s="22" t="s">
        <v>19</v>
      </c>
      <c r="P196" s="19" t="s">
        <v>11</v>
      </c>
      <c r="Q196" s="22" t="s">
        <v>20</v>
      </c>
      <c r="R196" s="19" t="s">
        <v>14</v>
      </c>
      <c r="S196" s="32" t="s">
        <v>112</v>
      </c>
      <c r="T196" s="24" t="s">
        <v>34</v>
      </c>
      <c r="U196" s="33" t="s">
        <v>25</v>
      </c>
      <c r="V196" s="17" t="s">
        <v>24</v>
      </c>
    </row>
    <row r="197" ht="15.75" customHeight="1">
      <c r="A197" s="7">
        <v>196.0</v>
      </c>
      <c r="B197" s="8" t="s">
        <v>10</v>
      </c>
      <c r="C197" s="9" t="s">
        <v>11</v>
      </c>
      <c r="D197" s="8" t="s">
        <v>12</v>
      </c>
      <c r="E197" s="10" t="s">
        <v>13</v>
      </c>
      <c r="F197" s="9" t="s">
        <v>14</v>
      </c>
      <c r="G197" s="10" t="s">
        <v>15</v>
      </c>
      <c r="H197" s="9" t="s">
        <v>11</v>
      </c>
      <c r="I197" s="11" t="s">
        <v>16</v>
      </c>
      <c r="J197" s="9" t="s">
        <v>14</v>
      </c>
      <c r="K197" s="13" t="s">
        <v>17</v>
      </c>
      <c r="L197" s="9" t="s">
        <v>11</v>
      </c>
      <c r="M197" s="13" t="s">
        <v>18</v>
      </c>
      <c r="N197" s="9" t="s">
        <v>11</v>
      </c>
      <c r="O197" s="13" t="s">
        <v>19</v>
      </c>
      <c r="P197" s="9" t="s">
        <v>11</v>
      </c>
      <c r="Q197" s="13" t="s">
        <v>20</v>
      </c>
      <c r="R197" s="9" t="s">
        <v>14</v>
      </c>
      <c r="S197" s="30" t="s">
        <v>112</v>
      </c>
      <c r="T197" s="15" t="s">
        <v>35</v>
      </c>
      <c r="U197" s="31" t="s">
        <v>23</v>
      </c>
      <c r="V197" s="17" t="s">
        <v>24</v>
      </c>
    </row>
    <row r="198" ht="15.75" customHeight="1">
      <c r="A198" s="7">
        <v>197.0</v>
      </c>
      <c r="B198" s="18" t="s">
        <v>10</v>
      </c>
      <c r="C198" s="19" t="s">
        <v>11</v>
      </c>
      <c r="D198" s="18" t="s">
        <v>12</v>
      </c>
      <c r="E198" s="20" t="s">
        <v>13</v>
      </c>
      <c r="F198" s="19" t="s">
        <v>14</v>
      </c>
      <c r="G198" s="20" t="s">
        <v>15</v>
      </c>
      <c r="H198" s="19" t="s">
        <v>11</v>
      </c>
      <c r="I198" s="21" t="s">
        <v>16</v>
      </c>
      <c r="J198" s="19" t="s">
        <v>14</v>
      </c>
      <c r="K198" s="22" t="s">
        <v>17</v>
      </c>
      <c r="L198" s="19" t="s">
        <v>11</v>
      </c>
      <c r="M198" s="22" t="s">
        <v>18</v>
      </c>
      <c r="N198" s="19" t="s">
        <v>11</v>
      </c>
      <c r="O198" s="22" t="s">
        <v>19</v>
      </c>
      <c r="P198" s="19" t="s">
        <v>11</v>
      </c>
      <c r="Q198" s="22" t="s">
        <v>20</v>
      </c>
      <c r="R198" s="19" t="s">
        <v>14</v>
      </c>
      <c r="S198" s="32" t="s">
        <v>112</v>
      </c>
      <c r="T198" s="24" t="s">
        <v>35</v>
      </c>
      <c r="U198" s="33" t="s">
        <v>25</v>
      </c>
      <c r="V198" s="17" t="s">
        <v>24</v>
      </c>
    </row>
    <row r="199" ht="15.75" customHeight="1">
      <c r="A199" s="7">
        <v>198.0</v>
      </c>
      <c r="B199" s="8" t="s">
        <v>10</v>
      </c>
      <c r="C199" s="9" t="s">
        <v>11</v>
      </c>
      <c r="D199" s="8" t="s">
        <v>12</v>
      </c>
      <c r="E199" s="10" t="s">
        <v>13</v>
      </c>
      <c r="F199" s="9" t="s">
        <v>14</v>
      </c>
      <c r="G199" s="10" t="s">
        <v>15</v>
      </c>
      <c r="H199" s="9" t="s">
        <v>11</v>
      </c>
      <c r="I199" s="11" t="s">
        <v>16</v>
      </c>
      <c r="J199" s="9" t="s">
        <v>14</v>
      </c>
      <c r="K199" s="13" t="s">
        <v>17</v>
      </c>
      <c r="L199" s="9" t="s">
        <v>11</v>
      </c>
      <c r="M199" s="13" t="s">
        <v>18</v>
      </c>
      <c r="N199" s="9" t="s">
        <v>11</v>
      </c>
      <c r="O199" s="13" t="s">
        <v>19</v>
      </c>
      <c r="P199" s="9" t="s">
        <v>11</v>
      </c>
      <c r="Q199" s="13" t="s">
        <v>20</v>
      </c>
      <c r="R199" s="9" t="s">
        <v>14</v>
      </c>
      <c r="S199" s="30" t="s">
        <v>112</v>
      </c>
      <c r="T199" s="15" t="s">
        <v>37</v>
      </c>
      <c r="U199" s="31" t="s">
        <v>23</v>
      </c>
      <c r="V199" s="17" t="s">
        <v>24</v>
      </c>
    </row>
    <row r="200" ht="15.75" customHeight="1">
      <c r="A200" s="7">
        <v>199.0</v>
      </c>
      <c r="B200" s="18" t="s">
        <v>10</v>
      </c>
      <c r="C200" s="19" t="s">
        <v>11</v>
      </c>
      <c r="D200" s="18" t="s">
        <v>12</v>
      </c>
      <c r="E200" s="20" t="s">
        <v>13</v>
      </c>
      <c r="F200" s="19" t="s">
        <v>14</v>
      </c>
      <c r="G200" s="20" t="s">
        <v>15</v>
      </c>
      <c r="H200" s="19" t="s">
        <v>11</v>
      </c>
      <c r="I200" s="21" t="s">
        <v>16</v>
      </c>
      <c r="J200" s="19" t="s">
        <v>14</v>
      </c>
      <c r="K200" s="22" t="s">
        <v>17</v>
      </c>
      <c r="L200" s="19" t="s">
        <v>11</v>
      </c>
      <c r="M200" s="22" t="s">
        <v>18</v>
      </c>
      <c r="N200" s="19" t="s">
        <v>11</v>
      </c>
      <c r="O200" s="22" t="s">
        <v>19</v>
      </c>
      <c r="P200" s="19" t="s">
        <v>11</v>
      </c>
      <c r="Q200" s="22" t="s">
        <v>20</v>
      </c>
      <c r="R200" s="19" t="s">
        <v>14</v>
      </c>
      <c r="S200" s="32" t="s">
        <v>112</v>
      </c>
      <c r="T200" s="24" t="s">
        <v>37</v>
      </c>
      <c r="U200" s="33" t="s">
        <v>25</v>
      </c>
      <c r="V200" s="17" t="s">
        <v>24</v>
      </c>
    </row>
    <row r="201" ht="15.75" customHeight="1">
      <c r="A201" s="7">
        <v>200.0</v>
      </c>
      <c r="B201" s="8" t="s">
        <v>10</v>
      </c>
      <c r="C201" s="9" t="s">
        <v>11</v>
      </c>
      <c r="D201" s="8" t="s">
        <v>12</v>
      </c>
      <c r="E201" s="10" t="s">
        <v>13</v>
      </c>
      <c r="F201" s="9" t="s">
        <v>14</v>
      </c>
      <c r="G201" s="10" t="s">
        <v>15</v>
      </c>
      <c r="H201" s="9" t="s">
        <v>11</v>
      </c>
      <c r="I201" s="11" t="s">
        <v>16</v>
      </c>
      <c r="J201" s="9" t="s">
        <v>14</v>
      </c>
      <c r="K201" s="13" t="s">
        <v>17</v>
      </c>
      <c r="L201" s="9" t="s">
        <v>11</v>
      </c>
      <c r="M201" s="13" t="s">
        <v>18</v>
      </c>
      <c r="N201" s="9" t="s">
        <v>11</v>
      </c>
      <c r="O201" s="13" t="s">
        <v>19</v>
      </c>
      <c r="P201" s="9" t="s">
        <v>11</v>
      </c>
      <c r="Q201" s="13" t="s">
        <v>20</v>
      </c>
      <c r="R201" s="9" t="s">
        <v>14</v>
      </c>
      <c r="S201" s="30" t="s">
        <v>112</v>
      </c>
      <c r="T201" s="15" t="s">
        <v>36</v>
      </c>
      <c r="U201" s="31" t="s">
        <v>23</v>
      </c>
      <c r="V201" s="17" t="s">
        <v>24</v>
      </c>
    </row>
    <row r="202" ht="15.75" customHeight="1">
      <c r="A202" s="7">
        <v>201.0</v>
      </c>
      <c r="B202" s="18" t="s">
        <v>10</v>
      </c>
      <c r="C202" s="19" t="s">
        <v>11</v>
      </c>
      <c r="D202" s="18" t="s">
        <v>12</v>
      </c>
      <c r="E202" s="20" t="s">
        <v>13</v>
      </c>
      <c r="F202" s="19" t="s">
        <v>14</v>
      </c>
      <c r="G202" s="20" t="s">
        <v>15</v>
      </c>
      <c r="H202" s="19" t="s">
        <v>11</v>
      </c>
      <c r="I202" s="21" t="s">
        <v>16</v>
      </c>
      <c r="J202" s="19" t="s">
        <v>14</v>
      </c>
      <c r="K202" s="22" t="s">
        <v>17</v>
      </c>
      <c r="L202" s="19" t="s">
        <v>11</v>
      </c>
      <c r="M202" s="22" t="s">
        <v>18</v>
      </c>
      <c r="N202" s="19" t="s">
        <v>11</v>
      </c>
      <c r="O202" s="22" t="s">
        <v>19</v>
      </c>
      <c r="P202" s="19" t="s">
        <v>11</v>
      </c>
      <c r="Q202" s="22" t="s">
        <v>20</v>
      </c>
      <c r="R202" s="19" t="s">
        <v>14</v>
      </c>
      <c r="S202" s="32" t="s">
        <v>112</v>
      </c>
      <c r="T202" s="24" t="s">
        <v>36</v>
      </c>
      <c r="U202" s="33" t="s">
        <v>25</v>
      </c>
      <c r="V202" s="17" t="s">
        <v>24</v>
      </c>
    </row>
    <row r="203" ht="15.75" customHeight="1">
      <c r="A203" s="7">
        <v>202.0</v>
      </c>
      <c r="B203" s="8" t="s">
        <v>10</v>
      </c>
      <c r="C203" s="9" t="s">
        <v>11</v>
      </c>
      <c r="D203" s="8" t="s">
        <v>12</v>
      </c>
      <c r="E203" s="10" t="s">
        <v>13</v>
      </c>
      <c r="F203" s="9" t="s">
        <v>14</v>
      </c>
      <c r="G203" s="10" t="s">
        <v>15</v>
      </c>
      <c r="H203" s="9" t="s">
        <v>11</v>
      </c>
      <c r="I203" s="11" t="s">
        <v>16</v>
      </c>
      <c r="J203" s="9" t="s">
        <v>14</v>
      </c>
      <c r="K203" s="13" t="s">
        <v>17</v>
      </c>
      <c r="L203" s="9" t="s">
        <v>11</v>
      </c>
      <c r="M203" s="13" t="s">
        <v>18</v>
      </c>
      <c r="N203" s="9" t="s">
        <v>11</v>
      </c>
      <c r="O203" s="13" t="s">
        <v>19</v>
      </c>
      <c r="P203" s="9" t="s">
        <v>11</v>
      </c>
      <c r="Q203" s="13" t="s">
        <v>20</v>
      </c>
      <c r="R203" s="9" t="s">
        <v>14</v>
      </c>
      <c r="S203" s="30" t="s">
        <v>112</v>
      </c>
      <c r="T203" s="15" t="s">
        <v>38</v>
      </c>
      <c r="U203" s="31" t="s">
        <v>23</v>
      </c>
      <c r="V203" s="17" t="s">
        <v>24</v>
      </c>
    </row>
    <row r="204" ht="15.75" customHeight="1">
      <c r="A204" s="7">
        <v>203.0</v>
      </c>
      <c r="B204" s="18" t="s">
        <v>10</v>
      </c>
      <c r="C204" s="19" t="s">
        <v>11</v>
      </c>
      <c r="D204" s="18" t="s">
        <v>12</v>
      </c>
      <c r="E204" s="20" t="s">
        <v>13</v>
      </c>
      <c r="F204" s="19" t="s">
        <v>14</v>
      </c>
      <c r="G204" s="20" t="s">
        <v>15</v>
      </c>
      <c r="H204" s="19" t="s">
        <v>11</v>
      </c>
      <c r="I204" s="21" t="s">
        <v>16</v>
      </c>
      <c r="J204" s="19" t="s">
        <v>14</v>
      </c>
      <c r="K204" s="22" t="s">
        <v>17</v>
      </c>
      <c r="L204" s="19" t="s">
        <v>11</v>
      </c>
      <c r="M204" s="22" t="s">
        <v>18</v>
      </c>
      <c r="N204" s="19" t="s">
        <v>11</v>
      </c>
      <c r="O204" s="22" t="s">
        <v>19</v>
      </c>
      <c r="P204" s="19" t="s">
        <v>11</v>
      </c>
      <c r="Q204" s="22" t="s">
        <v>20</v>
      </c>
      <c r="R204" s="19" t="s">
        <v>14</v>
      </c>
      <c r="S204" s="32" t="s">
        <v>112</v>
      </c>
      <c r="T204" s="24" t="s">
        <v>38</v>
      </c>
      <c r="U204" s="33" t="s">
        <v>25</v>
      </c>
      <c r="V204" s="17" t="s">
        <v>24</v>
      </c>
    </row>
    <row r="205" ht="15.75" customHeight="1">
      <c r="A205" s="7">
        <v>204.0</v>
      </c>
      <c r="B205" s="8" t="s">
        <v>10</v>
      </c>
      <c r="C205" s="9" t="s">
        <v>11</v>
      </c>
      <c r="D205" s="8" t="s">
        <v>12</v>
      </c>
      <c r="E205" s="10" t="s">
        <v>13</v>
      </c>
      <c r="F205" s="9" t="s">
        <v>14</v>
      </c>
      <c r="G205" s="10" t="s">
        <v>15</v>
      </c>
      <c r="H205" s="9" t="s">
        <v>11</v>
      </c>
      <c r="I205" s="11" t="s">
        <v>16</v>
      </c>
      <c r="J205" s="9" t="s">
        <v>14</v>
      </c>
      <c r="K205" s="13" t="s">
        <v>17</v>
      </c>
      <c r="L205" s="9" t="s">
        <v>11</v>
      </c>
      <c r="M205" s="13" t="s">
        <v>18</v>
      </c>
      <c r="N205" s="9" t="s">
        <v>11</v>
      </c>
      <c r="O205" s="13" t="s">
        <v>19</v>
      </c>
      <c r="P205" s="9" t="s">
        <v>11</v>
      </c>
      <c r="Q205" s="13" t="s">
        <v>20</v>
      </c>
      <c r="R205" s="9" t="s">
        <v>14</v>
      </c>
      <c r="S205" s="30" t="s">
        <v>112</v>
      </c>
      <c r="T205" s="15" t="s">
        <v>39</v>
      </c>
      <c r="U205" s="31" t="s">
        <v>23</v>
      </c>
      <c r="V205" s="17" t="s">
        <v>24</v>
      </c>
    </row>
    <row r="206" ht="15.75" customHeight="1">
      <c r="A206" s="7">
        <v>205.0</v>
      </c>
      <c r="B206" s="18" t="s">
        <v>10</v>
      </c>
      <c r="C206" s="19" t="s">
        <v>11</v>
      </c>
      <c r="D206" s="18" t="s">
        <v>12</v>
      </c>
      <c r="E206" s="20" t="s">
        <v>13</v>
      </c>
      <c r="F206" s="19" t="s">
        <v>14</v>
      </c>
      <c r="G206" s="20" t="s">
        <v>15</v>
      </c>
      <c r="H206" s="19" t="s">
        <v>11</v>
      </c>
      <c r="I206" s="21" t="s">
        <v>16</v>
      </c>
      <c r="J206" s="19" t="s">
        <v>14</v>
      </c>
      <c r="K206" s="22" t="s">
        <v>17</v>
      </c>
      <c r="L206" s="19" t="s">
        <v>11</v>
      </c>
      <c r="M206" s="22" t="s">
        <v>18</v>
      </c>
      <c r="N206" s="19" t="s">
        <v>11</v>
      </c>
      <c r="O206" s="22" t="s">
        <v>19</v>
      </c>
      <c r="P206" s="19" t="s">
        <v>11</v>
      </c>
      <c r="Q206" s="22" t="s">
        <v>20</v>
      </c>
      <c r="R206" s="19" t="s">
        <v>14</v>
      </c>
      <c r="S206" s="32" t="s">
        <v>112</v>
      </c>
      <c r="T206" s="24" t="s">
        <v>39</v>
      </c>
      <c r="U206" s="33" t="s">
        <v>25</v>
      </c>
      <c r="V206" s="17" t="s">
        <v>24</v>
      </c>
    </row>
    <row r="207" ht="15.75" customHeight="1">
      <c r="A207" s="7">
        <v>206.0</v>
      </c>
      <c r="B207" s="8" t="s">
        <v>10</v>
      </c>
      <c r="C207" s="9" t="s">
        <v>11</v>
      </c>
      <c r="D207" s="8" t="s">
        <v>12</v>
      </c>
      <c r="E207" s="10" t="s">
        <v>13</v>
      </c>
      <c r="F207" s="9" t="s">
        <v>14</v>
      </c>
      <c r="G207" s="10" t="s">
        <v>15</v>
      </c>
      <c r="H207" s="9" t="s">
        <v>11</v>
      </c>
      <c r="I207" s="11" t="s">
        <v>16</v>
      </c>
      <c r="J207" s="9" t="s">
        <v>14</v>
      </c>
      <c r="K207" s="13" t="s">
        <v>17</v>
      </c>
      <c r="L207" s="9" t="s">
        <v>11</v>
      </c>
      <c r="M207" s="13" t="s">
        <v>18</v>
      </c>
      <c r="N207" s="9" t="s">
        <v>11</v>
      </c>
      <c r="O207" s="13" t="s">
        <v>19</v>
      </c>
      <c r="P207" s="9" t="s">
        <v>11</v>
      </c>
      <c r="Q207" s="13" t="s">
        <v>20</v>
      </c>
      <c r="R207" s="9" t="s">
        <v>14</v>
      </c>
      <c r="S207" s="30" t="s">
        <v>112</v>
      </c>
      <c r="T207" s="15" t="s">
        <v>40</v>
      </c>
      <c r="U207" s="31" t="s">
        <v>23</v>
      </c>
      <c r="V207" s="17" t="s">
        <v>24</v>
      </c>
    </row>
    <row r="208" ht="15.75" customHeight="1">
      <c r="A208" s="7">
        <v>207.0</v>
      </c>
      <c r="B208" s="18" t="s">
        <v>10</v>
      </c>
      <c r="C208" s="19" t="s">
        <v>11</v>
      </c>
      <c r="D208" s="18" t="s">
        <v>12</v>
      </c>
      <c r="E208" s="20" t="s">
        <v>13</v>
      </c>
      <c r="F208" s="19" t="s">
        <v>14</v>
      </c>
      <c r="G208" s="20" t="s">
        <v>15</v>
      </c>
      <c r="H208" s="19" t="s">
        <v>11</v>
      </c>
      <c r="I208" s="21" t="s">
        <v>16</v>
      </c>
      <c r="J208" s="19" t="s">
        <v>14</v>
      </c>
      <c r="K208" s="22" t="s">
        <v>17</v>
      </c>
      <c r="L208" s="19" t="s">
        <v>11</v>
      </c>
      <c r="M208" s="22" t="s">
        <v>18</v>
      </c>
      <c r="N208" s="19" t="s">
        <v>11</v>
      </c>
      <c r="O208" s="22" t="s">
        <v>19</v>
      </c>
      <c r="P208" s="19" t="s">
        <v>11</v>
      </c>
      <c r="Q208" s="22" t="s">
        <v>20</v>
      </c>
      <c r="R208" s="19" t="s">
        <v>14</v>
      </c>
      <c r="S208" s="32" t="s">
        <v>112</v>
      </c>
      <c r="T208" s="24" t="s">
        <v>40</v>
      </c>
      <c r="U208" s="33" t="s">
        <v>25</v>
      </c>
      <c r="V208" s="17" t="s">
        <v>24</v>
      </c>
    </row>
    <row r="209" ht="15.75" customHeight="1">
      <c r="A209" s="7">
        <v>208.0</v>
      </c>
      <c r="B209" s="8" t="s">
        <v>10</v>
      </c>
      <c r="C209" s="9" t="s">
        <v>11</v>
      </c>
      <c r="D209" s="8" t="s">
        <v>12</v>
      </c>
      <c r="E209" s="10" t="s">
        <v>13</v>
      </c>
      <c r="F209" s="9" t="s">
        <v>14</v>
      </c>
      <c r="G209" s="10" t="s">
        <v>15</v>
      </c>
      <c r="H209" s="9" t="s">
        <v>11</v>
      </c>
      <c r="I209" s="11" t="s">
        <v>16</v>
      </c>
      <c r="J209" s="9" t="s">
        <v>14</v>
      </c>
      <c r="K209" s="13" t="s">
        <v>17</v>
      </c>
      <c r="L209" s="9" t="s">
        <v>11</v>
      </c>
      <c r="M209" s="13" t="s">
        <v>18</v>
      </c>
      <c r="N209" s="9" t="s">
        <v>11</v>
      </c>
      <c r="O209" s="13" t="s">
        <v>19</v>
      </c>
      <c r="P209" s="9" t="s">
        <v>11</v>
      </c>
      <c r="Q209" s="13" t="s">
        <v>20</v>
      </c>
      <c r="R209" s="9" t="s">
        <v>14</v>
      </c>
      <c r="S209" s="30" t="s">
        <v>112</v>
      </c>
      <c r="T209" s="15" t="s">
        <v>41</v>
      </c>
      <c r="U209" s="31" t="s">
        <v>23</v>
      </c>
      <c r="V209" s="17" t="s">
        <v>24</v>
      </c>
    </row>
    <row r="210" ht="15.75" customHeight="1">
      <c r="A210" s="7">
        <v>209.0</v>
      </c>
      <c r="B210" s="18" t="s">
        <v>10</v>
      </c>
      <c r="C210" s="19" t="s">
        <v>11</v>
      </c>
      <c r="D210" s="18" t="s">
        <v>12</v>
      </c>
      <c r="E210" s="20" t="s">
        <v>13</v>
      </c>
      <c r="F210" s="19" t="s">
        <v>14</v>
      </c>
      <c r="G210" s="20" t="s">
        <v>15</v>
      </c>
      <c r="H210" s="19" t="s">
        <v>11</v>
      </c>
      <c r="I210" s="21" t="s">
        <v>16</v>
      </c>
      <c r="J210" s="19" t="s">
        <v>14</v>
      </c>
      <c r="K210" s="22" t="s">
        <v>17</v>
      </c>
      <c r="L210" s="19" t="s">
        <v>11</v>
      </c>
      <c r="M210" s="22" t="s">
        <v>18</v>
      </c>
      <c r="N210" s="19" t="s">
        <v>11</v>
      </c>
      <c r="O210" s="22" t="s">
        <v>19</v>
      </c>
      <c r="P210" s="19" t="s">
        <v>11</v>
      </c>
      <c r="Q210" s="22" t="s">
        <v>20</v>
      </c>
      <c r="R210" s="19" t="s">
        <v>14</v>
      </c>
      <c r="S210" s="32" t="s">
        <v>112</v>
      </c>
      <c r="T210" s="24" t="s">
        <v>41</v>
      </c>
      <c r="U210" s="33" t="s">
        <v>25</v>
      </c>
      <c r="V210" s="17" t="s">
        <v>24</v>
      </c>
    </row>
    <row r="211" ht="15.75" customHeight="1">
      <c r="A211" s="7">
        <v>210.0</v>
      </c>
      <c r="B211" s="8" t="s">
        <v>10</v>
      </c>
      <c r="C211" s="9" t="s">
        <v>11</v>
      </c>
      <c r="D211" s="8" t="s">
        <v>12</v>
      </c>
      <c r="E211" s="10" t="s">
        <v>13</v>
      </c>
      <c r="F211" s="9" t="s">
        <v>14</v>
      </c>
      <c r="G211" s="10" t="s">
        <v>15</v>
      </c>
      <c r="H211" s="9" t="s">
        <v>11</v>
      </c>
      <c r="I211" s="11" t="s">
        <v>16</v>
      </c>
      <c r="J211" s="9" t="s">
        <v>14</v>
      </c>
      <c r="K211" s="13" t="s">
        <v>17</v>
      </c>
      <c r="L211" s="9" t="s">
        <v>11</v>
      </c>
      <c r="M211" s="13" t="s">
        <v>18</v>
      </c>
      <c r="N211" s="9" t="s">
        <v>11</v>
      </c>
      <c r="O211" s="13" t="s">
        <v>19</v>
      </c>
      <c r="P211" s="9" t="s">
        <v>11</v>
      </c>
      <c r="Q211" s="13" t="s">
        <v>20</v>
      </c>
      <c r="R211" s="9" t="s">
        <v>14</v>
      </c>
      <c r="S211" s="30" t="s">
        <v>112</v>
      </c>
      <c r="T211" s="15" t="s">
        <v>42</v>
      </c>
      <c r="U211" s="31" t="s">
        <v>23</v>
      </c>
      <c r="V211" s="17" t="s">
        <v>24</v>
      </c>
    </row>
    <row r="212" ht="15.75" customHeight="1">
      <c r="A212" s="7">
        <v>211.0</v>
      </c>
      <c r="B212" s="18" t="s">
        <v>10</v>
      </c>
      <c r="C212" s="19" t="s">
        <v>11</v>
      </c>
      <c r="D212" s="18" t="s">
        <v>12</v>
      </c>
      <c r="E212" s="20" t="s">
        <v>13</v>
      </c>
      <c r="F212" s="19" t="s">
        <v>14</v>
      </c>
      <c r="G212" s="20" t="s">
        <v>15</v>
      </c>
      <c r="H212" s="19" t="s">
        <v>11</v>
      </c>
      <c r="I212" s="21" t="s">
        <v>16</v>
      </c>
      <c r="J212" s="19" t="s">
        <v>14</v>
      </c>
      <c r="K212" s="22" t="s">
        <v>17</v>
      </c>
      <c r="L212" s="19" t="s">
        <v>11</v>
      </c>
      <c r="M212" s="22" t="s">
        <v>18</v>
      </c>
      <c r="N212" s="19" t="s">
        <v>11</v>
      </c>
      <c r="O212" s="22" t="s">
        <v>19</v>
      </c>
      <c r="P212" s="19" t="s">
        <v>11</v>
      </c>
      <c r="Q212" s="22" t="s">
        <v>20</v>
      </c>
      <c r="R212" s="19" t="s">
        <v>14</v>
      </c>
      <c r="S212" s="32" t="s">
        <v>112</v>
      </c>
      <c r="T212" s="24" t="s">
        <v>42</v>
      </c>
      <c r="U212" s="33" t="s">
        <v>25</v>
      </c>
      <c r="V212" s="17" t="s">
        <v>24</v>
      </c>
    </row>
    <row r="213" ht="15.75" customHeight="1">
      <c r="A213" s="7">
        <v>212.0</v>
      </c>
      <c r="B213" s="8" t="s">
        <v>10</v>
      </c>
      <c r="C213" s="9" t="s">
        <v>11</v>
      </c>
      <c r="D213" s="8" t="s">
        <v>12</v>
      </c>
      <c r="E213" s="10" t="s">
        <v>13</v>
      </c>
      <c r="F213" s="9" t="s">
        <v>14</v>
      </c>
      <c r="G213" s="10" t="s">
        <v>15</v>
      </c>
      <c r="H213" s="9" t="s">
        <v>11</v>
      </c>
      <c r="I213" s="11" t="s">
        <v>16</v>
      </c>
      <c r="J213" s="9" t="s">
        <v>14</v>
      </c>
      <c r="K213" s="13" t="s">
        <v>17</v>
      </c>
      <c r="L213" s="9" t="s">
        <v>11</v>
      </c>
      <c r="M213" s="13" t="s">
        <v>18</v>
      </c>
      <c r="N213" s="9" t="s">
        <v>11</v>
      </c>
      <c r="O213" s="13" t="s">
        <v>19</v>
      </c>
      <c r="P213" s="9" t="s">
        <v>11</v>
      </c>
      <c r="Q213" s="13" t="s">
        <v>20</v>
      </c>
      <c r="R213" s="9" t="s">
        <v>14</v>
      </c>
      <c r="S213" s="30" t="s">
        <v>112</v>
      </c>
      <c r="T213" s="15" t="s">
        <v>43</v>
      </c>
      <c r="U213" s="31" t="s">
        <v>23</v>
      </c>
      <c r="V213" s="17" t="s">
        <v>24</v>
      </c>
    </row>
    <row r="214" ht="15.75" customHeight="1">
      <c r="A214" s="7">
        <v>213.0</v>
      </c>
      <c r="B214" s="18" t="s">
        <v>10</v>
      </c>
      <c r="C214" s="19" t="s">
        <v>11</v>
      </c>
      <c r="D214" s="18" t="s">
        <v>12</v>
      </c>
      <c r="E214" s="20" t="s">
        <v>13</v>
      </c>
      <c r="F214" s="19" t="s">
        <v>14</v>
      </c>
      <c r="G214" s="20" t="s">
        <v>15</v>
      </c>
      <c r="H214" s="19" t="s">
        <v>11</v>
      </c>
      <c r="I214" s="21" t="s">
        <v>16</v>
      </c>
      <c r="J214" s="19" t="s">
        <v>14</v>
      </c>
      <c r="K214" s="22" t="s">
        <v>17</v>
      </c>
      <c r="L214" s="19" t="s">
        <v>11</v>
      </c>
      <c r="M214" s="22" t="s">
        <v>18</v>
      </c>
      <c r="N214" s="19" t="s">
        <v>11</v>
      </c>
      <c r="O214" s="22" t="s">
        <v>19</v>
      </c>
      <c r="P214" s="19" t="s">
        <v>11</v>
      </c>
      <c r="Q214" s="22" t="s">
        <v>20</v>
      </c>
      <c r="R214" s="19" t="s">
        <v>14</v>
      </c>
      <c r="S214" s="32" t="s">
        <v>112</v>
      </c>
      <c r="T214" s="24" t="s">
        <v>43</v>
      </c>
      <c r="U214" s="33" t="s">
        <v>25</v>
      </c>
      <c r="V214" s="17" t="s">
        <v>24</v>
      </c>
    </row>
    <row r="215" ht="15.75" customHeight="1">
      <c r="A215" s="7">
        <v>214.0</v>
      </c>
      <c r="B215" s="8" t="s">
        <v>10</v>
      </c>
      <c r="C215" s="9" t="s">
        <v>11</v>
      </c>
      <c r="D215" s="8" t="s">
        <v>12</v>
      </c>
      <c r="E215" s="10" t="s">
        <v>13</v>
      </c>
      <c r="F215" s="9" t="s">
        <v>14</v>
      </c>
      <c r="G215" s="10" t="s">
        <v>15</v>
      </c>
      <c r="H215" s="9" t="s">
        <v>11</v>
      </c>
      <c r="I215" s="11" t="s">
        <v>16</v>
      </c>
      <c r="J215" s="9" t="s">
        <v>14</v>
      </c>
      <c r="K215" s="13" t="s">
        <v>17</v>
      </c>
      <c r="L215" s="9" t="s">
        <v>11</v>
      </c>
      <c r="M215" s="13" t="s">
        <v>18</v>
      </c>
      <c r="N215" s="9" t="s">
        <v>11</v>
      </c>
      <c r="O215" s="13" t="s">
        <v>19</v>
      </c>
      <c r="P215" s="9" t="s">
        <v>11</v>
      </c>
      <c r="Q215" s="13" t="s">
        <v>20</v>
      </c>
      <c r="R215" s="9" t="s">
        <v>14</v>
      </c>
      <c r="S215" s="34" t="s">
        <v>114</v>
      </c>
      <c r="T215" s="15" t="s">
        <v>22</v>
      </c>
      <c r="U215" s="31" t="s">
        <v>23</v>
      </c>
      <c r="V215" s="17" t="s">
        <v>24</v>
      </c>
    </row>
    <row r="216" ht="15.75" customHeight="1">
      <c r="A216" s="7">
        <v>215.0</v>
      </c>
      <c r="B216" s="18" t="s">
        <v>10</v>
      </c>
      <c r="C216" s="19" t="s">
        <v>11</v>
      </c>
      <c r="D216" s="18" t="s">
        <v>12</v>
      </c>
      <c r="E216" s="20" t="s">
        <v>13</v>
      </c>
      <c r="F216" s="19" t="s">
        <v>14</v>
      </c>
      <c r="G216" s="20" t="s">
        <v>15</v>
      </c>
      <c r="H216" s="19" t="s">
        <v>11</v>
      </c>
      <c r="I216" s="21" t="s">
        <v>16</v>
      </c>
      <c r="J216" s="19" t="s">
        <v>14</v>
      </c>
      <c r="K216" s="22" t="s">
        <v>17</v>
      </c>
      <c r="L216" s="19" t="s">
        <v>11</v>
      </c>
      <c r="M216" s="22" t="s">
        <v>18</v>
      </c>
      <c r="N216" s="19" t="s">
        <v>11</v>
      </c>
      <c r="O216" s="22" t="s">
        <v>19</v>
      </c>
      <c r="P216" s="19" t="s">
        <v>11</v>
      </c>
      <c r="Q216" s="22" t="s">
        <v>20</v>
      </c>
      <c r="R216" s="19" t="s">
        <v>14</v>
      </c>
      <c r="S216" s="35" t="s">
        <v>114</v>
      </c>
      <c r="T216" s="24" t="s">
        <v>22</v>
      </c>
      <c r="U216" s="33" t="s">
        <v>25</v>
      </c>
      <c r="V216" s="17" t="s">
        <v>24</v>
      </c>
    </row>
    <row r="217" ht="15.75" customHeight="1">
      <c r="A217" s="7">
        <v>216.0</v>
      </c>
      <c r="B217" s="8" t="s">
        <v>10</v>
      </c>
      <c r="C217" s="9" t="s">
        <v>11</v>
      </c>
      <c r="D217" s="8" t="s">
        <v>12</v>
      </c>
      <c r="E217" s="10" t="s">
        <v>13</v>
      </c>
      <c r="F217" s="9" t="s">
        <v>14</v>
      </c>
      <c r="G217" s="10" t="s">
        <v>15</v>
      </c>
      <c r="H217" s="9" t="s">
        <v>11</v>
      </c>
      <c r="I217" s="11" t="s">
        <v>16</v>
      </c>
      <c r="J217" s="9" t="s">
        <v>14</v>
      </c>
      <c r="K217" s="13" t="s">
        <v>17</v>
      </c>
      <c r="L217" s="9" t="s">
        <v>11</v>
      </c>
      <c r="M217" s="13" t="s">
        <v>18</v>
      </c>
      <c r="N217" s="9" t="s">
        <v>11</v>
      </c>
      <c r="O217" s="13" t="s">
        <v>19</v>
      </c>
      <c r="P217" s="9" t="s">
        <v>11</v>
      </c>
      <c r="Q217" s="13" t="s">
        <v>20</v>
      </c>
      <c r="R217" s="9" t="s">
        <v>14</v>
      </c>
      <c r="S217" s="34" t="s">
        <v>114</v>
      </c>
      <c r="T217" s="15" t="s">
        <v>26</v>
      </c>
      <c r="U217" s="31" t="s">
        <v>23</v>
      </c>
      <c r="V217" s="17" t="s">
        <v>24</v>
      </c>
    </row>
    <row r="218" ht="15.75" customHeight="1">
      <c r="A218" s="7">
        <v>217.0</v>
      </c>
      <c r="B218" s="18" t="s">
        <v>10</v>
      </c>
      <c r="C218" s="19" t="s">
        <v>11</v>
      </c>
      <c r="D218" s="18" t="s">
        <v>12</v>
      </c>
      <c r="E218" s="20" t="s">
        <v>13</v>
      </c>
      <c r="F218" s="19" t="s">
        <v>14</v>
      </c>
      <c r="G218" s="20" t="s">
        <v>15</v>
      </c>
      <c r="H218" s="19" t="s">
        <v>11</v>
      </c>
      <c r="I218" s="21" t="s">
        <v>16</v>
      </c>
      <c r="J218" s="19" t="s">
        <v>14</v>
      </c>
      <c r="K218" s="22" t="s">
        <v>17</v>
      </c>
      <c r="L218" s="19" t="s">
        <v>11</v>
      </c>
      <c r="M218" s="22" t="s">
        <v>18</v>
      </c>
      <c r="N218" s="19" t="s">
        <v>11</v>
      </c>
      <c r="O218" s="22" t="s">
        <v>19</v>
      </c>
      <c r="P218" s="19" t="s">
        <v>11</v>
      </c>
      <c r="Q218" s="22" t="s">
        <v>20</v>
      </c>
      <c r="R218" s="19" t="s">
        <v>14</v>
      </c>
      <c r="S218" s="35" t="s">
        <v>114</v>
      </c>
      <c r="T218" s="24" t="s">
        <v>26</v>
      </c>
      <c r="U218" s="33" t="s">
        <v>25</v>
      </c>
      <c r="V218" s="17" t="s">
        <v>24</v>
      </c>
    </row>
    <row r="219" ht="15.75" customHeight="1">
      <c r="A219" s="7">
        <v>218.0</v>
      </c>
      <c r="B219" s="8" t="s">
        <v>10</v>
      </c>
      <c r="C219" s="9" t="s">
        <v>11</v>
      </c>
      <c r="D219" s="8" t="s">
        <v>12</v>
      </c>
      <c r="E219" s="10" t="s">
        <v>13</v>
      </c>
      <c r="F219" s="9" t="s">
        <v>14</v>
      </c>
      <c r="G219" s="10" t="s">
        <v>15</v>
      </c>
      <c r="H219" s="9" t="s">
        <v>11</v>
      </c>
      <c r="I219" s="11" t="s">
        <v>16</v>
      </c>
      <c r="J219" s="9" t="s">
        <v>14</v>
      </c>
      <c r="K219" s="13" t="s">
        <v>17</v>
      </c>
      <c r="L219" s="9" t="s">
        <v>11</v>
      </c>
      <c r="M219" s="13" t="s">
        <v>18</v>
      </c>
      <c r="N219" s="9" t="s">
        <v>11</v>
      </c>
      <c r="O219" s="13" t="s">
        <v>19</v>
      </c>
      <c r="P219" s="9" t="s">
        <v>11</v>
      </c>
      <c r="Q219" s="13" t="s">
        <v>20</v>
      </c>
      <c r="R219" s="9" t="s">
        <v>14</v>
      </c>
      <c r="S219" s="34" t="s">
        <v>114</v>
      </c>
      <c r="T219" s="15" t="s">
        <v>27</v>
      </c>
      <c r="U219" s="31" t="s">
        <v>23</v>
      </c>
      <c r="V219" s="17" t="s">
        <v>24</v>
      </c>
    </row>
    <row r="220" ht="15.75" customHeight="1">
      <c r="A220" s="7">
        <v>219.0</v>
      </c>
      <c r="B220" s="18" t="s">
        <v>10</v>
      </c>
      <c r="C220" s="19" t="s">
        <v>11</v>
      </c>
      <c r="D220" s="18" t="s">
        <v>12</v>
      </c>
      <c r="E220" s="20" t="s">
        <v>13</v>
      </c>
      <c r="F220" s="19" t="s">
        <v>14</v>
      </c>
      <c r="G220" s="20" t="s">
        <v>15</v>
      </c>
      <c r="H220" s="19" t="s">
        <v>11</v>
      </c>
      <c r="I220" s="21" t="s">
        <v>16</v>
      </c>
      <c r="J220" s="19" t="s">
        <v>14</v>
      </c>
      <c r="K220" s="22" t="s">
        <v>17</v>
      </c>
      <c r="L220" s="19" t="s">
        <v>11</v>
      </c>
      <c r="M220" s="22" t="s">
        <v>18</v>
      </c>
      <c r="N220" s="19" t="s">
        <v>11</v>
      </c>
      <c r="O220" s="22" t="s">
        <v>19</v>
      </c>
      <c r="P220" s="19" t="s">
        <v>11</v>
      </c>
      <c r="Q220" s="22" t="s">
        <v>20</v>
      </c>
      <c r="R220" s="19" t="s">
        <v>14</v>
      </c>
      <c r="S220" s="35" t="s">
        <v>114</v>
      </c>
      <c r="T220" s="24" t="s">
        <v>27</v>
      </c>
      <c r="U220" s="33" t="s">
        <v>25</v>
      </c>
      <c r="V220" s="17" t="s">
        <v>24</v>
      </c>
    </row>
    <row r="221" ht="15.75" customHeight="1">
      <c r="A221" s="7">
        <v>220.0</v>
      </c>
      <c r="B221" s="8" t="s">
        <v>10</v>
      </c>
      <c r="C221" s="9" t="s">
        <v>11</v>
      </c>
      <c r="D221" s="8" t="s">
        <v>12</v>
      </c>
      <c r="E221" s="10" t="s">
        <v>13</v>
      </c>
      <c r="F221" s="9" t="s">
        <v>14</v>
      </c>
      <c r="G221" s="10" t="s">
        <v>15</v>
      </c>
      <c r="H221" s="9" t="s">
        <v>11</v>
      </c>
      <c r="I221" s="11" t="s">
        <v>16</v>
      </c>
      <c r="J221" s="9" t="s">
        <v>14</v>
      </c>
      <c r="K221" s="13" t="s">
        <v>17</v>
      </c>
      <c r="L221" s="9" t="s">
        <v>11</v>
      </c>
      <c r="M221" s="13" t="s">
        <v>18</v>
      </c>
      <c r="N221" s="9" t="s">
        <v>11</v>
      </c>
      <c r="O221" s="13" t="s">
        <v>19</v>
      </c>
      <c r="P221" s="9" t="s">
        <v>11</v>
      </c>
      <c r="Q221" s="13" t="s">
        <v>20</v>
      </c>
      <c r="R221" s="9" t="s">
        <v>14</v>
      </c>
      <c r="S221" s="34" t="s">
        <v>114</v>
      </c>
      <c r="T221" s="15" t="s">
        <v>28</v>
      </c>
      <c r="U221" s="31" t="s">
        <v>23</v>
      </c>
      <c r="V221" s="17" t="s">
        <v>24</v>
      </c>
    </row>
    <row r="222" ht="15.75" customHeight="1">
      <c r="A222" s="7">
        <v>221.0</v>
      </c>
      <c r="B222" s="18" t="s">
        <v>10</v>
      </c>
      <c r="C222" s="19" t="s">
        <v>11</v>
      </c>
      <c r="D222" s="18" t="s">
        <v>12</v>
      </c>
      <c r="E222" s="20" t="s">
        <v>13</v>
      </c>
      <c r="F222" s="19" t="s">
        <v>14</v>
      </c>
      <c r="G222" s="20" t="s">
        <v>15</v>
      </c>
      <c r="H222" s="19" t="s">
        <v>11</v>
      </c>
      <c r="I222" s="21" t="s">
        <v>16</v>
      </c>
      <c r="J222" s="19" t="s">
        <v>14</v>
      </c>
      <c r="K222" s="22" t="s">
        <v>17</v>
      </c>
      <c r="L222" s="19" t="s">
        <v>11</v>
      </c>
      <c r="M222" s="22" t="s">
        <v>18</v>
      </c>
      <c r="N222" s="19" t="s">
        <v>11</v>
      </c>
      <c r="O222" s="22" t="s">
        <v>19</v>
      </c>
      <c r="P222" s="19" t="s">
        <v>11</v>
      </c>
      <c r="Q222" s="22" t="s">
        <v>20</v>
      </c>
      <c r="R222" s="19" t="s">
        <v>14</v>
      </c>
      <c r="S222" s="35" t="s">
        <v>114</v>
      </c>
      <c r="T222" s="24" t="s">
        <v>28</v>
      </c>
      <c r="U222" s="33" t="s">
        <v>25</v>
      </c>
      <c r="V222" s="17" t="s">
        <v>24</v>
      </c>
    </row>
    <row r="223" ht="15.75" customHeight="1">
      <c r="A223" s="7">
        <v>222.0</v>
      </c>
      <c r="B223" s="8" t="s">
        <v>10</v>
      </c>
      <c r="C223" s="9" t="s">
        <v>11</v>
      </c>
      <c r="D223" s="8" t="s">
        <v>12</v>
      </c>
      <c r="E223" s="10" t="s">
        <v>13</v>
      </c>
      <c r="F223" s="9" t="s">
        <v>14</v>
      </c>
      <c r="G223" s="10" t="s">
        <v>15</v>
      </c>
      <c r="H223" s="9" t="s">
        <v>11</v>
      </c>
      <c r="I223" s="11" t="s">
        <v>16</v>
      </c>
      <c r="J223" s="9" t="s">
        <v>14</v>
      </c>
      <c r="K223" s="13" t="s">
        <v>17</v>
      </c>
      <c r="L223" s="9" t="s">
        <v>11</v>
      </c>
      <c r="M223" s="13" t="s">
        <v>18</v>
      </c>
      <c r="N223" s="9" t="s">
        <v>11</v>
      </c>
      <c r="O223" s="13" t="s">
        <v>19</v>
      </c>
      <c r="P223" s="9" t="s">
        <v>11</v>
      </c>
      <c r="Q223" s="13" t="s">
        <v>20</v>
      </c>
      <c r="R223" s="9" t="s">
        <v>14</v>
      </c>
      <c r="S223" s="34" t="s">
        <v>114</v>
      </c>
      <c r="T223" s="15" t="s">
        <v>113</v>
      </c>
      <c r="U223" s="31" t="s">
        <v>23</v>
      </c>
      <c r="V223" s="17" t="s">
        <v>24</v>
      </c>
    </row>
    <row r="224" ht="15.75" customHeight="1">
      <c r="A224" s="7">
        <v>223.0</v>
      </c>
      <c r="B224" s="18" t="s">
        <v>10</v>
      </c>
      <c r="C224" s="19" t="s">
        <v>11</v>
      </c>
      <c r="D224" s="18" t="s">
        <v>12</v>
      </c>
      <c r="E224" s="20" t="s">
        <v>13</v>
      </c>
      <c r="F224" s="19" t="s">
        <v>14</v>
      </c>
      <c r="G224" s="20" t="s">
        <v>15</v>
      </c>
      <c r="H224" s="19" t="s">
        <v>11</v>
      </c>
      <c r="I224" s="21" t="s">
        <v>16</v>
      </c>
      <c r="J224" s="19" t="s">
        <v>14</v>
      </c>
      <c r="K224" s="22" t="s">
        <v>17</v>
      </c>
      <c r="L224" s="19" t="s">
        <v>11</v>
      </c>
      <c r="M224" s="22" t="s">
        <v>18</v>
      </c>
      <c r="N224" s="19" t="s">
        <v>11</v>
      </c>
      <c r="O224" s="22" t="s">
        <v>19</v>
      </c>
      <c r="P224" s="19" t="s">
        <v>11</v>
      </c>
      <c r="Q224" s="22" t="s">
        <v>20</v>
      </c>
      <c r="R224" s="19" t="s">
        <v>14</v>
      </c>
      <c r="S224" s="35" t="s">
        <v>114</v>
      </c>
      <c r="T224" s="24" t="s">
        <v>113</v>
      </c>
      <c r="U224" s="33" t="s">
        <v>25</v>
      </c>
      <c r="V224" s="17" t="s">
        <v>24</v>
      </c>
    </row>
    <row r="225" ht="15.75" customHeight="1">
      <c r="A225" s="7">
        <v>224.0</v>
      </c>
      <c r="B225" s="8" t="s">
        <v>10</v>
      </c>
      <c r="C225" s="9" t="s">
        <v>11</v>
      </c>
      <c r="D225" s="8" t="s">
        <v>12</v>
      </c>
      <c r="E225" s="10" t="s">
        <v>13</v>
      </c>
      <c r="F225" s="9" t="s">
        <v>14</v>
      </c>
      <c r="G225" s="10" t="s">
        <v>15</v>
      </c>
      <c r="H225" s="9" t="s">
        <v>11</v>
      </c>
      <c r="I225" s="11" t="s">
        <v>16</v>
      </c>
      <c r="J225" s="9" t="s">
        <v>14</v>
      </c>
      <c r="K225" s="13" t="s">
        <v>17</v>
      </c>
      <c r="L225" s="9" t="s">
        <v>11</v>
      </c>
      <c r="M225" s="13" t="s">
        <v>18</v>
      </c>
      <c r="N225" s="9" t="s">
        <v>11</v>
      </c>
      <c r="O225" s="13" t="s">
        <v>19</v>
      </c>
      <c r="P225" s="9" t="s">
        <v>11</v>
      </c>
      <c r="Q225" s="13" t="s">
        <v>20</v>
      </c>
      <c r="R225" s="9" t="s">
        <v>14</v>
      </c>
      <c r="S225" s="34" t="s">
        <v>114</v>
      </c>
      <c r="T225" s="15" t="s">
        <v>29</v>
      </c>
      <c r="U225" s="31" t="s">
        <v>23</v>
      </c>
      <c r="V225" s="17" t="s">
        <v>24</v>
      </c>
    </row>
    <row r="226" ht="15.75" customHeight="1">
      <c r="A226" s="7">
        <v>225.0</v>
      </c>
      <c r="B226" s="18" t="s">
        <v>10</v>
      </c>
      <c r="C226" s="19" t="s">
        <v>11</v>
      </c>
      <c r="D226" s="18" t="s">
        <v>12</v>
      </c>
      <c r="E226" s="20" t="s">
        <v>13</v>
      </c>
      <c r="F226" s="19" t="s">
        <v>14</v>
      </c>
      <c r="G226" s="20" t="s">
        <v>15</v>
      </c>
      <c r="H226" s="19" t="s">
        <v>11</v>
      </c>
      <c r="I226" s="21" t="s">
        <v>16</v>
      </c>
      <c r="J226" s="19" t="s">
        <v>14</v>
      </c>
      <c r="K226" s="22" t="s">
        <v>17</v>
      </c>
      <c r="L226" s="19" t="s">
        <v>11</v>
      </c>
      <c r="M226" s="22" t="s">
        <v>18</v>
      </c>
      <c r="N226" s="19" t="s">
        <v>11</v>
      </c>
      <c r="O226" s="22" t="s">
        <v>19</v>
      </c>
      <c r="P226" s="19" t="s">
        <v>11</v>
      </c>
      <c r="Q226" s="22" t="s">
        <v>20</v>
      </c>
      <c r="R226" s="19" t="s">
        <v>14</v>
      </c>
      <c r="S226" s="35" t="s">
        <v>114</v>
      </c>
      <c r="T226" s="24" t="s">
        <v>29</v>
      </c>
      <c r="U226" s="33" t="s">
        <v>25</v>
      </c>
      <c r="V226" s="17" t="s">
        <v>24</v>
      </c>
    </row>
    <row r="227" ht="15.75" customHeight="1">
      <c r="A227" s="7">
        <v>226.0</v>
      </c>
      <c r="B227" s="8" t="s">
        <v>10</v>
      </c>
      <c r="C227" s="9" t="s">
        <v>11</v>
      </c>
      <c r="D227" s="8" t="s">
        <v>12</v>
      </c>
      <c r="E227" s="10" t="s">
        <v>13</v>
      </c>
      <c r="F227" s="9" t="s">
        <v>14</v>
      </c>
      <c r="G227" s="10" t="s">
        <v>15</v>
      </c>
      <c r="H227" s="9" t="s">
        <v>11</v>
      </c>
      <c r="I227" s="11" t="s">
        <v>16</v>
      </c>
      <c r="J227" s="9" t="s">
        <v>14</v>
      </c>
      <c r="K227" s="13" t="s">
        <v>17</v>
      </c>
      <c r="L227" s="9" t="s">
        <v>11</v>
      </c>
      <c r="M227" s="13" t="s">
        <v>18</v>
      </c>
      <c r="N227" s="9" t="s">
        <v>11</v>
      </c>
      <c r="O227" s="13" t="s">
        <v>19</v>
      </c>
      <c r="P227" s="9" t="s">
        <v>11</v>
      </c>
      <c r="Q227" s="13" t="s">
        <v>20</v>
      </c>
      <c r="R227" s="9" t="s">
        <v>14</v>
      </c>
      <c r="S227" s="34" t="s">
        <v>114</v>
      </c>
      <c r="T227" s="15" t="s">
        <v>30</v>
      </c>
      <c r="U227" s="31" t="s">
        <v>23</v>
      </c>
      <c r="V227" s="17" t="s">
        <v>24</v>
      </c>
    </row>
    <row r="228" ht="15.75" customHeight="1">
      <c r="A228" s="7">
        <v>227.0</v>
      </c>
      <c r="B228" s="18" t="s">
        <v>10</v>
      </c>
      <c r="C228" s="19" t="s">
        <v>11</v>
      </c>
      <c r="D228" s="18" t="s">
        <v>12</v>
      </c>
      <c r="E228" s="20" t="s">
        <v>13</v>
      </c>
      <c r="F228" s="19" t="s">
        <v>14</v>
      </c>
      <c r="G228" s="20" t="s">
        <v>15</v>
      </c>
      <c r="H228" s="19" t="s">
        <v>11</v>
      </c>
      <c r="I228" s="21" t="s">
        <v>16</v>
      </c>
      <c r="J228" s="19" t="s">
        <v>14</v>
      </c>
      <c r="K228" s="22" t="s">
        <v>17</v>
      </c>
      <c r="L228" s="19" t="s">
        <v>11</v>
      </c>
      <c r="M228" s="22" t="s">
        <v>18</v>
      </c>
      <c r="N228" s="19" t="s">
        <v>11</v>
      </c>
      <c r="O228" s="22" t="s">
        <v>19</v>
      </c>
      <c r="P228" s="19" t="s">
        <v>11</v>
      </c>
      <c r="Q228" s="22" t="s">
        <v>20</v>
      </c>
      <c r="R228" s="19" t="s">
        <v>14</v>
      </c>
      <c r="S228" s="35" t="s">
        <v>114</v>
      </c>
      <c r="T228" s="24" t="s">
        <v>30</v>
      </c>
      <c r="U228" s="33" t="s">
        <v>25</v>
      </c>
      <c r="V228" s="17" t="s">
        <v>24</v>
      </c>
    </row>
    <row r="229" ht="15.75" customHeight="1">
      <c r="A229" s="7">
        <v>228.0</v>
      </c>
      <c r="B229" s="8" t="s">
        <v>10</v>
      </c>
      <c r="C229" s="9" t="s">
        <v>11</v>
      </c>
      <c r="D229" s="8" t="s">
        <v>12</v>
      </c>
      <c r="E229" s="10" t="s">
        <v>13</v>
      </c>
      <c r="F229" s="9" t="s">
        <v>14</v>
      </c>
      <c r="G229" s="10" t="s">
        <v>15</v>
      </c>
      <c r="H229" s="9" t="s">
        <v>11</v>
      </c>
      <c r="I229" s="11" t="s">
        <v>16</v>
      </c>
      <c r="J229" s="9" t="s">
        <v>14</v>
      </c>
      <c r="K229" s="13" t="s">
        <v>17</v>
      </c>
      <c r="L229" s="9" t="s">
        <v>11</v>
      </c>
      <c r="M229" s="13" t="s">
        <v>18</v>
      </c>
      <c r="N229" s="9" t="s">
        <v>11</v>
      </c>
      <c r="O229" s="13" t="s">
        <v>19</v>
      </c>
      <c r="P229" s="9" t="s">
        <v>11</v>
      </c>
      <c r="Q229" s="13" t="s">
        <v>20</v>
      </c>
      <c r="R229" s="9" t="s">
        <v>14</v>
      </c>
      <c r="S229" s="34" t="s">
        <v>114</v>
      </c>
      <c r="T229" s="15" t="s">
        <v>31</v>
      </c>
      <c r="U229" s="31" t="s">
        <v>23</v>
      </c>
      <c r="V229" s="17" t="s">
        <v>24</v>
      </c>
    </row>
    <row r="230" ht="15.75" customHeight="1">
      <c r="A230" s="7">
        <v>229.0</v>
      </c>
      <c r="B230" s="18" t="s">
        <v>10</v>
      </c>
      <c r="C230" s="19" t="s">
        <v>11</v>
      </c>
      <c r="D230" s="18" t="s">
        <v>12</v>
      </c>
      <c r="E230" s="20" t="s">
        <v>13</v>
      </c>
      <c r="F230" s="19" t="s">
        <v>14</v>
      </c>
      <c r="G230" s="20" t="s">
        <v>15</v>
      </c>
      <c r="H230" s="19" t="s">
        <v>11</v>
      </c>
      <c r="I230" s="21" t="s">
        <v>16</v>
      </c>
      <c r="J230" s="19" t="s">
        <v>14</v>
      </c>
      <c r="K230" s="22" t="s">
        <v>17</v>
      </c>
      <c r="L230" s="19" t="s">
        <v>11</v>
      </c>
      <c r="M230" s="22" t="s">
        <v>18</v>
      </c>
      <c r="N230" s="19" t="s">
        <v>11</v>
      </c>
      <c r="O230" s="22" t="s">
        <v>19</v>
      </c>
      <c r="P230" s="19" t="s">
        <v>11</v>
      </c>
      <c r="Q230" s="22" t="s">
        <v>20</v>
      </c>
      <c r="R230" s="19" t="s">
        <v>14</v>
      </c>
      <c r="S230" s="35" t="s">
        <v>114</v>
      </c>
      <c r="T230" s="24" t="s">
        <v>31</v>
      </c>
      <c r="U230" s="33" t="s">
        <v>25</v>
      </c>
      <c r="V230" s="17" t="s">
        <v>24</v>
      </c>
    </row>
    <row r="231" ht="15.75" customHeight="1">
      <c r="A231" s="7">
        <v>230.0</v>
      </c>
      <c r="B231" s="8" t="s">
        <v>10</v>
      </c>
      <c r="C231" s="9" t="s">
        <v>11</v>
      </c>
      <c r="D231" s="8" t="s">
        <v>12</v>
      </c>
      <c r="E231" s="10" t="s">
        <v>13</v>
      </c>
      <c r="F231" s="9" t="s">
        <v>14</v>
      </c>
      <c r="G231" s="10" t="s">
        <v>15</v>
      </c>
      <c r="H231" s="9" t="s">
        <v>11</v>
      </c>
      <c r="I231" s="11" t="s">
        <v>16</v>
      </c>
      <c r="J231" s="9" t="s">
        <v>14</v>
      </c>
      <c r="K231" s="13" t="s">
        <v>17</v>
      </c>
      <c r="L231" s="9" t="s">
        <v>11</v>
      </c>
      <c r="M231" s="13" t="s">
        <v>18</v>
      </c>
      <c r="N231" s="9" t="s">
        <v>11</v>
      </c>
      <c r="O231" s="13" t="s">
        <v>19</v>
      </c>
      <c r="P231" s="9" t="s">
        <v>11</v>
      </c>
      <c r="Q231" s="13" t="s">
        <v>20</v>
      </c>
      <c r="R231" s="9" t="s">
        <v>14</v>
      </c>
      <c r="S231" s="34" t="s">
        <v>114</v>
      </c>
      <c r="T231" s="15" t="s">
        <v>32</v>
      </c>
      <c r="U231" s="31" t="s">
        <v>23</v>
      </c>
      <c r="V231" s="17" t="s">
        <v>24</v>
      </c>
    </row>
    <row r="232" ht="15.75" customHeight="1">
      <c r="A232" s="7">
        <v>231.0</v>
      </c>
      <c r="B232" s="18" t="s">
        <v>10</v>
      </c>
      <c r="C232" s="19" t="s">
        <v>11</v>
      </c>
      <c r="D232" s="18" t="s">
        <v>12</v>
      </c>
      <c r="E232" s="20" t="s">
        <v>13</v>
      </c>
      <c r="F232" s="19" t="s">
        <v>14</v>
      </c>
      <c r="G232" s="20" t="s">
        <v>15</v>
      </c>
      <c r="H232" s="19" t="s">
        <v>11</v>
      </c>
      <c r="I232" s="21" t="s">
        <v>16</v>
      </c>
      <c r="J232" s="19" t="s">
        <v>14</v>
      </c>
      <c r="K232" s="22" t="s">
        <v>17</v>
      </c>
      <c r="L232" s="19" t="s">
        <v>11</v>
      </c>
      <c r="M232" s="22" t="s">
        <v>18</v>
      </c>
      <c r="N232" s="19" t="s">
        <v>11</v>
      </c>
      <c r="O232" s="22" t="s">
        <v>19</v>
      </c>
      <c r="P232" s="19" t="s">
        <v>11</v>
      </c>
      <c r="Q232" s="22" t="s">
        <v>20</v>
      </c>
      <c r="R232" s="19" t="s">
        <v>14</v>
      </c>
      <c r="S232" s="35" t="s">
        <v>114</v>
      </c>
      <c r="T232" s="24" t="s">
        <v>32</v>
      </c>
      <c r="U232" s="33" t="s">
        <v>25</v>
      </c>
      <c r="V232" s="17" t="s">
        <v>24</v>
      </c>
    </row>
    <row r="233" ht="15.75" customHeight="1">
      <c r="A233" s="7">
        <v>232.0</v>
      </c>
      <c r="B233" s="8" t="s">
        <v>10</v>
      </c>
      <c r="C233" s="9" t="s">
        <v>11</v>
      </c>
      <c r="D233" s="8" t="s">
        <v>12</v>
      </c>
      <c r="E233" s="10" t="s">
        <v>13</v>
      </c>
      <c r="F233" s="9" t="s">
        <v>14</v>
      </c>
      <c r="G233" s="10" t="s">
        <v>15</v>
      </c>
      <c r="H233" s="9" t="s">
        <v>11</v>
      </c>
      <c r="I233" s="11" t="s">
        <v>16</v>
      </c>
      <c r="J233" s="9" t="s">
        <v>14</v>
      </c>
      <c r="K233" s="13" t="s">
        <v>17</v>
      </c>
      <c r="L233" s="9" t="s">
        <v>11</v>
      </c>
      <c r="M233" s="13" t="s">
        <v>18</v>
      </c>
      <c r="N233" s="9" t="s">
        <v>11</v>
      </c>
      <c r="O233" s="13" t="s">
        <v>19</v>
      </c>
      <c r="P233" s="9" t="s">
        <v>11</v>
      </c>
      <c r="Q233" s="13" t="s">
        <v>20</v>
      </c>
      <c r="R233" s="9" t="s">
        <v>14</v>
      </c>
      <c r="S233" s="34" t="s">
        <v>114</v>
      </c>
      <c r="T233" s="15" t="s">
        <v>33</v>
      </c>
      <c r="U233" s="31" t="s">
        <v>23</v>
      </c>
      <c r="V233" s="17" t="s">
        <v>24</v>
      </c>
    </row>
    <row r="234" ht="15.75" customHeight="1">
      <c r="A234" s="7">
        <v>233.0</v>
      </c>
      <c r="B234" s="18" t="s">
        <v>10</v>
      </c>
      <c r="C234" s="19" t="s">
        <v>11</v>
      </c>
      <c r="D234" s="18" t="s">
        <v>12</v>
      </c>
      <c r="E234" s="20" t="s">
        <v>13</v>
      </c>
      <c r="F234" s="19" t="s">
        <v>14</v>
      </c>
      <c r="G234" s="20" t="s">
        <v>15</v>
      </c>
      <c r="H234" s="19" t="s">
        <v>11</v>
      </c>
      <c r="I234" s="21" t="s">
        <v>16</v>
      </c>
      <c r="J234" s="19" t="s">
        <v>14</v>
      </c>
      <c r="K234" s="22" t="s">
        <v>17</v>
      </c>
      <c r="L234" s="19" t="s">
        <v>11</v>
      </c>
      <c r="M234" s="22" t="s">
        <v>18</v>
      </c>
      <c r="N234" s="19" t="s">
        <v>11</v>
      </c>
      <c r="O234" s="22" t="s">
        <v>19</v>
      </c>
      <c r="P234" s="19" t="s">
        <v>11</v>
      </c>
      <c r="Q234" s="22" t="s">
        <v>20</v>
      </c>
      <c r="R234" s="19" t="s">
        <v>14</v>
      </c>
      <c r="S234" s="35" t="s">
        <v>114</v>
      </c>
      <c r="T234" s="24" t="s">
        <v>33</v>
      </c>
      <c r="U234" s="33" t="s">
        <v>25</v>
      </c>
      <c r="V234" s="17" t="s">
        <v>24</v>
      </c>
    </row>
    <row r="235" ht="15.75" customHeight="1">
      <c r="A235" s="7">
        <v>234.0</v>
      </c>
      <c r="B235" s="8" t="s">
        <v>10</v>
      </c>
      <c r="C235" s="9" t="s">
        <v>11</v>
      </c>
      <c r="D235" s="8" t="s">
        <v>12</v>
      </c>
      <c r="E235" s="10" t="s">
        <v>13</v>
      </c>
      <c r="F235" s="9" t="s">
        <v>14</v>
      </c>
      <c r="G235" s="10" t="s">
        <v>15</v>
      </c>
      <c r="H235" s="9" t="s">
        <v>11</v>
      </c>
      <c r="I235" s="11" t="s">
        <v>16</v>
      </c>
      <c r="J235" s="9" t="s">
        <v>14</v>
      </c>
      <c r="K235" s="13" t="s">
        <v>17</v>
      </c>
      <c r="L235" s="9" t="s">
        <v>11</v>
      </c>
      <c r="M235" s="13" t="s">
        <v>18</v>
      </c>
      <c r="N235" s="9" t="s">
        <v>11</v>
      </c>
      <c r="O235" s="13" t="s">
        <v>19</v>
      </c>
      <c r="P235" s="9" t="s">
        <v>11</v>
      </c>
      <c r="Q235" s="13" t="s">
        <v>20</v>
      </c>
      <c r="R235" s="9" t="s">
        <v>14</v>
      </c>
      <c r="S235" s="34" t="s">
        <v>114</v>
      </c>
      <c r="T235" s="15" t="s">
        <v>34</v>
      </c>
      <c r="U235" s="31" t="s">
        <v>23</v>
      </c>
      <c r="V235" s="17" t="s">
        <v>24</v>
      </c>
    </row>
    <row r="236" ht="15.75" customHeight="1">
      <c r="A236" s="7">
        <v>235.0</v>
      </c>
      <c r="B236" s="18" t="s">
        <v>10</v>
      </c>
      <c r="C236" s="19" t="s">
        <v>11</v>
      </c>
      <c r="D236" s="18" t="s">
        <v>12</v>
      </c>
      <c r="E236" s="20" t="s">
        <v>13</v>
      </c>
      <c r="F236" s="19" t="s">
        <v>14</v>
      </c>
      <c r="G236" s="20" t="s">
        <v>15</v>
      </c>
      <c r="H236" s="19" t="s">
        <v>11</v>
      </c>
      <c r="I236" s="21" t="s">
        <v>16</v>
      </c>
      <c r="J236" s="19" t="s">
        <v>14</v>
      </c>
      <c r="K236" s="22" t="s">
        <v>17</v>
      </c>
      <c r="L236" s="19" t="s">
        <v>11</v>
      </c>
      <c r="M236" s="22" t="s">
        <v>18</v>
      </c>
      <c r="N236" s="19" t="s">
        <v>11</v>
      </c>
      <c r="O236" s="22" t="s">
        <v>19</v>
      </c>
      <c r="P236" s="19" t="s">
        <v>11</v>
      </c>
      <c r="Q236" s="22" t="s">
        <v>20</v>
      </c>
      <c r="R236" s="19" t="s">
        <v>14</v>
      </c>
      <c r="S236" s="35" t="s">
        <v>114</v>
      </c>
      <c r="T236" s="24" t="s">
        <v>34</v>
      </c>
      <c r="U236" s="33" t="s">
        <v>25</v>
      </c>
      <c r="V236" s="17" t="s">
        <v>24</v>
      </c>
    </row>
    <row r="237" ht="15.75" customHeight="1">
      <c r="A237" s="7">
        <v>236.0</v>
      </c>
      <c r="B237" s="8" t="s">
        <v>10</v>
      </c>
      <c r="C237" s="9" t="s">
        <v>11</v>
      </c>
      <c r="D237" s="8" t="s">
        <v>12</v>
      </c>
      <c r="E237" s="10" t="s">
        <v>13</v>
      </c>
      <c r="F237" s="9" t="s">
        <v>14</v>
      </c>
      <c r="G237" s="10" t="s">
        <v>15</v>
      </c>
      <c r="H237" s="9" t="s">
        <v>11</v>
      </c>
      <c r="I237" s="11" t="s">
        <v>16</v>
      </c>
      <c r="J237" s="9" t="s">
        <v>14</v>
      </c>
      <c r="K237" s="13" t="s">
        <v>17</v>
      </c>
      <c r="L237" s="9" t="s">
        <v>11</v>
      </c>
      <c r="M237" s="13" t="s">
        <v>18</v>
      </c>
      <c r="N237" s="9" t="s">
        <v>11</v>
      </c>
      <c r="O237" s="13" t="s">
        <v>19</v>
      </c>
      <c r="P237" s="9" t="s">
        <v>11</v>
      </c>
      <c r="Q237" s="13" t="s">
        <v>20</v>
      </c>
      <c r="R237" s="9" t="s">
        <v>14</v>
      </c>
      <c r="S237" s="34" t="s">
        <v>114</v>
      </c>
      <c r="T237" s="15" t="s">
        <v>35</v>
      </c>
      <c r="U237" s="31" t="s">
        <v>23</v>
      </c>
      <c r="V237" s="17" t="s">
        <v>24</v>
      </c>
    </row>
    <row r="238" ht="15.75" customHeight="1">
      <c r="A238" s="7">
        <v>237.0</v>
      </c>
      <c r="B238" s="18" t="s">
        <v>10</v>
      </c>
      <c r="C238" s="19" t="s">
        <v>11</v>
      </c>
      <c r="D238" s="18" t="s">
        <v>12</v>
      </c>
      <c r="E238" s="20" t="s">
        <v>13</v>
      </c>
      <c r="F238" s="19" t="s">
        <v>14</v>
      </c>
      <c r="G238" s="20" t="s">
        <v>15</v>
      </c>
      <c r="H238" s="19" t="s">
        <v>11</v>
      </c>
      <c r="I238" s="21" t="s">
        <v>16</v>
      </c>
      <c r="J238" s="19" t="s">
        <v>14</v>
      </c>
      <c r="K238" s="22" t="s">
        <v>17</v>
      </c>
      <c r="L238" s="19" t="s">
        <v>11</v>
      </c>
      <c r="M238" s="22" t="s">
        <v>18</v>
      </c>
      <c r="N238" s="19" t="s">
        <v>11</v>
      </c>
      <c r="O238" s="22" t="s">
        <v>19</v>
      </c>
      <c r="P238" s="19" t="s">
        <v>11</v>
      </c>
      <c r="Q238" s="22" t="s">
        <v>20</v>
      </c>
      <c r="R238" s="19" t="s">
        <v>14</v>
      </c>
      <c r="S238" s="35" t="s">
        <v>114</v>
      </c>
      <c r="T238" s="24" t="s">
        <v>35</v>
      </c>
      <c r="U238" s="33" t="s">
        <v>25</v>
      </c>
      <c r="V238" s="17" t="s">
        <v>24</v>
      </c>
    </row>
    <row r="239" ht="15.75" customHeight="1">
      <c r="A239" s="7">
        <v>238.0</v>
      </c>
      <c r="B239" s="8" t="s">
        <v>10</v>
      </c>
      <c r="C239" s="9" t="s">
        <v>11</v>
      </c>
      <c r="D239" s="8" t="s">
        <v>12</v>
      </c>
      <c r="E239" s="10" t="s">
        <v>13</v>
      </c>
      <c r="F239" s="9" t="s">
        <v>14</v>
      </c>
      <c r="G239" s="10" t="s">
        <v>15</v>
      </c>
      <c r="H239" s="9" t="s">
        <v>11</v>
      </c>
      <c r="I239" s="11" t="s">
        <v>16</v>
      </c>
      <c r="J239" s="9" t="s">
        <v>14</v>
      </c>
      <c r="K239" s="13" t="s">
        <v>17</v>
      </c>
      <c r="L239" s="9" t="s">
        <v>11</v>
      </c>
      <c r="M239" s="13" t="s">
        <v>18</v>
      </c>
      <c r="N239" s="9" t="s">
        <v>11</v>
      </c>
      <c r="O239" s="13" t="s">
        <v>19</v>
      </c>
      <c r="P239" s="9" t="s">
        <v>11</v>
      </c>
      <c r="Q239" s="13" t="s">
        <v>20</v>
      </c>
      <c r="R239" s="9" t="s">
        <v>14</v>
      </c>
      <c r="S239" s="34" t="s">
        <v>114</v>
      </c>
      <c r="T239" s="15" t="s">
        <v>37</v>
      </c>
      <c r="U239" s="31" t="s">
        <v>23</v>
      </c>
      <c r="V239" s="17" t="s">
        <v>24</v>
      </c>
    </row>
    <row r="240" ht="15.75" customHeight="1">
      <c r="A240" s="7">
        <v>239.0</v>
      </c>
      <c r="B240" s="18" t="s">
        <v>10</v>
      </c>
      <c r="C240" s="19" t="s">
        <v>11</v>
      </c>
      <c r="D240" s="18" t="s">
        <v>12</v>
      </c>
      <c r="E240" s="20" t="s">
        <v>13</v>
      </c>
      <c r="F240" s="19" t="s">
        <v>14</v>
      </c>
      <c r="G240" s="20" t="s">
        <v>15</v>
      </c>
      <c r="H240" s="19" t="s">
        <v>11</v>
      </c>
      <c r="I240" s="21" t="s">
        <v>16</v>
      </c>
      <c r="J240" s="19" t="s">
        <v>14</v>
      </c>
      <c r="K240" s="22" t="s">
        <v>17</v>
      </c>
      <c r="L240" s="19" t="s">
        <v>11</v>
      </c>
      <c r="M240" s="22" t="s">
        <v>18</v>
      </c>
      <c r="N240" s="19" t="s">
        <v>11</v>
      </c>
      <c r="O240" s="22" t="s">
        <v>19</v>
      </c>
      <c r="P240" s="19" t="s">
        <v>11</v>
      </c>
      <c r="Q240" s="22" t="s">
        <v>20</v>
      </c>
      <c r="R240" s="19" t="s">
        <v>14</v>
      </c>
      <c r="S240" s="35" t="s">
        <v>114</v>
      </c>
      <c r="T240" s="24" t="s">
        <v>37</v>
      </c>
      <c r="U240" s="33" t="s">
        <v>25</v>
      </c>
      <c r="V240" s="17" t="s">
        <v>24</v>
      </c>
    </row>
    <row r="241" ht="15.75" customHeight="1">
      <c r="A241" s="7">
        <v>240.0</v>
      </c>
      <c r="B241" s="8" t="s">
        <v>10</v>
      </c>
      <c r="C241" s="9" t="s">
        <v>11</v>
      </c>
      <c r="D241" s="8" t="s">
        <v>12</v>
      </c>
      <c r="E241" s="10" t="s">
        <v>13</v>
      </c>
      <c r="F241" s="9" t="s">
        <v>14</v>
      </c>
      <c r="G241" s="10" t="s">
        <v>15</v>
      </c>
      <c r="H241" s="9" t="s">
        <v>11</v>
      </c>
      <c r="I241" s="11" t="s">
        <v>16</v>
      </c>
      <c r="J241" s="9" t="s">
        <v>14</v>
      </c>
      <c r="K241" s="13" t="s">
        <v>17</v>
      </c>
      <c r="L241" s="9" t="s">
        <v>11</v>
      </c>
      <c r="M241" s="13" t="s">
        <v>18</v>
      </c>
      <c r="N241" s="9" t="s">
        <v>11</v>
      </c>
      <c r="O241" s="13" t="s">
        <v>19</v>
      </c>
      <c r="P241" s="9" t="s">
        <v>11</v>
      </c>
      <c r="Q241" s="13" t="s">
        <v>20</v>
      </c>
      <c r="R241" s="9" t="s">
        <v>14</v>
      </c>
      <c r="S241" s="34" t="s">
        <v>114</v>
      </c>
      <c r="T241" s="15" t="s">
        <v>36</v>
      </c>
      <c r="U241" s="31" t="s">
        <v>23</v>
      </c>
      <c r="V241" s="17" t="s">
        <v>24</v>
      </c>
    </row>
    <row r="242" ht="15.75" customHeight="1">
      <c r="A242" s="7">
        <v>241.0</v>
      </c>
      <c r="B242" s="18" t="s">
        <v>10</v>
      </c>
      <c r="C242" s="19" t="s">
        <v>11</v>
      </c>
      <c r="D242" s="18" t="s">
        <v>12</v>
      </c>
      <c r="E242" s="20" t="s">
        <v>13</v>
      </c>
      <c r="F242" s="19" t="s">
        <v>14</v>
      </c>
      <c r="G242" s="20" t="s">
        <v>15</v>
      </c>
      <c r="H242" s="19" t="s">
        <v>11</v>
      </c>
      <c r="I242" s="21" t="s">
        <v>16</v>
      </c>
      <c r="J242" s="19" t="s">
        <v>14</v>
      </c>
      <c r="K242" s="22" t="s">
        <v>17</v>
      </c>
      <c r="L242" s="19" t="s">
        <v>11</v>
      </c>
      <c r="M242" s="22" t="s">
        <v>18</v>
      </c>
      <c r="N242" s="19" t="s">
        <v>11</v>
      </c>
      <c r="O242" s="22" t="s">
        <v>19</v>
      </c>
      <c r="P242" s="19" t="s">
        <v>11</v>
      </c>
      <c r="Q242" s="22" t="s">
        <v>20</v>
      </c>
      <c r="R242" s="19" t="s">
        <v>14</v>
      </c>
      <c r="S242" s="35" t="s">
        <v>114</v>
      </c>
      <c r="T242" s="24" t="s">
        <v>36</v>
      </c>
      <c r="U242" s="33" t="s">
        <v>25</v>
      </c>
      <c r="V242" s="17" t="s">
        <v>24</v>
      </c>
    </row>
    <row r="243" ht="15.75" customHeight="1">
      <c r="A243" s="7">
        <v>242.0</v>
      </c>
      <c r="B243" s="8" t="s">
        <v>10</v>
      </c>
      <c r="C243" s="9" t="s">
        <v>11</v>
      </c>
      <c r="D243" s="8" t="s">
        <v>12</v>
      </c>
      <c r="E243" s="10" t="s">
        <v>13</v>
      </c>
      <c r="F243" s="9" t="s">
        <v>14</v>
      </c>
      <c r="G243" s="10" t="s">
        <v>15</v>
      </c>
      <c r="H243" s="9" t="s">
        <v>11</v>
      </c>
      <c r="I243" s="11" t="s">
        <v>16</v>
      </c>
      <c r="J243" s="9" t="s">
        <v>14</v>
      </c>
      <c r="K243" s="13" t="s">
        <v>17</v>
      </c>
      <c r="L243" s="9" t="s">
        <v>11</v>
      </c>
      <c r="M243" s="13" t="s">
        <v>18</v>
      </c>
      <c r="N243" s="9" t="s">
        <v>11</v>
      </c>
      <c r="O243" s="13" t="s">
        <v>19</v>
      </c>
      <c r="P243" s="9" t="s">
        <v>11</v>
      </c>
      <c r="Q243" s="13" t="s">
        <v>20</v>
      </c>
      <c r="R243" s="9" t="s">
        <v>14</v>
      </c>
      <c r="S243" s="34" t="s">
        <v>114</v>
      </c>
      <c r="T243" s="15" t="s">
        <v>38</v>
      </c>
      <c r="U243" s="31" t="s">
        <v>23</v>
      </c>
      <c r="V243" s="17" t="s">
        <v>24</v>
      </c>
    </row>
    <row r="244" ht="15.75" customHeight="1">
      <c r="A244" s="7">
        <v>243.0</v>
      </c>
      <c r="B244" s="18" t="s">
        <v>10</v>
      </c>
      <c r="C244" s="19" t="s">
        <v>11</v>
      </c>
      <c r="D244" s="18" t="s">
        <v>12</v>
      </c>
      <c r="E244" s="20" t="s">
        <v>13</v>
      </c>
      <c r="F244" s="19" t="s">
        <v>14</v>
      </c>
      <c r="G244" s="20" t="s">
        <v>15</v>
      </c>
      <c r="H244" s="19" t="s">
        <v>11</v>
      </c>
      <c r="I244" s="21" t="s">
        <v>16</v>
      </c>
      <c r="J244" s="19" t="s">
        <v>14</v>
      </c>
      <c r="K244" s="22" t="s">
        <v>17</v>
      </c>
      <c r="L244" s="19" t="s">
        <v>11</v>
      </c>
      <c r="M244" s="22" t="s">
        <v>18</v>
      </c>
      <c r="N244" s="19" t="s">
        <v>11</v>
      </c>
      <c r="O244" s="22" t="s">
        <v>19</v>
      </c>
      <c r="P244" s="19" t="s">
        <v>11</v>
      </c>
      <c r="Q244" s="22" t="s">
        <v>20</v>
      </c>
      <c r="R244" s="19" t="s">
        <v>14</v>
      </c>
      <c r="S244" s="35" t="s">
        <v>114</v>
      </c>
      <c r="T244" s="24" t="s">
        <v>38</v>
      </c>
      <c r="U244" s="33" t="s">
        <v>25</v>
      </c>
      <c r="V244" s="17" t="s">
        <v>24</v>
      </c>
    </row>
    <row r="245" ht="15.75" customHeight="1">
      <c r="A245" s="7">
        <v>244.0</v>
      </c>
      <c r="B245" s="8" t="s">
        <v>10</v>
      </c>
      <c r="C245" s="9" t="s">
        <v>11</v>
      </c>
      <c r="D245" s="8" t="s">
        <v>12</v>
      </c>
      <c r="E245" s="10" t="s">
        <v>13</v>
      </c>
      <c r="F245" s="9" t="s">
        <v>14</v>
      </c>
      <c r="G245" s="10" t="s">
        <v>15</v>
      </c>
      <c r="H245" s="9" t="s">
        <v>11</v>
      </c>
      <c r="I245" s="11" t="s">
        <v>16</v>
      </c>
      <c r="J245" s="9" t="s">
        <v>14</v>
      </c>
      <c r="K245" s="13" t="s">
        <v>17</v>
      </c>
      <c r="L245" s="9" t="s">
        <v>11</v>
      </c>
      <c r="M245" s="13" t="s">
        <v>18</v>
      </c>
      <c r="N245" s="9" t="s">
        <v>11</v>
      </c>
      <c r="O245" s="13" t="s">
        <v>19</v>
      </c>
      <c r="P245" s="9" t="s">
        <v>11</v>
      </c>
      <c r="Q245" s="13" t="s">
        <v>20</v>
      </c>
      <c r="R245" s="9" t="s">
        <v>14</v>
      </c>
      <c r="S245" s="34" t="s">
        <v>114</v>
      </c>
      <c r="T245" s="15" t="s">
        <v>39</v>
      </c>
      <c r="U245" s="31" t="s">
        <v>23</v>
      </c>
      <c r="V245" s="17" t="s">
        <v>24</v>
      </c>
    </row>
    <row r="246" ht="15.75" customHeight="1">
      <c r="A246" s="7">
        <v>245.0</v>
      </c>
      <c r="B246" s="18" t="s">
        <v>10</v>
      </c>
      <c r="C246" s="19" t="s">
        <v>11</v>
      </c>
      <c r="D246" s="18" t="s">
        <v>12</v>
      </c>
      <c r="E246" s="20" t="s">
        <v>13</v>
      </c>
      <c r="F246" s="19" t="s">
        <v>14</v>
      </c>
      <c r="G246" s="20" t="s">
        <v>15</v>
      </c>
      <c r="H246" s="19" t="s">
        <v>11</v>
      </c>
      <c r="I246" s="21" t="s">
        <v>16</v>
      </c>
      <c r="J246" s="19" t="s">
        <v>14</v>
      </c>
      <c r="K246" s="22" t="s">
        <v>17</v>
      </c>
      <c r="L246" s="19" t="s">
        <v>11</v>
      </c>
      <c r="M246" s="22" t="s">
        <v>18</v>
      </c>
      <c r="N246" s="19" t="s">
        <v>11</v>
      </c>
      <c r="O246" s="22" t="s">
        <v>19</v>
      </c>
      <c r="P246" s="19" t="s">
        <v>11</v>
      </c>
      <c r="Q246" s="22" t="s">
        <v>20</v>
      </c>
      <c r="R246" s="19" t="s">
        <v>14</v>
      </c>
      <c r="S246" s="35" t="s">
        <v>114</v>
      </c>
      <c r="T246" s="24" t="s">
        <v>39</v>
      </c>
      <c r="U246" s="33" t="s">
        <v>25</v>
      </c>
      <c r="V246" s="17" t="s">
        <v>24</v>
      </c>
    </row>
    <row r="247" ht="15.75" customHeight="1">
      <c r="A247" s="7">
        <v>246.0</v>
      </c>
      <c r="B247" s="8" t="s">
        <v>10</v>
      </c>
      <c r="C247" s="9" t="s">
        <v>11</v>
      </c>
      <c r="D247" s="8" t="s">
        <v>12</v>
      </c>
      <c r="E247" s="10" t="s">
        <v>13</v>
      </c>
      <c r="F247" s="9" t="s">
        <v>14</v>
      </c>
      <c r="G247" s="10" t="s">
        <v>15</v>
      </c>
      <c r="H247" s="9" t="s">
        <v>11</v>
      </c>
      <c r="I247" s="11" t="s">
        <v>16</v>
      </c>
      <c r="J247" s="9" t="s">
        <v>14</v>
      </c>
      <c r="K247" s="13" t="s">
        <v>17</v>
      </c>
      <c r="L247" s="9" t="s">
        <v>11</v>
      </c>
      <c r="M247" s="13" t="s">
        <v>18</v>
      </c>
      <c r="N247" s="9" t="s">
        <v>11</v>
      </c>
      <c r="O247" s="13" t="s">
        <v>19</v>
      </c>
      <c r="P247" s="9" t="s">
        <v>11</v>
      </c>
      <c r="Q247" s="13" t="s">
        <v>20</v>
      </c>
      <c r="R247" s="9" t="s">
        <v>14</v>
      </c>
      <c r="S247" s="34" t="s">
        <v>114</v>
      </c>
      <c r="T247" s="15" t="s">
        <v>40</v>
      </c>
      <c r="U247" s="31" t="s">
        <v>23</v>
      </c>
      <c r="V247" s="17" t="s">
        <v>24</v>
      </c>
    </row>
    <row r="248" ht="15.75" customHeight="1">
      <c r="A248" s="7">
        <v>247.0</v>
      </c>
      <c r="B248" s="18" t="s">
        <v>10</v>
      </c>
      <c r="C248" s="19" t="s">
        <v>11</v>
      </c>
      <c r="D248" s="18" t="s">
        <v>12</v>
      </c>
      <c r="E248" s="20" t="s">
        <v>13</v>
      </c>
      <c r="F248" s="19" t="s">
        <v>14</v>
      </c>
      <c r="G248" s="20" t="s">
        <v>15</v>
      </c>
      <c r="H248" s="19" t="s">
        <v>11</v>
      </c>
      <c r="I248" s="21" t="s">
        <v>16</v>
      </c>
      <c r="J248" s="19" t="s">
        <v>14</v>
      </c>
      <c r="K248" s="22" t="s">
        <v>17</v>
      </c>
      <c r="L248" s="19" t="s">
        <v>11</v>
      </c>
      <c r="M248" s="22" t="s">
        <v>18</v>
      </c>
      <c r="N248" s="19" t="s">
        <v>11</v>
      </c>
      <c r="O248" s="22" t="s">
        <v>19</v>
      </c>
      <c r="P248" s="19" t="s">
        <v>11</v>
      </c>
      <c r="Q248" s="22" t="s">
        <v>20</v>
      </c>
      <c r="R248" s="19" t="s">
        <v>14</v>
      </c>
      <c r="S248" s="35" t="s">
        <v>114</v>
      </c>
      <c r="T248" s="24" t="s">
        <v>40</v>
      </c>
      <c r="U248" s="33" t="s">
        <v>25</v>
      </c>
      <c r="V248" s="17" t="s">
        <v>24</v>
      </c>
    </row>
    <row r="249" ht="15.75" customHeight="1">
      <c r="A249" s="7">
        <v>248.0</v>
      </c>
      <c r="B249" s="8" t="s">
        <v>10</v>
      </c>
      <c r="C249" s="9" t="s">
        <v>11</v>
      </c>
      <c r="D249" s="8" t="s">
        <v>12</v>
      </c>
      <c r="E249" s="10" t="s">
        <v>13</v>
      </c>
      <c r="F249" s="9" t="s">
        <v>14</v>
      </c>
      <c r="G249" s="10" t="s">
        <v>15</v>
      </c>
      <c r="H249" s="9" t="s">
        <v>11</v>
      </c>
      <c r="I249" s="11" t="s">
        <v>16</v>
      </c>
      <c r="J249" s="9" t="s">
        <v>14</v>
      </c>
      <c r="K249" s="13" t="s">
        <v>17</v>
      </c>
      <c r="L249" s="9" t="s">
        <v>11</v>
      </c>
      <c r="M249" s="13" t="s">
        <v>18</v>
      </c>
      <c r="N249" s="9" t="s">
        <v>11</v>
      </c>
      <c r="O249" s="13" t="s">
        <v>19</v>
      </c>
      <c r="P249" s="9" t="s">
        <v>11</v>
      </c>
      <c r="Q249" s="13" t="s">
        <v>20</v>
      </c>
      <c r="R249" s="9" t="s">
        <v>14</v>
      </c>
      <c r="S249" s="34" t="s">
        <v>114</v>
      </c>
      <c r="T249" s="15" t="s">
        <v>41</v>
      </c>
      <c r="U249" s="31" t="s">
        <v>23</v>
      </c>
      <c r="V249" s="17" t="s">
        <v>24</v>
      </c>
    </row>
    <row r="250" ht="15.75" customHeight="1">
      <c r="A250" s="7">
        <v>249.0</v>
      </c>
      <c r="B250" s="18" t="s">
        <v>10</v>
      </c>
      <c r="C250" s="19" t="s">
        <v>11</v>
      </c>
      <c r="D250" s="18" t="s">
        <v>12</v>
      </c>
      <c r="E250" s="20" t="s">
        <v>13</v>
      </c>
      <c r="F250" s="19" t="s">
        <v>14</v>
      </c>
      <c r="G250" s="20" t="s">
        <v>15</v>
      </c>
      <c r="H250" s="19" t="s">
        <v>11</v>
      </c>
      <c r="I250" s="21" t="s">
        <v>16</v>
      </c>
      <c r="J250" s="19" t="s">
        <v>14</v>
      </c>
      <c r="K250" s="22" t="s">
        <v>17</v>
      </c>
      <c r="L250" s="19" t="s">
        <v>11</v>
      </c>
      <c r="M250" s="22" t="s">
        <v>18</v>
      </c>
      <c r="N250" s="19" t="s">
        <v>11</v>
      </c>
      <c r="O250" s="22" t="s">
        <v>19</v>
      </c>
      <c r="P250" s="19" t="s">
        <v>11</v>
      </c>
      <c r="Q250" s="22" t="s">
        <v>20</v>
      </c>
      <c r="R250" s="19" t="s">
        <v>14</v>
      </c>
      <c r="S250" s="35" t="s">
        <v>114</v>
      </c>
      <c r="T250" s="24" t="s">
        <v>41</v>
      </c>
      <c r="U250" s="33" t="s">
        <v>25</v>
      </c>
      <c r="V250" s="17" t="s">
        <v>24</v>
      </c>
    </row>
    <row r="251" ht="15.75" customHeight="1">
      <c r="A251" s="7">
        <v>250.0</v>
      </c>
      <c r="B251" s="8" t="s">
        <v>10</v>
      </c>
      <c r="C251" s="9" t="s">
        <v>11</v>
      </c>
      <c r="D251" s="8" t="s">
        <v>12</v>
      </c>
      <c r="E251" s="10" t="s">
        <v>13</v>
      </c>
      <c r="F251" s="9" t="s">
        <v>14</v>
      </c>
      <c r="G251" s="10" t="s">
        <v>15</v>
      </c>
      <c r="H251" s="9" t="s">
        <v>11</v>
      </c>
      <c r="I251" s="11" t="s">
        <v>16</v>
      </c>
      <c r="J251" s="9" t="s">
        <v>14</v>
      </c>
      <c r="K251" s="13" t="s">
        <v>17</v>
      </c>
      <c r="L251" s="9" t="s">
        <v>11</v>
      </c>
      <c r="M251" s="13" t="s">
        <v>18</v>
      </c>
      <c r="N251" s="9" t="s">
        <v>11</v>
      </c>
      <c r="O251" s="13" t="s">
        <v>19</v>
      </c>
      <c r="P251" s="9" t="s">
        <v>11</v>
      </c>
      <c r="Q251" s="13" t="s">
        <v>20</v>
      </c>
      <c r="R251" s="9" t="s">
        <v>14</v>
      </c>
      <c r="S251" s="34" t="s">
        <v>114</v>
      </c>
      <c r="T251" s="15" t="s">
        <v>42</v>
      </c>
      <c r="U251" s="31" t="s">
        <v>23</v>
      </c>
      <c r="V251" s="17" t="s">
        <v>24</v>
      </c>
    </row>
    <row r="252" ht="15.75" customHeight="1">
      <c r="A252" s="7">
        <v>251.0</v>
      </c>
      <c r="B252" s="18" t="s">
        <v>10</v>
      </c>
      <c r="C252" s="19" t="s">
        <v>11</v>
      </c>
      <c r="D252" s="18" t="s">
        <v>12</v>
      </c>
      <c r="E252" s="20" t="s">
        <v>13</v>
      </c>
      <c r="F252" s="19" t="s">
        <v>14</v>
      </c>
      <c r="G252" s="20" t="s">
        <v>15</v>
      </c>
      <c r="H252" s="19" t="s">
        <v>11</v>
      </c>
      <c r="I252" s="21" t="s">
        <v>16</v>
      </c>
      <c r="J252" s="19" t="s">
        <v>14</v>
      </c>
      <c r="K252" s="22" t="s">
        <v>17</v>
      </c>
      <c r="L252" s="19" t="s">
        <v>11</v>
      </c>
      <c r="M252" s="22" t="s">
        <v>18</v>
      </c>
      <c r="N252" s="19" t="s">
        <v>11</v>
      </c>
      <c r="O252" s="22" t="s">
        <v>19</v>
      </c>
      <c r="P252" s="19" t="s">
        <v>11</v>
      </c>
      <c r="Q252" s="22" t="s">
        <v>20</v>
      </c>
      <c r="R252" s="19" t="s">
        <v>14</v>
      </c>
      <c r="S252" s="35" t="s">
        <v>114</v>
      </c>
      <c r="T252" s="24" t="s">
        <v>42</v>
      </c>
      <c r="U252" s="33" t="s">
        <v>25</v>
      </c>
      <c r="V252" s="17" t="s">
        <v>24</v>
      </c>
    </row>
    <row r="253" ht="15.75" customHeight="1">
      <c r="A253" s="7">
        <v>252.0</v>
      </c>
      <c r="B253" s="8" t="s">
        <v>10</v>
      </c>
      <c r="C253" s="9" t="s">
        <v>11</v>
      </c>
      <c r="D253" s="8" t="s">
        <v>12</v>
      </c>
      <c r="E253" s="10" t="s">
        <v>13</v>
      </c>
      <c r="F253" s="9" t="s">
        <v>14</v>
      </c>
      <c r="G253" s="10" t="s">
        <v>15</v>
      </c>
      <c r="H253" s="9" t="s">
        <v>11</v>
      </c>
      <c r="I253" s="11" t="s">
        <v>16</v>
      </c>
      <c r="J253" s="9" t="s">
        <v>14</v>
      </c>
      <c r="K253" s="13" t="s">
        <v>17</v>
      </c>
      <c r="L253" s="9" t="s">
        <v>11</v>
      </c>
      <c r="M253" s="13" t="s">
        <v>18</v>
      </c>
      <c r="N253" s="9" t="s">
        <v>11</v>
      </c>
      <c r="O253" s="13" t="s">
        <v>19</v>
      </c>
      <c r="P253" s="9" t="s">
        <v>11</v>
      </c>
      <c r="Q253" s="13" t="s">
        <v>20</v>
      </c>
      <c r="R253" s="9" t="s">
        <v>14</v>
      </c>
      <c r="S253" s="34" t="s">
        <v>114</v>
      </c>
      <c r="T253" s="15" t="s">
        <v>43</v>
      </c>
      <c r="U253" s="31" t="s">
        <v>23</v>
      </c>
      <c r="V253" s="17" t="s">
        <v>24</v>
      </c>
    </row>
    <row r="254" ht="15.75" customHeight="1">
      <c r="A254" s="7">
        <v>253.0</v>
      </c>
      <c r="B254" s="18" t="s">
        <v>10</v>
      </c>
      <c r="C254" s="19" t="s">
        <v>11</v>
      </c>
      <c r="D254" s="18" t="s">
        <v>12</v>
      </c>
      <c r="E254" s="20" t="s">
        <v>13</v>
      </c>
      <c r="F254" s="19" t="s">
        <v>14</v>
      </c>
      <c r="G254" s="20" t="s">
        <v>15</v>
      </c>
      <c r="H254" s="19" t="s">
        <v>11</v>
      </c>
      <c r="I254" s="21" t="s">
        <v>16</v>
      </c>
      <c r="J254" s="19" t="s">
        <v>14</v>
      </c>
      <c r="K254" s="22" t="s">
        <v>17</v>
      </c>
      <c r="L254" s="19" t="s">
        <v>11</v>
      </c>
      <c r="M254" s="22" t="s">
        <v>18</v>
      </c>
      <c r="N254" s="19" t="s">
        <v>11</v>
      </c>
      <c r="O254" s="22" t="s">
        <v>19</v>
      </c>
      <c r="P254" s="19" t="s">
        <v>11</v>
      </c>
      <c r="Q254" s="22" t="s">
        <v>20</v>
      </c>
      <c r="R254" s="19" t="s">
        <v>14</v>
      </c>
      <c r="S254" s="35" t="s">
        <v>114</v>
      </c>
      <c r="T254" s="24" t="s">
        <v>43</v>
      </c>
      <c r="U254" s="33" t="s">
        <v>25</v>
      </c>
      <c r="V254" s="17" t="s">
        <v>24</v>
      </c>
    </row>
    <row r="255" ht="15.75" customHeight="1">
      <c r="A255" s="7">
        <v>254.0</v>
      </c>
      <c r="B255" s="8" t="s">
        <v>10</v>
      </c>
      <c r="C255" s="9" t="s">
        <v>11</v>
      </c>
      <c r="D255" s="8" t="s">
        <v>12</v>
      </c>
      <c r="E255" s="10" t="s">
        <v>13</v>
      </c>
      <c r="F255" s="9" t="s">
        <v>14</v>
      </c>
      <c r="G255" s="10" t="s">
        <v>15</v>
      </c>
      <c r="H255" s="9" t="s">
        <v>11</v>
      </c>
      <c r="I255" s="11" t="s">
        <v>16</v>
      </c>
      <c r="J255" s="9" t="s">
        <v>14</v>
      </c>
      <c r="K255" s="13" t="s">
        <v>17</v>
      </c>
      <c r="L255" s="9" t="s">
        <v>11</v>
      </c>
      <c r="M255" s="13" t="s">
        <v>18</v>
      </c>
      <c r="N255" s="9" t="s">
        <v>11</v>
      </c>
      <c r="O255" s="13" t="s">
        <v>19</v>
      </c>
      <c r="P255" s="9" t="s">
        <v>11</v>
      </c>
      <c r="Q255" s="13" t="s">
        <v>20</v>
      </c>
      <c r="R255" s="9" t="s">
        <v>14</v>
      </c>
      <c r="S255" s="34" t="s">
        <v>114</v>
      </c>
      <c r="T255" s="15" t="s">
        <v>44</v>
      </c>
      <c r="U255" s="31" t="s">
        <v>23</v>
      </c>
      <c r="V255" s="17" t="s">
        <v>24</v>
      </c>
    </row>
    <row r="256" ht="15.75" customHeight="1">
      <c r="A256" s="7">
        <v>255.0</v>
      </c>
      <c r="B256" s="18" t="s">
        <v>10</v>
      </c>
      <c r="C256" s="19" t="s">
        <v>11</v>
      </c>
      <c r="D256" s="18" t="s">
        <v>12</v>
      </c>
      <c r="E256" s="20" t="s">
        <v>13</v>
      </c>
      <c r="F256" s="19" t="s">
        <v>14</v>
      </c>
      <c r="G256" s="20" t="s">
        <v>15</v>
      </c>
      <c r="H256" s="19" t="s">
        <v>11</v>
      </c>
      <c r="I256" s="21" t="s">
        <v>16</v>
      </c>
      <c r="J256" s="19" t="s">
        <v>14</v>
      </c>
      <c r="K256" s="22" t="s">
        <v>17</v>
      </c>
      <c r="L256" s="19" t="s">
        <v>11</v>
      </c>
      <c r="M256" s="22" t="s">
        <v>18</v>
      </c>
      <c r="N256" s="19" t="s">
        <v>11</v>
      </c>
      <c r="O256" s="22" t="s">
        <v>19</v>
      </c>
      <c r="P256" s="19" t="s">
        <v>11</v>
      </c>
      <c r="Q256" s="22" t="s">
        <v>20</v>
      </c>
      <c r="R256" s="19" t="s">
        <v>14</v>
      </c>
      <c r="S256" s="35" t="s">
        <v>114</v>
      </c>
      <c r="T256" s="24" t="s">
        <v>44</v>
      </c>
      <c r="U256" s="33" t="s">
        <v>25</v>
      </c>
      <c r="V256" s="17" t="s">
        <v>24</v>
      </c>
    </row>
    <row r="257" ht="15.75" customHeight="1">
      <c r="A257" s="7">
        <v>256.0</v>
      </c>
      <c r="B257" s="8" t="s">
        <v>10</v>
      </c>
      <c r="C257" s="9" t="s">
        <v>11</v>
      </c>
      <c r="D257" s="8" t="s">
        <v>12</v>
      </c>
      <c r="E257" s="10" t="s">
        <v>13</v>
      </c>
      <c r="F257" s="9" t="s">
        <v>14</v>
      </c>
      <c r="G257" s="10" t="s">
        <v>15</v>
      </c>
      <c r="H257" s="9" t="s">
        <v>11</v>
      </c>
      <c r="I257" s="11" t="s">
        <v>16</v>
      </c>
      <c r="J257" s="9" t="s">
        <v>14</v>
      </c>
      <c r="K257" s="13" t="s">
        <v>17</v>
      </c>
      <c r="L257" s="9" t="s">
        <v>11</v>
      </c>
      <c r="M257" s="13" t="s">
        <v>18</v>
      </c>
      <c r="N257" s="9" t="s">
        <v>11</v>
      </c>
      <c r="O257" s="13" t="s">
        <v>19</v>
      </c>
      <c r="P257" s="9" t="s">
        <v>11</v>
      </c>
      <c r="Q257" s="13" t="s">
        <v>20</v>
      </c>
      <c r="R257" s="9" t="s">
        <v>14</v>
      </c>
      <c r="S257" s="34" t="s">
        <v>114</v>
      </c>
      <c r="T257" s="15" t="s">
        <v>45</v>
      </c>
      <c r="U257" s="31" t="s">
        <v>23</v>
      </c>
      <c r="V257" s="17" t="s">
        <v>24</v>
      </c>
    </row>
    <row r="258" ht="15.75" customHeight="1">
      <c r="A258" s="7">
        <v>257.0</v>
      </c>
      <c r="B258" s="18" t="s">
        <v>10</v>
      </c>
      <c r="C258" s="19" t="s">
        <v>11</v>
      </c>
      <c r="D258" s="18" t="s">
        <v>12</v>
      </c>
      <c r="E258" s="20" t="s">
        <v>13</v>
      </c>
      <c r="F258" s="19" t="s">
        <v>14</v>
      </c>
      <c r="G258" s="20" t="s">
        <v>15</v>
      </c>
      <c r="H258" s="19" t="s">
        <v>11</v>
      </c>
      <c r="I258" s="21" t="s">
        <v>16</v>
      </c>
      <c r="J258" s="19" t="s">
        <v>14</v>
      </c>
      <c r="K258" s="22" t="s">
        <v>17</v>
      </c>
      <c r="L258" s="19" t="s">
        <v>11</v>
      </c>
      <c r="M258" s="22" t="s">
        <v>18</v>
      </c>
      <c r="N258" s="19" t="s">
        <v>11</v>
      </c>
      <c r="O258" s="22" t="s">
        <v>19</v>
      </c>
      <c r="P258" s="19" t="s">
        <v>11</v>
      </c>
      <c r="Q258" s="22" t="s">
        <v>20</v>
      </c>
      <c r="R258" s="19" t="s">
        <v>14</v>
      </c>
      <c r="S258" s="35" t="s">
        <v>114</v>
      </c>
      <c r="T258" s="24" t="s">
        <v>45</v>
      </c>
      <c r="U258" s="33" t="s">
        <v>25</v>
      </c>
      <c r="V258" s="17" t="s">
        <v>24</v>
      </c>
    </row>
    <row r="259" ht="15.75" customHeight="1">
      <c r="A259" s="7">
        <v>258.0</v>
      </c>
      <c r="B259" s="8" t="s">
        <v>10</v>
      </c>
      <c r="C259" s="9" t="s">
        <v>11</v>
      </c>
      <c r="D259" s="8" t="s">
        <v>12</v>
      </c>
      <c r="E259" s="10" t="s">
        <v>13</v>
      </c>
      <c r="F259" s="9" t="s">
        <v>14</v>
      </c>
      <c r="G259" s="10" t="s">
        <v>15</v>
      </c>
      <c r="H259" s="9" t="s">
        <v>11</v>
      </c>
      <c r="I259" s="11" t="s">
        <v>16</v>
      </c>
      <c r="J259" s="9" t="s">
        <v>14</v>
      </c>
      <c r="K259" s="13" t="s">
        <v>17</v>
      </c>
      <c r="L259" s="9" t="s">
        <v>11</v>
      </c>
      <c r="M259" s="13" t="s">
        <v>18</v>
      </c>
      <c r="N259" s="9" t="s">
        <v>11</v>
      </c>
      <c r="O259" s="13" t="s">
        <v>19</v>
      </c>
      <c r="P259" s="9" t="s">
        <v>11</v>
      </c>
      <c r="Q259" s="13" t="s">
        <v>20</v>
      </c>
      <c r="R259" s="9" t="s">
        <v>14</v>
      </c>
      <c r="S259" s="34" t="s">
        <v>114</v>
      </c>
      <c r="T259" s="15" t="s">
        <v>46</v>
      </c>
      <c r="U259" s="31" t="s">
        <v>23</v>
      </c>
      <c r="V259" s="17" t="s">
        <v>24</v>
      </c>
    </row>
    <row r="260" ht="15.75" customHeight="1">
      <c r="A260" s="7">
        <v>259.0</v>
      </c>
      <c r="B260" s="18" t="s">
        <v>10</v>
      </c>
      <c r="C260" s="19" t="s">
        <v>11</v>
      </c>
      <c r="D260" s="18" t="s">
        <v>12</v>
      </c>
      <c r="E260" s="20" t="s">
        <v>13</v>
      </c>
      <c r="F260" s="19" t="s">
        <v>14</v>
      </c>
      <c r="G260" s="20" t="s">
        <v>15</v>
      </c>
      <c r="H260" s="19" t="s">
        <v>11</v>
      </c>
      <c r="I260" s="21" t="s">
        <v>16</v>
      </c>
      <c r="J260" s="19" t="s">
        <v>14</v>
      </c>
      <c r="K260" s="22" t="s">
        <v>17</v>
      </c>
      <c r="L260" s="19" t="s">
        <v>11</v>
      </c>
      <c r="M260" s="22" t="s">
        <v>18</v>
      </c>
      <c r="N260" s="19" t="s">
        <v>11</v>
      </c>
      <c r="O260" s="22" t="s">
        <v>19</v>
      </c>
      <c r="P260" s="19" t="s">
        <v>11</v>
      </c>
      <c r="Q260" s="22" t="s">
        <v>20</v>
      </c>
      <c r="R260" s="19" t="s">
        <v>14</v>
      </c>
      <c r="S260" s="35" t="s">
        <v>114</v>
      </c>
      <c r="T260" s="24" t="s">
        <v>46</v>
      </c>
      <c r="U260" s="33" t="s">
        <v>25</v>
      </c>
      <c r="V260" s="17" t="s">
        <v>24</v>
      </c>
    </row>
    <row r="261" ht="15.75" customHeight="1">
      <c r="A261" s="7">
        <v>260.0</v>
      </c>
      <c r="B261" s="8" t="s">
        <v>10</v>
      </c>
      <c r="C261" s="9" t="s">
        <v>11</v>
      </c>
      <c r="D261" s="8" t="s">
        <v>12</v>
      </c>
      <c r="E261" s="10" t="s">
        <v>13</v>
      </c>
      <c r="F261" s="9" t="s">
        <v>14</v>
      </c>
      <c r="G261" s="10" t="s">
        <v>15</v>
      </c>
      <c r="H261" s="9" t="s">
        <v>11</v>
      </c>
      <c r="I261" s="11" t="s">
        <v>16</v>
      </c>
      <c r="J261" s="9" t="s">
        <v>14</v>
      </c>
      <c r="K261" s="13" t="s">
        <v>17</v>
      </c>
      <c r="L261" s="9" t="s">
        <v>11</v>
      </c>
      <c r="M261" s="13" t="s">
        <v>18</v>
      </c>
      <c r="N261" s="9" t="s">
        <v>11</v>
      </c>
      <c r="O261" s="13" t="s">
        <v>19</v>
      </c>
      <c r="P261" s="9" t="s">
        <v>11</v>
      </c>
      <c r="Q261" s="13" t="s">
        <v>20</v>
      </c>
      <c r="R261" s="9" t="s">
        <v>14</v>
      </c>
      <c r="S261" s="34" t="s">
        <v>114</v>
      </c>
      <c r="T261" s="15" t="s">
        <v>47</v>
      </c>
      <c r="U261" s="31" t="s">
        <v>23</v>
      </c>
      <c r="V261" s="17" t="s">
        <v>24</v>
      </c>
    </row>
    <row r="262" ht="15.75" customHeight="1">
      <c r="A262" s="7">
        <v>261.0</v>
      </c>
      <c r="B262" s="18" t="s">
        <v>10</v>
      </c>
      <c r="C262" s="19" t="s">
        <v>11</v>
      </c>
      <c r="D262" s="18" t="s">
        <v>12</v>
      </c>
      <c r="E262" s="20" t="s">
        <v>13</v>
      </c>
      <c r="F262" s="19" t="s">
        <v>14</v>
      </c>
      <c r="G262" s="20" t="s">
        <v>15</v>
      </c>
      <c r="H262" s="19" t="s">
        <v>11</v>
      </c>
      <c r="I262" s="21" t="s">
        <v>16</v>
      </c>
      <c r="J262" s="19" t="s">
        <v>14</v>
      </c>
      <c r="K262" s="22" t="s">
        <v>17</v>
      </c>
      <c r="L262" s="19" t="s">
        <v>11</v>
      </c>
      <c r="M262" s="22" t="s">
        <v>18</v>
      </c>
      <c r="N262" s="19" t="s">
        <v>11</v>
      </c>
      <c r="O262" s="22" t="s">
        <v>19</v>
      </c>
      <c r="P262" s="19" t="s">
        <v>11</v>
      </c>
      <c r="Q262" s="22" t="s">
        <v>20</v>
      </c>
      <c r="R262" s="19" t="s">
        <v>14</v>
      </c>
      <c r="S262" s="35" t="s">
        <v>114</v>
      </c>
      <c r="T262" s="24" t="s">
        <v>47</v>
      </c>
      <c r="U262" s="33" t="s">
        <v>25</v>
      </c>
      <c r="V262" s="17" t="s">
        <v>24</v>
      </c>
    </row>
    <row r="263" ht="15.75" customHeight="1">
      <c r="A263" s="7">
        <v>262.0</v>
      </c>
      <c r="B263" s="8" t="s">
        <v>10</v>
      </c>
      <c r="C263" s="9" t="s">
        <v>11</v>
      </c>
      <c r="D263" s="8" t="s">
        <v>12</v>
      </c>
      <c r="E263" s="10" t="s">
        <v>13</v>
      </c>
      <c r="F263" s="9" t="s">
        <v>14</v>
      </c>
      <c r="G263" s="10" t="s">
        <v>15</v>
      </c>
      <c r="H263" s="9" t="s">
        <v>11</v>
      </c>
      <c r="I263" s="11" t="s">
        <v>16</v>
      </c>
      <c r="J263" s="9" t="s">
        <v>14</v>
      </c>
      <c r="K263" s="13" t="s">
        <v>17</v>
      </c>
      <c r="L263" s="9" t="s">
        <v>11</v>
      </c>
      <c r="M263" s="13" t="s">
        <v>18</v>
      </c>
      <c r="N263" s="9" t="s">
        <v>11</v>
      </c>
      <c r="O263" s="13" t="s">
        <v>19</v>
      </c>
      <c r="P263" s="9" t="s">
        <v>11</v>
      </c>
      <c r="Q263" s="13" t="s">
        <v>20</v>
      </c>
      <c r="R263" s="9" t="s">
        <v>14</v>
      </c>
      <c r="S263" s="34" t="s">
        <v>114</v>
      </c>
      <c r="T263" s="15" t="s">
        <v>48</v>
      </c>
      <c r="U263" s="31" t="s">
        <v>23</v>
      </c>
      <c r="V263" s="17" t="s">
        <v>24</v>
      </c>
    </row>
    <row r="264" ht="15.75" customHeight="1">
      <c r="A264" s="7">
        <v>263.0</v>
      </c>
      <c r="B264" s="18" t="s">
        <v>10</v>
      </c>
      <c r="C264" s="19" t="s">
        <v>11</v>
      </c>
      <c r="D264" s="18" t="s">
        <v>12</v>
      </c>
      <c r="E264" s="20" t="s">
        <v>13</v>
      </c>
      <c r="F264" s="19" t="s">
        <v>14</v>
      </c>
      <c r="G264" s="20" t="s">
        <v>15</v>
      </c>
      <c r="H264" s="19" t="s">
        <v>11</v>
      </c>
      <c r="I264" s="21" t="s">
        <v>16</v>
      </c>
      <c r="J264" s="19" t="s">
        <v>14</v>
      </c>
      <c r="K264" s="22" t="s">
        <v>17</v>
      </c>
      <c r="L264" s="19" t="s">
        <v>11</v>
      </c>
      <c r="M264" s="22" t="s">
        <v>18</v>
      </c>
      <c r="N264" s="19" t="s">
        <v>11</v>
      </c>
      <c r="O264" s="22" t="s">
        <v>19</v>
      </c>
      <c r="P264" s="19" t="s">
        <v>11</v>
      </c>
      <c r="Q264" s="22" t="s">
        <v>20</v>
      </c>
      <c r="R264" s="19" t="s">
        <v>14</v>
      </c>
      <c r="S264" s="35" t="s">
        <v>114</v>
      </c>
      <c r="T264" s="24" t="s">
        <v>48</v>
      </c>
      <c r="U264" s="33" t="s">
        <v>25</v>
      </c>
      <c r="V264" s="17" t="s">
        <v>24</v>
      </c>
    </row>
    <row r="265" ht="15.75" customHeight="1">
      <c r="A265" s="7">
        <v>264.0</v>
      </c>
      <c r="B265" s="8" t="s">
        <v>10</v>
      </c>
      <c r="C265" s="9" t="s">
        <v>11</v>
      </c>
      <c r="D265" s="8" t="s">
        <v>12</v>
      </c>
      <c r="E265" s="10" t="s">
        <v>13</v>
      </c>
      <c r="F265" s="9" t="s">
        <v>14</v>
      </c>
      <c r="G265" s="10" t="s">
        <v>15</v>
      </c>
      <c r="H265" s="9" t="s">
        <v>11</v>
      </c>
      <c r="I265" s="11" t="s">
        <v>16</v>
      </c>
      <c r="J265" s="9" t="s">
        <v>14</v>
      </c>
      <c r="K265" s="13" t="s">
        <v>17</v>
      </c>
      <c r="L265" s="9" t="s">
        <v>11</v>
      </c>
      <c r="M265" s="13" t="s">
        <v>18</v>
      </c>
      <c r="N265" s="9" t="s">
        <v>11</v>
      </c>
      <c r="O265" s="13" t="s">
        <v>19</v>
      </c>
      <c r="P265" s="9" t="s">
        <v>11</v>
      </c>
      <c r="Q265" s="13" t="s">
        <v>20</v>
      </c>
      <c r="R265" s="9" t="s">
        <v>14</v>
      </c>
      <c r="S265" s="34" t="s">
        <v>114</v>
      </c>
      <c r="T265" s="15" t="s">
        <v>49</v>
      </c>
      <c r="U265" s="31" t="s">
        <v>23</v>
      </c>
      <c r="V265" s="17" t="s">
        <v>24</v>
      </c>
    </row>
    <row r="266" ht="15.75" customHeight="1">
      <c r="A266" s="7">
        <v>265.0</v>
      </c>
      <c r="B266" s="18" t="s">
        <v>10</v>
      </c>
      <c r="C266" s="19" t="s">
        <v>11</v>
      </c>
      <c r="D266" s="18" t="s">
        <v>12</v>
      </c>
      <c r="E266" s="20" t="s">
        <v>13</v>
      </c>
      <c r="F266" s="19" t="s">
        <v>14</v>
      </c>
      <c r="G266" s="20" t="s">
        <v>15</v>
      </c>
      <c r="H266" s="19" t="s">
        <v>11</v>
      </c>
      <c r="I266" s="21" t="s">
        <v>16</v>
      </c>
      <c r="J266" s="19" t="s">
        <v>14</v>
      </c>
      <c r="K266" s="22" t="s">
        <v>17</v>
      </c>
      <c r="L266" s="19" t="s">
        <v>11</v>
      </c>
      <c r="M266" s="22" t="s">
        <v>18</v>
      </c>
      <c r="N266" s="19" t="s">
        <v>11</v>
      </c>
      <c r="O266" s="22" t="s">
        <v>19</v>
      </c>
      <c r="P266" s="19" t="s">
        <v>11</v>
      </c>
      <c r="Q266" s="22" t="s">
        <v>20</v>
      </c>
      <c r="R266" s="19" t="s">
        <v>14</v>
      </c>
      <c r="S266" s="35" t="s">
        <v>114</v>
      </c>
      <c r="T266" s="24" t="s">
        <v>49</v>
      </c>
      <c r="U266" s="33" t="s">
        <v>25</v>
      </c>
      <c r="V266" s="17" t="s">
        <v>24</v>
      </c>
    </row>
    <row r="267" ht="15.75" customHeight="1">
      <c r="A267" s="7">
        <v>266.0</v>
      </c>
      <c r="B267" s="8" t="s">
        <v>10</v>
      </c>
      <c r="C267" s="9" t="s">
        <v>11</v>
      </c>
      <c r="D267" s="8" t="s">
        <v>12</v>
      </c>
      <c r="E267" s="10" t="s">
        <v>13</v>
      </c>
      <c r="F267" s="9" t="s">
        <v>14</v>
      </c>
      <c r="G267" s="10" t="s">
        <v>15</v>
      </c>
      <c r="H267" s="9" t="s">
        <v>11</v>
      </c>
      <c r="I267" s="11" t="s">
        <v>16</v>
      </c>
      <c r="J267" s="9" t="s">
        <v>14</v>
      </c>
      <c r="K267" s="13" t="s">
        <v>17</v>
      </c>
      <c r="L267" s="9" t="s">
        <v>11</v>
      </c>
      <c r="M267" s="13" t="s">
        <v>18</v>
      </c>
      <c r="N267" s="9" t="s">
        <v>11</v>
      </c>
      <c r="O267" s="13" t="s">
        <v>19</v>
      </c>
      <c r="P267" s="9" t="s">
        <v>11</v>
      </c>
      <c r="Q267" s="13" t="s">
        <v>20</v>
      </c>
      <c r="R267" s="9" t="s">
        <v>14</v>
      </c>
      <c r="S267" s="34" t="s">
        <v>114</v>
      </c>
      <c r="T267" s="15" t="s">
        <v>50</v>
      </c>
      <c r="U267" s="31" t="s">
        <v>23</v>
      </c>
      <c r="V267" s="17" t="s">
        <v>24</v>
      </c>
    </row>
    <row r="268" ht="15.75" customHeight="1">
      <c r="A268" s="7">
        <v>267.0</v>
      </c>
      <c r="B268" s="18" t="s">
        <v>10</v>
      </c>
      <c r="C268" s="19" t="s">
        <v>11</v>
      </c>
      <c r="D268" s="18" t="s">
        <v>12</v>
      </c>
      <c r="E268" s="20" t="s">
        <v>13</v>
      </c>
      <c r="F268" s="19" t="s">
        <v>14</v>
      </c>
      <c r="G268" s="20" t="s">
        <v>15</v>
      </c>
      <c r="H268" s="19" t="s">
        <v>11</v>
      </c>
      <c r="I268" s="21" t="s">
        <v>16</v>
      </c>
      <c r="J268" s="19" t="s">
        <v>14</v>
      </c>
      <c r="K268" s="22" t="s">
        <v>17</v>
      </c>
      <c r="L268" s="19" t="s">
        <v>11</v>
      </c>
      <c r="M268" s="22" t="s">
        <v>18</v>
      </c>
      <c r="N268" s="19" t="s">
        <v>11</v>
      </c>
      <c r="O268" s="22" t="s">
        <v>19</v>
      </c>
      <c r="P268" s="19" t="s">
        <v>11</v>
      </c>
      <c r="Q268" s="22" t="s">
        <v>20</v>
      </c>
      <c r="R268" s="19" t="s">
        <v>14</v>
      </c>
      <c r="S268" s="35" t="s">
        <v>114</v>
      </c>
      <c r="T268" s="24" t="s">
        <v>50</v>
      </c>
      <c r="U268" s="33" t="s">
        <v>25</v>
      </c>
      <c r="V268" s="17" t="s">
        <v>24</v>
      </c>
    </row>
    <row r="269" ht="15.75" customHeight="1">
      <c r="A269" s="7">
        <v>268.0</v>
      </c>
      <c r="B269" s="8" t="s">
        <v>10</v>
      </c>
      <c r="C269" s="9" t="s">
        <v>11</v>
      </c>
      <c r="D269" s="8" t="s">
        <v>12</v>
      </c>
      <c r="E269" s="10" t="s">
        <v>13</v>
      </c>
      <c r="F269" s="9" t="s">
        <v>14</v>
      </c>
      <c r="G269" s="10" t="s">
        <v>15</v>
      </c>
      <c r="H269" s="9" t="s">
        <v>11</v>
      </c>
      <c r="I269" s="11" t="s">
        <v>16</v>
      </c>
      <c r="J269" s="9" t="s">
        <v>14</v>
      </c>
      <c r="K269" s="13" t="s">
        <v>17</v>
      </c>
      <c r="L269" s="9" t="s">
        <v>11</v>
      </c>
      <c r="M269" s="13" t="s">
        <v>18</v>
      </c>
      <c r="N269" s="9" t="s">
        <v>11</v>
      </c>
      <c r="O269" s="13" t="s">
        <v>19</v>
      </c>
      <c r="P269" s="9" t="s">
        <v>11</v>
      </c>
      <c r="Q269" s="13" t="s">
        <v>20</v>
      </c>
      <c r="R269" s="9" t="s">
        <v>14</v>
      </c>
      <c r="S269" s="34" t="s">
        <v>114</v>
      </c>
      <c r="T269" s="15" t="s">
        <v>51</v>
      </c>
      <c r="U269" s="31" t="s">
        <v>23</v>
      </c>
      <c r="V269" s="17" t="s">
        <v>24</v>
      </c>
    </row>
    <row r="270" ht="15.75" customHeight="1">
      <c r="A270" s="7">
        <v>269.0</v>
      </c>
      <c r="B270" s="18" t="s">
        <v>10</v>
      </c>
      <c r="C270" s="19" t="s">
        <v>11</v>
      </c>
      <c r="D270" s="18" t="s">
        <v>12</v>
      </c>
      <c r="E270" s="20" t="s">
        <v>13</v>
      </c>
      <c r="F270" s="19" t="s">
        <v>14</v>
      </c>
      <c r="G270" s="20" t="s">
        <v>15</v>
      </c>
      <c r="H270" s="19" t="s">
        <v>11</v>
      </c>
      <c r="I270" s="21" t="s">
        <v>16</v>
      </c>
      <c r="J270" s="19" t="s">
        <v>14</v>
      </c>
      <c r="K270" s="22" t="s">
        <v>17</v>
      </c>
      <c r="L270" s="19" t="s">
        <v>11</v>
      </c>
      <c r="M270" s="22" t="s">
        <v>18</v>
      </c>
      <c r="N270" s="19" t="s">
        <v>11</v>
      </c>
      <c r="O270" s="22" t="s">
        <v>19</v>
      </c>
      <c r="P270" s="19" t="s">
        <v>11</v>
      </c>
      <c r="Q270" s="22" t="s">
        <v>20</v>
      </c>
      <c r="R270" s="19" t="s">
        <v>14</v>
      </c>
      <c r="S270" s="35" t="s">
        <v>114</v>
      </c>
      <c r="T270" s="24" t="s">
        <v>51</v>
      </c>
      <c r="U270" s="33" t="s">
        <v>25</v>
      </c>
      <c r="V270" s="17" t="s">
        <v>24</v>
      </c>
    </row>
    <row r="271" ht="15.75" customHeight="1">
      <c r="A271" s="7">
        <v>270.0</v>
      </c>
      <c r="B271" s="8" t="s">
        <v>10</v>
      </c>
      <c r="C271" s="9" t="s">
        <v>11</v>
      </c>
      <c r="D271" s="8" t="s">
        <v>12</v>
      </c>
      <c r="E271" s="10" t="s">
        <v>13</v>
      </c>
      <c r="F271" s="9" t="s">
        <v>14</v>
      </c>
      <c r="G271" s="10" t="s">
        <v>15</v>
      </c>
      <c r="H271" s="9" t="s">
        <v>11</v>
      </c>
      <c r="I271" s="11" t="s">
        <v>16</v>
      </c>
      <c r="J271" s="9" t="s">
        <v>14</v>
      </c>
      <c r="K271" s="13" t="s">
        <v>17</v>
      </c>
      <c r="L271" s="9" t="s">
        <v>11</v>
      </c>
      <c r="M271" s="13" t="s">
        <v>18</v>
      </c>
      <c r="N271" s="9" t="s">
        <v>11</v>
      </c>
      <c r="O271" s="13" t="s">
        <v>19</v>
      </c>
      <c r="P271" s="9" t="s">
        <v>11</v>
      </c>
      <c r="Q271" s="13" t="s">
        <v>20</v>
      </c>
      <c r="R271" s="9" t="s">
        <v>14</v>
      </c>
      <c r="S271" s="34" t="s">
        <v>114</v>
      </c>
      <c r="T271" s="15" t="s">
        <v>52</v>
      </c>
      <c r="U271" s="31" t="s">
        <v>23</v>
      </c>
      <c r="V271" s="17" t="s">
        <v>24</v>
      </c>
    </row>
    <row r="272" ht="15.75" customHeight="1">
      <c r="A272" s="7">
        <v>271.0</v>
      </c>
      <c r="B272" s="18" t="s">
        <v>10</v>
      </c>
      <c r="C272" s="19" t="s">
        <v>11</v>
      </c>
      <c r="D272" s="18" t="s">
        <v>12</v>
      </c>
      <c r="E272" s="20" t="s">
        <v>13</v>
      </c>
      <c r="F272" s="19" t="s">
        <v>14</v>
      </c>
      <c r="G272" s="20" t="s">
        <v>15</v>
      </c>
      <c r="H272" s="19" t="s">
        <v>11</v>
      </c>
      <c r="I272" s="21" t="s">
        <v>16</v>
      </c>
      <c r="J272" s="19" t="s">
        <v>14</v>
      </c>
      <c r="K272" s="22" t="s">
        <v>17</v>
      </c>
      <c r="L272" s="19" t="s">
        <v>11</v>
      </c>
      <c r="M272" s="22" t="s">
        <v>18</v>
      </c>
      <c r="N272" s="19" t="s">
        <v>11</v>
      </c>
      <c r="O272" s="22" t="s">
        <v>19</v>
      </c>
      <c r="P272" s="19" t="s">
        <v>11</v>
      </c>
      <c r="Q272" s="22" t="s">
        <v>20</v>
      </c>
      <c r="R272" s="19" t="s">
        <v>14</v>
      </c>
      <c r="S272" s="35" t="s">
        <v>114</v>
      </c>
      <c r="T272" s="24" t="s">
        <v>52</v>
      </c>
      <c r="U272" s="33" t="s">
        <v>25</v>
      </c>
      <c r="V272" s="17" t="s">
        <v>24</v>
      </c>
    </row>
    <row r="273" ht="15.75" customHeight="1">
      <c r="A273" s="7">
        <v>272.0</v>
      </c>
      <c r="B273" s="8" t="s">
        <v>10</v>
      </c>
      <c r="C273" s="9" t="s">
        <v>11</v>
      </c>
      <c r="D273" s="8" t="s">
        <v>12</v>
      </c>
      <c r="E273" s="10" t="s">
        <v>13</v>
      </c>
      <c r="F273" s="9" t="s">
        <v>14</v>
      </c>
      <c r="G273" s="10" t="s">
        <v>15</v>
      </c>
      <c r="H273" s="9" t="s">
        <v>11</v>
      </c>
      <c r="I273" s="11" t="s">
        <v>16</v>
      </c>
      <c r="J273" s="9" t="s">
        <v>14</v>
      </c>
      <c r="K273" s="13" t="s">
        <v>17</v>
      </c>
      <c r="L273" s="9" t="s">
        <v>11</v>
      </c>
      <c r="M273" s="13" t="s">
        <v>18</v>
      </c>
      <c r="N273" s="9" t="s">
        <v>11</v>
      </c>
      <c r="O273" s="13" t="s">
        <v>19</v>
      </c>
      <c r="P273" s="9" t="s">
        <v>11</v>
      </c>
      <c r="Q273" s="13" t="s">
        <v>20</v>
      </c>
      <c r="R273" s="9" t="s">
        <v>14</v>
      </c>
      <c r="S273" s="34" t="s">
        <v>114</v>
      </c>
      <c r="T273" s="15" t="s">
        <v>53</v>
      </c>
      <c r="U273" s="31" t="s">
        <v>23</v>
      </c>
      <c r="V273" s="17" t="s">
        <v>24</v>
      </c>
    </row>
    <row r="274" ht="15.75" customHeight="1">
      <c r="A274" s="7">
        <v>273.0</v>
      </c>
      <c r="B274" s="18" t="s">
        <v>10</v>
      </c>
      <c r="C274" s="19" t="s">
        <v>11</v>
      </c>
      <c r="D274" s="18" t="s">
        <v>12</v>
      </c>
      <c r="E274" s="20" t="s">
        <v>13</v>
      </c>
      <c r="F274" s="19" t="s">
        <v>14</v>
      </c>
      <c r="G274" s="20" t="s">
        <v>15</v>
      </c>
      <c r="H274" s="19" t="s">
        <v>11</v>
      </c>
      <c r="I274" s="21" t="s">
        <v>16</v>
      </c>
      <c r="J274" s="19" t="s">
        <v>14</v>
      </c>
      <c r="K274" s="22" t="s">
        <v>17</v>
      </c>
      <c r="L274" s="19" t="s">
        <v>11</v>
      </c>
      <c r="M274" s="22" t="s">
        <v>18</v>
      </c>
      <c r="N274" s="19" t="s">
        <v>11</v>
      </c>
      <c r="O274" s="22" t="s">
        <v>19</v>
      </c>
      <c r="P274" s="19" t="s">
        <v>11</v>
      </c>
      <c r="Q274" s="22" t="s">
        <v>20</v>
      </c>
      <c r="R274" s="19" t="s">
        <v>14</v>
      </c>
      <c r="S274" s="35" t="s">
        <v>114</v>
      </c>
      <c r="T274" s="24" t="s">
        <v>53</v>
      </c>
      <c r="U274" s="33" t="s">
        <v>25</v>
      </c>
      <c r="V274" s="17" t="s">
        <v>24</v>
      </c>
    </row>
    <row r="275" ht="15.75" customHeight="1">
      <c r="A275" s="7">
        <v>274.0</v>
      </c>
      <c r="B275" s="8" t="s">
        <v>10</v>
      </c>
      <c r="C275" s="9" t="s">
        <v>11</v>
      </c>
      <c r="D275" s="8" t="s">
        <v>12</v>
      </c>
      <c r="E275" s="10" t="s">
        <v>13</v>
      </c>
      <c r="F275" s="9" t="s">
        <v>14</v>
      </c>
      <c r="G275" s="10" t="s">
        <v>15</v>
      </c>
      <c r="H275" s="9" t="s">
        <v>11</v>
      </c>
      <c r="I275" s="11" t="s">
        <v>16</v>
      </c>
      <c r="J275" s="9" t="s">
        <v>14</v>
      </c>
      <c r="K275" s="13" t="s">
        <v>17</v>
      </c>
      <c r="L275" s="9" t="s">
        <v>11</v>
      </c>
      <c r="M275" s="13" t="s">
        <v>18</v>
      </c>
      <c r="N275" s="9" t="s">
        <v>11</v>
      </c>
      <c r="O275" s="13" t="s">
        <v>19</v>
      </c>
      <c r="P275" s="9" t="s">
        <v>11</v>
      </c>
      <c r="Q275" s="13" t="s">
        <v>20</v>
      </c>
      <c r="R275" s="9" t="s">
        <v>14</v>
      </c>
      <c r="S275" s="34" t="s">
        <v>114</v>
      </c>
      <c r="T275" s="15" t="s">
        <v>54</v>
      </c>
      <c r="U275" s="31" t="s">
        <v>23</v>
      </c>
      <c r="V275" s="17" t="s">
        <v>24</v>
      </c>
    </row>
    <row r="276" ht="15.75" customHeight="1">
      <c r="A276" s="7">
        <v>275.0</v>
      </c>
      <c r="B276" s="18" t="s">
        <v>10</v>
      </c>
      <c r="C276" s="19" t="s">
        <v>11</v>
      </c>
      <c r="D276" s="18" t="s">
        <v>12</v>
      </c>
      <c r="E276" s="20" t="s">
        <v>13</v>
      </c>
      <c r="F276" s="19" t="s">
        <v>14</v>
      </c>
      <c r="G276" s="20" t="s">
        <v>15</v>
      </c>
      <c r="H276" s="19" t="s">
        <v>11</v>
      </c>
      <c r="I276" s="21" t="s">
        <v>16</v>
      </c>
      <c r="J276" s="19" t="s">
        <v>14</v>
      </c>
      <c r="K276" s="22" t="s">
        <v>17</v>
      </c>
      <c r="L276" s="19" t="s">
        <v>11</v>
      </c>
      <c r="M276" s="22" t="s">
        <v>18</v>
      </c>
      <c r="N276" s="19" t="s">
        <v>11</v>
      </c>
      <c r="O276" s="22" t="s">
        <v>19</v>
      </c>
      <c r="P276" s="19" t="s">
        <v>11</v>
      </c>
      <c r="Q276" s="22" t="s">
        <v>20</v>
      </c>
      <c r="R276" s="19" t="s">
        <v>14</v>
      </c>
      <c r="S276" s="35" t="s">
        <v>114</v>
      </c>
      <c r="T276" s="24" t="s">
        <v>54</v>
      </c>
      <c r="U276" s="33" t="s">
        <v>25</v>
      </c>
      <c r="V276" s="17" t="s">
        <v>24</v>
      </c>
    </row>
    <row r="277" ht="15.75" customHeight="1">
      <c r="A277" s="7">
        <v>276.0</v>
      </c>
      <c r="B277" s="8" t="s">
        <v>10</v>
      </c>
      <c r="C277" s="9" t="s">
        <v>11</v>
      </c>
      <c r="D277" s="8" t="s">
        <v>12</v>
      </c>
      <c r="E277" s="10" t="s">
        <v>13</v>
      </c>
      <c r="F277" s="9" t="s">
        <v>14</v>
      </c>
      <c r="G277" s="10" t="s">
        <v>15</v>
      </c>
      <c r="H277" s="9" t="s">
        <v>11</v>
      </c>
      <c r="I277" s="11" t="s">
        <v>16</v>
      </c>
      <c r="J277" s="9" t="s">
        <v>14</v>
      </c>
      <c r="K277" s="13" t="s">
        <v>17</v>
      </c>
      <c r="L277" s="9" t="s">
        <v>11</v>
      </c>
      <c r="M277" s="13" t="s">
        <v>18</v>
      </c>
      <c r="N277" s="9" t="s">
        <v>11</v>
      </c>
      <c r="O277" s="13" t="s">
        <v>19</v>
      </c>
      <c r="P277" s="9" t="s">
        <v>11</v>
      </c>
      <c r="Q277" s="13" t="s">
        <v>20</v>
      </c>
      <c r="R277" s="9" t="s">
        <v>14</v>
      </c>
      <c r="S277" s="34" t="s">
        <v>114</v>
      </c>
      <c r="T277" s="15" t="s">
        <v>55</v>
      </c>
      <c r="U277" s="31" t="s">
        <v>23</v>
      </c>
      <c r="V277" s="17" t="s">
        <v>24</v>
      </c>
    </row>
    <row r="278" ht="15.75" customHeight="1">
      <c r="A278" s="7">
        <v>277.0</v>
      </c>
      <c r="B278" s="18" t="s">
        <v>10</v>
      </c>
      <c r="C278" s="19" t="s">
        <v>11</v>
      </c>
      <c r="D278" s="18" t="s">
        <v>12</v>
      </c>
      <c r="E278" s="20" t="s">
        <v>13</v>
      </c>
      <c r="F278" s="19" t="s">
        <v>14</v>
      </c>
      <c r="G278" s="20" t="s">
        <v>15</v>
      </c>
      <c r="H278" s="19" t="s">
        <v>11</v>
      </c>
      <c r="I278" s="21" t="s">
        <v>16</v>
      </c>
      <c r="J278" s="19" t="s">
        <v>14</v>
      </c>
      <c r="K278" s="22" t="s">
        <v>17</v>
      </c>
      <c r="L278" s="19" t="s">
        <v>11</v>
      </c>
      <c r="M278" s="22" t="s">
        <v>18</v>
      </c>
      <c r="N278" s="19" t="s">
        <v>11</v>
      </c>
      <c r="O278" s="22" t="s">
        <v>19</v>
      </c>
      <c r="P278" s="19" t="s">
        <v>11</v>
      </c>
      <c r="Q278" s="22" t="s">
        <v>20</v>
      </c>
      <c r="R278" s="19" t="s">
        <v>14</v>
      </c>
      <c r="S278" s="35" t="s">
        <v>114</v>
      </c>
      <c r="T278" s="24" t="s">
        <v>55</v>
      </c>
      <c r="U278" s="33" t="s">
        <v>25</v>
      </c>
      <c r="V278" s="17" t="s">
        <v>24</v>
      </c>
    </row>
    <row r="279" ht="15.75" customHeight="1">
      <c r="A279" s="7">
        <v>278.0</v>
      </c>
      <c r="B279" s="8" t="s">
        <v>10</v>
      </c>
      <c r="C279" s="9" t="s">
        <v>11</v>
      </c>
      <c r="D279" s="8" t="s">
        <v>12</v>
      </c>
      <c r="E279" s="10" t="s">
        <v>13</v>
      </c>
      <c r="F279" s="9" t="s">
        <v>14</v>
      </c>
      <c r="G279" s="10" t="s">
        <v>15</v>
      </c>
      <c r="H279" s="9" t="s">
        <v>11</v>
      </c>
      <c r="I279" s="11" t="s">
        <v>16</v>
      </c>
      <c r="J279" s="9" t="s">
        <v>14</v>
      </c>
      <c r="K279" s="13" t="s">
        <v>17</v>
      </c>
      <c r="L279" s="9" t="s">
        <v>11</v>
      </c>
      <c r="M279" s="13" t="s">
        <v>18</v>
      </c>
      <c r="N279" s="9" t="s">
        <v>11</v>
      </c>
      <c r="O279" s="13" t="s">
        <v>19</v>
      </c>
      <c r="P279" s="9" t="s">
        <v>11</v>
      </c>
      <c r="Q279" s="13" t="s">
        <v>20</v>
      </c>
      <c r="R279" s="9" t="s">
        <v>14</v>
      </c>
      <c r="S279" s="34" t="s">
        <v>114</v>
      </c>
      <c r="T279" s="15" t="s">
        <v>56</v>
      </c>
      <c r="U279" s="31" t="s">
        <v>23</v>
      </c>
      <c r="V279" s="17" t="s">
        <v>24</v>
      </c>
    </row>
    <row r="280" ht="15.75" customHeight="1">
      <c r="A280" s="7">
        <v>279.0</v>
      </c>
      <c r="B280" s="18" t="s">
        <v>10</v>
      </c>
      <c r="C280" s="19" t="s">
        <v>11</v>
      </c>
      <c r="D280" s="18" t="s">
        <v>12</v>
      </c>
      <c r="E280" s="20" t="s">
        <v>13</v>
      </c>
      <c r="F280" s="19" t="s">
        <v>14</v>
      </c>
      <c r="G280" s="20" t="s">
        <v>15</v>
      </c>
      <c r="H280" s="19" t="s">
        <v>11</v>
      </c>
      <c r="I280" s="21" t="s">
        <v>16</v>
      </c>
      <c r="J280" s="19" t="s">
        <v>14</v>
      </c>
      <c r="K280" s="22" t="s">
        <v>17</v>
      </c>
      <c r="L280" s="19" t="s">
        <v>11</v>
      </c>
      <c r="M280" s="22" t="s">
        <v>18</v>
      </c>
      <c r="N280" s="19" t="s">
        <v>11</v>
      </c>
      <c r="O280" s="22" t="s">
        <v>19</v>
      </c>
      <c r="P280" s="19" t="s">
        <v>11</v>
      </c>
      <c r="Q280" s="22" t="s">
        <v>20</v>
      </c>
      <c r="R280" s="19" t="s">
        <v>14</v>
      </c>
      <c r="S280" s="35" t="s">
        <v>114</v>
      </c>
      <c r="T280" s="24" t="s">
        <v>56</v>
      </c>
      <c r="U280" s="33" t="s">
        <v>25</v>
      </c>
      <c r="V280" s="17" t="s">
        <v>24</v>
      </c>
    </row>
    <row r="281" ht="15.75" customHeight="1">
      <c r="A281" s="7">
        <v>280.0</v>
      </c>
      <c r="B281" s="8" t="s">
        <v>10</v>
      </c>
      <c r="C281" s="9" t="s">
        <v>11</v>
      </c>
      <c r="D281" s="8" t="s">
        <v>12</v>
      </c>
      <c r="E281" s="10" t="s">
        <v>13</v>
      </c>
      <c r="F281" s="9" t="s">
        <v>14</v>
      </c>
      <c r="G281" s="10" t="s">
        <v>15</v>
      </c>
      <c r="H281" s="9" t="s">
        <v>11</v>
      </c>
      <c r="I281" s="11" t="s">
        <v>16</v>
      </c>
      <c r="J281" s="9" t="s">
        <v>14</v>
      </c>
      <c r="K281" s="13" t="s">
        <v>17</v>
      </c>
      <c r="L281" s="9" t="s">
        <v>11</v>
      </c>
      <c r="M281" s="13" t="s">
        <v>18</v>
      </c>
      <c r="N281" s="9" t="s">
        <v>11</v>
      </c>
      <c r="O281" s="13" t="s">
        <v>19</v>
      </c>
      <c r="P281" s="9" t="s">
        <v>11</v>
      </c>
      <c r="Q281" s="13" t="s">
        <v>20</v>
      </c>
      <c r="R281" s="9" t="s">
        <v>14</v>
      </c>
      <c r="S281" s="34" t="s">
        <v>114</v>
      </c>
      <c r="T281" s="15" t="s">
        <v>57</v>
      </c>
      <c r="U281" s="31" t="s">
        <v>23</v>
      </c>
      <c r="V281" s="17" t="s">
        <v>24</v>
      </c>
    </row>
    <row r="282" ht="15.75" customHeight="1">
      <c r="A282" s="7">
        <v>281.0</v>
      </c>
      <c r="B282" s="18" t="s">
        <v>10</v>
      </c>
      <c r="C282" s="19" t="s">
        <v>11</v>
      </c>
      <c r="D282" s="18" t="s">
        <v>12</v>
      </c>
      <c r="E282" s="20" t="s">
        <v>13</v>
      </c>
      <c r="F282" s="19" t="s">
        <v>14</v>
      </c>
      <c r="G282" s="20" t="s">
        <v>15</v>
      </c>
      <c r="H282" s="19" t="s">
        <v>11</v>
      </c>
      <c r="I282" s="21" t="s">
        <v>16</v>
      </c>
      <c r="J282" s="19" t="s">
        <v>14</v>
      </c>
      <c r="K282" s="22" t="s">
        <v>17</v>
      </c>
      <c r="L282" s="19" t="s">
        <v>11</v>
      </c>
      <c r="M282" s="22" t="s">
        <v>18</v>
      </c>
      <c r="N282" s="19" t="s">
        <v>11</v>
      </c>
      <c r="O282" s="22" t="s">
        <v>19</v>
      </c>
      <c r="P282" s="19" t="s">
        <v>11</v>
      </c>
      <c r="Q282" s="22" t="s">
        <v>20</v>
      </c>
      <c r="R282" s="19" t="s">
        <v>14</v>
      </c>
      <c r="S282" s="35" t="s">
        <v>114</v>
      </c>
      <c r="T282" s="24" t="s">
        <v>57</v>
      </c>
      <c r="U282" s="33" t="s">
        <v>25</v>
      </c>
      <c r="V282" s="17" t="s">
        <v>24</v>
      </c>
    </row>
    <row r="283" ht="15.75" customHeight="1">
      <c r="A283" s="7">
        <v>282.0</v>
      </c>
      <c r="B283" s="8" t="s">
        <v>10</v>
      </c>
      <c r="C283" s="9" t="s">
        <v>11</v>
      </c>
      <c r="D283" s="8" t="s">
        <v>12</v>
      </c>
      <c r="E283" s="10" t="s">
        <v>13</v>
      </c>
      <c r="F283" s="9" t="s">
        <v>14</v>
      </c>
      <c r="G283" s="10" t="s">
        <v>15</v>
      </c>
      <c r="H283" s="9" t="s">
        <v>11</v>
      </c>
      <c r="I283" s="11" t="s">
        <v>16</v>
      </c>
      <c r="J283" s="9" t="s">
        <v>14</v>
      </c>
      <c r="K283" s="13" t="s">
        <v>17</v>
      </c>
      <c r="L283" s="9" t="s">
        <v>11</v>
      </c>
      <c r="M283" s="13" t="s">
        <v>18</v>
      </c>
      <c r="N283" s="9" t="s">
        <v>11</v>
      </c>
      <c r="O283" s="13" t="s">
        <v>19</v>
      </c>
      <c r="P283" s="9" t="s">
        <v>11</v>
      </c>
      <c r="Q283" s="13" t="s">
        <v>20</v>
      </c>
      <c r="R283" s="9" t="s">
        <v>14</v>
      </c>
      <c r="S283" s="34" t="s">
        <v>114</v>
      </c>
      <c r="T283" s="15" t="s">
        <v>58</v>
      </c>
      <c r="U283" s="31" t="s">
        <v>23</v>
      </c>
      <c r="V283" s="17" t="s">
        <v>24</v>
      </c>
    </row>
    <row r="284" ht="15.75" customHeight="1">
      <c r="A284" s="7">
        <v>283.0</v>
      </c>
      <c r="B284" s="18" t="s">
        <v>10</v>
      </c>
      <c r="C284" s="19" t="s">
        <v>11</v>
      </c>
      <c r="D284" s="18" t="s">
        <v>12</v>
      </c>
      <c r="E284" s="20" t="s">
        <v>13</v>
      </c>
      <c r="F284" s="19" t="s">
        <v>14</v>
      </c>
      <c r="G284" s="20" t="s">
        <v>15</v>
      </c>
      <c r="H284" s="19" t="s">
        <v>11</v>
      </c>
      <c r="I284" s="21" t="s">
        <v>16</v>
      </c>
      <c r="J284" s="19" t="s">
        <v>14</v>
      </c>
      <c r="K284" s="22" t="s">
        <v>17</v>
      </c>
      <c r="L284" s="19" t="s">
        <v>11</v>
      </c>
      <c r="M284" s="22" t="s">
        <v>18</v>
      </c>
      <c r="N284" s="19" t="s">
        <v>11</v>
      </c>
      <c r="O284" s="22" t="s">
        <v>19</v>
      </c>
      <c r="P284" s="19" t="s">
        <v>11</v>
      </c>
      <c r="Q284" s="22" t="s">
        <v>20</v>
      </c>
      <c r="R284" s="19" t="s">
        <v>14</v>
      </c>
      <c r="S284" s="35" t="s">
        <v>114</v>
      </c>
      <c r="T284" s="24" t="s">
        <v>58</v>
      </c>
      <c r="U284" s="33" t="s">
        <v>25</v>
      </c>
      <c r="V284" s="17" t="s">
        <v>24</v>
      </c>
    </row>
    <row r="285" ht="15.75" customHeight="1">
      <c r="A285" s="7">
        <v>284.0</v>
      </c>
      <c r="B285" s="8" t="s">
        <v>10</v>
      </c>
      <c r="C285" s="9" t="s">
        <v>11</v>
      </c>
      <c r="D285" s="8" t="s">
        <v>12</v>
      </c>
      <c r="E285" s="10" t="s">
        <v>13</v>
      </c>
      <c r="F285" s="9" t="s">
        <v>14</v>
      </c>
      <c r="G285" s="10" t="s">
        <v>15</v>
      </c>
      <c r="H285" s="9" t="s">
        <v>11</v>
      </c>
      <c r="I285" s="11" t="s">
        <v>16</v>
      </c>
      <c r="J285" s="9" t="s">
        <v>14</v>
      </c>
      <c r="K285" s="13" t="s">
        <v>17</v>
      </c>
      <c r="L285" s="9" t="s">
        <v>11</v>
      </c>
      <c r="M285" s="13" t="s">
        <v>18</v>
      </c>
      <c r="N285" s="9" t="s">
        <v>11</v>
      </c>
      <c r="O285" s="13" t="s">
        <v>19</v>
      </c>
      <c r="P285" s="9" t="s">
        <v>11</v>
      </c>
      <c r="Q285" s="13" t="s">
        <v>20</v>
      </c>
      <c r="R285" s="9" t="s">
        <v>14</v>
      </c>
      <c r="S285" s="34" t="s">
        <v>114</v>
      </c>
      <c r="T285" s="15" t="s">
        <v>59</v>
      </c>
      <c r="U285" s="31" t="s">
        <v>23</v>
      </c>
      <c r="V285" s="17" t="s">
        <v>24</v>
      </c>
    </row>
    <row r="286" ht="15.75" customHeight="1">
      <c r="A286" s="7">
        <v>285.0</v>
      </c>
      <c r="B286" s="18" t="s">
        <v>10</v>
      </c>
      <c r="C286" s="19" t="s">
        <v>11</v>
      </c>
      <c r="D286" s="18" t="s">
        <v>12</v>
      </c>
      <c r="E286" s="20" t="s">
        <v>13</v>
      </c>
      <c r="F286" s="19" t="s">
        <v>14</v>
      </c>
      <c r="G286" s="20" t="s">
        <v>15</v>
      </c>
      <c r="H286" s="19" t="s">
        <v>11</v>
      </c>
      <c r="I286" s="21" t="s">
        <v>16</v>
      </c>
      <c r="J286" s="19" t="s">
        <v>14</v>
      </c>
      <c r="K286" s="22" t="s">
        <v>17</v>
      </c>
      <c r="L286" s="19" t="s">
        <v>11</v>
      </c>
      <c r="M286" s="22" t="s">
        <v>18</v>
      </c>
      <c r="N286" s="19" t="s">
        <v>11</v>
      </c>
      <c r="O286" s="22" t="s">
        <v>19</v>
      </c>
      <c r="P286" s="19" t="s">
        <v>11</v>
      </c>
      <c r="Q286" s="22" t="s">
        <v>20</v>
      </c>
      <c r="R286" s="19" t="s">
        <v>14</v>
      </c>
      <c r="S286" s="35" t="s">
        <v>114</v>
      </c>
      <c r="T286" s="24" t="s">
        <v>59</v>
      </c>
      <c r="U286" s="33" t="s">
        <v>25</v>
      </c>
      <c r="V286" s="17" t="s">
        <v>24</v>
      </c>
    </row>
    <row r="287" ht="15.75" customHeight="1">
      <c r="A287" s="7">
        <v>286.0</v>
      </c>
      <c r="B287" s="8" t="s">
        <v>10</v>
      </c>
      <c r="C287" s="9" t="s">
        <v>11</v>
      </c>
      <c r="D287" s="8" t="s">
        <v>12</v>
      </c>
      <c r="E287" s="10" t="s">
        <v>13</v>
      </c>
      <c r="F287" s="9" t="s">
        <v>14</v>
      </c>
      <c r="G287" s="10" t="s">
        <v>15</v>
      </c>
      <c r="H287" s="9" t="s">
        <v>11</v>
      </c>
      <c r="I287" s="11" t="s">
        <v>16</v>
      </c>
      <c r="J287" s="9" t="s">
        <v>14</v>
      </c>
      <c r="K287" s="13" t="s">
        <v>17</v>
      </c>
      <c r="L287" s="9" t="s">
        <v>11</v>
      </c>
      <c r="M287" s="13" t="s">
        <v>18</v>
      </c>
      <c r="N287" s="9" t="s">
        <v>11</v>
      </c>
      <c r="O287" s="13" t="s">
        <v>19</v>
      </c>
      <c r="P287" s="9" t="s">
        <v>11</v>
      </c>
      <c r="Q287" s="13" t="s">
        <v>20</v>
      </c>
      <c r="R287" s="9" t="s">
        <v>14</v>
      </c>
      <c r="S287" s="34" t="s">
        <v>114</v>
      </c>
      <c r="T287" s="15" t="s">
        <v>60</v>
      </c>
      <c r="U287" s="31" t="s">
        <v>23</v>
      </c>
      <c r="V287" s="17" t="s">
        <v>24</v>
      </c>
    </row>
    <row r="288" ht="15.75" customHeight="1">
      <c r="A288" s="7">
        <v>287.0</v>
      </c>
      <c r="B288" s="18" t="s">
        <v>10</v>
      </c>
      <c r="C288" s="19" t="s">
        <v>11</v>
      </c>
      <c r="D288" s="18" t="s">
        <v>12</v>
      </c>
      <c r="E288" s="20" t="s">
        <v>13</v>
      </c>
      <c r="F288" s="19" t="s">
        <v>14</v>
      </c>
      <c r="G288" s="20" t="s">
        <v>15</v>
      </c>
      <c r="H288" s="19" t="s">
        <v>11</v>
      </c>
      <c r="I288" s="21" t="s">
        <v>16</v>
      </c>
      <c r="J288" s="19" t="s">
        <v>14</v>
      </c>
      <c r="K288" s="22" t="s">
        <v>17</v>
      </c>
      <c r="L288" s="19" t="s">
        <v>11</v>
      </c>
      <c r="M288" s="22" t="s">
        <v>18</v>
      </c>
      <c r="N288" s="19" t="s">
        <v>11</v>
      </c>
      <c r="O288" s="22" t="s">
        <v>19</v>
      </c>
      <c r="P288" s="19" t="s">
        <v>11</v>
      </c>
      <c r="Q288" s="22" t="s">
        <v>20</v>
      </c>
      <c r="R288" s="19" t="s">
        <v>14</v>
      </c>
      <c r="S288" s="35" t="s">
        <v>114</v>
      </c>
      <c r="T288" s="24" t="s">
        <v>60</v>
      </c>
      <c r="U288" s="33" t="s">
        <v>25</v>
      </c>
      <c r="V288" s="17" t="s">
        <v>24</v>
      </c>
    </row>
    <row r="289" ht="15.75" customHeight="1">
      <c r="A289" s="7">
        <v>288.0</v>
      </c>
      <c r="B289" s="8" t="s">
        <v>10</v>
      </c>
      <c r="C289" s="9" t="s">
        <v>11</v>
      </c>
      <c r="D289" s="8" t="s">
        <v>12</v>
      </c>
      <c r="E289" s="10" t="s">
        <v>13</v>
      </c>
      <c r="F289" s="9" t="s">
        <v>14</v>
      </c>
      <c r="G289" s="10" t="s">
        <v>15</v>
      </c>
      <c r="H289" s="9" t="s">
        <v>11</v>
      </c>
      <c r="I289" s="11" t="s">
        <v>16</v>
      </c>
      <c r="J289" s="9" t="s">
        <v>14</v>
      </c>
      <c r="K289" s="13" t="s">
        <v>17</v>
      </c>
      <c r="L289" s="9" t="s">
        <v>11</v>
      </c>
      <c r="M289" s="13" t="s">
        <v>18</v>
      </c>
      <c r="N289" s="9" t="s">
        <v>11</v>
      </c>
      <c r="O289" s="13" t="s">
        <v>19</v>
      </c>
      <c r="P289" s="9" t="s">
        <v>11</v>
      </c>
      <c r="Q289" s="13" t="s">
        <v>20</v>
      </c>
      <c r="R289" s="9" t="s">
        <v>14</v>
      </c>
      <c r="S289" s="34" t="s">
        <v>114</v>
      </c>
      <c r="T289" s="15" t="s">
        <v>61</v>
      </c>
      <c r="U289" s="31" t="s">
        <v>23</v>
      </c>
      <c r="V289" s="17" t="s">
        <v>24</v>
      </c>
    </row>
    <row r="290" ht="15.75" customHeight="1">
      <c r="A290" s="7">
        <v>289.0</v>
      </c>
      <c r="B290" s="18" t="s">
        <v>10</v>
      </c>
      <c r="C290" s="19" t="s">
        <v>11</v>
      </c>
      <c r="D290" s="18" t="s">
        <v>12</v>
      </c>
      <c r="E290" s="20" t="s">
        <v>13</v>
      </c>
      <c r="F290" s="19" t="s">
        <v>14</v>
      </c>
      <c r="G290" s="20" t="s">
        <v>15</v>
      </c>
      <c r="H290" s="19" t="s">
        <v>11</v>
      </c>
      <c r="I290" s="21" t="s">
        <v>16</v>
      </c>
      <c r="J290" s="19" t="s">
        <v>14</v>
      </c>
      <c r="K290" s="22" t="s">
        <v>17</v>
      </c>
      <c r="L290" s="19" t="s">
        <v>11</v>
      </c>
      <c r="M290" s="22" t="s">
        <v>18</v>
      </c>
      <c r="N290" s="19" t="s">
        <v>11</v>
      </c>
      <c r="O290" s="22" t="s">
        <v>19</v>
      </c>
      <c r="P290" s="19" t="s">
        <v>11</v>
      </c>
      <c r="Q290" s="22" t="s">
        <v>20</v>
      </c>
      <c r="R290" s="19" t="s">
        <v>14</v>
      </c>
      <c r="S290" s="35" t="s">
        <v>114</v>
      </c>
      <c r="T290" s="24" t="s">
        <v>61</v>
      </c>
      <c r="U290" s="33" t="s">
        <v>25</v>
      </c>
      <c r="V290" s="17" t="s">
        <v>24</v>
      </c>
    </row>
    <row r="291" ht="15.75" customHeight="1">
      <c r="A291" s="7">
        <v>290.0</v>
      </c>
      <c r="B291" s="8" t="s">
        <v>10</v>
      </c>
      <c r="C291" s="9" t="s">
        <v>11</v>
      </c>
      <c r="D291" s="8" t="s">
        <v>12</v>
      </c>
      <c r="E291" s="10" t="s">
        <v>13</v>
      </c>
      <c r="F291" s="9" t="s">
        <v>14</v>
      </c>
      <c r="G291" s="10" t="s">
        <v>15</v>
      </c>
      <c r="H291" s="9" t="s">
        <v>11</v>
      </c>
      <c r="I291" s="11" t="s">
        <v>16</v>
      </c>
      <c r="J291" s="9" t="s">
        <v>14</v>
      </c>
      <c r="K291" s="13" t="s">
        <v>17</v>
      </c>
      <c r="L291" s="9" t="s">
        <v>11</v>
      </c>
      <c r="M291" s="13" t="s">
        <v>18</v>
      </c>
      <c r="N291" s="9" t="s">
        <v>11</v>
      </c>
      <c r="O291" s="13" t="s">
        <v>19</v>
      </c>
      <c r="P291" s="9" t="s">
        <v>11</v>
      </c>
      <c r="Q291" s="13" t="s">
        <v>20</v>
      </c>
      <c r="R291" s="9" t="s">
        <v>14</v>
      </c>
      <c r="S291" s="34" t="s">
        <v>114</v>
      </c>
      <c r="T291" s="15" t="s">
        <v>62</v>
      </c>
      <c r="U291" s="31" t="s">
        <v>23</v>
      </c>
      <c r="V291" s="17" t="s">
        <v>24</v>
      </c>
    </row>
    <row r="292" ht="15.75" customHeight="1">
      <c r="A292" s="7">
        <v>291.0</v>
      </c>
      <c r="B292" s="18" t="s">
        <v>10</v>
      </c>
      <c r="C292" s="19" t="s">
        <v>11</v>
      </c>
      <c r="D292" s="18" t="s">
        <v>12</v>
      </c>
      <c r="E292" s="20" t="s">
        <v>13</v>
      </c>
      <c r="F292" s="19" t="s">
        <v>14</v>
      </c>
      <c r="G292" s="20" t="s">
        <v>15</v>
      </c>
      <c r="H292" s="19" t="s">
        <v>11</v>
      </c>
      <c r="I292" s="21" t="s">
        <v>16</v>
      </c>
      <c r="J292" s="19" t="s">
        <v>14</v>
      </c>
      <c r="K292" s="22" t="s">
        <v>17</v>
      </c>
      <c r="L292" s="19" t="s">
        <v>11</v>
      </c>
      <c r="M292" s="22" t="s">
        <v>18</v>
      </c>
      <c r="N292" s="19" t="s">
        <v>11</v>
      </c>
      <c r="O292" s="22" t="s">
        <v>19</v>
      </c>
      <c r="P292" s="19" t="s">
        <v>11</v>
      </c>
      <c r="Q292" s="22" t="s">
        <v>20</v>
      </c>
      <c r="R292" s="19" t="s">
        <v>14</v>
      </c>
      <c r="S292" s="35" t="s">
        <v>114</v>
      </c>
      <c r="T292" s="24" t="s">
        <v>62</v>
      </c>
      <c r="U292" s="33" t="s">
        <v>25</v>
      </c>
      <c r="V292" s="17" t="s">
        <v>24</v>
      </c>
    </row>
    <row r="293" ht="15.75" customHeight="1">
      <c r="A293" s="7">
        <v>292.0</v>
      </c>
      <c r="B293" s="8" t="s">
        <v>10</v>
      </c>
      <c r="C293" s="9" t="s">
        <v>11</v>
      </c>
      <c r="D293" s="8" t="s">
        <v>12</v>
      </c>
      <c r="E293" s="10" t="s">
        <v>13</v>
      </c>
      <c r="F293" s="9" t="s">
        <v>14</v>
      </c>
      <c r="G293" s="10" t="s">
        <v>15</v>
      </c>
      <c r="H293" s="9" t="s">
        <v>11</v>
      </c>
      <c r="I293" s="11" t="s">
        <v>16</v>
      </c>
      <c r="J293" s="9" t="s">
        <v>14</v>
      </c>
      <c r="K293" s="13" t="s">
        <v>17</v>
      </c>
      <c r="L293" s="9" t="s">
        <v>11</v>
      </c>
      <c r="M293" s="13" t="s">
        <v>18</v>
      </c>
      <c r="N293" s="9" t="s">
        <v>11</v>
      </c>
      <c r="O293" s="13" t="s">
        <v>19</v>
      </c>
      <c r="P293" s="9" t="s">
        <v>11</v>
      </c>
      <c r="Q293" s="13" t="s">
        <v>20</v>
      </c>
      <c r="R293" s="9" t="s">
        <v>14</v>
      </c>
      <c r="S293" s="34" t="s">
        <v>114</v>
      </c>
      <c r="T293" s="15" t="s">
        <v>63</v>
      </c>
      <c r="U293" s="31" t="s">
        <v>23</v>
      </c>
      <c r="V293" s="17" t="s">
        <v>24</v>
      </c>
    </row>
    <row r="294" ht="15.75" customHeight="1">
      <c r="A294" s="7">
        <v>293.0</v>
      </c>
      <c r="B294" s="18" t="s">
        <v>10</v>
      </c>
      <c r="C294" s="19" t="s">
        <v>11</v>
      </c>
      <c r="D294" s="18" t="s">
        <v>12</v>
      </c>
      <c r="E294" s="20" t="s">
        <v>13</v>
      </c>
      <c r="F294" s="19" t="s">
        <v>14</v>
      </c>
      <c r="G294" s="20" t="s">
        <v>15</v>
      </c>
      <c r="H294" s="19" t="s">
        <v>11</v>
      </c>
      <c r="I294" s="21" t="s">
        <v>16</v>
      </c>
      <c r="J294" s="19" t="s">
        <v>14</v>
      </c>
      <c r="K294" s="22" t="s">
        <v>17</v>
      </c>
      <c r="L294" s="19" t="s">
        <v>11</v>
      </c>
      <c r="M294" s="22" t="s">
        <v>18</v>
      </c>
      <c r="N294" s="19" t="s">
        <v>11</v>
      </c>
      <c r="O294" s="22" t="s">
        <v>19</v>
      </c>
      <c r="P294" s="19" t="s">
        <v>11</v>
      </c>
      <c r="Q294" s="22" t="s">
        <v>20</v>
      </c>
      <c r="R294" s="19" t="s">
        <v>14</v>
      </c>
      <c r="S294" s="35" t="s">
        <v>114</v>
      </c>
      <c r="T294" s="24" t="s">
        <v>63</v>
      </c>
      <c r="U294" s="33" t="s">
        <v>25</v>
      </c>
      <c r="V294" s="17" t="s">
        <v>24</v>
      </c>
    </row>
    <row r="295" ht="15.75" customHeight="1">
      <c r="A295" s="7">
        <v>294.0</v>
      </c>
      <c r="B295" s="8" t="s">
        <v>10</v>
      </c>
      <c r="C295" s="9" t="s">
        <v>11</v>
      </c>
      <c r="D295" s="8" t="s">
        <v>12</v>
      </c>
      <c r="E295" s="10" t="s">
        <v>13</v>
      </c>
      <c r="F295" s="9" t="s">
        <v>14</v>
      </c>
      <c r="G295" s="10" t="s">
        <v>15</v>
      </c>
      <c r="H295" s="9" t="s">
        <v>11</v>
      </c>
      <c r="I295" s="11" t="s">
        <v>16</v>
      </c>
      <c r="J295" s="9" t="s">
        <v>14</v>
      </c>
      <c r="K295" s="13" t="s">
        <v>17</v>
      </c>
      <c r="L295" s="9" t="s">
        <v>11</v>
      </c>
      <c r="M295" s="13" t="s">
        <v>18</v>
      </c>
      <c r="N295" s="9" t="s">
        <v>11</v>
      </c>
      <c r="O295" s="13" t="s">
        <v>19</v>
      </c>
      <c r="P295" s="9" t="s">
        <v>11</v>
      </c>
      <c r="Q295" s="13" t="s">
        <v>20</v>
      </c>
      <c r="R295" s="9" t="s">
        <v>14</v>
      </c>
      <c r="S295" s="34" t="s">
        <v>114</v>
      </c>
      <c r="T295" s="15" t="s">
        <v>64</v>
      </c>
      <c r="U295" s="31" t="s">
        <v>23</v>
      </c>
      <c r="V295" s="17" t="s">
        <v>24</v>
      </c>
    </row>
    <row r="296" ht="15.75" customHeight="1">
      <c r="A296" s="7">
        <v>295.0</v>
      </c>
      <c r="B296" s="18" t="s">
        <v>10</v>
      </c>
      <c r="C296" s="19" t="s">
        <v>11</v>
      </c>
      <c r="D296" s="18" t="s">
        <v>12</v>
      </c>
      <c r="E296" s="20" t="s">
        <v>13</v>
      </c>
      <c r="F296" s="19" t="s">
        <v>14</v>
      </c>
      <c r="G296" s="20" t="s">
        <v>15</v>
      </c>
      <c r="H296" s="19" t="s">
        <v>11</v>
      </c>
      <c r="I296" s="21" t="s">
        <v>16</v>
      </c>
      <c r="J296" s="19" t="s">
        <v>14</v>
      </c>
      <c r="K296" s="22" t="s">
        <v>17</v>
      </c>
      <c r="L296" s="19" t="s">
        <v>11</v>
      </c>
      <c r="M296" s="22" t="s">
        <v>18</v>
      </c>
      <c r="N296" s="19" t="s">
        <v>11</v>
      </c>
      <c r="O296" s="22" t="s">
        <v>19</v>
      </c>
      <c r="P296" s="19" t="s">
        <v>11</v>
      </c>
      <c r="Q296" s="22" t="s">
        <v>20</v>
      </c>
      <c r="R296" s="19" t="s">
        <v>14</v>
      </c>
      <c r="S296" s="35" t="s">
        <v>114</v>
      </c>
      <c r="T296" s="24" t="s">
        <v>64</v>
      </c>
      <c r="U296" s="33" t="s">
        <v>25</v>
      </c>
      <c r="V296" s="17" t="s">
        <v>24</v>
      </c>
    </row>
    <row r="297" ht="15.75" customHeight="1">
      <c r="A297" s="7">
        <v>296.0</v>
      </c>
      <c r="B297" s="8" t="s">
        <v>10</v>
      </c>
      <c r="C297" s="9" t="s">
        <v>11</v>
      </c>
      <c r="D297" s="8" t="s">
        <v>12</v>
      </c>
      <c r="E297" s="10" t="s">
        <v>13</v>
      </c>
      <c r="F297" s="9" t="s">
        <v>14</v>
      </c>
      <c r="G297" s="10" t="s">
        <v>15</v>
      </c>
      <c r="H297" s="9" t="s">
        <v>11</v>
      </c>
      <c r="I297" s="11" t="s">
        <v>16</v>
      </c>
      <c r="J297" s="9" t="s">
        <v>14</v>
      </c>
      <c r="K297" s="13" t="s">
        <v>17</v>
      </c>
      <c r="L297" s="9" t="s">
        <v>11</v>
      </c>
      <c r="M297" s="13" t="s">
        <v>18</v>
      </c>
      <c r="N297" s="9" t="s">
        <v>11</v>
      </c>
      <c r="O297" s="13" t="s">
        <v>19</v>
      </c>
      <c r="P297" s="9" t="s">
        <v>11</v>
      </c>
      <c r="Q297" s="13" t="s">
        <v>20</v>
      </c>
      <c r="R297" s="9" t="s">
        <v>14</v>
      </c>
      <c r="S297" s="34" t="s">
        <v>114</v>
      </c>
      <c r="T297" s="15" t="s">
        <v>65</v>
      </c>
      <c r="U297" s="31" t="s">
        <v>23</v>
      </c>
      <c r="V297" s="17" t="s">
        <v>24</v>
      </c>
    </row>
    <row r="298" ht="15.75" customHeight="1">
      <c r="A298" s="7">
        <v>297.0</v>
      </c>
      <c r="B298" s="18" t="s">
        <v>10</v>
      </c>
      <c r="C298" s="19" t="s">
        <v>11</v>
      </c>
      <c r="D298" s="18" t="s">
        <v>12</v>
      </c>
      <c r="E298" s="20" t="s">
        <v>13</v>
      </c>
      <c r="F298" s="19" t="s">
        <v>14</v>
      </c>
      <c r="G298" s="20" t="s">
        <v>15</v>
      </c>
      <c r="H298" s="19" t="s">
        <v>11</v>
      </c>
      <c r="I298" s="21" t="s">
        <v>16</v>
      </c>
      <c r="J298" s="19" t="s">
        <v>14</v>
      </c>
      <c r="K298" s="22" t="s">
        <v>17</v>
      </c>
      <c r="L298" s="19" t="s">
        <v>11</v>
      </c>
      <c r="M298" s="22" t="s">
        <v>18</v>
      </c>
      <c r="N298" s="19" t="s">
        <v>11</v>
      </c>
      <c r="O298" s="22" t="s">
        <v>19</v>
      </c>
      <c r="P298" s="19" t="s">
        <v>11</v>
      </c>
      <c r="Q298" s="22" t="s">
        <v>20</v>
      </c>
      <c r="R298" s="19" t="s">
        <v>14</v>
      </c>
      <c r="S298" s="35" t="s">
        <v>114</v>
      </c>
      <c r="T298" s="24" t="s">
        <v>65</v>
      </c>
      <c r="U298" s="33" t="s">
        <v>25</v>
      </c>
      <c r="V298" s="17" t="s">
        <v>24</v>
      </c>
    </row>
    <row r="299" ht="15.75" customHeight="1">
      <c r="A299" s="7">
        <v>298.0</v>
      </c>
      <c r="B299" s="8" t="s">
        <v>10</v>
      </c>
      <c r="C299" s="9" t="s">
        <v>11</v>
      </c>
      <c r="D299" s="8" t="s">
        <v>12</v>
      </c>
      <c r="E299" s="10" t="s">
        <v>13</v>
      </c>
      <c r="F299" s="9" t="s">
        <v>14</v>
      </c>
      <c r="G299" s="10" t="s">
        <v>15</v>
      </c>
      <c r="H299" s="9" t="s">
        <v>11</v>
      </c>
      <c r="I299" s="11" t="s">
        <v>16</v>
      </c>
      <c r="J299" s="9" t="s">
        <v>14</v>
      </c>
      <c r="K299" s="13" t="s">
        <v>17</v>
      </c>
      <c r="L299" s="9" t="s">
        <v>11</v>
      </c>
      <c r="M299" s="13" t="s">
        <v>18</v>
      </c>
      <c r="N299" s="9" t="s">
        <v>11</v>
      </c>
      <c r="O299" s="13" t="s">
        <v>19</v>
      </c>
      <c r="P299" s="9" t="s">
        <v>11</v>
      </c>
      <c r="Q299" s="13" t="s">
        <v>20</v>
      </c>
      <c r="R299" s="9" t="s">
        <v>14</v>
      </c>
      <c r="S299" s="34" t="s">
        <v>114</v>
      </c>
      <c r="T299" s="15" t="s">
        <v>66</v>
      </c>
      <c r="U299" s="31" t="s">
        <v>23</v>
      </c>
      <c r="V299" s="17" t="s">
        <v>24</v>
      </c>
    </row>
    <row r="300" ht="15.75" customHeight="1">
      <c r="A300" s="7">
        <v>299.0</v>
      </c>
      <c r="B300" s="18" t="s">
        <v>10</v>
      </c>
      <c r="C300" s="19" t="s">
        <v>11</v>
      </c>
      <c r="D300" s="18" t="s">
        <v>12</v>
      </c>
      <c r="E300" s="20" t="s">
        <v>13</v>
      </c>
      <c r="F300" s="19" t="s">
        <v>14</v>
      </c>
      <c r="G300" s="20" t="s">
        <v>15</v>
      </c>
      <c r="H300" s="19" t="s">
        <v>11</v>
      </c>
      <c r="I300" s="21" t="s">
        <v>16</v>
      </c>
      <c r="J300" s="19" t="s">
        <v>14</v>
      </c>
      <c r="K300" s="22" t="s">
        <v>17</v>
      </c>
      <c r="L300" s="19" t="s">
        <v>11</v>
      </c>
      <c r="M300" s="22" t="s">
        <v>18</v>
      </c>
      <c r="N300" s="19" t="s">
        <v>11</v>
      </c>
      <c r="O300" s="22" t="s">
        <v>19</v>
      </c>
      <c r="P300" s="19" t="s">
        <v>11</v>
      </c>
      <c r="Q300" s="22" t="s">
        <v>20</v>
      </c>
      <c r="R300" s="19" t="s">
        <v>14</v>
      </c>
      <c r="S300" s="35" t="s">
        <v>114</v>
      </c>
      <c r="T300" s="24" t="s">
        <v>66</v>
      </c>
      <c r="U300" s="33" t="s">
        <v>25</v>
      </c>
      <c r="V300" s="17" t="s">
        <v>24</v>
      </c>
    </row>
    <row r="301" ht="15.75" customHeight="1">
      <c r="A301" s="7">
        <v>300.0</v>
      </c>
      <c r="B301" s="8" t="s">
        <v>10</v>
      </c>
      <c r="C301" s="9" t="s">
        <v>11</v>
      </c>
      <c r="D301" s="8" t="s">
        <v>12</v>
      </c>
      <c r="E301" s="10" t="s">
        <v>13</v>
      </c>
      <c r="F301" s="9" t="s">
        <v>14</v>
      </c>
      <c r="G301" s="10" t="s">
        <v>15</v>
      </c>
      <c r="H301" s="9" t="s">
        <v>11</v>
      </c>
      <c r="I301" s="11" t="s">
        <v>16</v>
      </c>
      <c r="J301" s="9" t="s">
        <v>14</v>
      </c>
      <c r="K301" s="13" t="s">
        <v>17</v>
      </c>
      <c r="L301" s="9" t="s">
        <v>11</v>
      </c>
      <c r="M301" s="13" t="s">
        <v>18</v>
      </c>
      <c r="N301" s="9" t="s">
        <v>11</v>
      </c>
      <c r="O301" s="13" t="s">
        <v>19</v>
      </c>
      <c r="P301" s="9" t="s">
        <v>11</v>
      </c>
      <c r="Q301" s="13" t="s">
        <v>20</v>
      </c>
      <c r="R301" s="9" t="s">
        <v>14</v>
      </c>
      <c r="S301" s="34" t="s">
        <v>114</v>
      </c>
      <c r="T301" s="15" t="s">
        <v>67</v>
      </c>
      <c r="U301" s="31" t="s">
        <v>23</v>
      </c>
      <c r="V301" s="17" t="s">
        <v>24</v>
      </c>
    </row>
    <row r="302" ht="15.75" customHeight="1">
      <c r="A302" s="7">
        <v>301.0</v>
      </c>
      <c r="B302" s="18" t="s">
        <v>10</v>
      </c>
      <c r="C302" s="19" t="s">
        <v>11</v>
      </c>
      <c r="D302" s="18" t="s">
        <v>12</v>
      </c>
      <c r="E302" s="20" t="s">
        <v>13</v>
      </c>
      <c r="F302" s="19" t="s">
        <v>14</v>
      </c>
      <c r="G302" s="20" t="s">
        <v>15</v>
      </c>
      <c r="H302" s="19" t="s">
        <v>11</v>
      </c>
      <c r="I302" s="21" t="s">
        <v>16</v>
      </c>
      <c r="J302" s="19" t="s">
        <v>14</v>
      </c>
      <c r="K302" s="22" t="s">
        <v>17</v>
      </c>
      <c r="L302" s="19" t="s">
        <v>11</v>
      </c>
      <c r="M302" s="22" t="s">
        <v>18</v>
      </c>
      <c r="N302" s="19" t="s">
        <v>11</v>
      </c>
      <c r="O302" s="22" t="s">
        <v>19</v>
      </c>
      <c r="P302" s="19" t="s">
        <v>11</v>
      </c>
      <c r="Q302" s="22" t="s">
        <v>20</v>
      </c>
      <c r="R302" s="19" t="s">
        <v>14</v>
      </c>
      <c r="S302" s="35" t="s">
        <v>114</v>
      </c>
      <c r="T302" s="24" t="s">
        <v>67</v>
      </c>
      <c r="U302" s="33" t="s">
        <v>25</v>
      </c>
      <c r="V302" s="17" t="s">
        <v>24</v>
      </c>
    </row>
    <row r="303" ht="15.75" customHeight="1">
      <c r="A303" s="7">
        <v>302.0</v>
      </c>
      <c r="B303" s="8" t="s">
        <v>10</v>
      </c>
      <c r="C303" s="9" t="s">
        <v>11</v>
      </c>
      <c r="D303" s="8" t="s">
        <v>12</v>
      </c>
      <c r="E303" s="10" t="s">
        <v>13</v>
      </c>
      <c r="F303" s="9" t="s">
        <v>14</v>
      </c>
      <c r="G303" s="10" t="s">
        <v>15</v>
      </c>
      <c r="H303" s="9" t="s">
        <v>11</v>
      </c>
      <c r="I303" s="11" t="s">
        <v>16</v>
      </c>
      <c r="J303" s="9" t="s">
        <v>14</v>
      </c>
      <c r="K303" s="13" t="s">
        <v>17</v>
      </c>
      <c r="L303" s="9" t="s">
        <v>11</v>
      </c>
      <c r="M303" s="13" t="s">
        <v>18</v>
      </c>
      <c r="N303" s="9" t="s">
        <v>11</v>
      </c>
      <c r="O303" s="13" t="s">
        <v>19</v>
      </c>
      <c r="P303" s="9" t="s">
        <v>11</v>
      </c>
      <c r="Q303" s="13" t="s">
        <v>20</v>
      </c>
      <c r="R303" s="9" t="s">
        <v>14</v>
      </c>
      <c r="S303" s="34" t="s">
        <v>114</v>
      </c>
      <c r="T303" s="15" t="s">
        <v>68</v>
      </c>
      <c r="U303" s="31" t="s">
        <v>23</v>
      </c>
      <c r="V303" s="17" t="s">
        <v>24</v>
      </c>
    </row>
    <row r="304" ht="15.75" customHeight="1">
      <c r="A304" s="7">
        <v>303.0</v>
      </c>
      <c r="B304" s="18" t="s">
        <v>10</v>
      </c>
      <c r="C304" s="19" t="s">
        <v>11</v>
      </c>
      <c r="D304" s="18" t="s">
        <v>12</v>
      </c>
      <c r="E304" s="20" t="s">
        <v>13</v>
      </c>
      <c r="F304" s="19" t="s">
        <v>14</v>
      </c>
      <c r="G304" s="20" t="s">
        <v>15</v>
      </c>
      <c r="H304" s="19" t="s">
        <v>11</v>
      </c>
      <c r="I304" s="21" t="s">
        <v>16</v>
      </c>
      <c r="J304" s="19" t="s">
        <v>14</v>
      </c>
      <c r="K304" s="22" t="s">
        <v>17</v>
      </c>
      <c r="L304" s="19" t="s">
        <v>11</v>
      </c>
      <c r="M304" s="22" t="s">
        <v>18</v>
      </c>
      <c r="N304" s="19" t="s">
        <v>11</v>
      </c>
      <c r="O304" s="22" t="s">
        <v>19</v>
      </c>
      <c r="P304" s="19" t="s">
        <v>11</v>
      </c>
      <c r="Q304" s="22" t="s">
        <v>20</v>
      </c>
      <c r="R304" s="19" t="s">
        <v>14</v>
      </c>
      <c r="S304" s="35" t="s">
        <v>114</v>
      </c>
      <c r="T304" s="24" t="s">
        <v>68</v>
      </c>
      <c r="U304" s="33" t="s">
        <v>25</v>
      </c>
      <c r="V304" s="17" t="s">
        <v>24</v>
      </c>
    </row>
    <row r="305" ht="15.75" customHeight="1">
      <c r="A305" s="7">
        <v>304.0</v>
      </c>
      <c r="B305" s="8" t="s">
        <v>10</v>
      </c>
      <c r="C305" s="9" t="s">
        <v>11</v>
      </c>
      <c r="D305" s="8" t="s">
        <v>12</v>
      </c>
      <c r="E305" s="10" t="s">
        <v>13</v>
      </c>
      <c r="F305" s="9" t="s">
        <v>14</v>
      </c>
      <c r="G305" s="10" t="s">
        <v>15</v>
      </c>
      <c r="H305" s="9" t="s">
        <v>11</v>
      </c>
      <c r="I305" s="11" t="s">
        <v>16</v>
      </c>
      <c r="J305" s="9" t="s">
        <v>14</v>
      </c>
      <c r="K305" s="13" t="s">
        <v>17</v>
      </c>
      <c r="L305" s="9" t="s">
        <v>11</v>
      </c>
      <c r="M305" s="13" t="s">
        <v>18</v>
      </c>
      <c r="N305" s="9" t="s">
        <v>11</v>
      </c>
      <c r="O305" s="13" t="s">
        <v>19</v>
      </c>
      <c r="P305" s="9" t="s">
        <v>11</v>
      </c>
      <c r="Q305" s="13" t="s">
        <v>20</v>
      </c>
      <c r="R305" s="9" t="s">
        <v>14</v>
      </c>
      <c r="S305" s="34" t="s">
        <v>114</v>
      </c>
      <c r="T305" s="15" t="s">
        <v>69</v>
      </c>
      <c r="U305" s="31" t="s">
        <v>23</v>
      </c>
      <c r="V305" s="17" t="s">
        <v>24</v>
      </c>
    </row>
    <row r="306" ht="15.75" customHeight="1">
      <c r="A306" s="7">
        <v>305.0</v>
      </c>
      <c r="B306" s="18" t="s">
        <v>10</v>
      </c>
      <c r="C306" s="19" t="s">
        <v>11</v>
      </c>
      <c r="D306" s="18" t="s">
        <v>12</v>
      </c>
      <c r="E306" s="20" t="s">
        <v>13</v>
      </c>
      <c r="F306" s="19" t="s">
        <v>14</v>
      </c>
      <c r="G306" s="20" t="s">
        <v>15</v>
      </c>
      <c r="H306" s="19" t="s">
        <v>11</v>
      </c>
      <c r="I306" s="21" t="s">
        <v>16</v>
      </c>
      <c r="J306" s="19" t="s">
        <v>14</v>
      </c>
      <c r="K306" s="22" t="s">
        <v>17</v>
      </c>
      <c r="L306" s="19" t="s">
        <v>11</v>
      </c>
      <c r="M306" s="22" t="s">
        <v>18</v>
      </c>
      <c r="N306" s="19" t="s">
        <v>11</v>
      </c>
      <c r="O306" s="22" t="s">
        <v>19</v>
      </c>
      <c r="P306" s="19" t="s">
        <v>11</v>
      </c>
      <c r="Q306" s="22" t="s">
        <v>20</v>
      </c>
      <c r="R306" s="19" t="s">
        <v>14</v>
      </c>
      <c r="S306" s="35" t="s">
        <v>114</v>
      </c>
      <c r="T306" s="24" t="s">
        <v>69</v>
      </c>
      <c r="U306" s="33" t="s">
        <v>25</v>
      </c>
      <c r="V306" s="17" t="s">
        <v>24</v>
      </c>
    </row>
    <row r="307" ht="15.75" customHeight="1">
      <c r="A307" s="7">
        <v>306.0</v>
      </c>
      <c r="B307" s="8" t="s">
        <v>10</v>
      </c>
      <c r="C307" s="9" t="s">
        <v>11</v>
      </c>
      <c r="D307" s="8" t="s">
        <v>12</v>
      </c>
      <c r="E307" s="10" t="s">
        <v>13</v>
      </c>
      <c r="F307" s="9" t="s">
        <v>14</v>
      </c>
      <c r="G307" s="10" t="s">
        <v>15</v>
      </c>
      <c r="H307" s="9" t="s">
        <v>11</v>
      </c>
      <c r="I307" s="11" t="s">
        <v>16</v>
      </c>
      <c r="J307" s="9" t="s">
        <v>14</v>
      </c>
      <c r="K307" s="13" t="s">
        <v>17</v>
      </c>
      <c r="L307" s="9" t="s">
        <v>11</v>
      </c>
      <c r="M307" s="13" t="s">
        <v>18</v>
      </c>
      <c r="N307" s="9" t="s">
        <v>11</v>
      </c>
      <c r="O307" s="13" t="s">
        <v>19</v>
      </c>
      <c r="P307" s="9" t="s">
        <v>11</v>
      </c>
      <c r="Q307" s="13" t="s">
        <v>20</v>
      </c>
      <c r="R307" s="9" t="s">
        <v>14</v>
      </c>
      <c r="S307" s="36" t="s">
        <v>115</v>
      </c>
      <c r="T307" s="15" t="s">
        <v>22</v>
      </c>
      <c r="U307" s="31" t="s">
        <v>23</v>
      </c>
      <c r="V307" s="17" t="s">
        <v>24</v>
      </c>
    </row>
    <row r="308" ht="15.75" customHeight="1">
      <c r="A308" s="7">
        <v>307.0</v>
      </c>
      <c r="B308" s="18" t="s">
        <v>10</v>
      </c>
      <c r="C308" s="19" t="s">
        <v>11</v>
      </c>
      <c r="D308" s="18" t="s">
        <v>12</v>
      </c>
      <c r="E308" s="20" t="s">
        <v>13</v>
      </c>
      <c r="F308" s="19" t="s">
        <v>14</v>
      </c>
      <c r="G308" s="20" t="s">
        <v>15</v>
      </c>
      <c r="H308" s="19" t="s">
        <v>11</v>
      </c>
      <c r="I308" s="21" t="s">
        <v>16</v>
      </c>
      <c r="J308" s="19" t="s">
        <v>14</v>
      </c>
      <c r="K308" s="22" t="s">
        <v>17</v>
      </c>
      <c r="L308" s="19" t="s">
        <v>11</v>
      </c>
      <c r="M308" s="22" t="s">
        <v>18</v>
      </c>
      <c r="N308" s="19" t="s">
        <v>11</v>
      </c>
      <c r="O308" s="22" t="s">
        <v>19</v>
      </c>
      <c r="P308" s="19" t="s">
        <v>11</v>
      </c>
      <c r="Q308" s="22" t="s">
        <v>20</v>
      </c>
      <c r="R308" s="19" t="s">
        <v>14</v>
      </c>
      <c r="S308" s="37" t="s">
        <v>115</v>
      </c>
      <c r="T308" s="24" t="s">
        <v>22</v>
      </c>
      <c r="U308" s="33" t="s">
        <v>25</v>
      </c>
      <c r="V308" s="17" t="s">
        <v>24</v>
      </c>
    </row>
    <row r="309" ht="15.75" customHeight="1">
      <c r="A309" s="7">
        <v>308.0</v>
      </c>
      <c r="B309" s="8" t="s">
        <v>10</v>
      </c>
      <c r="C309" s="9" t="s">
        <v>11</v>
      </c>
      <c r="D309" s="8" t="s">
        <v>12</v>
      </c>
      <c r="E309" s="10" t="s">
        <v>13</v>
      </c>
      <c r="F309" s="9" t="s">
        <v>14</v>
      </c>
      <c r="G309" s="10" t="s">
        <v>15</v>
      </c>
      <c r="H309" s="9" t="s">
        <v>11</v>
      </c>
      <c r="I309" s="11" t="s">
        <v>16</v>
      </c>
      <c r="J309" s="9" t="s">
        <v>14</v>
      </c>
      <c r="K309" s="13" t="s">
        <v>17</v>
      </c>
      <c r="L309" s="9" t="s">
        <v>11</v>
      </c>
      <c r="M309" s="13" t="s">
        <v>18</v>
      </c>
      <c r="N309" s="9" t="s">
        <v>11</v>
      </c>
      <c r="O309" s="13" t="s">
        <v>19</v>
      </c>
      <c r="P309" s="9" t="s">
        <v>11</v>
      </c>
      <c r="Q309" s="13" t="s">
        <v>20</v>
      </c>
      <c r="R309" s="9" t="s">
        <v>14</v>
      </c>
      <c r="S309" s="36" t="s">
        <v>115</v>
      </c>
      <c r="T309" s="15" t="s">
        <v>26</v>
      </c>
      <c r="U309" s="31" t="s">
        <v>23</v>
      </c>
      <c r="V309" s="17" t="s">
        <v>24</v>
      </c>
    </row>
    <row r="310" ht="15.75" customHeight="1">
      <c r="A310" s="7">
        <v>309.0</v>
      </c>
      <c r="B310" s="18" t="s">
        <v>10</v>
      </c>
      <c r="C310" s="19" t="s">
        <v>11</v>
      </c>
      <c r="D310" s="18" t="s">
        <v>12</v>
      </c>
      <c r="E310" s="20" t="s">
        <v>13</v>
      </c>
      <c r="F310" s="19" t="s">
        <v>14</v>
      </c>
      <c r="G310" s="20" t="s">
        <v>15</v>
      </c>
      <c r="H310" s="19" t="s">
        <v>11</v>
      </c>
      <c r="I310" s="21" t="s">
        <v>16</v>
      </c>
      <c r="J310" s="19" t="s">
        <v>14</v>
      </c>
      <c r="K310" s="22" t="s">
        <v>17</v>
      </c>
      <c r="L310" s="19" t="s">
        <v>11</v>
      </c>
      <c r="M310" s="22" t="s">
        <v>18</v>
      </c>
      <c r="N310" s="19" t="s">
        <v>11</v>
      </c>
      <c r="O310" s="22" t="s">
        <v>19</v>
      </c>
      <c r="P310" s="19" t="s">
        <v>11</v>
      </c>
      <c r="Q310" s="22" t="s">
        <v>20</v>
      </c>
      <c r="R310" s="19" t="s">
        <v>14</v>
      </c>
      <c r="S310" s="37" t="s">
        <v>115</v>
      </c>
      <c r="T310" s="24" t="s">
        <v>26</v>
      </c>
      <c r="U310" s="33" t="s">
        <v>25</v>
      </c>
      <c r="V310" s="17" t="s">
        <v>24</v>
      </c>
    </row>
    <row r="311" ht="15.75" customHeight="1">
      <c r="A311" s="7">
        <v>310.0</v>
      </c>
      <c r="B311" s="8" t="s">
        <v>10</v>
      </c>
      <c r="C311" s="9" t="s">
        <v>11</v>
      </c>
      <c r="D311" s="8" t="s">
        <v>12</v>
      </c>
      <c r="E311" s="10" t="s">
        <v>13</v>
      </c>
      <c r="F311" s="9" t="s">
        <v>14</v>
      </c>
      <c r="G311" s="10" t="s">
        <v>15</v>
      </c>
      <c r="H311" s="9" t="s">
        <v>11</v>
      </c>
      <c r="I311" s="11" t="s">
        <v>16</v>
      </c>
      <c r="J311" s="9" t="s">
        <v>14</v>
      </c>
      <c r="K311" s="13" t="s">
        <v>17</v>
      </c>
      <c r="L311" s="9" t="s">
        <v>11</v>
      </c>
      <c r="M311" s="13" t="s">
        <v>18</v>
      </c>
      <c r="N311" s="9" t="s">
        <v>11</v>
      </c>
      <c r="O311" s="13" t="s">
        <v>19</v>
      </c>
      <c r="P311" s="9" t="s">
        <v>11</v>
      </c>
      <c r="Q311" s="13" t="s">
        <v>20</v>
      </c>
      <c r="R311" s="9" t="s">
        <v>14</v>
      </c>
      <c r="S311" s="36" t="s">
        <v>115</v>
      </c>
      <c r="T311" s="15" t="s">
        <v>27</v>
      </c>
      <c r="U311" s="31" t="s">
        <v>23</v>
      </c>
      <c r="V311" s="17" t="s">
        <v>24</v>
      </c>
    </row>
    <row r="312" ht="15.75" customHeight="1">
      <c r="A312" s="7">
        <v>311.0</v>
      </c>
      <c r="B312" s="18" t="s">
        <v>10</v>
      </c>
      <c r="C312" s="19" t="s">
        <v>11</v>
      </c>
      <c r="D312" s="18" t="s">
        <v>12</v>
      </c>
      <c r="E312" s="20" t="s">
        <v>13</v>
      </c>
      <c r="F312" s="19" t="s">
        <v>14</v>
      </c>
      <c r="G312" s="20" t="s">
        <v>15</v>
      </c>
      <c r="H312" s="19" t="s">
        <v>11</v>
      </c>
      <c r="I312" s="21" t="s">
        <v>16</v>
      </c>
      <c r="J312" s="19" t="s">
        <v>14</v>
      </c>
      <c r="K312" s="22" t="s">
        <v>17</v>
      </c>
      <c r="L312" s="19" t="s">
        <v>11</v>
      </c>
      <c r="M312" s="22" t="s">
        <v>18</v>
      </c>
      <c r="N312" s="19" t="s">
        <v>11</v>
      </c>
      <c r="O312" s="22" t="s">
        <v>19</v>
      </c>
      <c r="P312" s="19" t="s">
        <v>11</v>
      </c>
      <c r="Q312" s="22" t="s">
        <v>20</v>
      </c>
      <c r="R312" s="19" t="s">
        <v>14</v>
      </c>
      <c r="S312" s="37" t="s">
        <v>115</v>
      </c>
      <c r="T312" s="24" t="s">
        <v>27</v>
      </c>
      <c r="U312" s="33" t="s">
        <v>25</v>
      </c>
      <c r="V312" s="17" t="s">
        <v>24</v>
      </c>
    </row>
    <row r="313" ht="15.75" customHeight="1">
      <c r="A313" s="7">
        <v>312.0</v>
      </c>
      <c r="B313" s="8" t="s">
        <v>10</v>
      </c>
      <c r="C313" s="9" t="s">
        <v>11</v>
      </c>
      <c r="D313" s="8" t="s">
        <v>12</v>
      </c>
      <c r="E313" s="10" t="s">
        <v>13</v>
      </c>
      <c r="F313" s="9" t="s">
        <v>14</v>
      </c>
      <c r="G313" s="10" t="s">
        <v>15</v>
      </c>
      <c r="H313" s="9" t="s">
        <v>11</v>
      </c>
      <c r="I313" s="11" t="s">
        <v>16</v>
      </c>
      <c r="J313" s="9" t="s">
        <v>14</v>
      </c>
      <c r="K313" s="13" t="s">
        <v>17</v>
      </c>
      <c r="L313" s="9" t="s">
        <v>11</v>
      </c>
      <c r="M313" s="13" t="s">
        <v>18</v>
      </c>
      <c r="N313" s="9" t="s">
        <v>11</v>
      </c>
      <c r="O313" s="13" t="s">
        <v>19</v>
      </c>
      <c r="P313" s="9" t="s">
        <v>11</v>
      </c>
      <c r="Q313" s="13" t="s">
        <v>20</v>
      </c>
      <c r="R313" s="9" t="s">
        <v>14</v>
      </c>
      <c r="S313" s="36" t="s">
        <v>115</v>
      </c>
      <c r="T313" s="15" t="s">
        <v>28</v>
      </c>
      <c r="U313" s="31" t="s">
        <v>23</v>
      </c>
      <c r="V313" s="17" t="s">
        <v>24</v>
      </c>
    </row>
    <row r="314" ht="15.75" customHeight="1">
      <c r="A314" s="7">
        <v>313.0</v>
      </c>
      <c r="B314" s="18" t="s">
        <v>10</v>
      </c>
      <c r="C314" s="19" t="s">
        <v>11</v>
      </c>
      <c r="D314" s="18" t="s">
        <v>12</v>
      </c>
      <c r="E314" s="20" t="s">
        <v>13</v>
      </c>
      <c r="F314" s="19" t="s">
        <v>14</v>
      </c>
      <c r="G314" s="20" t="s">
        <v>15</v>
      </c>
      <c r="H314" s="19" t="s">
        <v>11</v>
      </c>
      <c r="I314" s="21" t="s">
        <v>16</v>
      </c>
      <c r="J314" s="19" t="s">
        <v>14</v>
      </c>
      <c r="K314" s="22" t="s">
        <v>17</v>
      </c>
      <c r="L314" s="19" t="s">
        <v>11</v>
      </c>
      <c r="M314" s="22" t="s">
        <v>18</v>
      </c>
      <c r="N314" s="19" t="s">
        <v>11</v>
      </c>
      <c r="O314" s="22" t="s">
        <v>19</v>
      </c>
      <c r="P314" s="19" t="s">
        <v>11</v>
      </c>
      <c r="Q314" s="22" t="s">
        <v>20</v>
      </c>
      <c r="R314" s="19" t="s">
        <v>14</v>
      </c>
      <c r="S314" s="37" t="s">
        <v>115</v>
      </c>
      <c r="T314" s="24" t="s">
        <v>28</v>
      </c>
      <c r="U314" s="33" t="s">
        <v>25</v>
      </c>
      <c r="V314" s="17" t="s">
        <v>24</v>
      </c>
    </row>
    <row r="315" ht="15.75" customHeight="1">
      <c r="A315" s="7">
        <v>314.0</v>
      </c>
      <c r="B315" s="8" t="s">
        <v>10</v>
      </c>
      <c r="C315" s="9" t="s">
        <v>11</v>
      </c>
      <c r="D315" s="8" t="s">
        <v>12</v>
      </c>
      <c r="E315" s="10" t="s">
        <v>13</v>
      </c>
      <c r="F315" s="9" t="s">
        <v>14</v>
      </c>
      <c r="G315" s="10" t="s">
        <v>15</v>
      </c>
      <c r="H315" s="9" t="s">
        <v>11</v>
      </c>
      <c r="I315" s="11" t="s">
        <v>16</v>
      </c>
      <c r="J315" s="9" t="s">
        <v>14</v>
      </c>
      <c r="K315" s="13" t="s">
        <v>17</v>
      </c>
      <c r="L315" s="9" t="s">
        <v>11</v>
      </c>
      <c r="M315" s="13" t="s">
        <v>18</v>
      </c>
      <c r="N315" s="9" t="s">
        <v>11</v>
      </c>
      <c r="O315" s="13" t="s">
        <v>19</v>
      </c>
      <c r="P315" s="9" t="s">
        <v>11</v>
      </c>
      <c r="Q315" s="13" t="s">
        <v>20</v>
      </c>
      <c r="R315" s="9" t="s">
        <v>14</v>
      </c>
      <c r="S315" s="36" t="s">
        <v>115</v>
      </c>
      <c r="T315" s="15" t="s">
        <v>113</v>
      </c>
      <c r="U315" s="31" t="s">
        <v>23</v>
      </c>
      <c r="V315" s="17" t="s">
        <v>24</v>
      </c>
    </row>
    <row r="316" ht="15.75" customHeight="1">
      <c r="A316" s="7">
        <v>315.0</v>
      </c>
      <c r="B316" s="18" t="s">
        <v>10</v>
      </c>
      <c r="C316" s="19" t="s">
        <v>11</v>
      </c>
      <c r="D316" s="18" t="s">
        <v>12</v>
      </c>
      <c r="E316" s="20" t="s">
        <v>13</v>
      </c>
      <c r="F316" s="19" t="s">
        <v>14</v>
      </c>
      <c r="G316" s="20" t="s">
        <v>15</v>
      </c>
      <c r="H316" s="19" t="s">
        <v>11</v>
      </c>
      <c r="I316" s="21" t="s">
        <v>16</v>
      </c>
      <c r="J316" s="19" t="s">
        <v>14</v>
      </c>
      <c r="K316" s="22" t="s">
        <v>17</v>
      </c>
      <c r="L316" s="19" t="s">
        <v>11</v>
      </c>
      <c r="M316" s="22" t="s">
        <v>18</v>
      </c>
      <c r="N316" s="19" t="s">
        <v>11</v>
      </c>
      <c r="O316" s="22" t="s">
        <v>19</v>
      </c>
      <c r="P316" s="19" t="s">
        <v>11</v>
      </c>
      <c r="Q316" s="22" t="s">
        <v>20</v>
      </c>
      <c r="R316" s="19" t="s">
        <v>14</v>
      </c>
      <c r="S316" s="37" t="s">
        <v>115</v>
      </c>
      <c r="T316" s="24" t="s">
        <v>113</v>
      </c>
      <c r="U316" s="33" t="s">
        <v>25</v>
      </c>
      <c r="V316" s="17" t="s">
        <v>24</v>
      </c>
    </row>
    <row r="317" ht="15.75" customHeight="1">
      <c r="A317" s="7">
        <v>316.0</v>
      </c>
      <c r="B317" s="8" t="s">
        <v>10</v>
      </c>
      <c r="C317" s="9" t="s">
        <v>11</v>
      </c>
      <c r="D317" s="8" t="s">
        <v>12</v>
      </c>
      <c r="E317" s="10" t="s">
        <v>13</v>
      </c>
      <c r="F317" s="9" t="s">
        <v>14</v>
      </c>
      <c r="G317" s="10" t="s">
        <v>15</v>
      </c>
      <c r="H317" s="9" t="s">
        <v>11</v>
      </c>
      <c r="I317" s="11" t="s">
        <v>16</v>
      </c>
      <c r="J317" s="9" t="s">
        <v>14</v>
      </c>
      <c r="K317" s="13" t="s">
        <v>17</v>
      </c>
      <c r="L317" s="9" t="s">
        <v>11</v>
      </c>
      <c r="M317" s="13" t="s">
        <v>18</v>
      </c>
      <c r="N317" s="9" t="s">
        <v>11</v>
      </c>
      <c r="O317" s="13" t="s">
        <v>19</v>
      </c>
      <c r="P317" s="9" t="s">
        <v>11</v>
      </c>
      <c r="Q317" s="13" t="s">
        <v>20</v>
      </c>
      <c r="R317" s="9" t="s">
        <v>14</v>
      </c>
      <c r="S317" s="36" t="s">
        <v>115</v>
      </c>
      <c r="T317" s="15" t="s">
        <v>29</v>
      </c>
      <c r="U317" s="31" t="s">
        <v>23</v>
      </c>
      <c r="V317" s="17" t="s">
        <v>24</v>
      </c>
    </row>
    <row r="318" ht="15.75" customHeight="1">
      <c r="A318" s="7">
        <v>317.0</v>
      </c>
      <c r="B318" s="18" t="s">
        <v>10</v>
      </c>
      <c r="C318" s="19" t="s">
        <v>11</v>
      </c>
      <c r="D318" s="18" t="s">
        <v>12</v>
      </c>
      <c r="E318" s="20" t="s">
        <v>13</v>
      </c>
      <c r="F318" s="19" t="s">
        <v>14</v>
      </c>
      <c r="G318" s="20" t="s">
        <v>15</v>
      </c>
      <c r="H318" s="19" t="s">
        <v>11</v>
      </c>
      <c r="I318" s="21" t="s">
        <v>16</v>
      </c>
      <c r="J318" s="19" t="s">
        <v>14</v>
      </c>
      <c r="K318" s="22" t="s">
        <v>17</v>
      </c>
      <c r="L318" s="19" t="s">
        <v>11</v>
      </c>
      <c r="M318" s="22" t="s">
        <v>18</v>
      </c>
      <c r="N318" s="19" t="s">
        <v>11</v>
      </c>
      <c r="O318" s="22" t="s">
        <v>19</v>
      </c>
      <c r="P318" s="19" t="s">
        <v>11</v>
      </c>
      <c r="Q318" s="22" t="s">
        <v>20</v>
      </c>
      <c r="R318" s="19" t="s">
        <v>14</v>
      </c>
      <c r="S318" s="37" t="s">
        <v>115</v>
      </c>
      <c r="T318" s="24" t="s">
        <v>29</v>
      </c>
      <c r="U318" s="33" t="s">
        <v>25</v>
      </c>
      <c r="V318" s="17" t="s">
        <v>24</v>
      </c>
    </row>
    <row r="319" ht="15.75" customHeight="1">
      <c r="A319" s="7">
        <v>318.0</v>
      </c>
      <c r="B319" s="8" t="s">
        <v>10</v>
      </c>
      <c r="C319" s="9" t="s">
        <v>11</v>
      </c>
      <c r="D319" s="8" t="s">
        <v>12</v>
      </c>
      <c r="E319" s="10" t="s">
        <v>13</v>
      </c>
      <c r="F319" s="9" t="s">
        <v>14</v>
      </c>
      <c r="G319" s="10" t="s">
        <v>15</v>
      </c>
      <c r="H319" s="9" t="s">
        <v>11</v>
      </c>
      <c r="I319" s="11" t="s">
        <v>16</v>
      </c>
      <c r="J319" s="9" t="s">
        <v>14</v>
      </c>
      <c r="K319" s="13" t="s">
        <v>17</v>
      </c>
      <c r="L319" s="9" t="s">
        <v>11</v>
      </c>
      <c r="M319" s="13" t="s">
        <v>18</v>
      </c>
      <c r="N319" s="9" t="s">
        <v>11</v>
      </c>
      <c r="O319" s="13" t="s">
        <v>19</v>
      </c>
      <c r="P319" s="9" t="s">
        <v>11</v>
      </c>
      <c r="Q319" s="13" t="s">
        <v>20</v>
      </c>
      <c r="R319" s="9" t="s">
        <v>14</v>
      </c>
      <c r="S319" s="36" t="s">
        <v>115</v>
      </c>
      <c r="T319" s="15" t="s">
        <v>30</v>
      </c>
      <c r="U319" s="31" t="s">
        <v>23</v>
      </c>
      <c r="V319" s="17" t="s">
        <v>24</v>
      </c>
    </row>
    <row r="320" ht="15.75" customHeight="1">
      <c r="A320" s="7">
        <v>319.0</v>
      </c>
      <c r="B320" s="18" t="s">
        <v>10</v>
      </c>
      <c r="C320" s="19" t="s">
        <v>11</v>
      </c>
      <c r="D320" s="18" t="s">
        <v>12</v>
      </c>
      <c r="E320" s="20" t="s">
        <v>13</v>
      </c>
      <c r="F320" s="19" t="s">
        <v>14</v>
      </c>
      <c r="G320" s="20" t="s">
        <v>15</v>
      </c>
      <c r="H320" s="19" t="s">
        <v>11</v>
      </c>
      <c r="I320" s="21" t="s">
        <v>16</v>
      </c>
      <c r="J320" s="19" t="s">
        <v>14</v>
      </c>
      <c r="K320" s="22" t="s">
        <v>17</v>
      </c>
      <c r="L320" s="19" t="s">
        <v>11</v>
      </c>
      <c r="M320" s="22" t="s">
        <v>18</v>
      </c>
      <c r="N320" s="19" t="s">
        <v>11</v>
      </c>
      <c r="O320" s="22" t="s">
        <v>19</v>
      </c>
      <c r="P320" s="19" t="s">
        <v>11</v>
      </c>
      <c r="Q320" s="22" t="s">
        <v>20</v>
      </c>
      <c r="R320" s="19" t="s">
        <v>14</v>
      </c>
      <c r="S320" s="37" t="s">
        <v>115</v>
      </c>
      <c r="T320" s="24" t="s">
        <v>30</v>
      </c>
      <c r="U320" s="33" t="s">
        <v>25</v>
      </c>
      <c r="V320" s="17" t="s">
        <v>24</v>
      </c>
    </row>
    <row r="321" ht="15.75" customHeight="1">
      <c r="A321" s="7">
        <v>320.0</v>
      </c>
      <c r="B321" s="8" t="s">
        <v>10</v>
      </c>
      <c r="C321" s="9" t="s">
        <v>11</v>
      </c>
      <c r="D321" s="8" t="s">
        <v>12</v>
      </c>
      <c r="E321" s="10" t="s">
        <v>13</v>
      </c>
      <c r="F321" s="9" t="s">
        <v>14</v>
      </c>
      <c r="G321" s="10" t="s">
        <v>15</v>
      </c>
      <c r="H321" s="9" t="s">
        <v>11</v>
      </c>
      <c r="I321" s="11" t="s">
        <v>16</v>
      </c>
      <c r="J321" s="9" t="s">
        <v>14</v>
      </c>
      <c r="K321" s="13" t="s">
        <v>17</v>
      </c>
      <c r="L321" s="9" t="s">
        <v>11</v>
      </c>
      <c r="M321" s="13" t="s">
        <v>18</v>
      </c>
      <c r="N321" s="9" t="s">
        <v>11</v>
      </c>
      <c r="O321" s="13" t="s">
        <v>19</v>
      </c>
      <c r="P321" s="9" t="s">
        <v>11</v>
      </c>
      <c r="Q321" s="13" t="s">
        <v>20</v>
      </c>
      <c r="R321" s="9" t="s">
        <v>14</v>
      </c>
      <c r="S321" s="36" t="s">
        <v>115</v>
      </c>
      <c r="T321" s="15" t="s">
        <v>31</v>
      </c>
      <c r="U321" s="31" t="s">
        <v>23</v>
      </c>
      <c r="V321" s="17" t="s">
        <v>24</v>
      </c>
    </row>
    <row r="322" ht="15.75" customHeight="1">
      <c r="A322" s="7">
        <v>321.0</v>
      </c>
      <c r="B322" s="18" t="s">
        <v>10</v>
      </c>
      <c r="C322" s="19" t="s">
        <v>11</v>
      </c>
      <c r="D322" s="18" t="s">
        <v>12</v>
      </c>
      <c r="E322" s="20" t="s">
        <v>13</v>
      </c>
      <c r="F322" s="19" t="s">
        <v>14</v>
      </c>
      <c r="G322" s="20" t="s">
        <v>15</v>
      </c>
      <c r="H322" s="19" t="s">
        <v>11</v>
      </c>
      <c r="I322" s="21" t="s">
        <v>16</v>
      </c>
      <c r="J322" s="19" t="s">
        <v>14</v>
      </c>
      <c r="K322" s="22" t="s">
        <v>17</v>
      </c>
      <c r="L322" s="19" t="s">
        <v>11</v>
      </c>
      <c r="M322" s="22" t="s">
        <v>18</v>
      </c>
      <c r="N322" s="19" t="s">
        <v>11</v>
      </c>
      <c r="O322" s="22" t="s">
        <v>19</v>
      </c>
      <c r="P322" s="19" t="s">
        <v>11</v>
      </c>
      <c r="Q322" s="22" t="s">
        <v>20</v>
      </c>
      <c r="R322" s="19" t="s">
        <v>14</v>
      </c>
      <c r="S322" s="37" t="s">
        <v>115</v>
      </c>
      <c r="T322" s="24" t="s">
        <v>31</v>
      </c>
      <c r="U322" s="33" t="s">
        <v>25</v>
      </c>
      <c r="V322" s="17" t="s">
        <v>24</v>
      </c>
    </row>
    <row r="323" ht="15.75" customHeight="1">
      <c r="A323" s="7">
        <v>322.0</v>
      </c>
      <c r="B323" s="8" t="s">
        <v>10</v>
      </c>
      <c r="C323" s="9" t="s">
        <v>11</v>
      </c>
      <c r="D323" s="8" t="s">
        <v>12</v>
      </c>
      <c r="E323" s="10" t="s">
        <v>13</v>
      </c>
      <c r="F323" s="9" t="s">
        <v>14</v>
      </c>
      <c r="G323" s="10" t="s">
        <v>15</v>
      </c>
      <c r="H323" s="9" t="s">
        <v>11</v>
      </c>
      <c r="I323" s="11" t="s">
        <v>16</v>
      </c>
      <c r="J323" s="9" t="s">
        <v>14</v>
      </c>
      <c r="K323" s="13" t="s">
        <v>17</v>
      </c>
      <c r="L323" s="9" t="s">
        <v>11</v>
      </c>
      <c r="M323" s="13" t="s">
        <v>18</v>
      </c>
      <c r="N323" s="9" t="s">
        <v>11</v>
      </c>
      <c r="O323" s="13" t="s">
        <v>19</v>
      </c>
      <c r="P323" s="9" t="s">
        <v>11</v>
      </c>
      <c r="Q323" s="13" t="s">
        <v>20</v>
      </c>
      <c r="R323" s="9" t="s">
        <v>14</v>
      </c>
      <c r="S323" s="36" t="s">
        <v>115</v>
      </c>
      <c r="T323" s="15" t="s">
        <v>32</v>
      </c>
      <c r="U323" s="31" t="s">
        <v>23</v>
      </c>
      <c r="V323" s="17" t="s">
        <v>24</v>
      </c>
    </row>
    <row r="324" ht="15.75" customHeight="1">
      <c r="A324" s="7">
        <v>323.0</v>
      </c>
      <c r="B324" s="18" t="s">
        <v>10</v>
      </c>
      <c r="C324" s="19" t="s">
        <v>11</v>
      </c>
      <c r="D324" s="18" t="s">
        <v>12</v>
      </c>
      <c r="E324" s="20" t="s">
        <v>13</v>
      </c>
      <c r="F324" s="19" t="s">
        <v>14</v>
      </c>
      <c r="G324" s="20" t="s">
        <v>15</v>
      </c>
      <c r="H324" s="19" t="s">
        <v>11</v>
      </c>
      <c r="I324" s="21" t="s">
        <v>16</v>
      </c>
      <c r="J324" s="19" t="s">
        <v>14</v>
      </c>
      <c r="K324" s="22" t="s">
        <v>17</v>
      </c>
      <c r="L324" s="19" t="s">
        <v>11</v>
      </c>
      <c r="M324" s="22" t="s">
        <v>18</v>
      </c>
      <c r="N324" s="19" t="s">
        <v>11</v>
      </c>
      <c r="O324" s="22" t="s">
        <v>19</v>
      </c>
      <c r="P324" s="19" t="s">
        <v>11</v>
      </c>
      <c r="Q324" s="22" t="s">
        <v>20</v>
      </c>
      <c r="R324" s="19" t="s">
        <v>14</v>
      </c>
      <c r="S324" s="37" t="s">
        <v>115</v>
      </c>
      <c r="T324" s="24" t="s">
        <v>32</v>
      </c>
      <c r="U324" s="33" t="s">
        <v>25</v>
      </c>
      <c r="V324" s="17" t="s">
        <v>24</v>
      </c>
    </row>
    <row r="325" ht="15.75" customHeight="1">
      <c r="A325" s="7">
        <v>324.0</v>
      </c>
      <c r="B325" s="8" t="s">
        <v>10</v>
      </c>
      <c r="C325" s="9" t="s">
        <v>11</v>
      </c>
      <c r="D325" s="8" t="s">
        <v>12</v>
      </c>
      <c r="E325" s="10" t="s">
        <v>13</v>
      </c>
      <c r="F325" s="9" t="s">
        <v>14</v>
      </c>
      <c r="G325" s="10" t="s">
        <v>15</v>
      </c>
      <c r="H325" s="9" t="s">
        <v>11</v>
      </c>
      <c r="I325" s="11" t="s">
        <v>16</v>
      </c>
      <c r="J325" s="9" t="s">
        <v>14</v>
      </c>
      <c r="K325" s="13" t="s">
        <v>17</v>
      </c>
      <c r="L325" s="9" t="s">
        <v>11</v>
      </c>
      <c r="M325" s="13" t="s">
        <v>18</v>
      </c>
      <c r="N325" s="9" t="s">
        <v>11</v>
      </c>
      <c r="O325" s="13" t="s">
        <v>19</v>
      </c>
      <c r="P325" s="9" t="s">
        <v>11</v>
      </c>
      <c r="Q325" s="13" t="s">
        <v>20</v>
      </c>
      <c r="R325" s="9" t="s">
        <v>14</v>
      </c>
      <c r="S325" s="36" t="s">
        <v>115</v>
      </c>
      <c r="T325" s="15" t="s">
        <v>33</v>
      </c>
      <c r="U325" s="31" t="s">
        <v>23</v>
      </c>
      <c r="V325" s="17" t="s">
        <v>24</v>
      </c>
    </row>
    <row r="326" ht="15.75" customHeight="1">
      <c r="A326" s="7">
        <v>325.0</v>
      </c>
      <c r="B326" s="18" t="s">
        <v>10</v>
      </c>
      <c r="C326" s="19" t="s">
        <v>11</v>
      </c>
      <c r="D326" s="18" t="s">
        <v>12</v>
      </c>
      <c r="E326" s="20" t="s">
        <v>13</v>
      </c>
      <c r="F326" s="19" t="s">
        <v>14</v>
      </c>
      <c r="G326" s="20" t="s">
        <v>15</v>
      </c>
      <c r="H326" s="19" t="s">
        <v>11</v>
      </c>
      <c r="I326" s="21" t="s">
        <v>16</v>
      </c>
      <c r="J326" s="19" t="s">
        <v>14</v>
      </c>
      <c r="K326" s="22" t="s">
        <v>17</v>
      </c>
      <c r="L326" s="19" t="s">
        <v>11</v>
      </c>
      <c r="M326" s="22" t="s">
        <v>18</v>
      </c>
      <c r="N326" s="19" t="s">
        <v>11</v>
      </c>
      <c r="O326" s="22" t="s">
        <v>19</v>
      </c>
      <c r="P326" s="19" t="s">
        <v>11</v>
      </c>
      <c r="Q326" s="22" t="s">
        <v>20</v>
      </c>
      <c r="R326" s="19" t="s">
        <v>14</v>
      </c>
      <c r="S326" s="37" t="s">
        <v>115</v>
      </c>
      <c r="T326" s="24" t="s">
        <v>33</v>
      </c>
      <c r="U326" s="33" t="s">
        <v>25</v>
      </c>
      <c r="V326" s="17" t="s">
        <v>24</v>
      </c>
    </row>
    <row r="327" ht="15.75" customHeight="1">
      <c r="A327" s="7">
        <v>326.0</v>
      </c>
      <c r="B327" s="8" t="s">
        <v>10</v>
      </c>
      <c r="C327" s="9" t="s">
        <v>11</v>
      </c>
      <c r="D327" s="8" t="s">
        <v>12</v>
      </c>
      <c r="E327" s="10" t="s">
        <v>13</v>
      </c>
      <c r="F327" s="9" t="s">
        <v>14</v>
      </c>
      <c r="G327" s="10" t="s">
        <v>15</v>
      </c>
      <c r="H327" s="9" t="s">
        <v>11</v>
      </c>
      <c r="I327" s="11" t="s">
        <v>16</v>
      </c>
      <c r="J327" s="9" t="s">
        <v>14</v>
      </c>
      <c r="K327" s="13" t="s">
        <v>17</v>
      </c>
      <c r="L327" s="9" t="s">
        <v>11</v>
      </c>
      <c r="M327" s="13" t="s">
        <v>18</v>
      </c>
      <c r="N327" s="9" t="s">
        <v>11</v>
      </c>
      <c r="O327" s="13" t="s">
        <v>19</v>
      </c>
      <c r="P327" s="9" t="s">
        <v>11</v>
      </c>
      <c r="Q327" s="13" t="s">
        <v>20</v>
      </c>
      <c r="R327" s="9" t="s">
        <v>14</v>
      </c>
      <c r="S327" s="36" t="s">
        <v>115</v>
      </c>
      <c r="T327" s="15" t="s">
        <v>34</v>
      </c>
      <c r="U327" s="31" t="s">
        <v>23</v>
      </c>
      <c r="V327" s="17" t="s">
        <v>24</v>
      </c>
    </row>
    <row r="328" ht="15.75" customHeight="1">
      <c r="A328" s="7">
        <v>327.0</v>
      </c>
      <c r="B328" s="18" t="s">
        <v>10</v>
      </c>
      <c r="C328" s="19" t="s">
        <v>11</v>
      </c>
      <c r="D328" s="18" t="s">
        <v>12</v>
      </c>
      <c r="E328" s="20" t="s">
        <v>13</v>
      </c>
      <c r="F328" s="19" t="s">
        <v>14</v>
      </c>
      <c r="G328" s="20" t="s">
        <v>15</v>
      </c>
      <c r="H328" s="19" t="s">
        <v>11</v>
      </c>
      <c r="I328" s="21" t="s">
        <v>16</v>
      </c>
      <c r="J328" s="19" t="s">
        <v>14</v>
      </c>
      <c r="K328" s="22" t="s">
        <v>17</v>
      </c>
      <c r="L328" s="19" t="s">
        <v>11</v>
      </c>
      <c r="M328" s="22" t="s">
        <v>18</v>
      </c>
      <c r="N328" s="19" t="s">
        <v>11</v>
      </c>
      <c r="O328" s="22" t="s">
        <v>19</v>
      </c>
      <c r="P328" s="19" t="s">
        <v>11</v>
      </c>
      <c r="Q328" s="22" t="s">
        <v>20</v>
      </c>
      <c r="R328" s="19" t="s">
        <v>14</v>
      </c>
      <c r="S328" s="37" t="s">
        <v>115</v>
      </c>
      <c r="T328" s="24" t="s">
        <v>34</v>
      </c>
      <c r="U328" s="33" t="s">
        <v>25</v>
      </c>
      <c r="V328" s="17" t="s">
        <v>24</v>
      </c>
    </row>
    <row r="329" ht="15.75" customHeight="1">
      <c r="A329" s="7">
        <v>328.0</v>
      </c>
      <c r="B329" s="8" t="s">
        <v>10</v>
      </c>
      <c r="C329" s="9" t="s">
        <v>11</v>
      </c>
      <c r="D329" s="8" t="s">
        <v>12</v>
      </c>
      <c r="E329" s="10" t="s">
        <v>13</v>
      </c>
      <c r="F329" s="9" t="s">
        <v>14</v>
      </c>
      <c r="G329" s="10" t="s">
        <v>15</v>
      </c>
      <c r="H329" s="9" t="s">
        <v>11</v>
      </c>
      <c r="I329" s="11" t="s">
        <v>16</v>
      </c>
      <c r="J329" s="9" t="s">
        <v>14</v>
      </c>
      <c r="K329" s="13" t="s">
        <v>17</v>
      </c>
      <c r="L329" s="9" t="s">
        <v>11</v>
      </c>
      <c r="M329" s="13" t="s">
        <v>18</v>
      </c>
      <c r="N329" s="9" t="s">
        <v>11</v>
      </c>
      <c r="O329" s="13" t="s">
        <v>19</v>
      </c>
      <c r="P329" s="9" t="s">
        <v>11</v>
      </c>
      <c r="Q329" s="13" t="s">
        <v>20</v>
      </c>
      <c r="R329" s="9" t="s">
        <v>14</v>
      </c>
      <c r="S329" s="36" t="s">
        <v>115</v>
      </c>
      <c r="T329" s="15" t="s">
        <v>35</v>
      </c>
      <c r="U329" s="31" t="s">
        <v>23</v>
      </c>
      <c r="V329" s="17" t="s">
        <v>24</v>
      </c>
    </row>
    <row r="330" ht="15.75" customHeight="1">
      <c r="A330" s="7">
        <v>329.0</v>
      </c>
      <c r="B330" s="18" t="s">
        <v>10</v>
      </c>
      <c r="C330" s="19" t="s">
        <v>11</v>
      </c>
      <c r="D330" s="18" t="s">
        <v>12</v>
      </c>
      <c r="E330" s="20" t="s">
        <v>13</v>
      </c>
      <c r="F330" s="19" t="s">
        <v>14</v>
      </c>
      <c r="G330" s="20" t="s">
        <v>15</v>
      </c>
      <c r="H330" s="19" t="s">
        <v>11</v>
      </c>
      <c r="I330" s="21" t="s">
        <v>16</v>
      </c>
      <c r="J330" s="19" t="s">
        <v>14</v>
      </c>
      <c r="K330" s="22" t="s">
        <v>17</v>
      </c>
      <c r="L330" s="19" t="s">
        <v>11</v>
      </c>
      <c r="M330" s="22" t="s">
        <v>18</v>
      </c>
      <c r="N330" s="19" t="s">
        <v>11</v>
      </c>
      <c r="O330" s="22" t="s">
        <v>19</v>
      </c>
      <c r="P330" s="19" t="s">
        <v>11</v>
      </c>
      <c r="Q330" s="22" t="s">
        <v>20</v>
      </c>
      <c r="R330" s="19" t="s">
        <v>14</v>
      </c>
      <c r="S330" s="37" t="s">
        <v>115</v>
      </c>
      <c r="T330" s="24" t="s">
        <v>35</v>
      </c>
      <c r="U330" s="33" t="s">
        <v>25</v>
      </c>
      <c r="V330" s="17" t="s">
        <v>24</v>
      </c>
    </row>
    <row r="331" ht="15.75" customHeight="1">
      <c r="A331" s="7">
        <v>330.0</v>
      </c>
      <c r="B331" s="8" t="s">
        <v>10</v>
      </c>
      <c r="C331" s="9" t="s">
        <v>11</v>
      </c>
      <c r="D331" s="8" t="s">
        <v>12</v>
      </c>
      <c r="E331" s="10" t="s">
        <v>13</v>
      </c>
      <c r="F331" s="9" t="s">
        <v>14</v>
      </c>
      <c r="G331" s="10" t="s">
        <v>15</v>
      </c>
      <c r="H331" s="9" t="s">
        <v>11</v>
      </c>
      <c r="I331" s="11" t="s">
        <v>16</v>
      </c>
      <c r="J331" s="9" t="s">
        <v>14</v>
      </c>
      <c r="K331" s="13" t="s">
        <v>17</v>
      </c>
      <c r="L331" s="9" t="s">
        <v>11</v>
      </c>
      <c r="M331" s="13" t="s">
        <v>18</v>
      </c>
      <c r="N331" s="9" t="s">
        <v>11</v>
      </c>
      <c r="O331" s="13" t="s">
        <v>19</v>
      </c>
      <c r="P331" s="9" t="s">
        <v>11</v>
      </c>
      <c r="Q331" s="13" t="s">
        <v>20</v>
      </c>
      <c r="R331" s="9" t="s">
        <v>14</v>
      </c>
      <c r="S331" s="36" t="s">
        <v>115</v>
      </c>
      <c r="T331" s="15" t="s">
        <v>37</v>
      </c>
      <c r="U331" s="31" t="s">
        <v>23</v>
      </c>
      <c r="V331" s="17" t="s">
        <v>24</v>
      </c>
    </row>
    <row r="332" ht="15.75" customHeight="1">
      <c r="A332" s="7">
        <v>331.0</v>
      </c>
      <c r="B332" s="18" t="s">
        <v>10</v>
      </c>
      <c r="C332" s="19" t="s">
        <v>11</v>
      </c>
      <c r="D332" s="18" t="s">
        <v>12</v>
      </c>
      <c r="E332" s="20" t="s">
        <v>13</v>
      </c>
      <c r="F332" s="19" t="s">
        <v>14</v>
      </c>
      <c r="G332" s="20" t="s">
        <v>15</v>
      </c>
      <c r="H332" s="19" t="s">
        <v>11</v>
      </c>
      <c r="I332" s="21" t="s">
        <v>16</v>
      </c>
      <c r="J332" s="19" t="s">
        <v>14</v>
      </c>
      <c r="K332" s="22" t="s">
        <v>17</v>
      </c>
      <c r="L332" s="19" t="s">
        <v>11</v>
      </c>
      <c r="M332" s="22" t="s">
        <v>18</v>
      </c>
      <c r="N332" s="19" t="s">
        <v>11</v>
      </c>
      <c r="O332" s="22" t="s">
        <v>19</v>
      </c>
      <c r="P332" s="19" t="s">
        <v>11</v>
      </c>
      <c r="Q332" s="22" t="s">
        <v>20</v>
      </c>
      <c r="R332" s="19" t="s">
        <v>14</v>
      </c>
      <c r="S332" s="37" t="s">
        <v>115</v>
      </c>
      <c r="T332" s="24" t="s">
        <v>37</v>
      </c>
      <c r="U332" s="33" t="s">
        <v>25</v>
      </c>
      <c r="V332" s="17" t="s">
        <v>24</v>
      </c>
    </row>
    <row r="333" ht="15.75" customHeight="1">
      <c r="A333" s="7">
        <v>332.0</v>
      </c>
      <c r="B333" s="8" t="s">
        <v>10</v>
      </c>
      <c r="C333" s="9" t="s">
        <v>11</v>
      </c>
      <c r="D333" s="8" t="s">
        <v>12</v>
      </c>
      <c r="E333" s="10" t="s">
        <v>13</v>
      </c>
      <c r="F333" s="9" t="s">
        <v>14</v>
      </c>
      <c r="G333" s="10" t="s">
        <v>15</v>
      </c>
      <c r="H333" s="9" t="s">
        <v>11</v>
      </c>
      <c r="I333" s="11" t="s">
        <v>16</v>
      </c>
      <c r="J333" s="9" t="s">
        <v>14</v>
      </c>
      <c r="K333" s="13" t="s">
        <v>17</v>
      </c>
      <c r="L333" s="9" t="s">
        <v>11</v>
      </c>
      <c r="M333" s="13" t="s">
        <v>18</v>
      </c>
      <c r="N333" s="9" t="s">
        <v>11</v>
      </c>
      <c r="O333" s="13" t="s">
        <v>19</v>
      </c>
      <c r="P333" s="9" t="s">
        <v>11</v>
      </c>
      <c r="Q333" s="13" t="s">
        <v>20</v>
      </c>
      <c r="R333" s="9" t="s">
        <v>14</v>
      </c>
      <c r="S333" s="36" t="s">
        <v>115</v>
      </c>
      <c r="T333" s="15" t="s">
        <v>36</v>
      </c>
      <c r="U333" s="31" t="s">
        <v>23</v>
      </c>
      <c r="V333" s="17" t="s">
        <v>24</v>
      </c>
    </row>
    <row r="334" ht="15.75" customHeight="1">
      <c r="A334" s="7">
        <v>333.0</v>
      </c>
      <c r="B334" s="18" t="s">
        <v>10</v>
      </c>
      <c r="C334" s="19" t="s">
        <v>11</v>
      </c>
      <c r="D334" s="18" t="s">
        <v>12</v>
      </c>
      <c r="E334" s="20" t="s">
        <v>13</v>
      </c>
      <c r="F334" s="19" t="s">
        <v>14</v>
      </c>
      <c r="G334" s="20" t="s">
        <v>15</v>
      </c>
      <c r="H334" s="19" t="s">
        <v>11</v>
      </c>
      <c r="I334" s="21" t="s">
        <v>16</v>
      </c>
      <c r="J334" s="19" t="s">
        <v>14</v>
      </c>
      <c r="K334" s="22" t="s">
        <v>17</v>
      </c>
      <c r="L334" s="19" t="s">
        <v>11</v>
      </c>
      <c r="M334" s="22" t="s">
        <v>18</v>
      </c>
      <c r="N334" s="19" t="s">
        <v>11</v>
      </c>
      <c r="O334" s="22" t="s">
        <v>19</v>
      </c>
      <c r="P334" s="19" t="s">
        <v>11</v>
      </c>
      <c r="Q334" s="22" t="s">
        <v>20</v>
      </c>
      <c r="R334" s="19" t="s">
        <v>14</v>
      </c>
      <c r="S334" s="37" t="s">
        <v>115</v>
      </c>
      <c r="T334" s="24" t="s">
        <v>36</v>
      </c>
      <c r="U334" s="33" t="s">
        <v>25</v>
      </c>
      <c r="V334" s="17" t="s">
        <v>24</v>
      </c>
    </row>
    <row r="335" ht="15.75" customHeight="1">
      <c r="A335" s="7">
        <v>334.0</v>
      </c>
      <c r="B335" s="8" t="s">
        <v>10</v>
      </c>
      <c r="C335" s="9" t="s">
        <v>11</v>
      </c>
      <c r="D335" s="8" t="s">
        <v>12</v>
      </c>
      <c r="E335" s="10" t="s">
        <v>13</v>
      </c>
      <c r="F335" s="9" t="s">
        <v>14</v>
      </c>
      <c r="G335" s="10" t="s">
        <v>15</v>
      </c>
      <c r="H335" s="9" t="s">
        <v>11</v>
      </c>
      <c r="I335" s="11" t="s">
        <v>16</v>
      </c>
      <c r="J335" s="9" t="s">
        <v>14</v>
      </c>
      <c r="K335" s="13" t="s">
        <v>17</v>
      </c>
      <c r="L335" s="9" t="s">
        <v>11</v>
      </c>
      <c r="M335" s="13" t="s">
        <v>18</v>
      </c>
      <c r="N335" s="9" t="s">
        <v>11</v>
      </c>
      <c r="O335" s="13" t="s">
        <v>19</v>
      </c>
      <c r="P335" s="9" t="s">
        <v>11</v>
      </c>
      <c r="Q335" s="13" t="s">
        <v>20</v>
      </c>
      <c r="R335" s="9" t="s">
        <v>14</v>
      </c>
      <c r="S335" s="36" t="s">
        <v>115</v>
      </c>
      <c r="T335" s="15" t="s">
        <v>38</v>
      </c>
      <c r="U335" s="31" t="s">
        <v>23</v>
      </c>
      <c r="V335" s="17" t="s">
        <v>24</v>
      </c>
    </row>
    <row r="336" ht="15.75" customHeight="1">
      <c r="A336" s="7">
        <v>335.0</v>
      </c>
      <c r="B336" s="18" t="s">
        <v>10</v>
      </c>
      <c r="C336" s="19" t="s">
        <v>11</v>
      </c>
      <c r="D336" s="18" t="s">
        <v>12</v>
      </c>
      <c r="E336" s="20" t="s">
        <v>13</v>
      </c>
      <c r="F336" s="19" t="s">
        <v>14</v>
      </c>
      <c r="G336" s="20" t="s">
        <v>15</v>
      </c>
      <c r="H336" s="19" t="s">
        <v>11</v>
      </c>
      <c r="I336" s="21" t="s">
        <v>16</v>
      </c>
      <c r="J336" s="19" t="s">
        <v>14</v>
      </c>
      <c r="K336" s="22" t="s">
        <v>17</v>
      </c>
      <c r="L336" s="19" t="s">
        <v>11</v>
      </c>
      <c r="M336" s="22" t="s">
        <v>18</v>
      </c>
      <c r="N336" s="19" t="s">
        <v>11</v>
      </c>
      <c r="O336" s="22" t="s">
        <v>19</v>
      </c>
      <c r="P336" s="19" t="s">
        <v>11</v>
      </c>
      <c r="Q336" s="22" t="s">
        <v>20</v>
      </c>
      <c r="R336" s="19" t="s">
        <v>14</v>
      </c>
      <c r="S336" s="37" t="s">
        <v>115</v>
      </c>
      <c r="T336" s="24" t="s">
        <v>38</v>
      </c>
      <c r="U336" s="33" t="s">
        <v>25</v>
      </c>
      <c r="V336" s="17" t="s">
        <v>24</v>
      </c>
    </row>
    <row r="337" ht="15.75" customHeight="1">
      <c r="A337" s="7">
        <v>336.0</v>
      </c>
      <c r="B337" s="8" t="s">
        <v>10</v>
      </c>
      <c r="C337" s="9" t="s">
        <v>11</v>
      </c>
      <c r="D337" s="8" t="s">
        <v>12</v>
      </c>
      <c r="E337" s="10" t="s">
        <v>13</v>
      </c>
      <c r="F337" s="9" t="s">
        <v>14</v>
      </c>
      <c r="G337" s="10" t="s">
        <v>15</v>
      </c>
      <c r="H337" s="9" t="s">
        <v>11</v>
      </c>
      <c r="I337" s="11" t="s">
        <v>16</v>
      </c>
      <c r="J337" s="9" t="s">
        <v>14</v>
      </c>
      <c r="K337" s="13" t="s">
        <v>17</v>
      </c>
      <c r="L337" s="9" t="s">
        <v>11</v>
      </c>
      <c r="M337" s="13" t="s">
        <v>18</v>
      </c>
      <c r="N337" s="9" t="s">
        <v>11</v>
      </c>
      <c r="O337" s="13" t="s">
        <v>19</v>
      </c>
      <c r="P337" s="9" t="s">
        <v>11</v>
      </c>
      <c r="Q337" s="13" t="s">
        <v>20</v>
      </c>
      <c r="R337" s="9" t="s">
        <v>14</v>
      </c>
      <c r="S337" s="36" t="s">
        <v>115</v>
      </c>
      <c r="T337" s="15" t="s">
        <v>39</v>
      </c>
      <c r="U337" s="31" t="s">
        <v>23</v>
      </c>
      <c r="V337" s="17" t="s">
        <v>24</v>
      </c>
    </row>
    <row r="338" ht="15.75" customHeight="1">
      <c r="A338" s="7">
        <v>337.0</v>
      </c>
      <c r="B338" s="18" t="s">
        <v>10</v>
      </c>
      <c r="C338" s="19" t="s">
        <v>11</v>
      </c>
      <c r="D338" s="18" t="s">
        <v>12</v>
      </c>
      <c r="E338" s="20" t="s">
        <v>13</v>
      </c>
      <c r="F338" s="19" t="s">
        <v>14</v>
      </c>
      <c r="G338" s="20" t="s">
        <v>15</v>
      </c>
      <c r="H338" s="19" t="s">
        <v>11</v>
      </c>
      <c r="I338" s="21" t="s">
        <v>16</v>
      </c>
      <c r="J338" s="19" t="s">
        <v>14</v>
      </c>
      <c r="K338" s="22" t="s">
        <v>17</v>
      </c>
      <c r="L338" s="19" t="s">
        <v>11</v>
      </c>
      <c r="M338" s="22" t="s">
        <v>18</v>
      </c>
      <c r="N338" s="19" t="s">
        <v>11</v>
      </c>
      <c r="O338" s="22" t="s">
        <v>19</v>
      </c>
      <c r="P338" s="19" t="s">
        <v>11</v>
      </c>
      <c r="Q338" s="22" t="s">
        <v>20</v>
      </c>
      <c r="R338" s="19" t="s">
        <v>14</v>
      </c>
      <c r="S338" s="37" t="s">
        <v>115</v>
      </c>
      <c r="T338" s="24" t="s">
        <v>39</v>
      </c>
      <c r="U338" s="33" t="s">
        <v>25</v>
      </c>
      <c r="V338" s="17" t="s">
        <v>24</v>
      </c>
    </row>
    <row r="339" ht="15.75" customHeight="1">
      <c r="A339" s="7">
        <v>338.0</v>
      </c>
      <c r="B339" s="8" t="s">
        <v>10</v>
      </c>
      <c r="C339" s="9" t="s">
        <v>11</v>
      </c>
      <c r="D339" s="8" t="s">
        <v>12</v>
      </c>
      <c r="E339" s="10" t="s">
        <v>13</v>
      </c>
      <c r="F339" s="9" t="s">
        <v>14</v>
      </c>
      <c r="G339" s="10" t="s">
        <v>15</v>
      </c>
      <c r="H339" s="9" t="s">
        <v>11</v>
      </c>
      <c r="I339" s="11" t="s">
        <v>16</v>
      </c>
      <c r="J339" s="9" t="s">
        <v>14</v>
      </c>
      <c r="K339" s="13" t="s">
        <v>17</v>
      </c>
      <c r="L339" s="9" t="s">
        <v>11</v>
      </c>
      <c r="M339" s="13" t="s">
        <v>18</v>
      </c>
      <c r="N339" s="9" t="s">
        <v>11</v>
      </c>
      <c r="O339" s="13" t="s">
        <v>19</v>
      </c>
      <c r="P339" s="9" t="s">
        <v>11</v>
      </c>
      <c r="Q339" s="13" t="s">
        <v>20</v>
      </c>
      <c r="R339" s="9" t="s">
        <v>14</v>
      </c>
      <c r="S339" s="36" t="s">
        <v>115</v>
      </c>
      <c r="T339" s="15" t="s">
        <v>40</v>
      </c>
      <c r="U339" s="31" t="s">
        <v>23</v>
      </c>
      <c r="V339" s="17" t="s">
        <v>24</v>
      </c>
    </row>
    <row r="340" ht="15.75" customHeight="1">
      <c r="A340" s="7">
        <v>339.0</v>
      </c>
      <c r="B340" s="18" t="s">
        <v>10</v>
      </c>
      <c r="C340" s="19" t="s">
        <v>11</v>
      </c>
      <c r="D340" s="18" t="s">
        <v>12</v>
      </c>
      <c r="E340" s="20" t="s">
        <v>13</v>
      </c>
      <c r="F340" s="19" t="s">
        <v>14</v>
      </c>
      <c r="G340" s="20" t="s">
        <v>15</v>
      </c>
      <c r="H340" s="19" t="s">
        <v>11</v>
      </c>
      <c r="I340" s="21" t="s">
        <v>16</v>
      </c>
      <c r="J340" s="19" t="s">
        <v>14</v>
      </c>
      <c r="K340" s="22" t="s">
        <v>17</v>
      </c>
      <c r="L340" s="19" t="s">
        <v>11</v>
      </c>
      <c r="M340" s="22" t="s">
        <v>18</v>
      </c>
      <c r="N340" s="19" t="s">
        <v>11</v>
      </c>
      <c r="O340" s="22" t="s">
        <v>19</v>
      </c>
      <c r="P340" s="19" t="s">
        <v>11</v>
      </c>
      <c r="Q340" s="22" t="s">
        <v>20</v>
      </c>
      <c r="R340" s="19" t="s">
        <v>14</v>
      </c>
      <c r="S340" s="37" t="s">
        <v>115</v>
      </c>
      <c r="T340" s="24" t="s">
        <v>40</v>
      </c>
      <c r="U340" s="33" t="s">
        <v>25</v>
      </c>
      <c r="V340" s="17" t="s">
        <v>24</v>
      </c>
    </row>
    <row r="341" ht="15.75" customHeight="1">
      <c r="A341" s="7">
        <v>340.0</v>
      </c>
      <c r="B341" s="8" t="s">
        <v>10</v>
      </c>
      <c r="C341" s="9" t="s">
        <v>11</v>
      </c>
      <c r="D341" s="8" t="s">
        <v>12</v>
      </c>
      <c r="E341" s="10" t="s">
        <v>13</v>
      </c>
      <c r="F341" s="9" t="s">
        <v>14</v>
      </c>
      <c r="G341" s="10" t="s">
        <v>15</v>
      </c>
      <c r="H341" s="9" t="s">
        <v>11</v>
      </c>
      <c r="I341" s="11" t="s">
        <v>16</v>
      </c>
      <c r="J341" s="9" t="s">
        <v>14</v>
      </c>
      <c r="K341" s="13" t="s">
        <v>17</v>
      </c>
      <c r="L341" s="9" t="s">
        <v>11</v>
      </c>
      <c r="M341" s="13" t="s">
        <v>18</v>
      </c>
      <c r="N341" s="9" t="s">
        <v>11</v>
      </c>
      <c r="O341" s="13" t="s">
        <v>19</v>
      </c>
      <c r="P341" s="9" t="s">
        <v>11</v>
      </c>
      <c r="Q341" s="13" t="s">
        <v>20</v>
      </c>
      <c r="R341" s="9" t="s">
        <v>14</v>
      </c>
      <c r="S341" s="36" t="s">
        <v>115</v>
      </c>
      <c r="T341" s="15" t="s">
        <v>41</v>
      </c>
      <c r="U341" s="31" t="s">
        <v>23</v>
      </c>
      <c r="V341" s="17" t="s">
        <v>24</v>
      </c>
    </row>
    <row r="342" ht="15.75" customHeight="1">
      <c r="A342" s="7">
        <v>341.0</v>
      </c>
      <c r="B342" s="18" t="s">
        <v>10</v>
      </c>
      <c r="C342" s="19" t="s">
        <v>11</v>
      </c>
      <c r="D342" s="18" t="s">
        <v>12</v>
      </c>
      <c r="E342" s="20" t="s">
        <v>13</v>
      </c>
      <c r="F342" s="19" t="s">
        <v>14</v>
      </c>
      <c r="G342" s="20" t="s">
        <v>15</v>
      </c>
      <c r="H342" s="19" t="s">
        <v>11</v>
      </c>
      <c r="I342" s="21" t="s">
        <v>16</v>
      </c>
      <c r="J342" s="19" t="s">
        <v>14</v>
      </c>
      <c r="K342" s="22" t="s">
        <v>17</v>
      </c>
      <c r="L342" s="19" t="s">
        <v>11</v>
      </c>
      <c r="M342" s="22" t="s">
        <v>18</v>
      </c>
      <c r="N342" s="19" t="s">
        <v>11</v>
      </c>
      <c r="O342" s="22" t="s">
        <v>19</v>
      </c>
      <c r="P342" s="19" t="s">
        <v>11</v>
      </c>
      <c r="Q342" s="22" t="s">
        <v>20</v>
      </c>
      <c r="R342" s="19" t="s">
        <v>14</v>
      </c>
      <c r="S342" s="37" t="s">
        <v>115</v>
      </c>
      <c r="T342" s="24" t="s">
        <v>41</v>
      </c>
      <c r="U342" s="33" t="s">
        <v>25</v>
      </c>
      <c r="V342" s="17" t="s">
        <v>24</v>
      </c>
    </row>
    <row r="343" ht="15.75" customHeight="1">
      <c r="A343" s="7">
        <v>342.0</v>
      </c>
      <c r="B343" s="8" t="s">
        <v>10</v>
      </c>
      <c r="C343" s="9" t="s">
        <v>11</v>
      </c>
      <c r="D343" s="8" t="s">
        <v>12</v>
      </c>
      <c r="E343" s="10" t="s">
        <v>13</v>
      </c>
      <c r="F343" s="9" t="s">
        <v>14</v>
      </c>
      <c r="G343" s="10" t="s">
        <v>15</v>
      </c>
      <c r="H343" s="9" t="s">
        <v>11</v>
      </c>
      <c r="I343" s="11" t="s">
        <v>16</v>
      </c>
      <c r="J343" s="9" t="s">
        <v>14</v>
      </c>
      <c r="K343" s="13" t="s">
        <v>17</v>
      </c>
      <c r="L343" s="9" t="s">
        <v>11</v>
      </c>
      <c r="M343" s="13" t="s">
        <v>18</v>
      </c>
      <c r="N343" s="9" t="s">
        <v>11</v>
      </c>
      <c r="O343" s="13" t="s">
        <v>19</v>
      </c>
      <c r="P343" s="9" t="s">
        <v>11</v>
      </c>
      <c r="Q343" s="13" t="s">
        <v>20</v>
      </c>
      <c r="R343" s="9" t="s">
        <v>14</v>
      </c>
      <c r="S343" s="36" t="s">
        <v>115</v>
      </c>
      <c r="T343" s="15" t="s">
        <v>42</v>
      </c>
      <c r="U343" s="31" t="s">
        <v>23</v>
      </c>
      <c r="V343" s="17" t="s">
        <v>24</v>
      </c>
    </row>
    <row r="344" ht="15.75" customHeight="1">
      <c r="A344" s="7">
        <v>343.0</v>
      </c>
      <c r="B344" s="18" t="s">
        <v>10</v>
      </c>
      <c r="C344" s="19" t="s">
        <v>11</v>
      </c>
      <c r="D344" s="18" t="s">
        <v>12</v>
      </c>
      <c r="E344" s="20" t="s">
        <v>13</v>
      </c>
      <c r="F344" s="19" t="s">
        <v>14</v>
      </c>
      <c r="G344" s="20" t="s">
        <v>15</v>
      </c>
      <c r="H344" s="19" t="s">
        <v>11</v>
      </c>
      <c r="I344" s="21" t="s">
        <v>16</v>
      </c>
      <c r="J344" s="19" t="s">
        <v>14</v>
      </c>
      <c r="K344" s="22" t="s">
        <v>17</v>
      </c>
      <c r="L344" s="19" t="s">
        <v>11</v>
      </c>
      <c r="M344" s="22" t="s">
        <v>18</v>
      </c>
      <c r="N344" s="19" t="s">
        <v>11</v>
      </c>
      <c r="O344" s="22" t="s">
        <v>19</v>
      </c>
      <c r="P344" s="19" t="s">
        <v>11</v>
      </c>
      <c r="Q344" s="22" t="s">
        <v>20</v>
      </c>
      <c r="R344" s="19" t="s">
        <v>14</v>
      </c>
      <c r="S344" s="37" t="s">
        <v>115</v>
      </c>
      <c r="T344" s="24" t="s">
        <v>42</v>
      </c>
      <c r="U344" s="33" t="s">
        <v>25</v>
      </c>
      <c r="V344" s="17" t="s">
        <v>24</v>
      </c>
    </row>
    <row r="345" ht="15.75" customHeight="1">
      <c r="A345" s="7">
        <v>344.0</v>
      </c>
      <c r="B345" s="8" t="s">
        <v>10</v>
      </c>
      <c r="C345" s="9" t="s">
        <v>11</v>
      </c>
      <c r="D345" s="8" t="s">
        <v>12</v>
      </c>
      <c r="E345" s="10" t="s">
        <v>13</v>
      </c>
      <c r="F345" s="9" t="s">
        <v>14</v>
      </c>
      <c r="G345" s="10" t="s">
        <v>15</v>
      </c>
      <c r="H345" s="9" t="s">
        <v>11</v>
      </c>
      <c r="I345" s="11" t="s">
        <v>16</v>
      </c>
      <c r="J345" s="9" t="s">
        <v>14</v>
      </c>
      <c r="K345" s="13" t="s">
        <v>17</v>
      </c>
      <c r="L345" s="9" t="s">
        <v>11</v>
      </c>
      <c r="M345" s="13" t="s">
        <v>18</v>
      </c>
      <c r="N345" s="9" t="s">
        <v>11</v>
      </c>
      <c r="O345" s="13" t="s">
        <v>19</v>
      </c>
      <c r="P345" s="9" t="s">
        <v>11</v>
      </c>
      <c r="Q345" s="13" t="s">
        <v>20</v>
      </c>
      <c r="R345" s="9" t="s">
        <v>14</v>
      </c>
      <c r="S345" s="36" t="s">
        <v>115</v>
      </c>
      <c r="T345" s="15" t="s">
        <v>43</v>
      </c>
      <c r="U345" s="31" t="s">
        <v>23</v>
      </c>
      <c r="V345" s="17" t="s">
        <v>24</v>
      </c>
    </row>
    <row r="346" ht="15.75" customHeight="1">
      <c r="A346" s="7">
        <v>345.0</v>
      </c>
      <c r="B346" s="18" t="s">
        <v>10</v>
      </c>
      <c r="C346" s="19" t="s">
        <v>11</v>
      </c>
      <c r="D346" s="18" t="s">
        <v>12</v>
      </c>
      <c r="E346" s="20" t="s">
        <v>13</v>
      </c>
      <c r="F346" s="19" t="s">
        <v>14</v>
      </c>
      <c r="G346" s="20" t="s">
        <v>15</v>
      </c>
      <c r="H346" s="19" t="s">
        <v>11</v>
      </c>
      <c r="I346" s="21" t="s">
        <v>16</v>
      </c>
      <c r="J346" s="19" t="s">
        <v>14</v>
      </c>
      <c r="K346" s="22" t="s">
        <v>17</v>
      </c>
      <c r="L346" s="19" t="s">
        <v>11</v>
      </c>
      <c r="M346" s="22" t="s">
        <v>18</v>
      </c>
      <c r="N346" s="19" t="s">
        <v>11</v>
      </c>
      <c r="O346" s="22" t="s">
        <v>19</v>
      </c>
      <c r="P346" s="19" t="s">
        <v>11</v>
      </c>
      <c r="Q346" s="22" t="s">
        <v>20</v>
      </c>
      <c r="R346" s="19" t="s">
        <v>14</v>
      </c>
      <c r="S346" s="37" t="s">
        <v>115</v>
      </c>
      <c r="T346" s="24" t="s">
        <v>43</v>
      </c>
      <c r="U346" s="33" t="s">
        <v>25</v>
      </c>
      <c r="V346" s="17" t="s">
        <v>24</v>
      </c>
    </row>
    <row r="347" ht="15.75" customHeight="1">
      <c r="A347" s="7">
        <v>346.0</v>
      </c>
      <c r="B347" s="8" t="s">
        <v>10</v>
      </c>
      <c r="C347" s="9" t="s">
        <v>11</v>
      </c>
      <c r="D347" s="8" t="s">
        <v>12</v>
      </c>
      <c r="E347" s="10" t="s">
        <v>13</v>
      </c>
      <c r="F347" s="9" t="s">
        <v>14</v>
      </c>
      <c r="G347" s="10" t="s">
        <v>15</v>
      </c>
      <c r="H347" s="9" t="s">
        <v>11</v>
      </c>
      <c r="I347" s="11" t="s">
        <v>16</v>
      </c>
      <c r="J347" s="9" t="s">
        <v>14</v>
      </c>
      <c r="K347" s="13" t="s">
        <v>17</v>
      </c>
      <c r="L347" s="9" t="s">
        <v>11</v>
      </c>
      <c r="M347" s="13" t="s">
        <v>18</v>
      </c>
      <c r="N347" s="9" t="s">
        <v>11</v>
      </c>
      <c r="O347" s="13" t="s">
        <v>19</v>
      </c>
      <c r="P347" s="9" t="s">
        <v>11</v>
      </c>
      <c r="Q347" s="13" t="s">
        <v>20</v>
      </c>
      <c r="R347" s="9" t="s">
        <v>14</v>
      </c>
      <c r="S347" s="36" t="s">
        <v>115</v>
      </c>
      <c r="T347" s="15" t="s">
        <v>44</v>
      </c>
      <c r="U347" s="31" t="s">
        <v>23</v>
      </c>
      <c r="V347" s="17" t="s">
        <v>24</v>
      </c>
    </row>
    <row r="348" ht="15.75" customHeight="1">
      <c r="A348" s="7">
        <v>347.0</v>
      </c>
      <c r="B348" s="18" t="s">
        <v>10</v>
      </c>
      <c r="C348" s="19" t="s">
        <v>11</v>
      </c>
      <c r="D348" s="18" t="s">
        <v>12</v>
      </c>
      <c r="E348" s="20" t="s">
        <v>13</v>
      </c>
      <c r="F348" s="19" t="s">
        <v>14</v>
      </c>
      <c r="G348" s="20" t="s">
        <v>15</v>
      </c>
      <c r="H348" s="19" t="s">
        <v>11</v>
      </c>
      <c r="I348" s="21" t="s">
        <v>16</v>
      </c>
      <c r="J348" s="19" t="s">
        <v>14</v>
      </c>
      <c r="K348" s="22" t="s">
        <v>17</v>
      </c>
      <c r="L348" s="19" t="s">
        <v>11</v>
      </c>
      <c r="M348" s="22" t="s">
        <v>18</v>
      </c>
      <c r="N348" s="19" t="s">
        <v>11</v>
      </c>
      <c r="O348" s="22" t="s">
        <v>19</v>
      </c>
      <c r="P348" s="19" t="s">
        <v>11</v>
      </c>
      <c r="Q348" s="22" t="s">
        <v>20</v>
      </c>
      <c r="R348" s="19" t="s">
        <v>14</v>
      </c>
      <c r="S348" s="37" t="s">
        <v>115</v>
      </c>
      <c r="T348" s="24" t="s">
        <v>44</v>
      </c>
      <c r="U348" s="33" t="s">
        <v>25</v>
      </c>
      <c r="V348" s="17" t="s">
        <v>24</v>
      </c>
    </row>
    <row r="349" ht="15.75" customHeight="1">
      <c r="A349" s="7">
        <v>348.0</v>
      </c>
      <c r="B349" s="8" t="s">
        <v>10</v>
      </c>
      <c r="C349" s="9" t="s">
        <v>11</v>
      </c>
      <c r="D349" s="8" t="s">
        <v>12</v>
      </c>
      <c r="E349" s="10" t="s">
        <v>13</v>
      </c>
      <c r="F349" s="9" t="s">
        <v>14</v>
      </c>
      <c r="G349" s="10" t="s">
        <v>15</v>
      </c>
      <c r="H349" s="9" t="s">
        <v>11</v>
      </c>
      <c r="I349" s="11" t="s">
        <v>16</v>
      </c>
      <c r="J349" s="9" t="s">
        <v>14</v>
      </c>
      <c r="K349" s="13" t="s">
        <v>17</v>
      </c>
      <c r="L349" s="9" t="s">
        <v>11</v>
      </c>
      <c r="M349" s="13" t="s">
        <v>18</v>
      </c>
      <c r="N349" s="9" t="s">
        <v>11</v>
      </c>
      <c r="O349" s="13" t="s">
        <v>19</v>
      </c>
      <c r="P349" s="9" t="s">
        <v>11</v>
      </c>
      <c r="Q349" s="13" t="s">
        <v>20</v>
      </c>
      <c r="R349" s="9" t="s">
        <v>14</v>
      </c>
      <c r="S349" s="36" t="s">
        <v>115</v>
      </c>
      <c r="T349" s="15" t="s">
        <v>45</v>
      </c>
      <c r="U349" s="31" t="s">
        <v>23</v>
      </c>
      <c r="V349" s="17" t="s">
        <v>24</v>
      </c>
    </row>
    <row r="350" ht="15.75" customHeight="1">
      <c r="A350" s="7">
        <v>349.0</v>
      </c>
      <c r="B350" s="18" t="s">
        <v>10</v>
      </c>
      <c r="C350" s="19" t="s">
        <v>11</v>
      </c>
      <c r="D350" s="18" t="s">
        <v>12</v>
      </c>
      <c r="E350" s="20" t="s">
        <v>13</v>
      </c>
      <c r="F350" s="19" t="s">
        <v>14</v>
      </c>
      <c r="G350" s="20" t="s">
        <v>15</v>
      </c>
      <c r="H350" s="19" t="s">
        <v>11</v>
      </c>
      <c r="I350" s="21" t="s">
        <v>16</v>
      </c>
      <c r="J350" s="19" t="s">
        <v>14</v>
      </c>
      <c r="K350" s="22" t="s">
        <v>17</v>
      </c>
      <c r="L350" s="19" t="s">
        <v>11</v>
      </c>
      <c r="M350" s="22" t="s">
        <v>18</v>
      </c>
      <c r="N350" s="19" t="s">
        <v>11</v>
      </c>
      <c r="O350" s="22" t="s">
        <v>19</v>
      </c>
      <c r="P350" s="19" t="s">
        <v>11</v>
      </c>
      <c r="Q350" s="22" t="s">
        <v>20</v>
      </c>
      <c r="R350" s="19" t="s">
        <v>14</v>
      </c>
      <c r="S350" s="37" t="s">
        <v>115</v>
      </c>
      <c r="T350" s="24" t="s">
        <v>45</v>
      </c>
      <c r="U350" s="33" t="s">
        <v>25</v>
      </c>
      <c r="V350" s="17" t="s">
        <v>24</v>
      </c>
    </row>
    <row r="351" ht="15.75" customHeight="1">
      <c r="A351" s="7">
        <v>350.0</v>
      </c>
      <c r="B351" s="8" t="s">
        <v>10</v>
      </c>
      <c r="C351" s="9" t="s">
        <v>11</v>
      </c>
      <c r="D351" s="8" t="s">
        <v>12</v>
      </c>
      <c r="E351" s="10" t="s">
        <v>13</v>
      </c>
      <c r="F351" s="9" t="s">
        <v>14</v>
      </c>
      <c r="G351" s="10" t="s">
        <v>15</v>
      </c>
      <c r="H351" s="9" t="s">
        <v>11</v>
      </c>
      <c r="I351" s="11" t="s">
        <v>16</v>
      </c>
      <c r="J351" s="9" t="s">
        <v>14</v>
      </c>
      <c r="K351" s="13" t="s">
        <v>17</v>
      </c>
      <c r="L351" s="9" t="s">
        <v>11</v>
      </c>
      <c r="M351" s="13" t="s">
        <v>18</v>
      </c>
      <c r="N351" s="9" t="s">
        <v>11</v>
      </c>
      <c r="O351" s="13" t="s">
        <v>19</v>
      </c>
      <c r="P351" s="9" t="s">
        <v>11</v>
      </c>
      <c r="Q351" s="13" t="s">
        <v>20</v>
      </c>
      <c r="R351" s="9" t="s">
        <v>14</v>
      </c>
      <c r="S351" s="36" t="s">
        <v>115</v>
      </c>
      <c r="T351" s="15" t="s">
        <v>46</v>
      </c>
      <c r="U351" s="31" t="s">
        <v>23</v>
      </c>
      <c r="V351" s="17" t="s">
        <v>24</v>
      </c>
    </row>
    <row r="352" ht="15.75" customHeight="1">
      <c r="A352" s="7">
        <v>351.0</v>
      </c>
      <c r="B352" s="18" t="s">
        <v>10</v>
      </c>
      <c r="C352" s="19" t="s">
        <v>11</v>
      </c>
      <c r="D352" s="18" t="s">
        <v>12</v>
      </c>
      <c r="E352" s="20" t="s">
        <v>13</v>
      </c>
      <c r="F352" s="19" t="s">
        <v>14</v>
      </c>
      <c r="G352" s="20" t="s">
        <v>15</v>
      </c>
      <c r="H352" s="19" t="s">
        <v>11</v>
      </c>
      <c r="I352" s="21" t="s">
        <v>16</v>
      </c>
      <c r="J352" s="19" t="s">
        <v>14</v>
      </c>
      <c r="K352" s="22" t="s">
        <v>17</v>
      </c>
      <c r="L352" s="19" t="s">
        <v>11</v>
      </c>
      <c r="M352" s="22" t="s">
        <v>18</v>
      </c>
      <c r="N352" s="19" t="s">
        <v>11</v>
      </c>
      <c r="O352" s="22" t="s">
        <v>19</v>
      </c>
      <c r="P352" s="19" t="s">
        <v>11</v>
      </c>
      <c r="Q352" s="22" t="s">
        <v>20</v>
      </c>
      <c r="R352" s="19" t="s">
        <v>14</v>
      </c>
      <c r="S352" s="37" t="s">
        <v>115</v>
      </c>
      <c r="T352" s="24" t="s">
        <v>46</v>
      </c>
      <c r="U352" s="33" t="s">
        <v>25</v>
      </c>
      <c r="V352" s="17" t="s">
        <v>24</v>
      </c>
    </row>
    <row r="353" ht="15.75" customHeight="1">
      <c r="A353" s="7">
        <v>352.0</v>
      </c>
      <c r="B353" s="8" t="s">
        <v>10</v>
      </c>
      <c r="C353" s="9" t="s">
        <v>11</v>
      </c>
      <c r="D353" s="8" t="s">
        <v>12</v>
      </c>
      <c r="E353" s="10" t="s">
        <v>13</v>
      </c>
      <c r="F353" s="9" t="s">
        <v>14</v>
      </c>
      <c r="G353" s="10" t="s">
        <v>15</v>
      </c>
      <c r="H353" s="9" t="s">
        <v>11</v>
      </c>
      <c r="I353" s="11" t="s">
        <v>16</v>
      </c>
      <c r="J353" s="9" t="s">
        <v>14</v>
      </c>
      <c r="K353" s="13" t="s">
        <v>17</v>
      </c>
      <c r="L353" s="9" t="s">
        <v>11</v>
      </c>
      <c r="M353" s="13" t="s">
        <v>18</v>
      </c>
      <c r="N353" s="9" t="s">
        <v>11</v>
      </c>
      <c r="O353" s="13" t="s">
        <v>19</v>
      </c>
      <c r="P353" s="9" t="s">
        <v>11</v>
      </c>
      <c r="Q353" s="13" t="s">
        <v>20</v>
      </c>
      <c r="R353" s="9" t="s">
        <v>14</v>
      </c>
      <c r="S353" s="36" t="s">
        <v>115</v>
      </c>
      <c r="T353" s="15" t="s">
        <v>47</v>
      </c>
      <c r="U353" s="31" t="s">
        <v>23</v>
      </c>
      <c r="V353" s="17" t="s">
        <v>24</v>
      </c>
    </row>
    <row r="354" ht="15.75" customHeight="1">
      <c r="A354" s="7">
        <v>353.0</v>
      </c>
      <c r="B354" s="18" t="s">
        <v>10</v>
      </c>
      <c r="C354" s="19" t="s">
        <v>11</v>
      </c>
      <c r="D354" s="18" t="s">
        <v>12</v>
      </c>
      <c r="E354" s="20" t="s">
        <v>13</v>
      </c>
      <c r="F354" s="19" t="s">
        <v>14</v>
      </c>
      <c r="G354" s="20" t="s">
        <v>15</v>
      </c>
      <c r="H354" s="19" t="s">
        <v>11</v>
      </c>
      <c r="I354" s="21" t="s">
        <v>16</v>
      </c>
      <c r="J354" s="19" t="s">
        <v>14</v>
      </c>
      <c r="K354" s="22" t="s">
        <v>17</v>
      </c>
      <c r="L354" s="19" t="s">
        <v>11</v>
      </c>
      <c r="M354" s="22" t="s">
        <v>18</v>
      </c>
      <c r="N354" s="19" t="s">
        <v>11</v>
      </c>
      <c r="O354" s="22" t="s">
        <v>19</v>
      </c>
      <c r="P354" s="19" t="s">
        <v>11</v>
      </c>
      <c r="Q354" s="22" t="s">
        <v>20</v>
      </c>
      <c r="R354" s="19" t="s">
        <v>14</v>
      </c>
      <c r="S354" s="37" t="s">
        <v>115</v>
      </c>
      <c r="T354" s="24" t="s">
        <v>47</v>
      </c>
      <c r="U354" s="33" t="s">
        <v>25</v>
      </c>
      <c r="V354" s="17" t="s">
        <v>24</v>
      </c>
    </row>
    <row r="355" ht="15.75" customHeight="1">
      <c r="A355" s="7">
        <v>354.0</v>
      </c>
      <c r="B355" s="8" t="s">
        <v>10</v>
      </c>
      <c r="C355" s="9" t="s">
        <v>11</v>
      </c>
      <c r="D355" s="8" t="s">
        <v>12</v>
      </c>
      <c r="E355" s="10" t="s">
        <v>13</v>
      </c>
      <c r="F355" s="9" t="s">
        <v>14</v>
      </c>
      <c r="G355" s="10" t="s">
        <v>15</v>
      </c>
      <c r="H355" s="9" t="s">
        <v>11</v>
      </c>
      <c r="I355" s="11" t="s">
        <v>16</v>
      </c>
      <c r="J355" s="9" t="s">
        <v>14</v>
      </c>
      <c r="K355" s="13" t="s">
        <v>17</v>
      </c>
      <c r="L355" s="9" t="s">
        <v>11</v>
      </c>
      <c r="M355" s="13" t="s">
        <v>18</v>
      </c>
      <c r="N355" s="9" t="s">
        <v>11</v>
      </c>
      <c r="O355" s="13" t="s">
        <v>19</v>
      </c>
      <c r="P355" s="9" t="s">
        <v>11</v>
      </c>
      <c r="Q355" s="13" t="s">
        <v>20</v>
      </c>
      <c r="R355" s="9" t="s">
        <v>14</v>
      </c>
      <c r="S355" s="36" t="s">
        <v>115</v>
      </c>
      <c r="T355" s="15" t="s">
        <v>48</v>
      </c>
      <c r="U355" s="31" t="s">
        <v>23</v>
      </c>
      <c r="V355" s="17" t="s">
        <v>24</v>
      </c>
    </row>
    <row r="356" ht="15.75" customHeight="1">
      <c r="A356" s="7">
        <v>355.0</v>
      </c>
      <c r="B356" s="18" t="s">
        <v>10</v>
      </c>
      <c r="C356" s="19" t="s">
        <v>11</v>
      </c>
      <c r="D356" s="18" t="s">
        <v>12</v>
      </c>
      <c r="E356" s="20" t="s">
        <v>13</v>
      </c>
      <c r="F356" s="19" t="s">
        <v>14</v>
      </c>
      <c r="G356" s="20" t="s">
        <v>15</v>
      </c>
      <c r="H356" s="19" t="s">
        <v>11</v>
      </c>
      <c r="I356" s="21" t="s">
        <v>16</v>
      </c>
      <c r="J356" s="19" t="s">
        <v>14</v>
      </c>
      <c r="K356" s="22" t="s">
        <v>17</v>
      </c>
      <c r="L356" s="19" t="s">
        <v>11</v>
      </c>
      <c r="M356" s="22" t="s">
        <v>18</v>
      </c>
      <c r="N356" s="19" t="s">
        <v>11</v>
      </c>
      <c r="O356" s="22" t="s">
        <v>19</v>
      </c>
      <c r="P356" s="19" t="s">
        <v>11</v>
      </c>
      <c r="Q356" s="22" t="s">
        <v>20</v>
      </c>
      <c r="R356" s="19" t="s">
        <v>14</v>
      </c>
      <c r="S356" s="37" t="s">
        <v>115</v>
      </c>
      <c r="T356" s="24" t="s">
        <v>48</v>
      </c>
      <c r="U356" s="33" t="s">
        <v>25</v>
      </c>
      <c r="V356" s="17" t="s">
        <v>24</v>
      </c>
    </row>
    <row r="357" ht="15.75" customHeight="1">
      <c r="A357" s="7">
        <v>356.0</v>
      </c>
      <c r="B357" s="8" t="s">
        <v>10</v>
      </c>
      <c r="C357" s="9" t="s">
        <v>11</v>
      </c>
      <c r="D357" s="8" t="s">
        <v>12</v>
      </c>
      <c r="E357" s="10" t="s">
        <v>13</v>
      </c>
      <c r="F357" s="9" t="s">
        <v>14</v>
      </c>
      <c r="G357" s="10" t="s">
        <v>15</v>
      </c>
      <c r="H357" s="9" t="s">
        <v>11</v>
      </c>
      <c r="I357" s="11" t="s">
        <v>16</v>
      </c>
      <c r="J357" s="9" t="s">
        <v>14</v>
      </c>
      <c r="K357" s="13" t="s">
        <v>17</v>
      </c>
      <c r="L357" s="9" t="s">
        <v>11</v>
      </c>
      <c r="M357" s="13" t="s">
        <v>18</v>
      </c>
      <c r="N357" s="9" t="s">
        <v>11</v>
      </c>
      <c r="O357" s="13" t="s">
        <v>19</v>
      </c>
      <c r="P357" s="9" t="s">
        <v>11</v>
      </c>
      <c r="Q357" s="13" t="s">
        <v>20</v>
      </c>
      <c r="R357" s="9" t="s">
        <v>14</v>
      </c>
      <c r="S357" s="36" t="s">
        <v>115</v>
      </c>
      <c r="T357" s="15" t="s">
        <v>49</v>
      </c>
      <c r="U357" s="31" t="s">
        <v>23</v>
      </c>
      <c r="V357" s="17" t="s">
        <v>24</v>
      </c>
    </row>
    <row r="358" ht="15.75" customHeight="1">
      <c r="A358" s="7">
        <v>357.0</v>
      </c>
      <c r="B358" s="18" t="s">
        <v>10</v>
      </c>
      <c r="C358" s="19" t="s">
        <v>11</v>
      </c>
      <c r="D358" s="18" t="s">
        <v>12</v>
      </c>
      <c r="E358" s="20" t="s">
        <v>13</v>
      </c>
      <c r="F358" s="19" t="s">
        <v>14</v>
      </c>
      <c r="G358" s="20" t="s">
        <v>15</v>
      </c>
      <c r="H358" s="19" t="s">
        <v>11</v>
      </c>
      <c r="I358" s="21" t="s">
        <v>16</v>
      </c>
      <c r="J358" s="19" t="s">
        <v>14</v>
      </c>
      <c r="K358" s="22" t="s">
        <v>17</v>
      </c>
      <c r="L358" s="19" t="s">
        <v>11</v>
      </c>
      <c r="M358" s="22" t="s">
        <v>18</v>
      </c>
      <c r="N358" s="19" t="s">
        <v>11</v>
      </c>
      <c r="O358" s="22" t="s">
        <v>19</v>
      </c>
      <c r="P358" s="19" t="s">
        <v>11</v>
      </c>
      <c r="Q358" s="22" t="s">
        <v>20</v>
      </c>
      <c r="R358" s="19" t="s">
        <v>14</v>
      </c>
      <c r="S358" s="37" t="s">
        <v>115</v>
      </c>
      <c r="T358" s="24" t="s">
        <v>49</v>
      </c>
      <c r="U358" s="33" t="s">
        <v>25</v>
      </c>
      <c r="V358" s="17" t="s">
        <v>24</v>
      </c>
    </row>
    <row r="359" ht="15.75" customHeight="1">
      <c r="A359" s="7">
        <v>358.0</v>
      </c>
      <c r="B359" s="8" t="s">
        <v>10</v>
      </c>
      <c r="C359" s="9" t="s">
        <v>11</v>
      </c>
      <c r="D359" s="8" t="s">
        <v>12</v>
      </c>
      <c r="E359" s="10" t="s">
        <v>13</v>
      </c>
      <c r="F359" s="9" t="s">
        <v>14</v>
      </c>
      <c r="G359" s="10" t="s">
        <v>15</v>
      </c>
      <c r="H359" s="9" t="s">
        <v>11</v>
      </c>
      <c r="I359" s="11" t="s">
        <v>16</v>
      </c>
      <c r="J359" s="9" t="s">
        <v>14</v>
      </c>
      <c r="K359" s="13" t="s">
        <v>17</v>
      </c>
      <c r="L359" s="9" t="s">
        <v>11</v>
      </c>
      <c r="M359" s="13" t="s">
        <v>18</v>
      </c>
      <c r="N359" s="9" t="s">
        <v>11</v>
      </c>
      <c r="O359" s="13" t="s">
        <v>19</v>
      </c>
      <c r="P359" s="9" t="s">
        <v>11</v>
      </c>
      <c r="Q359" s="13" t="s">
        <v>20</v>
      </c>
      <c r="R359" s="9" t="s">
        <v>14</v>
      </c>
      <c r="S359" s="36" t="s">
        <v>115</v>
      </c>
      <c r="T359" s="15" t="s">
        <v>50</v>
      </c>
      <c r="U359" s="31" t="s">
        <v>23</v>
      </c>
      <c r="V359" s="17" t="s">
        <v>24</v>
      </c>
    </row>
    <row r="360" ht="15.75" customHeight="1">
      <c r="A360" s="7">
        <v>359.0</v>
      </c>
      <c r="B360" s="18" t="s">
        <v>10</v>
      </c>
      <c r="C360" s="19" t="s">
        <v>11</v>
      </c>
      <c r="D360" s="18" t="s">
        <v>12</v>
      </c>
      <c r="E360" s="20" t="s">
        <v>13</v>
      </c>
      <c r="F360" s="19" t="s">
        <v>14</v>
      </c>
      <c r="G360" s="20" t="s">
        <v>15</v>
      </c>
      <c r="H360" s="19" t="s">
        <v>11</v>
      </c>
      <c r="I360" s="21" t="s">
        <v>16</v>
      </c>
      <c r="J360" s="19" t="s">
        <v>14</v>
      </c>
      <c r="K360" s="22" t="s">
        <v>17</v>
      </c>
      <c r="L360" s="19" t="s">
        <v>11</v>
      </c>
      <c r="M360" s="22" t="s">
        <v>18</v>
      </c>
      <c r="N360" s="19" t="s">
        <v>11</v>
      </c>
      <c r="O360" s="22" t="s">
        <v>19</v>
      </c>
      <c r="P360" s="19" t="s">
        <v>11</v>
      </c>
      <c r="Q360" s="22" t="s">
        <v>20</v>
      </c>
      <c r="R360" s="19" t="s">
        <v>14</v>
      </c>
      <c r="S360" s="37" t="s">
        <v>115</v>
      </c>
      <c r="T360" s="24" t="s">
        <v>50</v>
      </c>
      <c r="U360" s="33" t="s">
        <v>25</v>
      </c>
      <c r="V360" s="17" t="s">
        <v>24</v>
      </c>
    </row>
    <row r="361" ht="15.75" customHeight="1">
      <c r="A361" s="7">
        <v>360.0</v>
      </c>
      <c r="B361" s="8" t="s">
        <v>10</v>
      </c>
      <c r="C361" s="9" t="s">
        <v>11</v>
      </c>
      <c r="D361" s="8" t="s">
        <v>12</v>
      </c>
      <c r="E361" s="10" t="s">
        <v>13</v>
      </c>
      <c r="F361" s="9" t="s">
        <v>14</v>
      </c>
      <c r="G361" s="10" t="s">
        <v>15</v>
      </c>
      <c r="H361" s="9" t="s">
        <v>11</v>
      </c>
      <c r="I361" s="11" t="s">
        <v>16</v>
      </c>
      <c r="J361" s="9" t="s">
        <v>14</v>
      </c>
      <c r="K361" s="13" t="s">
        <v>17</v>
      </c>
      <c r="L361" s="9" t="s">
        <v>11</v>
      </c>
      <c r="M361" s="13" t="s">
        <v>18</v>
      </c>
      <c r="N361" s="9" t="s">
        <v>11</v>
      </c>
      <c r="O361" s="13" t="s">
        <v>19</v>
      </c>
      <c r="P361" s="9" t="s">
        <v>11</v>
      </c>
      <c r="Q361" s="13" t="s">
        <v>20</v>
      </c>
      <c r="R361" s="9" t="s">
        <v>14</v>
      </c>
      <c r="S361" s="36" t="s">
        <v>115</v>
      </c>
      <c r="T361" s="15" t="s">
        <v>51</v>
      </c>
      <c r="U361" s="31" t="s">
        <v>23</v>
      </c>
      <c r="V361" s="17" t="s">
        <v>24</v>
      </c>
    </row>
    <row r="362" ht="15.75" customHeight="1">
      <c r="A362" s="7">
        <v>361.0</v>
      </c>
      <c r="B362" s="18" t="s">
        <v>10</v>
      </c>
      <c r="C362" s="19" t="s">
        <v>11</v>
      </c>
      <c r="D362" s="18" t="s">
        <v>12</v>
      </c>
      <c r="E362" s="20" t="s">
        <v>13</v>
      </c>
      <c r="F362" s="19" t="s">
        <v>14</v>
      </c>
      <c r="G362" s="20" t="s">
        <v>15</v>
      </c>
      <c r="H362" s="19" t="s">
        <v>11</v>
      </c>
      <c r="I362" s="21" t="s">
        <v>16</v>
      </c>
      <c r="J362" s="19" t="s">
        <v>14</v>
      </c>
      <c r="K362" s="22" t="s">
        <v>17</v>
      </c>
      <c r="L362" s="19" t="s">
        <v>11</v>
      </c>
      <c r="M362" s="22" t="s">
        <v>18</v>
      </c>
      <c r="N362" s="19" t="s">
        <v>11</v>
      </c>
      <c r="O362" s="22" t="s">
        <v>19</v>
      </c>
      <c r="P362" s="19" t="s">
        <v>11</v>
      </c>
      <c r="Q362" s="22" t="s">
        <v>20</v>
      </c>
      <c r="R362" s="19" t="s">
        <v>14</v>
      </c>
      <c r="S362" s="37" t="s">
        <v>115</v>
      </c>
      <c r="T362" s="24" t="s">
        <v>51</v>
      </c>
      <c r="U362" s="33" t="s">
        <v>25</v>
      </c>
      <c r="V362" s="17" t="s">
        <v>24</v>
      </c>
    </row>
    <row r="363" ht="15.75" customHeight="1">
      <c r="A363" s="7">
        <v>362.0</v>
      </c>
      <c r="B363" s="8" t="s">
        <v>10</v>
      </c>
      <c r="C363" s="9" t="s">
        <v>11</v>
      </c>
      <c r="D363" s="8" t="s">
        <v>12</v>
      </c>
      <c r="E363" s="10" t="s">
        <v>13</v>
      </c>
      <c r="F363" s="9" t="s">
        <v>14</v>
      </c>
      <c r="G363" s="10" t="s">
        <v>15</v>
      </c>
      <c r="H363" s="9" t="s">
        <v>11</v>
      </c>
      <c r="I363" s="11" t="s">
        <v>16</v>
      </c>
      <c r="J363" s="9" t="s">
        <v>14</v>
      </c>
      <c r="K363" s="13" t="s">
        <v>17</v>
      </c>
      <c r="L363" s="9" t="s">
        <v>11</v>
      </c>
      <c r="M363" s="13" t="s">
        <v>18</v>
      </c>
      <c r="N363" s="9" t="s">
        <v>11</v>
      </c>
      <c r="O363" s="13" t="s">
        <v>19</v>
      </c>
      <c r="P363" s="9" t="s">
        <v>11</v>
      </c>
      <c r="Q363" s="13" t="s">
        <v>20</v>
      </c>
      <c r="R363" s="9" t="s">
        <v>14</v>
      </c>
      <c r="S363" s="36" t="s">
        <v>115</v>
      </c>
      <c r="T363" s="15" t="s">
        <v>52</v>
      </c>
      <c r="U363" s="31" t="s">
        <v>23</v>
      </c>
      <c r="V363" s="17" t="s">
        <v>24</v>
      </c>
    </row>
    <row r="364" ht="15.75" customHeight="1">
      <c r="A364" s="7">
        <v>363.0</v>
      </c>
      <c r="B364" s="18" t="s">
        <v>10</v>
      </c>
      <c r="C364" s="19" t="s">
        <v>11</v>
      </c>
      <c r="D364" s="18" t="s">
        <v>12</v>
      </c>
      <c r="E364" s="20" t="s">
        <v>13</v>
      </c>
      <c r="F364" s="19" t="s">
        <v>14</v>
      </c>
      <c r="G364" s="20" t="s">
        <v>15</v>
      </c>
      <c r="H364" s="19" t="s">
        <v>11</v>
      </c>
      <c r="I364" s="21" t="s">
        <v>16</v>
      </c>
      <c r="J364" s="19" t="s">
        <v>14</v>
      </c>
      <c r="K364" s="22" t="s">
        <v>17</v>
      </c>
      <c r="L364" s="19" t="s">
        <v>11</v>
      </c>
      <c r="M364" s="22" t="s">
        <v>18</v>
      </c>
      <c r="N364" s="19" t="s">
        <v>11</v>
      </c>
      <c r="O364" s="22" t="s">
        <v>19</v>
      </c>
      <c r="P364" s="19" t="s">
        <v>11</v>
      </c>
      <c r="Q364" s="22" t="s">
        <v>20</v>
      </c>
      <c r="R364" s="19" t="s">
        <v>14</v>
      </c>
      <c r="S364" s="37" t="s">
        <v>115</v>
      </c>
      <c r="T364" s="24" t="s">
        <v>52</v>
      </c>
      <c r="U364" s="33" t="s">
        <v>25</v>
      </c>
      <c r="V364" s="17" t="s">
        <v>24</v>
      </c>
    </row>
    <row r="365" ht="15.75" customHeight="1">
      <c r="A365" s="7">
        <v>364.0</v>
      </c>
      <c r="B365" s="8" t="s">
        <v>10</v>
      </c>
      <c r="C365" s="9" t="s">
        <v>11</v>
      </c>
      <c r="D365" s="8" t="s">
        <v>12</v>
      </c>
      <c r="E365" s="10" t="s">
        <v>13</v>
      </c>
      <c r="F365" s="9" t="s">
        <v>14</v>
      </c>
      <c r="G365" s="10" t="s">
        <v>15</v>
      </c>
      <c r="H365" s="9" t="s">
        <v>11</v>
      </c>
      <c r="I365" s="11" t="s">
        <v>16</v>
      </c>
      <c r="J365" s="9" t="s">
        <v>14</v>
      </c>
      <c r="K365" s="13" t="s">
        <v>17</v>
      </c>
      <c r="L365" s="9" t="s">
        <v>11</v>
      </c>
      <c r="M365" s="13" t="s">
        <v>18</v>
      </c>
      <c r="N365" s="9" t="s">
        <v>11</v>
      </c>
      <c r="O365" s="13" t="s">
        <v>19</v>
      </c>
      <c r="P365" s="9" t="s">
        <v>11</v>
      </c>
      <c r="Q365" s="13" t="s">
        <v>20</v>
      </c>
      <c r="R365" s="9" t="s">
        <v>14</v>
      </c>
      <c r="S365" s="36" t="s">
        <v>115</v>
      </c>
      <c r="T365" s="15" t="s">
        <v>53</v>
      </c>
      <c r="U365" s="31" t="s">
        <v>23</v>
      </c>
      <c r="V365" s="17" t="s">
        <v>24</v>
      </c>
    </row>
    <row r="366" ht="15.75" customHeight="1">
      <c r="A366" s="7">
        <v>365.0</v>
      </c>
      <c r="B366" s="18" t="s">
        <v>10</v>
      </c>
      <c r="C366" s="19" t="s">
        <v>11</v>
      </c>
      <c r="D366" s="18" t="s">
        <v>12</v>
      </c>
      <c r="E366" s="20" t="s">
        <v>13</v>
      </c>
      <c r="F366" s="19" t="s">
        <v>14</v>
      </c>
      <c r="G366" s="20" t="s">
        <v>15</v>
      </c>
      <c r="H366" s="19" t="s">
        <v>11</v>
      </c>
      <c r="I366" s="21" t="s">
        <v>16</v>
      </c>
      <c r="J366" s="19" t="s">
        <v>14</v>
      </c>
      <c r="K366" s="22" t="s">
        <v>17</v>
      </c>
      <c r="L366" s="19" t="s">
        <v>11</v>
      </c>
      <c r="M366" s="22" t="s">
        <v>18</v>
      </c>
      <c r="N366" s="19" t="s">
        <v>11</v>
      </c>
      <c r="O366" s="22" t="s">
        <v>19</v>
      </c>
      <c r="P366" s="19" t="s">
        <v>11</v>
      </c>
      <c r="Q366" s="22" t="s">
        <v>20</v>
      </c>
      <c r="R366" s="19" t="s">
        <v>14</v>
      </c>
      <c r="S366" s="37" t="s">
        <v>115</v>
      </c>
      <c r="T366" s="24" t="s">
        <v>53</v>
      </c>
      <c r="U366" s="33" t="s">
        <v>25</v>
      </c>
      <c r="V366" s="17" t="s">
        <v>24</v>
      </c>
    </row>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42" t="s">
        <v>132</v>
      </c>
      <c r="S1" s="44" t="s">
        <v>133</v>
      </c>
      <c r="T1" s="41" t="s">
        <v>134</v>
      </c>
    </row>
    <row r="2" ht="15.75" customHeight="1">
      <c r="A2" s="45" t="str">
        <f t="shared" ref="A2:A88" si="1">RIGHT(K2,3)</f>
        <v>001</v>
      </c>
      <c r="B2" s="46" t="s">
        <v>135</v>
      </c>
      <c r="C2" s="47" t="s">
        <v>136</v>
      </c>
      <c r="D2" s="48">
        <v>19150.0</v>
      </c>
      <c r="E2" s="49" t="s">
        <v>137</v>
      </c>
      <c r="F2" s="50" t="s">
        <v>138</v>
      </c>
      <c r="G2" s="51" t="s">
        <v>139</v>
      </c>
      <c r="H2" s="46" t="s">
        <v>140</v>
      </c>
      <c r="I2" s="46" t="s">
        <v>141</v>
      </c>
      <c r="J2" s="52" t="s">
        <v>142</v>
      </c>
      <c r="K2" s="53" t="str">
        <f>TEXTJOIN("", TRUE, Geral!B2:T2)</f>
        <v>BR-SPAPESP_DASP-PENITPRE-CSDTCARANDIRU_ICO-FOT-DGZ-MT0_3055-005-001</v>
      </c>
      <c r="L2" s="51" t="s">
        <v>143</v>
      </c>
      <c r="M2" s="51" t="s">
        <v>144</v>
      </c>
      <c r="N2" s="51" t="s">
        <v>145</v>
      </c>
      <c r="O2" s="46" t="s">
        <v>146</v>
      </c>
      <c r="P2" s="50" t="s">
        <v>147</v>
      </c>
      <c r="Q2" s="50" t="s">
        <v>148</v>
      </c>
      <c r="R2" s="54" t="str">
        <f t="shared" ref="R2:R88" si="2">"Figura n – ["&amp;B2&amp;"]"&amp;CHAR(10)&amp;"Fonte: Arquivo do Estado de São Paulo, "&amp;TEXT(D2,"yyyy")&amp;"."</f>
        <v>Figura n – [Av. Cruzeiro do Sul (1979)]
Fonte: Arquivo do Estado de São Paulo, 1952.</v>
      </c>
      <c r="S2" s="54" t="str">
        <f t="shared" ref="S2:S88" si="3">"ARQUIVO PÚBLICO DO ESTADO DE SÃO PAULO (Brasil). ["&amp;B2&amp;"]. "&amp;G2&amp;". "&amp;TEXT(D2,"dd")&amp;" "&amp;LOWER(TEXT(D2,"mmm"))&amp;" "&amp;TEXT(D2,"yyyy")&amp;". "&amp;F2&amp;". Disponível em: &lt;link do dataverse&gt;. Acesso em: 28 out. 2025."</f>
        <v>ARQUIVO PÚBLICO DO ESTADO DE SÃO PAULO (Brasil). [Av. Cruzeiro do Sul (1979)]. São Paulo, Brasil. 05 jun. 1952. Fotografia digitalizada; preto e branco; suporte em papel fotográfico. Disponível em: &lt;link do dataverse&gt;. Acesso em: 28 out. 2025.</v>
      </c>
      <c r="T2" s="51" t="s">
        <v>149</v>
      </c>
    </row>
    <row r="3" ht="15.75" customHeight="1">
      <c r="A3" s="45" t="str">
        <f t="shared" si="1"/>
        <v>002</v>
      </c>
      <c r="B3" s="55" t="s">
        <v>150</v>
      </c>
      <c r="C3" s="56" t="s">
        <v>136</v>
      </c>
      <c r="D3" s="57">
        <v>19150.0</v>
      </c>
      <c r="E3" s="58" t="s">
        <v>137</v>
      </c>
      <c r="F3" s="59" t="s">
        <v>138</v>
      </c>
      <c r="G3" s="60" t="s">
        <v>139</v>
      </c>
      <c r="H3" s="60" t="s">
        <v>151</v>
      </c>
      <c r="I3" s="60" t="s">
        <v>141</v>
      </c>
      <c r="J3" s="61" t="s">
        <v>142</v>
      </c>
      <c r="K3" s="62" t="str">
        <f>TEXTJOIN("", TRUE, Geral!B4:T4)</f>
        <v>BR-SPAPESP_DASP-PENITPRE-CSDTCARANDIRU_ICO-FOT-DGZ-MT0_3055-005-002</v>
      </c>
      <c r="L3" s="60" t="str">
        <f t="shared" ref="L3:L88" si="4">$L$2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60" t="s">
        <v>152</v>
      </c>
      <c r="N3" s="60" t="s">
        <v>145</v>
      </c>
      <c r="O3" s="55" t="s">
        <v>153</v>
      </c>
      <c r="P3" s="59" t="s">
        <v>147</v>
      </c>
      <c r="Q3" s="59" t="s">
        <v>148</v>
      </c>
      <c r="R3" s="63" t="str">
        <f t="shared" si="2"/>
        <v>Figura n – [Sentinela em passarela de vigilância — Casa de Detenção (Carandiru) em 1979]
Fonte: Arquivo do Estado de São Paulo, 1952.</v>
      </c>
      <c r="S3" s="63" t="str">
        <f t="shared" si="3"/>
        <v>ARQUIVO PÚBLICO DO ESTADO DE SÃO PAULO (Brasil). [Sentinela em passarela de vigilância — Casa de Detenção (Carandiru) em 1979]. São Paulo, Brasil. 05 jun. 1952. Fotografia digitalizada; preto e branco; suporte em papel fotográfico. Disponível em: &lt;link do dataverse&gt;. Acesso em: 28 out. 2025.</v>
      </c>
      <c r="T3" s="60" t="s">
        <v>154</v>
      </c>
    </row>
    <row r="4" ht="15.75" customHeight="1">
      <c r="A4" s="45" t="str">
        <f t="shared" si="1"/>
        <v>003</v>
      </c>
      <c r="B4" s="55" t="s">
        <v>155</v>
      </c>
      <c r="C4" s="56" t="s">
        <v>136</v>
      </c>
      <c r="D4" s="57">
        <v>19150.0</v>
      </c>
      <c r="E4" s="58" t="s">
        <v>137</v>
      </c>
      <c r="F4" s="59" t="s">
        <v>138</v>
      </c>
      <c r="G4" s="60" t="s">
        <v>139</v>
      </c>
      <c r="H4" s="60" t="s">
        <v>156</v>
      </c>
      <c r="I4" s="60" t="s">
        <v>141</v>
      </c>
      <c r="J4" s="61" t="s">
        <v>142</v>
      </c>
      <c r="K4" s="62" t="str">
        <f>TEXTJOIN("", TRUE, Geral!B6:T6)</f>
        <v>BR-SPAPESP_DASP-PENITPRE-CSDTCARANDIRU_ICO-FOT-DGZ-MT0_3055-005-003</v>
      </c>
      <c r="L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60" t="s">
        <v>157</v>
      </c>
      <c r="N4" s="60" t="s">
        <v>145</v>
      </c>
      <c r="O4" s="55" t="s">
        <v>158</v>
      </c>
      <c r="P4" s="59" t="s">
        <v>147</v>
      </c>
      <c r="Q4" s="59" t="s">
        <v>148</v>
      </c>
      <c r="R4" s="63" t="str">
        <f t="shared" si="2"/>
        <v>Figura n – [Celebração da Páscoa na Casa de Detenção (Carandiru) em 1963]
Fonte: Arquivo do Estado de São Paulo, 1952.</v>
      </c>
      <c r="S4" s="63" t="str">
        <f t="shared" si="3"/>
        <v>ARQUIVO PÚBLICO DO ESTADO DE SÃO PAULO (Brasil). [Celebração da Páscoa na Casa de Detenção (Carandiru) em 1963]. São Paulo, Brasil. 05 jun. 1952. Fotografia digitalizada; preto e branco; suporte em papel fotográfico. Disponível em: &lt;link do dataverse&gt;. Acesso em: 28 out. 2025.</v>
      </c>
      <c r="T4" s="60" t="s">
        <v>159</v>
      </c>
    </row>
    <row r="5" ht="15.75" customHeight="1">
      <c r="A5" s="45" t="str">
        <f t="shared" si="1"/>
        <v>004</v>
      </c>
      <c r="B5" s="55" t="s">
        <v>160</v>
      </c>
      <c r="C5" s="56" t="s">
        <v>136</v>
      </c>
      <c r="D5" s="57">
        <v>19312.0</v>
      </c>
      <c r="E5" s="58" t="s">
        <v>137</v>
      </c>
      <c r="F5" s="59" t="s">
        <v>138</v>
      </c>
      <c r="G5" s="60" t="s">
        <v>139</v>
      </c>
      <c r="H5" s="60" t="s">
        <v>161</v>
      </c>
      <c r="I5" s="60" t="s">
        <v>141</v>
      </c>
      <c r="J5" s="61" t="s">
        <v>142</v>
      </c>
      <c r="K5" s="62" t="str">
        <f>TEXTJOIN("", TRUE, Geral!B8:T8)</f>
        <v>BR-SPAPESP_DASP-PENITPRE-CSDTCARANDIRU_ICO-FOT-DGZ-MT0_3055-005-004</v>
      </c>
      <c r="L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60" t="s">
        <v>162</v>
      </c>
      <c r="N5" s="60" t="s">
        <v>145</v>
      </c>
      <c r="O5" s="55" t="s">
        <v>163</v>
      </c>
      <c r="P5" s="59" t="s">
        <v>147</v>
      </c>
      <c r="Q5" s="59" t="s">
        <v>148</v>
      </c>
      <c r="R5" s="63" t="str">
        <f t="shared" si="2"/>
        <v>Figura n – [Mulheres em atividade de artesanato em cômodo com decoração religiosa na Casa de Detenção (Carandiru) em 1963]
Fonte: Arquivo do Estado de São Paulo, 1952.</v>
      </c>
      <c r="S5" s="63" t="str">
        <f t="shared" si="3"/>
        <v>ARQUIVO PÚBLICO DO ESTADO DE SÃO PAULO (Brasil). [Mulheres em atividade de artesanato em cômodo com decoração religiosa na Casa de Detenção (Carandiru) em 1963]. São Paulo, Brasil. 14 nov. 1952. Fotografia digitalizada; preto e branco; suporte em papel fotográfico. Disponível em: &lt;link do dataverse&gt;. Acesso em: 28 out. 2025.</v>
      </c>
      <c r="T5" s="60" t="s">
        <v>164</v>
      </c>
    </row>
    <row r="6" ht="15.75" customHeight="1">
      <c r="A6" s="45" t="str">
        <f t="shared" si="1"/>
        <v>006</v>
      </c>
      <c r="B6" s="55" t="s">
        <v>165</v>
      </c>
      <c r="C6" s="56" t="s">
        <v>136</v>
      </c>
      <c r="D6" s="57">
        <v>20086.0</v>
      </c>
      <c r="E6" s="58" t="s">
        <v>137</v>
      </c>
      <c r="F6" s="59" t="s">
        <v>138</v>
      </c>
      <c r="G6" s="60" t="s">
        <v>139</v>
      </c>
      <c r="H6" s="60" t="s">
        <v>166</v>
      </c>
      <c r="I6" s="60" t="s">
        <v>141</v>
      </c>
      <c r="J6" s="61" t="s">
        <v>142</v>
      </c>
      <c r="K6" s="62" t="str">
        <f>TEXTJOIN("", TRUE, Geral!B10:T10)</f>
        <v>BR-SPAPESP_DASP-PENITPRE-CSDTCARANDIRU_ICO-FOT-DGZ-MT0_3055-005-006</v>
      </c>
      <c r="L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60" t="s">
        <v>167</v>
      </c>
      <c r="N6" s="60" t="s">
        <v>145</v>
      </c>
      <c r="O6" s="55" t="s">
        <v>168</v>
      </c>
      <c r="P6" s="59" t="s">
        <v>147</v>
      </c>
      <c r="Q6" s="59" t="s">
        <v>148</v>
      </c>
      <c r="R6" s="63" t="str">
        <f t="shared" si="2"/>
        <v>Figura n – [Autoridades de gravata e de farda cruzam portões da Casa de Detenção “por ocasião de sua inauguração”, conforme legenda (12.11.1956)]
Fonte: Arquivo do Estado de São Paulo, 1954.</v>
      </c>
      <c r="S6" s="63" t="str">
        <f t="shared" si="3"/>
        <v>ARQUIVO PÚBLICO DO ESTADO DE SÃO PAULO (Brasil). [Autoridades de gravata e de farda cruzam portões da Casa de Detenção “por ocasião de sua inauguração”, conforme legenda (12.11.1956)]. São Paulo, Brasil. 28 dez. 1954. Fotografia digitalizada; preto e branco; suporte em papel fotográfico. Disponível em: &lt;link do dataverse&gt;. Acesso em: 28 out. 2025.</v>
      </c>
      <c r="T6" s="60" t="s">
        <v>169</v>
      </c>
    </row>
    <row r="7" ht="15.75" customHeight="1">
      <c r="A7" s="45" t="str">
        <f t="shared" si="1"/>
        <v>007</v>
      </c>
      <c r="B7" s="55" t="s">
        <v>170</v>
      </c>
      <c r="C7" s="56" t="s">
        <v>136</v>
      </c>
      <c r="D7" s="57">
        <v>20086.0</v>
      </c>
      <c r="E7" s="58" t="s">
        <v>137</v>
      </c>
      <c r="F7" s="59" t="s">
        <v>138</v>
      </c>
      <c r="G7" s="60" t="s">
        <v>139</v>
      </c>
      <c r="H7" s="60" t="s">
        <v>171</v>
      </c>
      <c r="I7" s="60" t="s">
        <v>141</v>
      </c>
      <c r="J7" s="61" t="s">
        <v>142</v>
      </c>
      <c r="K7" s="62" t="str">
        <f>TEXTJOIN("", TRUE, Geral!B12:T12)</f>
        <v>BR-SPAPESP_DASP-PENITPRE-CSDTCARANDIRU_ICO-FOT-DGZ-MT0_3055-005-007</v>
      </c>
      <c r="L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60" t="s">
        <v>172</v>
      </c>
      <c r="N7" s="60" t="s">
        <v>145</v>
      </c>
      <c r="O7" s="55" t="s">
        <v>173</v>
      </c>
      <c r="P7" s="59" t="s">
        <v>147</v>
      </c>
      <c r="Q7" s="59" t="s">
        <v>148</v>
      </c>
      <c r="R7" s="63" t="str">
        <f t="shared" si="2"/>
        <v>Figura n – [Repórter examinando o colchão cujos panos foram utilizados para a produção de uma corda para a fuga de detentos da Casa de Detenção (Carandiru) em 1956]
Fonte: Arquivo do Estado de São Paulo, 1954.</v>
      </c>
      <c r="S7" s="63" t="str">
        <f t="shared" si="3"/>
        <v>ARQUIVO PÚBLICO DO ESTADO DE SÃO PAULO (Brasil). [Repórter examinando o colchão cujos panos foram utilizados para a produção de uma corda para a fuga de detentos da Casa de Detenção (Carandiru) em 1956]. São Paulo, Brasil. 28 dez. 1954. Fotografia digitalizada; preto e branco; suporte em papel fotográfico. Disponível em: &lt;link do dataverse&gt;. Acesso em: 28 out. 2025.</v>
      </c>
      <c r="T7" s="60" t="s">
        <v>174</v>
      </c>
    </row>
    <row r="8" ht="15.75" customHeight="1">
      <c r="A8" s="45" t="str">
        <f t="shared" si="1"/>
        <v>008</v>
      </c>
      <c r="B8" s="55" t="s">
        <v>175</v>
      </c>
      <c r="C8" s="56" t="s">
        <v>136</v>
      </c>
      <c r="D8" s="57">
        <v>20116.0</v>
      </c>
      <c r="E8" s="58" t="s">
        <v>137</v>
      </c>
      <c r="F8" s="59" t="s">
        <v>138</v>
      </c>
      <c r="G8" s="60" t="s">
        <v>139</v>
      </c>
      <c r="H8" s="60" t="s">
        <v>176</v>
      </c>
      <c r="I8" s="60" t="s">
        <v>141</v>
      </c>
      <c r="J8" s="61" t="s">
        <v>142</v>
      </c>
      <c r="K8" s="62" t="str">
        <f>TEXTJOIN("", TRUE, Geral!B14:T14)</f>
        <v>BR-SPAPESP_DASP-PENITPRE-CSDTCARANDIRU_ICO-FOT-DGZ-MT0_3055-005-008</v>
      </c>
      <c r="L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60" t="s">
        <v>162</v>
      </c>
      <c r="N8" s="60" t="s">
        <v>145</v>
      </c>
      <c r="O8" s="55" t="s">
        <v>163</v>
      </c>
      <c r="P8" s="59" t="s">
        <v>147</v>
      </c>
      <c r="Q8" s="59" t="s">
        <v>148</v>
      </c>
      <c r="R8" s="63" t="str">
        <f t="shared" si="2"/>
        <v>Figura n – [Mulheres em atividade de artesanato em ambiente com elementos religiosos na Casa de Detenção (Carandiru), 1963]
Fonte: Arquivo do Estado de São Paulo, 1955.</v>
      </c>
      <c r="S8" s="63" t="str">
        <f t="shared" si="3"/>
        <v>ARQUIVO PÚBLICO DO ESTADO DE SÃO PAULO (Brasil). [Mulheres em atividade de artesanato em ambiente com elementos religiosos na Casa de Detenção (Carandiru), 1963]. São Paulo, Brasil. 27 jan. 1955. Fotografia digitalizada; preto e branco; suporte em papel fotográfico. Disponível em: &lt;link do dataverse&gt;. Acesso em: 28 out. 2025.</v>
      </c>
      <c r="T8" s="60" t="s">
        <v>177</v>
      </c>
    </row>
    <row r="9" ht="15.75" customHeight="1">
      <c r="A9" s="45" t="str">
        <f t="shared" si="1"/>
        <v>009</v>
      </c>
      <c r="B9" s="55" t="s">
        <v>178</v>
      </c>
      <c r="C9" s="56" t="s">
        <v>136</v>
      </c>
      <c r="D9" s="57">
        <v>20641.0</v>
      </c>
      <c r="E9" s="58" t="s">
        <v>137</v>
      </c>
      <c r="F9" s="59" t="s">
        <v>138</v>
      </c>
      <c r="G9" s="60" t="s">
        <v>139</v>
      </c>
      <c r="H9" s="60" t="s">
        <v>179</v>
      </c>
      <c r="I9" s="60" t="s">
        <v>141</v>
      </c>
      <c r="J9" s="61" t="s">
        <v>142</v>
      </c>
      <c r="K9" s="62" t="str">
        <f>TEXTJOIN("", TRUE, Geral!B16:T16)</f>
        <v>BR-SPAPESP_DASP-PENITPRE-CSDTCARANDIRU_ICO-FOT-DGZ-MT0_3055-005-009</v>
      </c>
      <c r="L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60" t="s">
        <v>180</v>
      </c>
      <c r="N9" s="60" t="s">
        <v>145</v>
      </c>
      <c r="O9" s="55" t="s">
        <v>181</v>
      </c>
      <c r="P9" s="59" t="s">
        <v>147</v>
      </c>
      <c r="Q9" s="59" t="s">
        <v>148</v>
      </c>
      <c r="R9" s="63" t="str">
        <f t="shared" si="2"/>
        <v>Figura n – [Pessoa com a mão estendida através de abertura em porta metálica prisional da Casa de Detenção (Carandiru) em 1979]
Fonte: Arquivo do Estado de São Paulo, 1956.</v>
      </c>
      <c r="S9" s="63" t="str">
        <f t="shared" si="3"/>
        <v>ARQUIVO PÚBLICO DO ESTADO DE SÃO PAULO (Brasil). [Pessoa com a mão estendida através de abertura em porta metálica prisional da Casa de Detenção (Carandiru) em 1979]. São Paulo, Brasil. 05 jul. 1956. Fotografia digitalizada; preto e branco; suporte em papel fotográfico. Disponível em: &lt;link do dataverse&gt;. Acesso em: 28 out. 2025.</v>
      </c>
      <c r="T9" s="60" t="s">
        <v>182</v>
      </c>
    </row>
    <row r="10" ht="15.75" customHeight="1">
      <c r="A10" s="45" t="str">
        <f t="shared" si="1"/>
        <v>010</v>
      </c>
      <c r="B10" s="55" t="s">
        <v>183</v>
      </c>
      <c r="C10" s="56" t="s">
        <v>136</v>
      </c>
      <c r="D10" s="57">
        <v>20642.0</v>
      </c>
      <c r="E10" s="58" t="s">
        <v>137</v>
      </c>
      <c r="F10" s="59" t="s">
        <v>138</v>
      </c>
      <c r="G10" s="60" t="s">
        <v>139</v>
      </c>
      <c r="H10" s="60" t="s">
        <v>184</v>
      </c>
      <c r="I10" s="60" t="s">
        <v>141</v>
      </c>
      <c r="J10" s="61" t="s">
        <v>142</v>
      </c>
      <c r="K10" s="62" t="str">
        <f>TEXTJOIN("", TRUE, Geral!B18:T18)</f>
        <v>BR-SPAPESP_DASP-PENITPRE-CSDTCARANDIRU_ICO-FOT-DGZ-MT0_3055-005-010</v>
      </c>
      <c r="L1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60" t="s">
        <v>185</v>
      </c>
      <c r="N10" s="60" t="s">
        <v>145</v>
      </c>
      <c r="O10" s="55" t="s">
        <v>186</v>
      </c>
      <c r="P10" s="59" t="s">
        <v>147</v>
      </c>
      <c r="Q10" s="59" t="s">
        <v>148</v>
      </c>
      <c r="R10" s="63" t="str">
        <f t="shared" si="2"/>
        <v>Figura n – [Detentos com transtornos psiquiátricos em celas isoladas da Casa de Detenção da Avenida Tiradentes (1955)]
Fonte: Arquivo do Estado de São Paulo, 1956.</v>
      </c>
      <c r="S10" s="63" t="str">
        <f t="shared" si="3"/>
        <v>ARQUIVO PÚBLICO DO ESTADO DE SÃO PAULO (Brasil). [Detentos com transtornos psiquiátricos em celas isoladas da Casa de Detenção da Avenida Tiradentes (1955)]. São Paulo, Brasil. 06 jul. 1956. Fotografia digitalizada; preto e branco; suporte em papel fotográfico. Disponível em: &lt;link do dataverse&gt;. Acesso em: 28 out. 2025.</v>
      </c>
      <c r="T10" s="60" t="s">
        <v>187</v>
      </c>
    </row>
    <row r="11" ht="15.75" customHeight="1">
      <c r="A11" s="45" t="str">
        <f t="shared" si="1"/>
        <v>011</v>
      </c>
      <c r="B11" s="55" t="s">
        <v>188</v>
      </c>
      <c r="C11" s="56" t="s">
        <v>136</v>
      </c>
      <c r="D11" s="57">
        <v>20710.0</v>
      </c>
      <c r="E11" s="58" t="s">
        <v>137</v>
      </c>
      <c r="F11" s="59" t="s">
        <v>138</v>
      </c>
      <c r="G11" s="60" t="s">
        <v>139</v>
      </c>
      <c r="H11" s="60" t="s">
        <v>189</v>
      </c>
      <c r="I11" s="60" t="s">
        <v>141</v>
      </c>
      <c r="J11" s="61" t="s">
        <v>142</v>
      </c>
      <c r="K11" s="62" t="str">
        <f>TEXTJOIN("", TRUE, Geral!B20:T20)</f>
        <v>BR-SPAPESP_DASP-PENITPRE-CSDTCARANDIRU_ICO-FOT-DGZ-MT0_3055-005-011</v>
      </c>
      <c r="L1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60" t="s">
        <v>190</v>
      </c>
      <c r="N11" s="60" t="s">
        <v>145</v>
      </c>
      <c r="O11" s="55" t="s">
        <v>191</v>
      </c>
      <c r="P11" s="59" t="s">
        <v>147</v>
      </c>
      <c r="Q11" s="59" t="s">
        <v>148</v>
      </c>
      <c r="R11" s="63" t="str">
        <f t="shared" si="2"/>
        <v>Figura n – [Corredor de celas e circulação de pessoas no interior da Casa de Detenção (1978)]
Fonte: Arquivo do Estado de São Paulo, 1956.</v>
      </c>
      <c r="S11" s="63" t="str">
        <f t="shared" si="3"/>
        <v>ARQUIVO PÚBLICO DO ESTADO DE SÃO PAULO (Brasil). [Corredor de celas e circulação de pessoas no interior da Casa de Detenção (1978)]. São Paulo, Brasil. 12 set. 1956. Fotografia digitalizada; preto e branco; suporte em papel fotográfico. Disponível em: &lt;link do dataverse&gt;. Acesso em: 28 out. 2025.</v>
      </c>
      <c r="T11" s="55" t="s">
        <v>192</v>
      </c>
    </row>
    <row r="12" ht="15.75" customHeight="1">
      <c r="A12" s="45" t="str">
        <f t="shared" si="1"/>
        <v>012</v>
      </c>
      <c r="B12" s="55" t="s">
        <v>193</v>
      </c>
      <c r="C12" s="56" t="s">
        <v>136</v>
      </c>
      <c r="D12" s="57">
        <v>20710.0</v>
      </c>
      <c r="E12" s="58" t="s">
        <v>137</v>
      </c>
      <c r="F12" s="59" t="s">
        <v>138</v>
      </c>
      <c r="G12" s="60" t="s">
        <v>139</v>
      </c>
      <c r="H12" s="60" t="s">
        <v>194</v>
      </c>
      <c r="I12" s="60" t="s">
        <v>141</v>
      </c>
      <c r="J12" s="61" t="s">
        <v>142</v>
      </c>
      <c r="K12" s="62" t="str">
        <f>TEXTJOIN("", TRUE, Geral!B22:T22)</f>
        <v>BR-SPAPESP_DASP-PENITPRE-CSDTCARANDIRU_ICO-FOT-DGZ-MT0_3055-005-012</v>
      </c>
      <c r="L1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60" t="s">
        <v>195</v>
      </c>
      <c r="N12" s="60" t="s">
        <v>145</v>
      </c>
      <c r="O12" s="55" t="s">
        <v>196</v>
      </c>
      <c r="P12" s="59" t="s">
        <v>147</v>
      </c>
      <c r="Q12" s="59" t="s">
        <v>148</v>
      </c>
      <c r="R12" s="63" t="str">
        <f t="shared" si="2"/>
        <v>Figura n – [Visita de familiares após motim na Casa de Detenção do Carandiru (1964)]
Fonte: Arquivo do Estado de São Paulo, 1956.</v>
      </c>
      <c r="S12" s="63" t="str">
        <f t="shared" si="3"/>
        <v>ARQUIVO PÚBLICO DO ESTADO DE SÃO PAULO (Brasil). [Visita de familiares após motim na Casa de Detenção do Carandiru (1964)]. São Paulo, Brasil. 12 set. 1956. Fotografia digitalizada; preto e branco; suporte em papel fotográfico. Disponível em: &lt;link do dataverse&gt;. Acesso em: 28 out. 2025.</v>
      </c>
      <c r="T12" s="60" t="s">
        <v>197</v>
      </c>
    </row>
    <row r="13" ht="15.75" customHeight="1">
      <c r="A13" s="45" t="str">
        <f t="shared" si="1"/>
        <v>014</v>
      </c>
      <c r="B13" s="55" t="s">
        <v>198</v>
      </c>
      <c r="C13" s="56" t="s">
        <v>136</v>
      </c>
      <c r="D13" s="57">
        <v>20710.0</v>
      </c>
      <c r="E13" s="58" t="s">
        <v>137</v>
      </c>
      <c r="F13" s="59" t="s">
        <v>138</v>
      </c>
      <c r="G13" s="60" t="s">
        <v>139</v>
      </c>
      <c r="H13" s="60" t="s">
        <v>199</v>
      </c>
      <c r="I13" s="60" t="s">
        <v>141</v>
      </c>
      <c r="J13" s="61" t="s">
        <v>142</v>
      </c>
      <c r="K13" s="62" t="str">
        <f>TEXTJOIN("", TRUE, Geral!B24:T24)</f>
        <v>BR-SPAPESP_DASP-PENITPRE-CSDTCARANDIRU_ICO-FOT-DGZ-MT0_3055-005-014</v>
      </c>
      <c r="L1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60" t="s">
        <v>200</v>
      </c>
      <c r="N13" s="60" t="s">
        <v>145</v>
      </c>
      <c r="O13" s="55" t="s">
        <v>201</v>
      </c>
      <c r="P13" s="59" t="s">
        <v>147</v>
      </c>
      <c r="Q13" s="59" t="s">
        <v>148</v>
      </c>
      <c r="R13" s="63" t="str">
        <f t="shared" si="2"/>
        <v>Figura n – [Cela individual da Casa de Detenção do Carandiru]
Fonte: Arquivo do Estado de São Paulo, 1956.</v>
      </c>
      <c r="S13" s="63" t="str">
        <f t="shared" si="3"/>
        <v>ARQUIVO PÚBLICO DO ESTADO DE SÃO PAULO (Brasil). [Cela individual da Casa de Detenção do Carandiru]. São Paulo, Brasil. 12 set. 1956. Fotografia digitalizada; preto e branco; suporte em papel fotográfico. Disponível em: &lt;link do dataverse&gt;. Acesso em: 28 out. 2025.</v>
      </c>
      <c r="T13" s="60" t="s">
        <v>202</v>
      </c>
    </row>
    <row r="14" ht="15.75" customHeight="1">
      <c r="A14" s="45" t="str">
        <f t="shared" si="1"/>
        <v>013</v>
      </c>
      <c r="B14" s="55" t="s">
        <v>203</v>
      </c>
      <c r="C14" s="56" t="s">
        <v>136</v>
      </c>
      <c r="D14" s="57">
        <v>20710.0</v>
      </c>
      <c r="E14" s="58" t="s">
        <v>137</v>
      </c>
      <c r="F14" s="59" t="s">
        <v>138</v>
      </c>
      <c r="G14" s="60" t="s">
        <v>139</v>
      </c>
      <c r="H14" s="60" t="s">
        <v>204</v>
      </c>
      <c r="I14" s="60" t="s">
        <v>141</v>
      </c>
      <c r="J14" s="61" t="s">
        <v>142</v>
      </c>
      <c r="K14" s="62" t="str">
        <f>TEXTJOIN("", TRUE, Geral!B26:T26)</f>
        <v>BR-SPAPESP_DASP-PENITPRE-CSDTCARANDIRU_ICO-FOT-DGZ-MT0_3055-005-013</v>
      </c>
      <c r="L1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60" t="s">
        <v>205</v>
      </c>
      <c r="N14" s="60" t="s">
        <v>145</v>
      </c>
      <c r="O14" s="55" t="s">
        <v>206</v>
      </c>
      <c r="P14" s="59" t="s">
        <v>147</v>
      </c>
      <c r="Q14" s="59" t="s">
        <v>148</v>
      </c>
      <c r="R14" s="63" t="str">
        <f t="shared" si="2"/>
        <v>Figura n – [Trabalho de pessoas em situação de privação de liberdade na construção da nova Casa de Detenção do Carandiru (1952)]
Fonte: Arquivo do Estado de São Paulo, 1956.</v>
      </c>
      <c r="S14" s="63" t="str">
        <f t="shared" si="3"/>
        <v>ARQUIVO PÚBLICO DO ESTADO DE SÃO PAULO (Brasil). [Trabalho de pessoas em situação de privação de liberdade na construção da nova Casa de Detenção do Carandiru (1952)]. São Paulo, Brasil. 12 set. 1956. Fotografia digitalizada; preto e branco; suporte em papel fotográfico. Disponível em: &lt;link do dataverse&gt;. Acesso em: 28 out. 2025.</v>
      </c>
      <c r="T14" s="60" t="s">
        <v>207</v>
      </c>
    </row>
    <row r="15" ht="15.75" customHeight="1">
      <c r="A15" s="45" t="str">
        <f t="shared" si="1"/>
        <v>015</v>
      </c>
      <c r="B15" s="55" t="s">
        <v>208</v>
      </c>
      <c r="C15" s="56" t="s">
        <v>136</v>
      </c>
      <c r="D15" s="57">
        <v>20710.0</v>
      </c>
      <c r="E15" s="58" t="s">
        <v>137</v>
      </c>
      <c r="F15" s="59" t="s">
        <v>138</v>
      </c>
      <c r="G15" s="60" t="s">
        <v>139</v>
      </c>
      <c r="H15" s="60" t="s">
        <v>209</v>
      </c>
      <c r="I15" s="60" t="s">
        <v>141</v>
      </c>
      <c r="J15" s="61" t="s">
        <v>142</v>
      </c>
      <c r="K15" s="62" t="str">
        <f>TEXTJOIN("", TRUE, Geral!B28:T28)</f>
        <v>BR-SPAPESP_DASP-PENITPRE-CSDTCARANDIRU_ICO-FOT-DGZ-MT0_3055-005-015</v>
      </c>
      <c r="L15" s="64"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64" t="s">
        <v>210</v>
      </c>
      <c r="N15" s="60" t="s">
        <v>145</v>
      </c>
      <c r="O15" s="55" t="s">
        <v>211</v>
      </c>
      <c r="P15" s="59" t="s">
        <v>147</v>
      </c>
      <c r="Q15" s="59" t="s">
        <v>148</v>
      </c>
      <c r="R15" s="63" t="str">
        <f t="shared" si="2"/>
        <v>Figura n – [Mulheres em espera após motim no Carandiru (1964)]
Fonte: Arquivo do Estado de São Paulo, 1956.</v>
      </c>
      <c r="S15" s="63" t="str">
        <f t="shared" si="3"/>
        <v>ARQUIVO PÚBLICO DO ESTADO DE SÃO PAULO (Brasil). [Mulheres em espera após motim no Carandiru (1964)]. São Paulo, Brasil. 12 set. 1956. Fotografia digitalizada; preto e branco; suporte em papel fotográfico. Disponível em: &lt;link do dataverse&gt;. Acesso em: 28 out. 2025.</v>
      </c>
      <c r="T15" s="60" t="s">
        <v>212</v>
      </c>
    </row>
    <row r="16" ht="15.75" customHeight="1">
      <c r="A16" s="45" t="str">
        <f t="shared" si="1"/>
        <v>016</v>
      </c>
      <c r="B16" s="55" t="s">
        <v>213</v>
      </c>
      <c r="C16" s="56" t="s">
        <v>136</v>
      </c>
      <c r="D16" s="57">
        <v>20710.0</v>
      </c>
      <c r="E16" s="58" t="s">
        <v>137</v>
      </c>
      <c r="F16" s="59" t="s">
        <v>214</v>
      </c>
      <c r="G16" s="60" t="s">
        <v>139</v>
      </c>
      <c r="H16" s="60" t="s">
        <v>215</v>
      </c>
      <c r="I16" s="60" t="s">
        <v>141</v>
      </c>
      <c r="J16" s="61" t="s">
        <v>142</v>
      </c>
      <c r="K16" s="62" t="str">
        <f>TEXTJOIN("", TRUE, Geral!B30:T30)</f>
        <v>BR-SPAPESP_DASP-PENITPRE-CSDTCARANDIRU_ICO-FOT-DGZ-MT0_3055-005-016</v>
      </c>
      <c r="L1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60" t="s">
        <v>216</v>
      </c>
      <c r="N16" s="60" t="s">
        <v>145</v>
      </c>
      <c r="O16" s="55" t="s">
        <v>217</v>
      </c>
      <c r="P16" s="59" t="s">
        <v>147</v>
      </c>
      <c r="Q16" s="59" t="s">
        <v>218</v>
      </c>
      <c r="R16" s="63" t="str">
        <f t="shared" si="2"/>
        <v>Figura n – [Familiares (mulheres e criança) em espera tensa no dia do motim do Carandiru (1964)]
Fonte: Arquivo do Estado de São Paulo, 1956.</v>
      </c>
      <c r="S16" s="63" t="str">
        <f t="shared" si="3"/>
        <v>ARQUIVO PÚBLICO DO ESTADO DE SÃO PAULO (Brasil). [Familiares (mulheres e criança) em espera tensa no dia do motim do Carandiru (1964)]. São Paulo, Brasil. 12 set. 1956. Fotografia digitalizada; sépia; suporte em papel fotográfico. Disponível em: &lt;link do dataverse&gt;. Acesso em: 28 out. 2025.</v>
      </c>
      <c r="T16" s="60" t="s">
        <v>212</v>
      </c>
    </row>
    <row r="17" ht="15.75" customHeight="1">
      <c r="A17" s="45" t="str">
        <f t="shared" si="1"/>
        <v>017</v>
      </c>
      <c r="B17" s="55" t="s">
        <v>219</v>
      </c>
      <c r="C17" s="56" t="s">
        <v>136</v>
      </c>
      <c r="D17" s="57">
        <v>20710.0</v>
      </c>
      <c r="E17" s="58" t="s">
        <v>137</v>
      </c>
      <c r="F17" s="59" t="s">
        <v>138</v>
      </c>
      <c r="G17" s="60" t="s">
        <v>139</v>
      </c>
      <c r="H17" s="60" t="s">
        <v>220</v>
      </c>
      <c r="I17" s="60" t="s">
        <v>141</v>
      </c>
      <c r="J17" s="61" t="s">
        <v>142</v>
      </c>
      <c r="K17" s="62" t="str">
        <f>TEXTJOIN("", TRUE, Geral!B32:T32)</f>
        <v>BR-SPAPESP_DASP-PENITPRE-CSDTCARANDIRU_ICO-FOT-DGZ-MT0_3055-005-017</v>
      </c>
      <c r="L1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60" t="s">
        <v>221</v>
      </c>
      <c r="N17" s="60" t="s">
        <v>145</v>
      </c>
      <c r="O17" s="55" t="s">
        <v>222</v>
      </c>
      <c r="P17" s="59" t="s">
        <v>147</v>
      </c>
      <c r="Q17" s="59" t="s">
        <v>148</v>
      </c>
      <c r="R17" s="63" t="str">
        <f t="shared" si="2"/>
        <v>Figura n – [Soldados da Força Pública em formação durante a ocupação militar do Carandiru (1964)]
Fonte: Arquivo do Estado de São Paulo, 1956.</v>
      </c>
      <c r="S17" s="63" t="str">
        <f t="shared" si="3"/>
        <v>ARQUIVO PÚBLICO DO ESTADO DE SÃO PAULO (Brasil). [Soldados da Força Pública em formação durante a ocupação militar do Carandiru (1964)]. São Paulo, Brasil. 12 set. 1956. Fotografia digitalizada; preto e branco; suporte em papel fotográfico. Disponível em: &lt;link do dataverse&gt;. Acesso em: 28 out. 2025.</v>
      </c>
      <c r="T17" s="60" t="s">
        <v>223</v>
      </c>
    </row>
    <row r="18" ht="15.75" customHeight="1">
      <c r="A18" s="45" t="str">
        <f t="shared" si="1"/>
        <v>018</v>
      </c>
      <c r="B18" s="55" t="s">
        <v>224</v>
      </c>
      <c r="C18" s="56" t="s">
        <v>136</v>
      </c>
      <c r="D18" s="57">
        <v>20710.0</v>
      </c>
      <c r="E18" s="58" t="s">
        <v>137</v>
      </c>
      <c r="F18" s="59" t="s">
        <v>138</v>
      </c>
      <c r="G18" s="60" t="s">
        <v>139</v>
      </c>
      <c r="H18" s="60" t="s">
        <v>225</v>
      </c>
      <c r="I18" s="60" t="s">
        <v>141</v>
      </c>
      <c r="J18" s="61" t="s">
        <v>142</v>
      </c>
      <c r="K18" s="62" t="str">
        <f>TEXTJOIN("", TRUE, Geral!B34:T34)</f>
        <v>BR-SPAPESP_DASP-PENITPRE-CSDTCARANDIRU_ICO-FOT-DGZ-MT0_3055-005-018</v>
      </c>
      <c r="L1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60" t="s">
        <v>226</v>
      </c>
      <c r="N18" s="60" t="s">
        <v>145</v>
      </c>
      <c r="O18" s="55" t="s">
        <v>227</v>
      </c>
      <c r="P18" s="59" t="s">
        <v>147</v>
      </c>
      <c r="Q18" s="59" t="s">
        <v>148</v>
      </c>
      <c r="R18" s="63" t="str">
        <f t="shared" si="2"/>
        <v>Figura n – [Procedimento de ingresso ou movimentação na Casa de Detenção no dia da chegada de novos presos (1979)]
Fonte: Arquivo do Estado de São Paulo, 1956.</v>
      </c>
      <c r="S18" s="63" t="str">
        <f t="shared" si="3"/>
        <v>ARQUIVO PÚBLICO DO ESTADO DE SÃO PAULO (Brasil). [Procedimento de ingresso ou movimentação na Casa de Detenção no dia da chegada de novos presos (1979)]. São Paulo, Brasil. 12 set. 1956. Fotografia digitalizada; preto e branco; suporte em papel fotográfico. Disponível em: &lt;link do dataverse&gt;. Acesso em: 28 out. 2025.</v>
      </c>
      <c r="T18" s="60" t="s">
        <v>228</v>
      </c>
    </row>
    <row r="19" ht="15.75" customHeight="1">
      <c r="A19" s="45" t="str">
        <f t="shared" si="1"/>
        <v>019</v>
      </c>
      <c r="B19" s="55" t="s">
        <v>229</v>
      </c>
      <c r="C19" s="56" t="s">
        <v>136</v>
      </c>
      <c r="D19" s="57">
        <v>20710.0</v>
      </c>
      <c r="E19" s="58" t="s">
        <v>137</v>
      </c>
      <c r="F19" s="59" t="s">
        <v>138</v>
      </c>
      <c r="G19" s="60" t="s">
        <v>139</v>
      </c>
      <c r="H19" s="60" t="s">
        <v>230</v>
      </c>
      <c r="I19" s="60" t="s">
        <v>141</v>
      </c>
      <c r="J19" s="61" t="s">
        <v>142</v>
      </c>
      <c r="K19" s="62" t="str">
        <f>TEXTJOIN("", TRUE, Geral!B36:T36)</f>
        <v>BR-SPAPESP_DASP-PENITPRE-CSDTCARANDIRU_ICO-FOT-DGZ-MT0_3055-005-019</v>
      </c>
      <c r="L1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60" t="s">
        <v>231</v>
      </c>
      <c r="N19" s="60" t="s">
        <v>145</v>
      </c>
      <c r="O19" s="55" t="s">
        <v>232</v>
      </c>
      <c r="P19" s="59" t="s">
        <v>147</v>
      </c>
      <c r="Q19" s="59" t="s">
        <v>148</v>
      </c>
      <c r="R19" s="63" t="str">
        <f t="shared" si="2"/>
        <v>Figura n – [Preleição do Diretor Coronel Fernão Guedes aos novos detentos da Casa de Detenção (1979)]
Fonte: Arquivo do Estado de São Paulo, 1956.</v>
      </c>
      <c r="S19" s="63" t="str">
        <f t="shared" si="3"/>
        <v>ARQUIVO PÚBLICO DO ESTADO DE SÃO PAULO (Brasil). [Preleição do Diretor Coronel Fernão Guedes aos novos detentos da Casa de Detenção (1979)]. São Paulo, Brasil. 12 set. 1956. Fotografia digitalizada; preto e branco; suporte em papel fotográfico. Disponível em: &lt;link do dataverse&gt;. Acesso em: 28 out. 2025.</v>
      </c>
      <c r="T19" s="60" t="s">
        <v>233</v>
      </c>
    </row>
    <row r="20" ht="15.75" customHeight="1">
      <c r="A20" s="45" t="str">
        <f t="shared" si="1"/>
        <v>020</v>
      </c>
      <c r="B20" s="55" t="s">
        <v>234</v>
      </c>
      <c r="C20" s="56" t="s">
        <v>136</v>
      </c>
      <c r="D20" s="57">
        <v>20710.0</v>
      </c>
      <c r="E20" s="58" t="s">
        <v>137</v>
      </c>
      <c r="F20" s="59" t="s">
        <v>138</v>
      </c>
      <c r="G20" s="60" t="s">
        <v>139</v>
      </c>
      <c r="H20" s="60" t="s">
        <v>235</v>
      </c>
      <c r="I20" s="60" t="s">
        <v>141</v>
      </c>
      <c r="J20" s="61" t="s">
        <v>142</v>
      </c>
      <c r="K20" s="62" t="str">
        <f>TEXTJOIN("", TRUE, Geral!B38:T38)</f>
        <v>BR-SPAPESP_DASP-PENITPRE-CSDTCARANDIRU_ICO-FOT-DGZ-MT0_3055-005-020</v>
      </c>
      <c r="L2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60" t="s">
        <v>236</v>
      </c>
      <c r="N20" s="60" t="s">
        <v>145</v>
      </c>
      <c r="O20" s="55" t="s">
        <v>237</v>
      </c>
      <c r="P20" s="59" t="s">
        <v>147</v>
      </c>
      <c r="Q20" s="59" t="s">
        <v>148</v>
      </c>
      <c r="R20" s="63" t="str">
        <f t="shared" si="2"/>
        <v>Figura n – [Aglomeração de detentos durante a revista do Henfil no Carandiru (1979)]
Fonte: Arquivo do Estado de São Paulo, 1956.</v>
      </c>
      <c r="S20" s="63" t="str">
        <f t="shared" si="3"/>
        <v>ARQUIVO PÚBLICO DO ESTADO DE SÃO PAULO (Brasil). [Aglomeração de detentos durante a revista do Henfil no Carandiru (1979)]. São Paulo, Brasil. 12 set. 1956. Fotografia digitalizada; preto e branco; suporte em papel fotográfico. Disponível em: &lt;link do dataverse&gt;. Acesso em: 28 out. 2025.</v>
      </c>
      <c r="T20" s="60" t="s">
        <v>238</v>
      </c>
    </row>
    <row r="21" ht="15.75" customHeight="1">
      <c r="A21" s="45" t="str">
        <f t="shared" si="1"/>
        <v>021</v>
      </c>
      <c r="B21" s="55" t="s">
        <v>239</v>
      </c>
      <c r="C21" s="56" t="s">
        <v>136</v>
      </c>
      <c r="D21" s="57">
        <v>20710.0</v>
      </c>
      <c r="E21" s="58" t="s">
        <v>137</v>
      </c>
      <c r="F21" s="59" t="s">
        <v>138</v>
      </c>
      <c r="G21" s="60" t="s">
        <v>139</v>
      </c>
      <c r="H21" s="60" t="s">
        <v>240</v>
      </c>
      <c r="I21" s="60" t="s">
        <v>141</v>
      </c>
      <c r="J21" s="61" t="s">
        <v>142</v>
      </c>
      <c r="K21" s="62" t="str">
        <f>TEXTJOIN("", TRUE, Geral!B40:T40)</f>
        <v>BR-SPAPESP_DASP-PENITPRE-CSDTCARANDIRU_ICO-FOT-DGZ-MT0_3055-005-021</v>
      </c>
      <c r="L2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60" t="s">
        <v>241</v>
      </c>
      <c r="N21" s="60" t="s">
        <v>145</v>
      </c>
      <c r="O21" s="55" t="s">
        <v>242</v>
      </c>
      <c r="P21" s="59" t="s">
        <v>147</v>
      </c>
      <c r="Q21" s="59" t="s">
        <v>148</v>
      </c>
      <c r="R21" s="63" t="str">
        <f t="shared" si="2"/>
        <v>Figura n – [Movimentação de detentos por portão gradeado em contexto de superpopulação no Carandiru (1979)]
Fonte: Arquivo do Estado de São Paulo, 1956.</v>
      </c>
      <c r="S21" s="63" t="str">
        <f t="shared" si="3"/>
        <v>ARQUIVO PÚBLICO DO ESTADO DE SÃO PAULO (Brasil). [Movimentação de detentos por portão gradeado em contexto de superpopulação no Carandiru (1979)]. São Paulo, Brasil. 12 set. 1956. Fotografia digitalizada; preto e branco; suporte em papel fotográfico. Disponível em: &lt;link do dataverse&gt;. Acesso em: 28 out. 2025.</v>
      </c>
      <c r="T21" s="60" t="s">
        <v>243</v>
      </c>
    </row>
    <row r="22" ht="15.75" customHeight="1">
      <c r="A22" s="45" t="str">
        <f t="shared" si="1"/>
        <v>022</v>
      </c>
      <c r="B22" s="55" t="s">
        <v>244</v>
      </c>
      <c r="C22" s="56" t="s">
        <v>136</v>
      </c>
      <c r="D22" s="57">
        <v>21165.0</v>
      </c>
      <c r="E22" s="58" t="s">
        <v>137</v>
      </c>
      <c r="F22" s="59" t="s">
        <v>138</v>
      </c>
      <c r="G22" s="60" t="s">
        <v>139</v>
      </c>
      <c r="H22" s="60" t="s">
        <v>245</v>
      </c>
      <c r="I22" s="60" t="s">
        <v>141</v>
      </c>
      <c r="J22" s="61" t="s">
        <v>142</v>
      </c>
      <c r="K22" s="62" t="str">
        <f>TEXTJOIN("", TRUE, Geral!B42:T42)</f>
        <v>BR-SPAPESP_DASP-PENITPRE-CSDTCARANDIRU_ICO-FOT-DGZ-MT0_3055-005-022</v>
      </c>
      <c r="L2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2" s="60" t="s">
        <v>246</v>
      </c>
      <c r="N22" s="60" t="s">
        <v>145</v>
      </c>
      <c r="O22" s="55" t="s">
        <v>247</v>
      </c>
      <c r="P22" s="59" t="s">
        <v>147</v>
      </c>
      <c r="Q22" s="59" t="s">
        <v>148</v>
      </c>
      <c r="R22" s="63" t="str">
        <f t="shared" si="2"/>
        <v>Figura n – [Passagem de funcionário por portão de segurança no período da revolta causada pela extinção do Projeto JUS (1979)]
Fonte: Arquivo do Estado de São Paulo, 1957.</v>
      </c>
      <c r="S22" s="63" t="str">
        <f t="shared" si="3"/>
        <v>ARQUIVO PÚBLICO DO ESTADO DE SÃO PAULO (Brasil). [Passagem de funcionário por portão de segurança no período da revolta causada pela extinção do Projeto JUS (1979)]. São Paulo, Brasil. 11 dez. 1957. Fotografia digitalizada; preto e branco; suporte em papel fotográfico. Disponível em: &lt;link do dataverse&gt;. Acesso em: 28 out. 2025.</v>
      </c>
      <c r="T22" s="60" t="s">
        <v>248</v>
      </c>
    </row>
    <row r="23" ht="15.75" customHeight="1">
      <c r="A23" s="45" t="str">
        <f t="shared" si="1"/>
        <v>023</v>
      </c>
      <c r="B23" s="55" t="s">
        <v>249</v>
      </c>
      <c r="C23" s="56" t="s">
        <v>136</v>
      </c>
      <c r="D23" s="57">
        <v>21716.0</v>
      </c>
      <c r="E23" s="58" t="s">
        <v>137</v>
      </c>
      <c r="F23" s="59" t="s">
        <v>138</v>
      </c>
      <c r="G23" s="60" t="s">
        <v>139</v>
      </c>
      <c r="H23" s="60" t="s">
        <v>250</v>
      </c>
      <c r="I23" s="60" t="s">
        <v>141</v>
      </c>
      <c r="J23" s="61" t="s">
        <v>142</v>
      </c>
      <c r="K23" s="62" t="str">
        <f>TEXTJOIN("", TRUE, Geral!B44:T44)</f>
        <v>BR-SPAPESP_DASP-PENITPRE-CSDTCARANDIRU_ICO-FOT-DGZ-MT0_3055-005-023</v>
      </c>
      <c r="L2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3" s="60" t="s">
        <v>251</v>
      </c>
      <c r="N23" s="60" t="s">
        <v>145</v>
      </c>
      <c r="O23" s="55" t="s">
        <v>252</v>
      </c>
      <c r="P23" s="59" t="s">
        <v>147</v>
      </c>
      <c r="Q23" s="59" t="s">
        <v>148</v>
      </c>
      <c r="R23" s="63" t="str">
        <f t="shared" si="2"/>
        <v>Figura n – [Corredor de celas da Casa de Detenção (Carandiru) no contexto de crise e revolta (1979)]
Fonte: Arquivo do Estado de São Paulo, 1959.</v>
      </c>
      <c r="S23" s="63" t="str">
        <f t="shared" si="3"/>
        <v>ARQUIVO PÚBLICO DO ESTADO DE SÃO PAULO (Brasil). [Corredor de celas da Casa de Detenção (Carandiru) no contexto de crise e revolta (1979)]. São Paulo, Brasil. 15 jun. 1959. Fotografia digitalizada; preto e branco; suporte em papel fotográfico. Disponível em: &lt;link do dataverse&gt;. Acesso em: 28 out. 2025.</v>
      </c>
      <c r="T23" s="60" t="s">
        <v>253</v>
      </c>
    </row>
    <row r="24" ht="15.75" customHeight="1">
      <c r="A24" s="45" t="str">
        <f t="shared" si="1"/>
        <v>024</v>
      </c>
      <c r="B24" s="55" t="s">
        <v>254</v>
      </c>
      <c r="C24" s="56" t="s">
        <v>136</v>
      </c>
      <c r="D24" s="57">
        <v>22057.0</v>
      </c>
      <c r="E24" s="58" t="s">
        <v>137</v>
      </c>
      <c r="F24" s="59" t="s">
        <v>138</v>
      </c>
      <c r="G24" s="60" t="s">
        <v>139</v>
      </c>
      <c r="H24" s="60" t="s">
        <v>255</v>
      </c>
      <c r="I24" s="60" t="s">
        <v>141</v>
      </c>
      <c r="J24" s="61" t="s">
        <v>142</v>
      </c>
      <c r="K24" s="62" t="str">
        <f>TEXTJOIN("", TRUE, Geral!B46:T46)</f>
        <v>BR-SPAPESP_DASP-PENITPRE-CSDTCARANDIRU_ICO-FOT-DGZ-MT0_3055-005-024</v>
      </c>
      <c r="L2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4" s="60" t="s">
        <v>256</v>
      </c>
      <c r="N24" s="60" t="s">
        <v>145</v>
      </c>
      <c r="O24" s="55" t="s">
        <v>257</v>
      </c>
      <c r="P24" s="59" t="s">
        <v>147</v>
      </c>
      <c r="Q24" s="59" t="s">
        <v>148</v>
      </c>
      <c r="R24" s="63" t="str">
        <f t="shared" si="2"/>
        <v>Figura n – [Intenso movimento de familiares no portão da Casa de Detenção (Carandiru) após o Natal de 1979]
Fonte: Arquivo do Estado de São Paulo, 1960.</v>
      </c>
      <c r="S24" s="63" t="str">
        <f t="shared" si="3"/>
        <v>ARQUIVO PÚBLICO DO ESTADO DE SÃO PAULO (Brasil). [Intenso movimento de familiares no portão da Casa de Detenção (Carandiru) após o Natal de 1979]. São Paulo, Brasil. 21 mai. 1960. Fotografia digitalizada; preto e branco; suporte em papel fotográfico. Disponível em: &lt;link do dataverse&gt;. Acesso em: 28 out. 2025.</v>
      </c>
      <c r="T24" s="60" t="s">
        <v>258</v>
      </c>
    </row>
    <row r="25" ht="15.75" customHeight="1">
      <c r="A25" s="45" t="str">
        <f t="shared" si="1"/>
        <v>025</v>
      </c>
      <c r="B25" s="55" t="s">
        <v>259</v>
      </c>
      <c r="C25" s="56" t="s">
        <v>136</v>
      </c>
      <c r="D25" s="57">
        <v>22151.0</v>
      </c>
      <c r="E25" s="58" t="s">
        <v>137</v>
      </c>
      <c r="F25" s="59" t="s">
        <v>138</v>
      </c>
      <c r="G25" s="60" t="s">
        <v>139</v>
      </c>
      <c r="H25" s="60" t="s">
        <v>260</v>
      </c>
      <c r="I25" s="60" t="s">
        <v>141</v>
      </c>
      <c r="J25" s="61" t="s">
        <v>142</v>
      </c>
      <c r="K25" s="62" t="str">
        <f>TEXTJOIN("", TRUE, Geral!B48:T48)</f>
        <v>BR-SPAPESP_DASP-PENITPRE-CSDTCARANDIRU_ICO-FOT-DGZ-MT0_3055-005-025</v>
      </c>
      <c r="L2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5" s="60" t="s">
        <v>261</v>
      </c>
      <c r="N25" s="60" t="s">
        <v>145</v>
      </c>
      <c r="O25" s="55" t="s">
        <v>262</v>
      </c>
      <c r="P25" s="59" t="s">
        <v>147</v>
      </c>
      <c r="Q25" s="59" t="s">
        <v>148</v>
      </c>
      <c r="R25" s="63" t="str">
        <f t="shared" si="2"/>
        <v>Figura n – [Grupo de detentos assistindo a partida de futebol "Santos versus Palmeiras" no pátio do Carandiru (1969)]
Fonte: Arquivo do Estado de São Paulo, 1960.</v>
      </c>
      <c r="S25" s="63" t="str">
        <f t="shared" si="3"/>
        <v>ARQUIVO PÚBLICO DO ESTADO DE SÃO PAULO (Brasil). [Grupo de detentos assistindo a partida de futebol "Santos versus Palmeiras" no pátio do Carandiru (1969)]. São Paulo, Brasil. 23 ago. 1960. Fotografia digitalizada; preto e branco; suporte em papel fotográfico. Disponível em: &lt;link do dataverse&gt;. Acesso em: 28 out. 2025.</v>
      </c>
      <c r="T25" s="60" t="s">
        <v>263</v>
      </c>
    </row>
    <row r="26" ht="198.0" customHeight="1">
      <c r="A26" s="45" t="str">
        <f t="shared" si="1"/>
        <v>026</v>
      </c>
      <c r="B26" s="55" t="s">
        <v>264</v>
      </c>
      <c r="C26" s="56" t="s">
        <v>136</v>
      </c>
      <c r="D26" s="57">
        <v>22151.0</v>
      </c>
      <c r="E26" s="58" t="s">
        <v>137</v>
      </c>
      <c r="F26" s="59" t="s">
        <v>138</v>
      </c>
      <c r="G26" s="60" t="s">
        <v>139</v>
      </c>
      <c r="H26" s="60" t="s">
        <v>265</v>
      </c>
      <c r="I26" s="60" t="s">
        <v>141</v>
      </c>
      <c r="J26" s="61" t="s">
        <v>142</v>
      </c>
      <c r="K26" s="62" t="str">
        <f>TEXTJOIN("", TRUE, Geral!B50:T50)</f>
        <v>BR-SPAPESP_DASP-PENITPRE-CSDTCARANDIRU_ICO-FOT-DGZ-MT0_3055-005-026</v>
      </c>
      <c r="L2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6" s="60" t="s">
        <v>266</v>
      </c>
      <c r="N26" s="60" t="s">
        <v>145</v>
      </c>
      <c r="O26" s="55" t="s">
        <v>267</v>
      </c>
      <c r="P26" s="59" t="s">
        <v>147</v>
      </c>
      <c r="Q26" s="59" t="s">
        <v>148</v>
      </c>
      <c r="R26" s="63" t="str">
        <f t="shared" si="2"/>
        <v>Figura n – [Show da "Caravana Sentimental" para 3200 detentos no pátio da Casa de Detenção (1969)]
Fonte: Arquivo do Estado de São Paulo, 1960.</v>
      </c>
      <c r="S26" s="63" t="str">
        <f t="shared" si="3"/>
        <v>ARQUIVO PÚBLICO DO ESTADO DE SÃO PAULO (Brasil). [Show da "Caravana Sentimental" para 3200 detentos no pátio da Casa de Detenção (1969)]. São Paulo, Brasil. 23 ago. 1960. Fotografia digitalizada; preto e branco; suporte em papel fotográfico. Disponível em: &lt;link do dataverse&gt;. Acesso em: 28 out. 2025.</v>
      </c>
      <c r="T26" s="60" t="s">
        <v>268</v>
      </c>
    </row>
    <row r="27" ht="15.75" customHeight="1">
      <c r="A27" s="45" t="str">
        <f t="shared" si="1"/>
        <v>027</v>
      </c>
      <c r="B27" s="55" t="s">
        <v>269</v>
      </c>
      <c r="C27" s="56" t="s">
        <v>136</v>
      </c>
      <c r="D27" s="57">
        <v>22151.0</v>
      </c>
      <c r="E27" s="58" t="s">
        <v>137</v>
      </c>
      <c r="F27" s="59" t="s">
        <v>138</v>
      </c>
      <c r="G27" s="60" t="s">
        <v>139</v>
      </c>
      <c r="H27" s="60" t="s">
        <v>270</v>
      </c>
      <c r="I27" s="60" t="s">
        <v>141</v>
      </c>
      <c r="J27" s="61" t="s">
        <v>142</v>
      </c>
      <c r="K27" s="62" t="str">
        <f>TEXTJOIN("", TRUE, Geral!B52:T52)</f>
        <v>BR-SPAPESP_DASP-PENITPRE-CSDTCARANDIRU_ICO-FOT-DGZ-MT0_3055-005-027</v>
      </c>
      <c r="L2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7" s="60" t="s">
        <v>271</v>
      </c>
      <c r="N27" s="60" t="s">
        <v>145</v>
      </c>
      <c r="O27" s="55" t="s">
        <v>272</v>
      </c>
      <c r="P27" s="59" t="s">
        <v>147</v>
      </c>
      <c r="Q27" s="59" t="s">
        <v>148</v>
      </c>
      <c r="R27" s="63" t="str">
        <f t="shared" si="2"/>
        <v>Figura n – [Show musical em pátio com imensa plateia de detentos na Casa de Detenção da Av. Tiradentes (1977)]
Fonte: Arquivo do Estado de São Paulo, 1960.</v>
      </c>
      <c r="S27" s="63" t="str">
        <f t="shared" si="3"/>
        <v>ARQUIVO PÚBLICO DO ESTADO DE SÃO PAULO (Brasil). [Show musical em pátio com imensa plateia de detentos na Casa de Detenção da Av. Tiradentes (1977)]. São Paulo, Brasil. 23 ago. 1960. Fotografia digitalizada; preto e branco; suporte em papel fotográfico. Disponível em: &lt;link do dataverse&gt;. Acesso em: 28 out. 2025.</v>
      </c>
      <c r="T27" s="60" t="s">
        <v>273</v>
      </c>
    </row>
    <row r="28" ht="15.75" customHeight="1">
      <c r="A28" s="45" t="str">
        <f t="shared" si="1"/>
        <v>028</v>
      </c>
      <c r="B28" s="55" t="s">
        <v>274</v>
      </c>
      <c r="C28" s="56" t="s">
        <v>136</v>
      </c>
      <c r="D28" s="57">
        <v>22240.0</v>
      </c>
      <c r="E28" s="58" t="s">
        <v>137</v>
      </c>
      <c r="F28" s="59" t="s">
        <v>138</v>
      </c>
      <c r="G28" s="60" t="s">
        <v>139</v>
      </c>
      <c r="H28" s="60" t="s">
        <v>275</v>
      </c>
      <c r="I28" s="60" t="s">
        <v>141</v>
      </c>
      <c r="J28" s="61" t="s">
        <v>142</v>
      </c>
      <c r="K28" s="62" t="str">
        <f>TEXTJOIN("", TRUE, Geral!B54:T54)</f>
        <v>BR-SPAPESP_DASP-PENITPRE-CSDTCARANDIRU_ICO-FOT-DGZ-MT0_3055-005-028</v>
      </c>
      <c r="L2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8" s="60" t="s">
        <v>276</v>
      </c>
      <c r="N28" s="60" t="s">
        <v>145</v>
      </c>
      <c r="O28" s="55" t="s">
        <v>277</v>
      </c>
      <c r="P28" s="59" t="s">
        <v>147</v>
      </c>
      <c r="Q28" s="59" t="s">
        <v>148</v>
      </c>
      <c r="R28" s="63" t="str">
        <f t="shared" si="2"/>
        <v>Figura n – [Show musical para detentos no pátio, com o pavilhão da Casa de Detenção (Carandiru) ao fundo (1977)]
Fonte: Arquivo do Estado de São Paulo, 1960.</v>
      </c>
      <c r="S28" s="63" t="str">
        <f t="shared" si="3"/>
        <v>ARQUIVO PÚBLICO DO ESTADO DE SÃO PAULO (Brasil). [Show musical para detentos no pátio, com o pavilhão da Casa de Detenção (Carandiru) ao fundo (1977)]. São Paulo, Brasil. 20 nov. 1960. Fotografia digitalizada; preto e branco; suporte em papel fotográfico. Disponível em: &lt;link do dataverse&gt;. Acesso em: 28 out. 2025.</v>
      </c>
      <c r="T28" s="60" t="s">
        <v>278</v>
      </c>
    </row>
    <row r="29" ht="15.75" customHeight="1">
      <c r="A29" s="45" t="str">
        <f t="shared" si="1"/>
        <v>029</v>
      </c>
      <c r="B29" s="55" t="s">
        <v>279</v>
      </c>
      <c r="C29" s="56" t="s">
        <v>136</v>
      </c>
      <c r="D29" s="57">
        <v>22250.0</v>
      </c>
      <c r="E29" s="58" t="s">
        <v>137</v>
      </c>
      <c r="F29" s="59" t="s">
        <v>138</v>
      </c>
      <c r="G29" s="60" t="s">
        <v>139</v>
      </c>
      <c r="H29" s="60" t="s">
        <v>280</v>
      </c>
      <c r="I29" s="60" t="s">
        <v>141</v>
      </c>
      <c r="J29" s="61" t="s">
        <v>142</v>
      </c>
      <c r="K29" s="62" t="str">
        <f>TEXTJOIN("", TRUE, Geral!B56:T56)</f>
        <v>BR-SPAPESP_DASP-PENITPRE-CSDTCARANDIRU_ICO-FOT-DGZ-MT0_3055-005-029</v>
      </c>
      <c r="L2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9" s="60" t="s">
        <v>281</v>
      </c>
      <c r="N29" s="60" t="s">
        <v>145</v>
      </c>
      <c r="O29" s="55" t="s">
        <v>282</v>
      </c>
      <c r="P29" s="59" t="s">
        <v>147</v>
      </c>
      <c r="Q29" s="59" t="s">
        <v>148</v>
      </c>
      <c r="R29" s="63" t="str">
        <f t="shared" si="2"/>
        <v>Figura n – [Entrega de diplomas à primeira turma de detentos formandos (Curso Supletivo e Datilografia) no Carandiru (1973)]
Fonte: Arquivo do Estado de São Paulo, 1960.</v>
      </c>
      <c r="S29" s="63" t="str">
        <f t="shared" si="3"/>
        <v>ARQUIVO PÚBLICO DO ESTADO DE SÃO PAULO (Brasil). [Entrega de diplomas à primeira turma de detentos formandos (Curso Supletivo e Datilografia) no Carandiru (1973)]. São Paulo, Brasil. 30 nov. 1960. Fotografia digitalizada; preto e branco; suporte em papel fotográfico. Disponível em: &lt;link do dataverse&gt;. Acesso em: 28 out. 2025.</v>
      </c>
      <c r="T29" s="60" t="s">
        <v>283</v>
      </c>
    </row>
    <row r="30" ht="15.75" customHeight="1">
      <c r="A30" s="45" t="str">
        <f t="shared" si="1"/>
        <v>030</v>
      </c>
      <c r="B30" s="55" t="s">
        <v>284</v>
      </c>
      <c r="C30" s="56" t="s">
        <v>136</v>
      </c>
      <c r="D30" s="57">
        <v>22250.0</v>
      </c>
      <c r="E30" s="58" t="s">
        <v>137</v>
      </c>
      <c r="F30" s="59" t="s">
        <v>214</v>
      </c>
      <c r="G30" s="60" t="s">
        <v>139</v>
      </c>
      <c r="H30" s="60" t="s">
        <v>285</v>
      </c>
      <c r="I30" s="60" t="s">
        <v>141</v>
      </c>
      <c r="J30" s="61" t="s">
        <v>142</v>
      </c>
      <c r="K30" s="62" t="str">
        <f>TEXTJOIN("", TRUE, Geral!B58:T58)</f>
        <v>BR-SPAPESP_DASP-PENITPRE-CSDTCARANDIRU_ICO-FOT-DGZ-MT0_3055-005-030</v>
      </c>
      <c r="L3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0" s="60" t="s">
        <v>286</v>
      </c>
      <c r="N30" s="60" t="s">
        <v>145</v>
      </c>
      <c r="O30" s="55" t="s">
        <v>287</v>
      </c>
      <c r="P30" s="59" t="s">
        <v>147</v>
      </c>
      <c r="Q30" s="59" t="s">
        <v>218</v>
      </c>
      <c r="R30" s="63" t="str">
        <f t="shared" si="2"/>
        <v>Figura n – [Remoção de mortos ou feridos em lençóis após o motim sangrento na Casa de Detenção (1964)]
Fonte: Arquivo do Estado de São Paulo, 1960.</v>
      </c>
      <c r="S30" s="63" t="str">
        <f t="shared" si="3"/>
        <v>ARQUIVO PÚBLICO DO ESTADO DE SÃO PAULO (Brasil). [Remoção de mortos ou feridos em lençóis após o motim sangrento na Casa de Detenção (1964)]. São Paulo, Brasil. 30 nov. 1960. Fotografia digitalizada; sépia; suporte em papel fotográfico. Disponível em: &lt;link do dataverse&gt;. Acesso em: 28 out. 2025.</v>
      </c>
      <c r="T30" s="60" t="s">
        <v>288</v>
      </c>
    </row>
    <row r="31" ht="15.75" customHeight="1">
      <c r="A31" s="45" t="str">
        <f t="shared" si="1"/>
        <v>031</v>
      </c>
      <c r="B31" s="55" t="s">
        <v>289</v>
      </c>
      <c r="C31" s="56" t="s">
        <v>136</v>
      </c>
      <c r="D31" s="57">
        <v>22451.0</v>
      </c>
      <c r="E31" s="58" t="s">
        <v>137</v>
      </c>
      <c r="F31" s="59" t="s">
        <v>214</v>
      </c>
      <c r="G31" s="60" t="s">
        <v>139</v>
      </c>
      <c r="H31" s="60" t="s">
        <v>290</v>
      </c>
      <c r="I31" s="60" t="s">
        <v>141</v>
      </c>
      <c r="J31" s="61" t="s">
        <v>142</v>
      </c>
      <c r="K31" s="62" t="str">
        <f>TEXTJOIN("", TRUE, Geral!B60:T60)</f>
        <v>BR-SPAPESP_DASP-PENITPRE-CSDTCARANDIRU_ICO-FOT-DGZ-MT0_3055-005-031</v>
      </c>
      <c r="L3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1" s="60" t="s">
        <v>291</v>
      </c>
      <c r="N31" s="60" t="s">
        <v>145</v>
      </c>
      <c r="O31" s="55" t="s">
        <v>292</v>
      </c>
      <c r="P31" s="59" t="s">
        <v>147</v>
      </c>
      <c r="Q31" s="59" t="s">
        <v>293</v>
      </c>
      <c r="R31" s="63" t="str">
        <f t="shared" si="2"/>
        <v>Figura n – [Remoção de vítima fatal ou ferido em lençol listrado após o motim de 14 de agosto de 1964 no Carandiru]
Fonte: Arquivo do Estado de São Paulo, 1961.</v>
      </c>
      <c r="S31" s="63" t="str">
        <f t="shared" si="3"/>
        <v>ARQUIVO PÚBLICO DO ESTADO DE SÃO PAULO (Brasil). [Remoção de vítima fatal ou ferido em lençol listrado após o motim de 14 de agosto de 1964 no Carandiru]. São Paulo, Brasil. 19 jun. 1961. Fotografia digitalizada; sépia; suporte em papel fotográfico. Disponível em: &lt;link do dataverse&gt;. Acesso em: 28 out. 2025.</v>
      </c>
      <c r="T31" s="60" t="s">
        <v>294</v>
      </c>
    </row>
    <row r="32" ht="15.75" customHeight="1">
      <c r="A32" s="45" t="str">
        <f t="shared" si="1"/>
        <v>032</v>
      </c>
      <c r="B32" s="55" t="s">
        <v>295</v>
      </c>
      <c r="C32" s="56" t="s">
        <v>136</v>
      </c>
      <c r="D32" s="57">
        <v>22502.0</v>
      </c>
      <c r="E32" s="58" t="s">
        <v>137</v>
      </c>
      <c r="F32" s="59" t="s">
        <v>214</v>
      </c>
      <c r="G32" s="60" t="s">
        <v>139</v>
      </c>
      <c r="H32" s="60" t="s">
        <v>296</v>
      </c>
      <c r="I32" s="60" t="s">
        <v>141</v>
      </c>
      <c r="J32" s="61" t="s">
        <v>142</v>
      </c>
      <c r="K32" s="62" t="str">
        <f>TEXTJOIN("", TRUE, Geral!B62:T62)</f>
        <v>BR-SPAPESP_DASP-PENITPRE-CSDTCARANDIRU_ICO-FOT-DGZ-MT0_3055-005-032</v>
      </c>
      <c r="L3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2" s="60" t="s">
        <v>297</v>
      </c>
      <c r="N32" s="60" t="s">
        <v>145</v>
      </c>
      <c r="O32" s="55" t="s">
        <v>298</v>
      </c>
      <c r="P32" s="59" t="s">
        <v>147</v>
      </c>
      <c r="Q32" s="59" t="s">
        <v>293</v>
      </c>
      <c r="R32" s="63" t="str">
        <f t="shared" si="2"/>
        <v>Figura n – [Mulher idosa (familiar) pressiona entrada na Casa de Detenção durante motim (1964)]
Fonte: Arquivo do Estado de São Paulo, 1961.</v>
      </c>
      <c r="S32" s="63" t="str">
        <f t="shared" si="3"/>
        <v>ARQUIVO PÚBLICO DO ESTADO DE SÃO PAULO (Brasil). [Mulher idosa (familiar) pressiona entrada na Casa de Detenção durante motim (1964)]. São Paulo, Brasil. 09 ago. 1961. Fotografia digitalizada; sépia; suporte em papel fotográfico. Disponível em: &lt;link do dataverse&gt;. Acesso em: 28 out. 2025.</v>
      </c>
      <c r="T32" s="60" t="s">
        <v>212</v>
      </c>
    </row>
    <row r="33" ht="15.75" customHeight="1">
      <c r="A33" s="45" t="str">
        <f t="shared" si="1"/>
        <v>033</v>
      </c>
      <c r="B33" s="55" t="s">
        <v>299</v>
      </c>
      <c r="C33" s="56" t="s">
        <v>136</v>
      </c>
      <c r="D33" s="57">
        <v>22502.0</v>
      </c>
      <c r="E33" s="58" t="s">
        <v>137</v>
      </c>
      <c r="F33" s="59" t="s">
        <v>214</v>
      </c>
      <c r="G33" s="60" t="s">
        <v>139</v>
      </c>
      <c r="H33" s="60" t="s">
        <v>300</v>
      </c>
      <c r="I33" s="60" t="s">
        <v>141</v>
      </c>
      <c r="J33" s="61" t="s">
        <v>142</v>
      </c>
      <c r="K33" s="62" t="str">
        <f>TEXTJOIN("", TRUE, Geral!B64:T64)</f>
        <v>BR-SPAPESP_DASP-PENITPRE-CSDTCARANDIRU_ICO-FOT-DGZ-MT0_3055-005-033</v>
      </c>
      <c r="L3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3" s="60" t="s">
        <v>301</v>
      </c>
      <c r="N33" s="60" t="s">
        <v>145</v>
      </c>
      <c r="O33" s="55" t="s">
        <v>302</v>
      </c>
      <c r="P33" s="59" t="s">
        <v>147</v>
      </c>
      <c r="Q33" s="59" t="s">
        <v>293</v>
      </c>
      <c r="R33" s="63" t="str">
        <f t="shared" si="2"/>
        <v>Figura n – [Agente prisional em contato com familiares e crianças na entrada da Casa de Detenção durante crise (1964)]
Fonte: Arquivo do Estado de São Paulo, 1961.</v>
      </c>
      <c r="S33" s="63" t="str">
        <f t="shared" si="3"/>
        <v>ARQUIVO PÚBLICO DO ESTADO DE SÃO PAULO (Brasil). [Agente prisional em contato com familiares e crianças na entrada da Casa de Detenção durante crise (1964)]. São Paulo, Brasil. 09 ago. 1961. Fotografia digitalizada; sépia; suporte em papel fotográfico. Disponível em: &lt;link do dataverse&gt;. Acesso em: 28 out. 2025.</v>
      </c>
      <c r="T33" s="60" t="s">
        <v>212</v>
      </c>
    </row>
    <row r="34" ht="15.75" customHeight="1">
      <c r="A34" s="45" t="str">
        <f t="shared" si="1"/>
        <v>034</v>
      </c>
      <c r="B34" s="55" t="s">
        <v>303</v>
      </c>
      <c r="C34" s="56" t="s">
        <v>136</v>
      </c>
      <c r="D34" s="57">
        <v>22517.0</v>
      </c>
      <c r="E34" s="58" t="s">
        <v>137</v>
      </c>
      <c r="F34" s="59" t="s">
        <v>214</v>
      </c>
      <c r="G34" s="60" t="s">
        <v>139</v>
      </c>
      <c r="H34" s="60" t="s">
        <v>304</v>
      </c>
      <c r="I34" s="60" t="s">
        <v>141</v>
      </c>
      <c r="J34" s="61" t="s">
        <v>142</v>
      </c>
      <c r="K34" s="62" t="str">
        <f>TEXTJOIN("", TRUE, Geral!B66:T66)</f>
        <v>BR-SPAPESP_DASP-PENITPRE-CSDTCARANDIRU_ICO-FOT-DGZ-MT0_3055-005-034</v>
      </c>
      <c r="L3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4" s="60" t="s">
        <v>305</v>
      </c>
      <c r="N34" s="60" t="s">
        <v>145</v>
      </c>
      <c r="O34" s="55" t="s">
        <v>306</v>
      </c>
      <c r="P34" s="59" t="s">
        <v>147</v>
      </c>
      <c r="Q34" s="59" t="s">
        <v>293</v>
      </c>
      <c r="R34" s="63" t="str">
        <f t="shared" si="2"/>
        <v>Figura n – [Artista do Circo Orlando Orfei se apresentando para a plateia de detentos no pátio do Carandiru (1979)]
Fonte: Arquivo do Estado de São Paulo, 1961.</v>
      </c>
      <c r="S34" s="63" t="str">
        <f t="shared" si="3"/>
        <v>ARQUIVO PÚBLICO DO ESTADO DE SÃO PAULO (Brasil). [Artista do Circo Orlando Orfei se apresentando para a plateia de detentos no pátio do Carandiru (1979)]. São Paulo, Brasil. 24 ago. 1961. Fotografia digitalizada; sépia; suporte em papel fotográfico. Disponível em: &lt;link do dataverse&gt;. Acesso em: 28 out. 2025.</v>
      </c>
      <c r="T34" s="60" t="s">
        <v>307</v>
      </c>
    </row>
    <row r="35" ht="15.75" customHeight="1">
      <c r="A35" s="45" t="str">
        <f t="shared" si="1"/>
        <v>035</v>
      </c>
      <c r="B35" s="55" t="s">
        <v>308</v>
      </c>
      <c r="C35" s="56" t="s">
        <v>136</v>
      </c>
      <c r="D35" s="57">
        <v>22533.0</v>
      </c>
      <c r="E35" s="58" t="s">
        <v>137</v>
      </c>
      <c r="F35" s="59" t="s">
        <v>138</v>
      </c>
      <c r="G35" s="60" t="s">
        <v>139</v>
      </c>
      <c r="H35" s="60" t="s">
        <v>309</v>
      </c>
      <c r="I35" s="60" t="s">
        <v>141</v>
      </c>
      <c r="J35" s="61" t="s">
        <v>142</v>
      </c>
      <c r="K35" s="62" t="str">
        <f>TEXTJOIN("", TRUE, Geral!B68:T68)</f>
        <v>BR-SPAPESP_DASP-PENITPRE-CSDTCARANDIRU_ICO-FOT-DGZ-MT0_3055-005-035</v>
      </c>
      <c r="L3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5" s="60" t="s">
        <v>310</v>
      </c>
      <c r="N35" s="60" t="s">
        <v>145</v>
      </c>
      <c r="O35" s="55" t="s">
        <v>311</v>
      </c>
      <c r="P35" s="59" t="s">
        <v>147</v>
      </c>
      <c r="Q35" s="59" t="s">
        <v>148</v>
      </c>
      <c r="R35" s="63" t="str">
        <f t="shared" si="2"/>
        <v>Figura n – [Vista frontal de um dos pavilhões da Casa de Detenção (Carandiru) em 1979]
Fonte: Arquivo do Estado de São Paulo, 1961.</v>
      </c>
      <c r="S35" s="63" t="str">
        <f t="shared" si="3"/>
        <v>ARQUIVO PÚBLICO DO ESTADO DE SÃO PAULO (Brasil). [Vista frontal de um dos pavilhões da Casa de Detenção (Carandiru) em 1979]. São Paulo, Brasil. 09 set. 1961. Fotografia digitalizada; preto e branco; suporte em papel fotográfico. Disponível em: &lt;link do dataverse&gt;. Acesso em: 28 out. 2025.</v>
      </c>
      <c r="T35" s="60" t="s">
        <v>312</v>
      </c>
    </row>
    <row r="36" ht="15.75" customHeight="1">
      <c r="A36" s="45" t="str">
        <f t="shared" si="1"/>
        <v>036</v>
      </c>
      <c r="B36" s="55" t="s">
        <v>313</v>
      </c>
      <c r="C36" s="56" t="s">
        <v>136</v>
      </c>
      <c r="D36" s="57">
        <v>22533.0</v>
      </c>
      <c r="E36" s="58" t="s">
        <v>137</v>
      </c>
      <c r="F36" s="59" t="s">
        <v>138</v>
      </c>
      <c r="G36" s="60" t="s">
        <v>139</v>
      </c>
      <c r="H36" s="60" t="s">
        <v>314</v>
      </c>
      <c r="I36" s="60" t="s">
        <v>141</v>
      </c>
      <c r="J36" s="61" t="s">
        <v>142</v>
      </c>
      <c r="K36" s="62" t="str">
        <f>TEXTJOIN("", TRUE, Geral!B70:T70)</f>
        <v>BR-SPAPESP_DASP-PENITPRE-CSDTCARANDIRU_ICO-FOT-DGZ-MT0_3055-005-036</v>
      </c>
      <c r="L3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6" s="60" t="s">
        <v>315</v>
      </c>
      <c r="N36" s="60" t="s">
        <v>145</v>
      </c>
      <c r="O36" s="55" t="s">
        <v>316</v>
      </c>
      <c r="P36" s="59" t="s">
        <v>147</v>
      </c>
      <c r="Q36" s="59" t="s">
        <v>148</v>
      </c>
      <c r="R36" s="63" t="str">
        <f t="shared" si="2"/>
        <v>Figura n – [Apresentação e registro dos novos detentos na administração da Casa de Detenção (1979)]
Fonte: Arquivo do Estado de São Paulo, 1961.</v>
      </c>
      <c r="S36" s="63" t="str">
        <f t="shared" si="3"/>
        <v>ARQUIVO PÚBLICO DO ESTADO DE SÃO PAULO (Brasil). [Apresentação e registro dos novos detentos na administração da Casa de Detenção (1979)]. São Paulo, Brasil. 09 set. 1961. Fotografia digitalizada; preto e branco; suporte em papel fotográfico. Disponível em: &lt;link do dataverse&gt;. Acesso em: 28 out. 2025.</v>
      </c>
      <c r="T36" s="60" t="s">
        <v>317</v>
      </c>
    </row>
    <row r="37" ht="15.75" customHeight="1">
      <c r="A37" s="45" t="str">
        <f t="shared" si="1"/>
        <v>037</v>
      </c>
      <c r="B37" s="55" t="s">
        <v>318</v>
      </c>
      <c r="C37" s="56" t="s">
        <v>136</v>
      </c>
      <c r="D37" s="57">
        <v>22598.0</v>
      </c>
      <c r="E37" s="58" t="s">
        <v>137</v>
      </c>
      <c r="F37" s="59" t="s">
        <v>214</v>
      </c>
      <c r="G37" s="60" t="s">
        <v>139</v>
      </c>
      <c r="H37" s="60" t="s">
        <v>319</v>
      </c>
      <c r="I37" s="60" t="s">
        <v>141</v>
      </c>
      <c r="J37" s="61" t="s">
        <v>142</v>
      </c>
      <c r="K37" s="62" t="str">
        <f>TEXTJOIN("", TRUE, Geral!B72:T72)</f>
        <v>BR-SPAPESP_DASP-PENITPRE-CSDTCARANDIRU_ICO-FOT-DGZ-MT0_3055-005-037</v>
      </c>
      <c r="L3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7" s="60" t="s">
        <v>320</v>
      </c>
      <c r="N37" s="60" t="s">
        <v>145</v>
      </c>
      <c r="O37" s="55" t="s">
        <v>321</v>
      </c>
      <c r="P37" s="59" t="s">
        <v>147</v>
      </c>
      <c r="Q37" s="59" t="s">
        <v>293</v>
      </c>
      <c r="R37" s="63" t="str">
        <f t="shared" si="2"/>
        <v>Figura n – [Mulheres e crianças em filas na entrada da Casa de Detenção durante motim (1964)]
Fonte: Arquivo do Estado de São Paulo, 1961.</v>
      </c>
      <c r="S37" s="63" t="str">
        <f t="shared" si="3"/>
        <v>ARQUIVO PÚBLICO DO ESTADO DE SÃO PAULO (Brasil). [Mulheres e crianças em filas na entrada da Casa de Detenção durante motim (1964)]. São Paulo, Brasil. 13 nov. 1961. Fotografia digitalizada; sépia; suporte em papel fotográfico. Disponível em: &lt;link do dataverse&gt;. Acesso em: 28 out. 2025.</v>
      </c>
      <c r="T37" s="60" t="s">
        <v>212</v>
      </c>
    </row>
    <row r="38" ht="15.75" customHeight="1">
      <c r="A38" s="45" t="str">
        <f t="shared" si="1"/>
        <v>038</v>
      </c>
      <c r="B38" s="55" t="s">
        <v>322</v>
      </c>
      <c r="C38" s="56" t="s">
        <v>136</v>
      </c>
      <c r="D38" s="57">
        <v>22937.0</v>
      </c>
      <c r="E38" s="58" t="s">
        <v>137</v>
      </c>
      <c r="F38" s="59" t="s">
        <v>138</v>
      </c>
      <c r="G38" s="60" t="s">
        <v>139</v>
      </c>
      <c r="H38" s="60" t="s">
        <v>323</v>
      </c>
      <c r="I38" s="60" t="s">
        <v>141</v>
      </c>
      <c r="J38" s="61" t="s">
        <v>142</v>
      </c>
      <c r="K38" s="62" t="str">
        <f>TEXTJOIN("", TRUE, Geral!B74:T74)</f>
        <v>BR-SPAPESP_DASP-PENITPRE-CSDTCARANDIRU_ICO-FOT-DGZ-MT0_3055-005-038</v>
      </c>
      <c r="L3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8" s="60" t="s">
        <v>324</v>
      </c>
      <c r="N38" s="60" t="s">
        <v>145</v>
      </c>
      <c r="O38" s="55" t="s">
        <v>325</v>
      </c>
      <c r="P38" s="59" t="s">
        <v>147</v>
      </c>
      <c r="Q38" s="59" t="s">
        <v>148</v>
      </c>
      <c r="R38" s="63" t="str">
        <f t="shared" si="2"/>
        <v>Figura n – [Show do artista Wilson Simonal para detentos, observado por guardas na torre e autoridades no Carandiru (1977)]
Fonte: Arquivo do Estado de São Paulo, 1962.</v>
      </c>
      <c r="S38" s="63" t="str">
        <f t="shared" si="3"/>
        <v>ARQUIVO PÚBLICO DO ESTADO DE SÃO PAULO (Brasil). [Show do artista Wilson Simonal para detentos, observado por guardas na torre e autoridades no Carandiru (1977)]. São Paulo, Brasil. 18 out. 1962. Fotografia digitalizada; preto e branco; suporte em papel fotográfico. Disponível em: &lt;link do dataverse&gt;. Acesso em: 28 out. 2025.</v>
      </c>
      <c r="T38" s="60" t="s">
        <v>326</v>
      </c>
    </row>
    <row r="39" ht="15.75" customHeight="1">
      <c r="A39" s="45" t="str">
        <f t="shared" si="1"/>
        <v>039</v>
      </c>
      <c r="B39" s="55" t="s">
        <v>327</v>
      </c>
      <c r="C39" s="56" t="s">
        <v>136</v>
      </c>
      <c r="D39" s="57">
        <v>22937.0</v>
      </c>
      <c r="E39" s="58" t="s">
        <v>137</v>
      </c>
      <c r="F39" s="59" t="s">
        <v>138</v>
      </c>
      <c r="G39" s="60" t="s">
        <v>139</v>
      </c>
      <c r="H39" s="60" t="s">
        <v>328</v>
      </c>
      <c r="I39" s="60" t="s">
        <v>141</v>
      </c>
      <c r="J39" s="61" t="s">
        <v>142</v>
      </c>
      <c r="K39" s="62" t="str">
        <f>TEXTJOIN("", TRUE, Geral!B76:T76)</f>
        <v>BR-SPAPESP_DASP-PENITPRE-CSDTCARANDIRU_ICO-FOT-DGZ-MT0_3055-005-039</v>
      </c>
      <c r="L3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9" s="60" t="s">
        <v>329</v>
      </c>
      <c r="N39" s="61" t="s">
        <v>145</v>
      </c>
      <c r="O39" s="55" t="s">
        <v>330</v>
      </c>
      <c r="P39" s="59" t="s">
        <v>147</v>
      </c>
      <c r="Q39" s="59" t="s">
        <v>148</v>
      </c>
      <c r="R39" s="63" t="str">
        <f t="shared" si="2"/>
        <v>Figura n – [Pátio externo gramado, com muro de contenção e torre de vigilância, no Complexo Penitenciário do Carandiru]
Fonte: Arquivo do Estado de São Paulo, 1962.</v>
      </c>
      <c r="S39" s="63" t="str">
        <f t="shared" si="3"/>
        <v>ARQUIVO PÚBLICO DO ESTADO DE SÃO PAULO (Brasil). [Pátio externo gramado, com muro de contenção e torre de vigilância, no Complexo Penitenciário do Carandiru]. São Paulo, Brasil. 18 out. 1962. Fotografia digitalizada; preto e branco; suporte em papel fotográfico. Disponível em: &lt;link do dataverse&gt;. Acesso em: 28 out. 2025.</v>
      </c>
      <c r="T39" s="60" t="s">
        <v>331</v>
      </c>
    </row>
    <row r="40" ht="15.75" customHeight="1">
      <c r="A40" s="45" t="str">
        <f t="shared" si="1"/>
        <v>040</v>
      </c>
      <c r="B40" s="55" t="s">
        <v>332</v>
      </c>
      <c r="C40" s="56" t="s">
        <v>136</v>
      </c>
      <c r="D40" s="57">
        <v>23035.0</v>
      </c>
      <c r="E40" s="58" t="s">
        <v>137</v>
      </c>
      <c r="F40" s="59" t="s">
        <v>138</v>
      </c>
      <c r="G40" s="60" t="s">
        <v>139</v>
      </c>
      <c r="H40" s="60" t="s">
        <v>333</v>
      </c>
      <c r="I40" s="60" t="s">
        <v>141</v>
      </c>
      <c r="J40" s="61" t="s">
        <v>142</v>
      </c>
      <c r="K40" s="62" t="str">
        <f>TEXTJOIN("", TRUE, Geral!B77:T77)</f>
        <v>BR-SPAPESP_DASP-PENITPRE-CSDTCARANDIRU_ICO-FOT-DGZ-MT0_3055-005-040</v>
      </c>
      <c r="L4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0" s="60" t="s">
        <v>334</v>
      </c>
      <c r="N40" s="60" t="s">
        <v>145</v>
      </c>
      <c r="O40" s="55" t="s">
        <v>335</v>
      </c>
      <c r="P40" s="59" t="s">
        <v>147</v>
      </c>
      <c r="Q40" s="59" t="s">
        <v>148</v>
      </c>
      <c r="R40" s="63" t="str">
        <f t="shared" si="2"/>
        <v>Figura n – [Retrato de Gilberto Calixto, detento assassinado por colegas de cela no Carandiru (1978)]
Fonte: Arquivo do Estado de São Paulo, 1963.</v>
      </c>
      <c r="S40" s="63" t="str">
        <f t="shared" si="3"/>
        <v>ARQUIVO PÚBLICO DO ESTADO DE SÃO PAULO (Brasil). [Retrato de Gilberto Calixto, detento assassinado por colegas de cela no Carandiru (1978)]. São Paulo, Brasil. 24 jan. 1963. Fotografia digitalizada; preto e branco; suporte em papel fotográfico. Disponível em: &lt;link do dataverse&gt;. Acesso em: 28 out. 2025.</v>
      </c>
      <c r="T40" s="60" t="s">
        <v>336</v>
      </c>
    </row>
    <row r="41" ht="15.75" customHeight="1">
      <c r="A41" s="45" t="str">
        <f t="shared" si="1"/>
        <v>041</v>
      </c>
      <c r="B41" s="55" t="s">
        <v>337</v>
      </c>
      <c r="C41" s="56" t="s">
        <v>136</v>
      </c>
      <c r="D41" s="57">
        <v>23035.0</v>
      </c>
      <c r="E41" s="58" t="s">
        <v>137</v>
      </c>
      <c r="F41" s="59" t="s">
        <v>138</v>
      </c>
      <c r="G41" s="60" t="s">
        <v>139</v>
      </c>
      <c r="H41" s="60" t="s">
        <v>338</v>
      </c>
      <c r="I41" s="60" t="s">
        <v>141</v>
      </c>
      <c r="J41" s="61" t="s">
        <v>142</v>
      </c>
      <c r="K41" s="62" t="str">
        <f>TEXTJOIN("", TRUE, Geral!B79:T79)</f>
        <v>BR-SPAPESP_DASP-PENITPRE-CSDTCARANDIRU_ICO-FOT-DGZ-MT0_3055-005-041</v>
      </c>
      <c r="L4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1" s="60" t="s">
        <v>339</v>
      </c>
      <c r="N41" s="60" t="s">
        <v>145</v>
      </c>
      <c r="O41" s="55" t="s">
        <v>340</v>
      </c>
      <c r="P41" s="59" t="s">
        <v>147</v>
      </c>
      <c r="Q41" s="59" t="s">
        <v>148</v>
      </c>
      <c r="R41" s="63" t="str">
        <f t="shared" si="2"/>
        <v>Figura n – [Retrato de Euripedes B de Azevedo, detento assassinado por colegas de cela no Carandiru (1978)]
Fonte: Arquivo do Estado de São Paulo, 1963.</v>
      </c>
      <c r="S41" s="63" t="str">
        <f t="shared" si="3"/>
        <v>ARQUIVO PÚBLICO DO ESTADO DE SÃO PAULO (Brasil). [Retrato de Euripedes B de Azevedo, detento assassinado por colegas de cela no Carandiru (1978)]. São Paulo, Brasil. 24 jan. 1963. Fotografia digitalizada; preto e branco; suporte em papel fotográfico. Disponível em: &lt;link do dataverse&gt;. Acesso em: 28 out. 2025.</v>
      </c>
      <c r="T41" s="60" t="s">
        <v>341</v>
      </c>
    </row>
    <row r="42" ht="15.75" customHeight="1">
      <c r="A42" s="45" t="str">
        <f t="shared" si="1"/>
        <v>042</v>
      </c>
      <c r="B42" s="55" t="s">
        <v>342</v>
      </c>
      <c r="C42" s="56" t="s">
        <v>136</v>
      </c>
      <c r="D42" s="57">
        <v>23200.0</v>
      </c>
      <c r="E42" s="58" t="s">
        <v>137</v>
      </c>
      <c r="F42" s="59" t="s">
        <v>138</v>
      </c>
      <c r="G42" s="60" t="s">
        <v>139</v>
      </c>
      <c r="H42" s="60" t="s">
        <v>343</v>
      </c>
      <c r="I42" s="60" t="s">
        <v>141</v>
      </c>
      <c r="J42" s="61" t="s">
        <v>142</v>
      </c>
      <c r="K42" s="62" t="str">
        <f>TEXTJOIN("", TRUE, Geral!B81:T81)</f>
        <v>BR-SPAPESP_DASP-PENITPRE-CSDTCARANDIRU_ICO-FOT-DGZ-MT0_3055-005-042</v>
      </c>
      <c r="L4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2" s="60" t="s">
        <v>344</v>
      </c>
      <c r="N42" s="60" t="s">
        <v>145</v>
      </c>
      <c r="O42" s="55" t="s">
        <v>345</v>
      </c>
      <c r="P42" s="59" t="s">
        <v>147</v>
      </c>
      <c r="Q42" s="59" t="s">
        <v>148</v>
      </c>
      <c r="R42" s="63" t="str">
        <f t="shared" si="2"/>
        <v>Figura n – [Portão principal do Instituto de Regeneração da Casa de Detenção (Carandiru) no dia do retorno de foragidos (1972)]
Fonte: Arquivo do Estado de São Paulo, 1963.</v>
      </c>
      <c r="S42" s="63" t="str">
        <f t="shared" si="3"/>
        <v>ARQUIVO PÚBLICO DO ESTADO DE SÃO PAULO (Brasil). [Portão principal do Instituto de Regeneração da Casa de Detenção (Carandiru) no dia do retorno de foragidos (1972)]. São Paulo, Brasil. 08 jul. 1963. Fotografia digitalizada; preto e branco; suporte em papel fotográfico. Disponível em: &lt;link do dataverse&gt;. Acesso em: 28 out. 2025.</v>
      </c>
      <c r="T42" s="60" t="s">
        <v>346</v>
      </c>
    </row>
    <row r="43" ht="15.75" customHeight="1">
      <c r="A43" s="45" t="str">
        <f t="shared" si="1"/>
        <v>043</v>
      </c>
      <c r="B43" s="55" t="s">
        <v>347</v>
      </c>
      <c r="C43" s="56" t="s">
        <v>136</v>
      </c>
      <c r="D43" s="57">
        <v>23367.0</v>
      </c>
      <c r="E43" s="58" t="s">
        <v>137</v>
      </c>
      <c r="F43" s="59" t="s">
        <v>138</v>
      </c>
      <c r="G43" s="60" t="s">
        <v>139</v>
      </c>
      <c r="H43" s="60" t="s">
        <v>348</v>
      </c>
      <c r="I43" s="60" t="s">
        <v>141</v>
      </c>
      <c r="J43" s="61" t="s">
        <v>142</v>
      </c>
      <c r="K43" s="62" t="str">
        <f>TEXTJOIN("", TRUE, Geral!B83:T83)</f>
        <v>BR-SPAPESP_DASP-PENITPRE-CSDTCARANDIRU_ICO-FOT-DGZ-MT0_3055-005-043</v>
      </c>
      <c r="L4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3" s="60" t="s">
        <v>349</v>
      </c>
      <c r="N43" s="60" t="s">
        <v>145</v>
      </c>
      <c r="O43" s="55" t="s">
        <v>350</v>
      </c>
      <c r="P43" s="59" t="s">
        <v>147</v>
      </c>
      <c r="Q43" s="59" t="s">
        <v>148</v>
      </c>
      <c r="R43" s="63" t="str">
        <f t="shared" si="2"/>
        <v>Figura n – [Autoridades na inauguração da nova Casa de Detenção (Carandiru): Secretário de Segurança Carlos Bittencourt e Comandante da Força Pública (1956)]
Fonte: Arquivo do Estado de São Paulo, 1963.</v>
      </c>
      <c r="S43" s="63" t="str">
        <f t="shared" si="3"/>
        <v>ARQUIVO PÚBLICO DO ESTADO DE SÃO PAULO (Brasil). [Autoridades na inauguração da nova Casa de Detenção (Carandiru): Secretário de Segurança Carlos Bittencourt e Comandante da Força Pública (1956)]. São Paulo, Brasil. 22 dez. 1963. Fotografia digitalizada; preto e branco; suporte em papel fotográfico. Disponível em: &lt;link do dataverse&gt;. Acesso em: 28 out. 2025.</v>
      </c>
      <c r="T43" s="60" t="s">
        <v>351</v>
      </c>
    </row>
    <row r="44" ht="15.75" customHeight="1">
      <c r="A44" s="45" t="str">
        <f t="shared" si="1"/>
        <v>044</v>
      </c>
      <c r="B44" s="55" t="s">
        <v>352</v>
      </c>
      <c r="C44" s="56" t="s">
        <v>136</v>
      </c>
      <c r="D44" s="57">
        <v>23367.0</v>
      </c>
      <c r="E44" s="58" t="s">
        <v>137</v>
      </c>
      <c r="F44" s="59" t="s">
        <v>138</v>
      </c>
      <c r="G44" s="60" t="s">
        <v>139</v>
      </c>
      <c r="H44" s="60" t="s">
        <v>353</v>
      </c>
      <c r="I44" s="60" t="s">
        <v>141</v>
      </c>
      <c r="J44" s="61" t="s">
        <v>142</v>
      </c>
      <c r="K44" s="62" t="str">
        <f>TEXTJOIN("", TRUE, Geral!B85:T85)</f>
        <v>BR-SPAPESP_DASP-PENITPRE-CSDTCARANDIRU_ICO-FOT-DGZ-MT0_3055-005-044</v>
      </c>
      <c r="L4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4" s="60" t="s">
        <v>354</v>
      </c>
      <c r="N44" s="60" t="s">
        <v>145</v>
      </c>
      <c r="O44" s="55" t="s">
        <v>355</v>
      </c>
      <c r="P44" s="59" t="s">
        <v>147</v>
      </c>
      <c r="Q44" s="59" t="s">
        <v>148</v>
      </c>
      <c r="R44" s="63" t="str">
        <f t="shared" si="2"/>
        <v>Figura n – [Visita do Secretário de Segurança e Comandante da Força Pública ao pavilhão na inauguração da nova Casa de Detenção (1956)]
Fonte: Arquivo do Estado de São Paulo, 1963.</v>
      </c>
      <c r="S44" s="63" t="str">
        <f t="shared" si="3"/>
        <v>ARQUIVO PÚBLICO DO ESTADO DE SÃO PAULO (Brasil). [Visita do Secretário de Segurança e Comandante da Força Pública ao pavilhão na inauguração da nova Casa de Detenção (1956)]. São Paulo, Brasil. 22 dez. 1963. Fotografia digitalizada; preto e branco; suporte em papel fotográfico. Disponível em: &lt;link do dataverse&gt;. Acesso em: 28 out. 2025.</v>
      </c>
      <c r="T44" s="60" t="s">
        <v>356</v>
      </c>
    </row>
    <row r="45" ht="15.75" customHeight="1">
      <c r="A45" s="45" t="str">
        <f t="shared" si="1"/>
        <v>045</v>
      </c>
      <c r="B45" s="55" t="s">
        <v>357</v>
      </c>
      <c r="C45" s="56" t="s">
        <v>136</v>
      </c>
      <c r="D45" s="57">
        <v>23424.0</v>
      </c>
      <c r="E45" s="58" t="s">
        <v>137</v>
      </c>
      <c r="F45" s="59" t="s">
        <v>214</v>
      </c>
      <c r="G45" s="60" t="s">
        <v>139</v>
      </c>
      <c r="H45" s="60" t="s">
        <v>358</v>
      </c>
      <c r="I45" s="60" t="s">
        <v>141</v>
      </c>
      <c r="J45" s="61" t="s">
        <v>142</v>
      </c>
      <c r="K45" s="62" t="str">
        <f>TEXTJOIN("", TRUE, Geral!B87:T87)</f>
        <v>BR-SPAPESP_DASP-PENITPRE-CSDTCARANDIRU_ICO-FOT-DGZ-MT0_3055-005-045</v>
      </c>
      <c r="L4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5" s="60" t="s">
        <v>359</v>
      </c>
      <c r="N45" s="60" t="s">
        <v>145</v>
      </c>
      <c r="O45" s="55" t="s">
        <v>360</v>
      </c>
      <c r="P45" s="59" t="s">
        <v>147</v>
      </c>
      <c r="Q45" s="59" t="s">
        <v>293</v>
      </c>
      <c r="R45" s="63" t="str">
        <f t="shared" si="2"/>
        <v>Figura n – [Mãe ou familiar em desespero e incerteza, agarrada à grade da Casa de Detenção durante motim (1964)]
Fonte: Arquivo do Estado de São Paulo, 1964.</v>
      </c>
      <c r="S45" s="63" t="str">
        <f t="shared" si="3"/>
        <v>ARQUIVO PÚBLICO DO ESTADO DE SÃO PAULO (Brasil). [Mãe ou familiar em desespero e incerteza, agarrada à grade da Casa de Detenção durante motim (1964)]. São Paulo, Brasil. 17 fev. 1964. Fotografia digitalizada; sépia; suporte em papel fotográfico. Disponível em: &lt;link do dataverse&gt;. Acesso em: 28 out. 2025.</v>
      </c>
      <c r="T45" s="60" t="s">
        <v>361</v>
      </c>
    </row>
    <row r="46" ht="15.75" customHeight="1">
      <c r="A46" s="45" t="str">
        <f t="shared" si="1"/>
        <v>046</v>
      </c>
      <c r="B46" s="55" t="s">
        <v>362</v>
      </c>
      <c r="C46" s="56" t="s">
        <v>136</v>
      </c>
      <c r="D46" s="57">
        <v>23561.0</v>
      </c>
      <c r="E46" s="58" t="s">
        <v>137</v>
      </c>
      <c r="F46" s="60" t="s">
        <v>214</v>
      </c>
      <c r="G46" s="60" t="s">
        <v>139</v>
      </c>
      <c r="H46" s="60" t="s">
        <v>363</v>
      </c>
      <c r="I46" s="60" t="s">
        <v>141</v>
      </c>
      <c r="J46" s="61" t="s">
        <v>142</v>
      </c>
      <c r="K46" s="62" t="str">
        <f>TEXTJOIN("", TRUE, Geral!B89:T89)</f>
        <v>BR-SPAPESP_DASP-PENITPRE-CSDTCARANDIRU_ICO-FOT-DGZ-MT0_3055-005-046</v>
      </c>
      <c r="L4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6" s="60" t="s">
        <v>364</v>
      </c>
      <c r="N46" s="60" t="s">
        <v>145</v>
      </c>
      <c r="O46" s="55" t="s">
        <v>365</v>
      </c>
      <c r="P46" s="65" t="s">
        <v>147</v>
      </c>
      <c r="Q46" s="65" t="s">
        <v>293</v>
      </c>
      <c r="R46" s="63" t="str">
        <f t="shared" si="2"/>
        <v>Figura n – [Mulher no dia de visita pós-rebelião na Casa de Detenção (1964)]
Fonte: Arquivo do Estado de São Paulo, 1964.</v>
      </c>
      <c r="S46" s="63" t="str">
        <f t="shared" si="3"/>
        <v>ARQUIVO PÚBLICO DO ESTADO DE SÃO PAULO (Brasil). [Mulher no dia de visita pós-rebelião na Casa de Detenção (1964)]. São Paulo, Brasil. 03 jul. 1964. Fotografia digitalizada; sépia; suporte em papel fotográfico. Disponível em: &lt;link do dataverse&gt;. Acesso em: 28 out. 2025.</v>
      </c>
      <c r="T46" s="55" t="s">
        <v>366</v>
      </c>
    </row>
    <row r="47" ht="15.75" customHeight="1">
      <c r="A47" s="45" t="str">
        <f t="shared" si="1"/>
        <v>047</v>
      </c>
      <c r="B47" s="55" t="s">
        <v>367</v>
      </c>
      <c r="C47" s="56" t="s">
        <v>136</v>
      </c>
      <c r="D47" s="57">
        <v>23562.0</v>
      </c>
      <c r="E47" s="58" t="s">
        <v>137</v>
      </c>
      <c r="F47" s="60" t="s">
        <v>138</v>
      </c>
      <c r="G47" s="60" t="s">
        <v>139</v>
      </c>
      <c r="H47" s="60" t="s">
        <v>368</v>
      </c>
      <c r="I47" s="60" t="s">
        <v>141</v>
      </c>
      <c r="J47" s="61" t="s">
        <v>142</v>
      </c>
      <c r="K47" s="62" t="str">
        <f>TEXTJOIN("", TRUE, Geral!B91:T91)</f>
        <v>BR-SPAPESP_DASP-PENITPRE-CSDTCARANDIRU_ICO-FOT-DGZ-MT0_3055-005-047</v>
      </c>
      <c r="L4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7" s="60" t="s">
        <v>369</v>
      </c>
      <c r="N47" s="60" t="s">
        <v>145</v>
      </c>
      <c r="O47" s="55" t="s">
        <v>370</v>
      </c>
      <c r="P47" s="65" t="s">
        <v>147</v>
      </c>
      <c r="Q47" s="65" t="s">
        <v>148</v>
      </c>
      <c r="R47" s="63" t="str">
        <f t="shared" si="2"/>
        <v>Figura n – [Aglomeração de familiares e crianças na entrada da Casa de Detenção para o Natal do Filho do Detento (1965)]
Fonte: Arquivo do Estado de São Paulo, 1964.</v>
      </c>
      <c r="S47" s="63" t="str">
        <f t="shared" si="3"/>
        <v>ARQUIVO PÚBLICO DO ESTADO DE SÃO PAULO (Brasil). [Aglomeração de familiares e crianças na entrada da Casa de Detenção para o Natal do Filho do Detento (1965)]. São Paulo, Brasil. 04 jul. 1964. Fotografia digitalizada; preto e branco; suporte em papel fotográfico. Disponível em: &lt;link do dataverse&gt;. Acesso em: 28 out. 2025.</v>
      </c>
      <c r="T47" s="60" t="s">
        <v>371</v>
      </c>
    </row>
    <row r="48" ht="15.75" customHeight="1">
      <c r="A48" s="45" t="str">
        <f t="shared" si="1"/>
        <v>048</v>
      </c>
      <c r="B48" s="55" t="s">
        <v>372</v>
      </c>
      <c r="C48" s="56" t="s">
        <v>136</v>
      </c>
      <c r="D48" s="57">
        <v>23564.0</v>
      </c>
      <c r="E48" s="58" t="s">
        <v>137</v>
      </c>
      <c r="F48" s="60" t="s">
        <v>138</v>
      </c>
      <c r="G48" s="60" t="s">
        <v>139</v>
      </c>
      <c r="H48" s="60" t="s">
        <v>373</v>
      </c>
      <c r="I48" s="60" t="s">
        <v>141</v>
      </c>
      <c r="J48" s="61" t="s">
        <v>142</v>
      </c>
      <c r="K48" s="62" t="str">
        <f>TEXTJOIN("", TRUE, Geral!B93:T93)</f>
        <v>BR-SPAPESP_DASP-PENITPRE-CSDTCARANDIRU_ICO-FOT-DGZ-MT0_3055-005-048</v>
      </c>
      <c r="L4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8" s="60" t="s">
        <v>374</v>
      </c>
      <c r="N48" s="60" t="s">
        <v>145</v>
      </c>
      <c r="O48" s="55" t="s">
        <v>375</v>
      </c>
      <c r="P48" s="65" t="s">
        <v>147</v>
      </c>
      <c r="Q48" s="65" t="s">
        <v>148</v>
      </c>
      <c r="R48" s="63" t="str">
        <f t="shared" si="2"/>
        <v>Figura n – [Apresentação da Banda Marcial de detentos da Casa de Detenção (Carandiru) durante visita de delegado da ONU (1961)]
Fonte: Arquivo do Estado de São Paulo, 1964.</v>
      </c>
      <c r="S48" s="63" t="str">
        <f t="shared" si="3"/>
        <v>ARQUIVO PÚBLICO DO ESTADO DE SÃO PAULO (Brasil). [Apresentação da Banda Marcial de detentos da Casa de Detenção (Carandiru) durante visita de delegado da ONU (1961)]. São Paulo, Brasil. 06 jul. 1964. Fotografia digitalizada; preto e branco; suporte em papel fotográfico. Disponível em: &lt;link do dataverse&gt;. Acesso em: 28 out. 2025.</v>
      </c>
      <c r="T48" s="60" t="s">
        <v>376</v>
      </c>
    </row>
    <row r="49" ht="15.75" customHeight="1">
      <c r="A49" s="45" t="str">
        <f t="shared" si="1"/>
        <v>049</v>
      </c>
      <c r="B49" s="55" t="s">
        <v>377</v>
      </c>
      <c r="C49" s="56" t="s">
        <v>136</v>
      </c>
      <c r="D49" s="57">
        <v>23605.0</v>
      </c>
      <c r="E49" s="58" t="s">
        <v>137</v>
      </c>
      <c r="F49" s="60" t="s">
        <v>138</v>
      </c>
      <c r="G49" s="60" t="s">
        <v>139</v>
      </c>
      <c r="H49" s="60" t="s">
        <v>378</v>
      </c>
      <c r="I49" s="60" t="s">
        <v>141</v>
      </c>
      <c r="J49" s="61" t="s">
        <v>142</v>
      </c>
      <c r="K49" s="62" t="str">
        <f>TEXTJOIN("", TRUE, Geral!B95:T95)</f>
        <v>BR-SPAPESP_DASP-PENITPRE-CSDTCARANDIRU_ICO-FOT-DGZ-MT0_3055-005-049</v>
      </c>
      <c r="L4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9" s="60" t="s">
        <v>379</v>
      </c>
      <c r="N49" s="60" t="s">
        <v>145</v>
      </c>
      <c r="O49" s="55" t="s">
        <v>380</v>
      </c>
      <c r="P49" s="65" t="s">
        <v>147</v>
      </c>
      <c r="Q49" s="65" t="s">
        <v>148</v>
      </c>
      <c r="R49" s="63" t="str">
        <f t="shared" si="2"/>
        <v>Figura n – [Novo pavilhão da Casa de Detenção (Carandiru) em construção, com detalhes de arquitetura e maquinário (1960)]
Fonte: Arquivo do Estado de São Paulo, 1964.</v>
      </c>
      <c r="S49" s="63" t="str">
        <f t="shared" si="3"/>
        <v>ARQUIVO PÚBLICO DO ESTADO DE SÃO PAULO (Brasil). [Novo pavilhão da Casa de Detenção (Carandiru) em construção, com detalhes de arquitetura e maquinário (1960)]. São Paulo, Brasil. 16 ago. 1964. Fotografia digitalizada; preto e branco; suporte em papel fotográfico. Disponível em: &lt;link do dataverse&gt;. Acesso em: 28 out. 2025.</v>
      </c>
      <c r="T49" s="60" t="s">
        <v>381</v>
      </c>
    </row>
    <row r="50" ht="15.75" customHeight="1">
      <c r="A50" s="45" t="str">
        <f t="shared" si="1"/>
        <v>050</v>
      </c>
      <c r="B50" s="55" t="s">
        <v>382</v>
      </c>
      <c r="C50" s="56" t="s">
        <v>136</v>
      </c>
      <c r="D50" s="57">
        <v>23606.0</v>
      </c>
      <c r="E50" s="58" t="s">
        <v>137</v>
      </c>
      <c r="F50" s="60" t="s">
        <v>138</v>
      </c>
      <c r="G50" s="60" t="s">
        <v>139</v>
      </c>
      <c r="H50" s="60" t="s">
        <v>383</v>
      </c>
      <c r="I50" s="60" t="s">
        <v>141</v>
      </c>
      <c r="J50" s="61" t="s">
        <v>142</v>
      </c>
      <c r="K50" s="62" t="str">
        <f>TEXTJOIN("", TRUE, Geral!B97:T97)</f>
        <v>BR-SPAPESP_DASP-PENITPRE-CSDTCARANDIRU_ICO-FOT-DGZ-MT0_3055-005-050</v>
      </c>
      <c r="L5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0" s="60" t="s">
        <v>384</v>
      </c>
      <c r="N50" s="60" t="s">
        <v>145</v>
      </c>
      <c r="O50" s="55" t="s">
        <v>385</v>
      </c>
      <c r="P50" s="65" t="s">
        <v>147</v>
      </c>
      <c r="Q50" s="65" t="s">
        <v>148</v>
      </c>
      <c r="R50" s="63" t="str">
        <f t="shared" si="2"/>
        <v>Figura n – [Grupo de detentos trabalhadores retornando à Casa de Detenção pelo portão principal (1962)]
Fonte: Arquivo do Estado de São Paulo, 1964.</v>
      </c>
      <c r="S50" s="63" t="str">
        <f t="shared" si="3"/>
        <v>ARQUIVO PÚBLICO DO ESTADO DE SÃO PAULO (Brasil). [Grupo de detentos trabalhadores retornando à Casa de Detenção pelo portão principal (1962)]. São Paulo, Brasil. 17 ago. 1964. Fotografia digitalizada; preto e branco; suporte em papel fotográfico. Disponível em: &lt;link do dataverse&gt;. Acesso em: 28 out. 2025.</v>
      </c>
      <c r="T50" s="60" t="s">
        <v>386</v>
      </c>
    </row>
    <row r="51" ht="15.75" customHeight="1">
      <c r="A51" s="45" t="str">
        <f t="shared" si="1"/>
        <v>051</v>
      </c>
      <c r="B51" s="55" t="s">
        <v>387</v>
      </c>
      <c r="C51" s="56" t="s">
        <v>136</v>
      </c>
      <c r="D51" s="57">
        <v>23606.0</v>
      </c>
      <c r="E51" s="58" t="s">
        <v>137</v>
      </c>
      <c r="F51" s="60" t="s">
        <v>138</v>
      </c>
      <c r="G51" s="60" t="s">
        <v>139</v>
      </c>
      <c r="H51" s="60" t="s">
        <v>388</v>
      </c>
      <c r="I51" s="60" t="s">
        <v>141</v>
      </c>
      <c r="J51" s="61" t="s">
        <v>142</v>
      </c>
      <c r="K51" s="62" t="str">
        <f>TEXTJOIN("", TRUE, Geral!B99:T99)</f>
        <v>BR-SPAPESP_DASP-PENITPRE-CSDTCARANDIRU_ICO-FOT-DGZ-MT0_3055-005-051</v>
      </c>
      <c r="L5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1" s="60" t="s">
        <v>389</v>
      </c>
      <c r="N51" s="60" t="s">
        <v>145</v>
      </c>
      <c r="O51" s="55" t="s">
        <v>390</v>
      </c>
      <c r="P51" s="65" t="s">
        <v>147</v>
      </c>
      <c r="Q51" s="65" t="s">
        <v>148</v>
      </c>
      <c r="R51" s="63" t="str">
        <f t="shared" si="2"/>
        <v>Figura n – [Festa de Natal para 554 presos no pátio do pavilhão 9, com árvore e decoração festiva (1963)]
Fonte: Arquivo do Estado de São Paulo, 1964.</v>
      </c>
      <c r="S51" s="63" t="str">
        <f t="shared" si="3"/>
        <v>ARQUIVO PÚBLICO DO ESTADO DE SÃO PAULO (Brasil). [Festa de Natal para 554 presos no pátio do pavilhão 9, com árvore e decoração festiva (1963)]. São Paulo, Brasil. 17 ago. 1964. Fotografia digitalizada; preto e branco; suporte em papel fotográfico. Disponível em: &lt;link do dataverse&gt;. Acesso em: 28 out. 2025.</v>
      </c>
      <c r="T51" s="60" t="s">
        <v>391</v>
      </c>
    </row>
    <row r="52" ht="15.75" customHeight="1">
      <c r="A52" s="45" t="str">
        <f t="shared" si="1"/>
        <v>052</v>
      </c>
      <c r="B52" s="55" t="s">
        <v>392</v>
      </c>
      <c r="C52" s="56" t="s">
        <v>136</v>
      </c>
      <c r="D52" s="57">
        <v>23606.0</v>
      </c>
      <c r="E52" s="58" t="s">
        <v>137</v>
      </c>
      <c r="F52" s="60" t="s">
        <v>138</v>
      </c>
      <c r="G52" s="60" t="s">
        <v>139</v>
      </c>
      <c r="H52" s="60" t="s">
        <v>393</v>
      </c>
      <c r="I52" s="60" t="s">
        <v>141</v>
      </c>
      <c r="J52" s="61" t="s">
        <v>142</v>
      </c>
      <c r="K52" s="62" t="str">
        <f>TEXTJOIN("", TRUE, Geral!B101:T101)</f>
        <v>BR-SPAPESP_DASP-PENITPRE-CSDTCARANDIRU_ICO-FOT-DGZ-MT0_3055-005-052</v>
      </c>
      <c r="L5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2" s="60" t="s">
        <v>394</v>
      </c>
      <c r="N52" s="60" t="s">
        <v>145</v>
      </c>
      <c r="O52" s="55" t="s">
        <v>395</v>
      </c>
      <c r="P52" s="65" t="s">
        <v>147</v>
      </c>
      <c r="Q52" s="65" t="s">
        <v>148</v>
      </c>
      <c r="R52" s="63" t="str">
        <f t="shared" si="2"/>
        <v>Figura n – [Foto Pavilhões 2, 5 e 8 – banda e familiares (27.12.1965)]
Fonte: Arquivo do Estado de São Paulo, 1964.</v>
      </c>
      <c r="S52" s="63" t="str">
        <f t="shared" si="3"/>
        <v>ARQUIVO PÚBLICO DO ESTADO DE SÃO PAULO (Brasil). [Foto Pavilhões 2, 5 e 8 – banda e familiares (27.12.1965)]. São Paulo, Brasil. 17 ago. 1964. Fotografia digitalizada; preto e branco; suporte em papel fotográfico. Disponível em: &lt;link do dataverse&gt;. Acesso em: 28 out. 2025.</v>
      </c>
      <c r="T52" s="60" t="s">
        <v>396</v>
      </c>
    </row>
    <row r="53" ht="15.75" customHeight="1">
      <c r="A53" s="45" t="str">
        <f t="shared" si="1"/>
        <v>053</v>
      </c>
      <c r="B53" s="55" t="s">
        <v>397</v>
      </c>
      <c r="C53" s="56" t="s">
        <v>136</v>
      </c>
      <c r="D53" s="57">
        <v>23606.0</v>
      </c>
      <c r="E53" s="58" t="s">
        <v>137</v>
      </c>
      <c r="F53" s="60" t="s">
        <v>138</v>
      </c>
      <c r="G53" s="60" t="s">
        <v>139</v>
      </c>
      <c r="H53" s="60" t="s">
        <v>398</v>
      </c>
      <c r="I53" s="60" t="s">
        <v>141</v>
      </c>
      <c r="J53" s="61" t="s">
        <v>142</v>
      </c>
      <c r="K53" s="62" t="str">
        <f>TEXTJOIN("", TRUE, Geral!B103:T103)</f>
        <v>BR-SPAPESP_DASP-PENITPRE-CSDTCARANDIRU_ICO-FOT-DGZ-MT0_3055-005-053</v>
      </c>
      <c r="L5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3" s="60" t="s">
        <v>399</v>
      </c>
      <c r="N53" s="60" t="s">
        <v>145</v>
      </c>
      <c r="O53" s="55" t="s">
        <v>400</v>
      </c>
      <c r="P53" s="65" t="s">
        <v>147</v>
      </c>
      <c r="Q53" s="65" t="s">
        <v>148</v>
      </c>
      <c r="R53" s="63" t="str">
        <f t="shared" si="2"/>
        <v>Figura n – [Confusão e tensão na entrada da Casa de Detenção após incidentes entre detentos e guardas (1964)]
Fonte: Arquivo do Estado de São Paulo, 1964.</v>
      </c>
      <c r="S53" s="63" t="str">
        <f t="shared" si="3"/>
        <v>ARQUIVO PÚBLICO DO ESTADO DE SÃO PAULO (Brasil). [Confusão e tensão na entrada da Casa de Detenção após incidentes entre detentos e guardas (1964)]. São Paulo, Brasil. 17 ago. 1964. Fotografia digitalizada; preto e branco; suporte em papel fotográfico. Disponível em: &lt;link do dataverse&gt;. Acesso em: 28 out. 2025.</v>
      </c>
      <c r="T53" s="60" t="s">
        <v>401</v>
      </c>
    </row>
    <row r="54" ht="15.75" customHeight="1">
      <c r="A54" s="45" t="str">
        <f t="shared" si="1"/>
        <v>054</v>
      </c>
      <c r="B54" s="55" t="s">
        <v>402</v>
      </c>
      <c r="C54" s="56" t="s">
        <v>136</v>
      </c>
      <c r="D54" s="57">
        <v>23606.0</v>
      </c>
      <c r="E54" s="58" t="s">
        <v>137</v>
      </c>
      <c r="F54" s="60" t="s">
        <v>138</v>
      </c>
      <c r="G54" s="60" t="s">
        <v>139</v>
      </c>
      <c r="H54" s="60" t="s">
        <v>403</v>
      </c>
      <c r="I54" s="60" t="s">
        <v>141</v>
      </c>
      <c r="J54" s="61" t="s">
        <v>142</v>
      </c>
      <c r="K54" s="62" t="str">
        <f>TEXTJOIN("", TRUE, Geral!B105:T105)</f>
        <v>BR-SPAPESP_DASP-PENITPRE-CSDTCARANDIRU_ICO-FOT-DGZ-MT0_3055-005-054</v>
      </c>
      <c r="L5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4" s="60" t="s">
        <v>404</v>
      </c>
      <c r="N54" s="60" t="s">
        <v>145</v>
      </c>
      <c r="O54" s="55" t="s">
        <v>405</v>
      </c>
      <c r="P54" s="65" t="s">
        <v>147</v>
      </c>
      <c r="Q54" s="65" t="s">
        <v>148</v>
      </c>
      <c r="R54" s="63" t="str">
        <f t="shared" si="2"/>
        <v>Figura n – [Profissionais da imprensa se aglomeram junto ao portão gradeado em busca de informes sobre a fuga de detento no Carandiru (1960)]
Fonte: Arquivo do Estado de São Paulo, 1964.</v>
      </c>
      <c r="S54" s="63" t="str">
        <f t="shared" si="3"/>
        <v>ARQUIVO PÚBLICO DO ESTADO DE SÃO PAULO (Brasil). [Profissionais da imprensa se aglomeram junto ao portão gradeado em busca de informes sobre a fuga de detento no Carandiru (1960)]. São Paulo, Brasil. 17 ago. 1964. Fotografia digitalizada; preto e branco; suporte em papel fotográfico. Disponível em: &lt;link do dataverse&gt;. Acesso em: 28 out. 2025.</v>
      </c>
      <c r="T54" s="60" t="s">
        <v>406</v>
      </c>
    </row>
    <row r="55" ht="15.75" customHeight="1">
      <c r="A55" s="45" t="str">
        <f t="shared" si="1"/>
        <v>055</v>
      </c>
      <c r="B55" s="55" t="s">
        <v>407</v>
      </c>
      <c r="C55" s="56" t="s">
        <v>136</v>
      </c>
      <c r="D55" s="57">
        <v>23606.0</v>
      </c>
      <c r="E55" s="58" t="s">
        <v>137</v>
      </c>
      <c r="F55" s="60" t="s">
        <v>138</v>
      </c>
      <c r="G55" s="60" t="s">
        <v>139</v>
      </c>
      <c r="H55" s="60" t="s">
        <v>408</v>
      </c>
      <c r="I55" s="60" t="s">
        <v>141</v>
      </c>
      <c r="J55" s="61" t="s">
        <v>142</v>
      </c>
      <c r="K55" s="62" t="str">
        <f>TEXTJOIN("", TRUE, Geral!B107:T107)</f>
        <v>BR-SPAPESP_DASP-PENITPRE-CSDTCARANDIRU_ICO-FOT-DGZ-MT0_3055-005-055</v>
      </c>
      <c r="L5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5" s="60" t="s">
        <v>409</v>
      </c>
      <c r="N55" s="60" t="s">
        <v>145</v>
      </c>
      <c r="O55" s="55" t="s">
        <v>410</v>
      </c>
      <c r="P55" s="65" t="s">
        <v>147</v>
      </c>
      <c r="Q55" s="65" t="s">
        <v>148</v>
      </c>
      <c r="R55" s="63" t="str">
        <f t="shared" si="2"/>
        <v>Figura n – [Distribuição de presentes de Natal por voluntárias (com decoração natalina e militares) no pavilhão 9 do Carandiru (1963)]
Fonte: Arquivo do Estado de São Paulo, 1964.</v>
      </c>
      <c r="S55" s="63" t="str">
        <f t="shared" si="3"/>
        <v>ARQUIVO PÚBLICO DO ESTADO DE SÃO PAULO (Brasil). [Distribuição de presentes de Natal por voluntárias (com decoração natalina e militares) no pavilhão 9 do Carandiru (1963)]. São Paulo, Brasil. 17 ago. 1964. Fotografia digitalizada; preto e branco; suporte em papel fotográfico. Disponível em: &lt;link do dataverse&gt;. Acesso em: 28 out. 2025.</v>
      </c>
      <c r="T55" s="60" t="s">
        <v>411</v>
      </c>
    </row>
    <row r="56" ht="15.75" customHeight="1">
      <c r="A56" s="45" t="str">
        <f t="shared" si="1"/>
        <v>056</v>
      </c>
      <c r="B56" s="55" t="s">
        <v>412</v>
      </c>
      <c r="C56" s="56" t="s">
        <v>136</v>
      </c>
      <c r="D56" s="57">
        <v>23624.0</v>
      </c>
      <c r="E56" s="58" t="s">
        <v>137</v>
      </c>
      <c r="F56" s="60" t="s">
        <v>138</v>
      </c>
      <c r="G56" s="60" t="s">
        <v>139</v>
      </c>
      <c r="H56" s="60" t="s">
        <v>413</v>
      </c>
      <c r="I56" s="60" t="s">
        <v>141</v>
      </c>
      <c r="J56" s="61" t="s">
        <v>142</v>
      </c>
      <c r="K56" s="62" t="str">
        <f>TEXTJOIN("", TRUE, Geral!B109:T109)</f>
        <v>BR-SPAPESP_DASP-PENITPRE-CSDTCARANDIRU_ICO-FOT-DGZ-MT0_3055-005-056</v>
      </c>
      <c r="L5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6" s="60" t="s">
        <v>414</v>
      </c>
      <c r="N56" s="60" t="s">
        <v>145</v>
      </c>
      <c r="O56" s="55" t="s">
        <v>415</v>
      </c>
      <c r="P56" s="65" t="s">
        <v>147</v>
      </c>
      <c r="Q56" s="65" t="s">
        <v>148</v>
      </c>
      <c r="R56" s="63" t="str">
        <f t="shared" si="2"/>
        <v>Figura n – [Detentos alfaiates trabalhando na confecção e recuperação de roupas na oficina do Carandiru (1964)]
Fonte: Arquivo do Estado de São Paulo, 1964.</v>
      </c>
      <c r="S56" s="63" t="str">
        <f t="shared" si="3"/>
        <v>ARQUIVO PÚBLICO DO ESTADO DE SÃO PAULO (Brasil). [Detentos alfaiates trabalhando na confecção e recuperação de roupas na oficina do Carandiru (1964)]. São Paulo, Brasil. 04 set. 1964. Fotografia digitalizada; preto e branco; suporte em papel fotográfico. Disponível em: &lt;link do dataverse&gt;. Acesso em: 28 out. 2025.</v>
      </c>
      <c r="T56" s="60" t="s">
        <v>416</v>
      </c>
    </row>
    <row r="57" ht="15.75" customHeight="1">
      <c r="A57" s="45" t="str">
        <f t="shared" si="1"/>
        <v>057</v>
      </c>
      <c r="B57" s="55" t="s">
        <v>417</v>
      </c>
      <c r="C57" s="56" t="s">
        <v>136</v>
      </c>
      <c r="D57" s="57">
        <v>23637.0</v>
      </c>
      <c r="E57" s="58" t="s">
        <v>137</v>
      </c>
      <c r="F57" s="60" t="s">
        <v>138</v>
      </c>
      <c r="G57" s="60" t="s">
        <v>139</v>
      </c>
      <c r="H57" s="60" t="s">
        <v>418</v>
      </c>
      <c r="I57" s="60" t="s">
        <v>141</v>
      </c>
      <c r="J57" s="61" t="s">
        <v>142</v>
      </c>
      <c r="K57" s="62" t="str">
        <f>TEXTJOIN("", TRUE, Geral!B111:T111)</f>
        <v>BR-SPAPESP_DASP-PENITPRE-CSDTCARANDIRU_ICO-FOT-DGZ-MT0_3055-005-057</v>
      </c>
      <c r="L5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7" s="60" t="s">
        <v>419</v>
      </c>
      <c r="N57" s="60" t="s">
        <v>145</v>
      </c>
      <c r="O57" s="55" t="s">
        <v>420</v>
      </c>
      <c r="P57" s="65" t="s">
        <v>147</v>
      </c>
      <c r="Q57" s="65" t="s">
        <v>148</v>
      </c>
      <c r="R57" s="63" t="str">
        <f t="shared" si="2"/>
        <v>Figura n – [Reunião de autoridades e exposição de artesanato (vime) no Carandiru (1962)]
Fonte: Arquivo do Estado de São Paulo, 1964.</v>
      </c>
      <c r="S57" s="63" t="str">
        <f t="shared" si="3"/>
        <v>ARQUIVO PÚBLICO DO ESTADO DE SÃO PAULO (Brasil). [Reunião de autoridades e exposição de artesanato (vime) no Carandiru (1962)]. São Paulo, Brasil. 17 set. 1964. Fotografia digitalizada; preto e branco; suporte em papel fotográfico. Disponível em: &lt;link do dataverse&gt;. Acesso em: 28 out. 2025.</v>
      </c>
      <c r="T57" s="60" t="s">
        <v>421</v>
      </c>
    </row>
    <row r="58" ht="15.75" customHeight="1">
      <c r="A58" s="45" t="str">
        <f t="shared" si="1"/>
        <v>058</v>
      </c>
      <c r="B58" s="55" t="s">
        <v>422</v>
      </c>
      <c r="C58" s="56" t="s">
        <v>136</v>
      </c>
      <c r="D58" s="57">
        <v>23961.0</v>
      </c>
      <c r="E58" s="58" t="s">
        <v>137</v>
      </c>
      <c r="F58" s="60" t="s">
        <v>138</v>
      </c>
      <c r="G58" s="60" t="s">
        <v>139</v>
      </c>
      <c r="H58" s="60" t="s">
        <v>423</v>
      </c>
      <c r="I58" s="60" t="s">
        <v>141</v>
      </c>
      <c r="J58" s="61" t="s">
        <v>142</v>
      </c>
      <c r="K58" s="62" t="str">
        <f>TEXTJOIN("", TRUE, Geral!B113:T113)</f>
        <v>BR-SPAPESP_DASP-PENITPRE-CSDTCARANDIRU_ICO-FOT-DGZ-MT0_3055-005-058</v>
      </c>
      <c r="L5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8" s="60" t="s">
        <v>424</v>
      </c>
      <c r="N58" s="60" t="s">
        <v>145</v>
      </c>
      <c r="O58" s="55" t="s">
        <v>425</v>
      </c>
      <c r="P58" s="65" t="s">
        <v>147</v>
      </c>
      <c r="Q58" s="65" t="s">
        <v>148</v>
      </c>
      <c r="R58" s="63" t="str">
        <f t="shared" si="2"/>
        <v>Figura n – [Juristas cariocas visitando e examinando as instalações da Casa de Detenção através das grades (1961)]
Fonte: Arquivo do Estado de São Paulo, 1965.</v>
      </c>
      <c r="S58" s="63" t="str">
        <f t="shared" si="3"/>
        <v>ARQUIVO PÚBLICO DO ESTADO DE SÃO PAULO (Brasil). [Juristas cariocas visitando e examinando as instalações da Casa de Detenção através das grades (1961)]. São Paulo, Brasil. 07 ago. 1965. Fotografia digitalizada; preto e branco; suporte em papel fotográfico. Disponível em: &lt;link do dataverse&gt;. Acesso em: 28 out. 2025.</v>
      </c>
      <c r="T58" s="60" t="s">
        <v>426</v>
      </c>
    </row>
    <row r="59" ht="15.75" customHeight="1">
      <c r="A59" s="45" t="str">
        <f t="shared" si="1"/>
        <v>059</v>
      </c>
      <c r="B59" s="55" t="s">
        <v>427</v>
      </c>
      <c r="C59" s="56" t="s">
        <v>136</v>
      </c>
      <c r="D59" s="57">
        <v>24103.0</v>
      </c>
      <c r="E59" s="58" t="s">
        <v>137</v>
      </c>
      <c r="F59" s="60" t="s">
        <v>138</v>
      </c>
      <c r="G59" s="60" t="s">
        <v>139</v>
      </c>
      <c r="H59" s="60" t="s">
        <v>428</v>
      </c>
      <c r="I59" s="60" t="s">
        <v>141</v>
      </c>
      <c r="J59" s="61" t="s">
        <v>142</v>
      </c>
      <c r="K59" s="62" t="str">
        <f>TEXTJOIN("", TRUE, Geral!B115:T115)</f>
        <v>BR-SPAPESP_DASP-PENITPRE-CSDTCARANDIRU_ICO-FOT-DGZ-MT0_3055-005-059</v>
      </c>
      <c r="L5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9" s="60" t="s">
        <v>429</v>
      </c>
      <c r="N59" s="60" t="s">
        <v>145</v>
      </c>
      <c r="O59" s="55" t="s">
        <v>430</v>
      </c>
      <c r="P59" s="65" t="s">
        <v>147</v>
      </c>
      <c r="Q59" s="65" t="s">
        <v>148</v>
      </c>
      <c r="R59" s="63" t="str">
        <f t="shared" si="2"/>
        <v>Figura n – [Foto Pavilhão 9, solenidade de inauguração (1961)]
Fonte: Arquivo do Estado de São Paulo, 1965.</v>
      </c>
      <c r="S59" s="63" t="str">
        <f t="shared" si="3"/>
        <v>ARQUIVO PÚBLICO DO ESTADO DE SÃO PAULO (Brasil). [Foto Pavilhão 9, solenidade de inauguração (1961)]. São Paulo, Brasil. 27 dez. 1965. Fotografia digitalizada; preto e branco; suporte em papel fotográfico. Disponível em: &lt;link do dataverse&gt;. Acesso em: 28 out. 2025.</v>
      </c>
      <c r="T59" s="60" t="s">
        <v>431</v>
      </c>
    </row>
    <row r="60" ht="15.75" customHeight="1">
      <c r="A60" s="45" t="str">
        <f t="shared" si="1"/>
        <v>060</v>
      </c>
      <c r="B60" s="55" t="s">
        <v>432</v>
      </c>
      <c r="C60" s="56" t="s">
        <v>136</v>
      </c>
      <c r="D60" s="57">
        <v>24103.0</v>
      </c>
      <c r="E60" s="58" t="s">
        <v>137</v>
      </c>
      <c r="F60" s="60" t="s">
        <v>138</v>
      </c>
      <c r="G60" s="60" t="s">
        <v>139</v>
      </c>
      <c r="H60" s="60" t="s">
        <v>433</v>
      </c>
      <c r="I60" s="60" t="s">
        <v>141</v>
      </c>
      <c r="J60" s="61" t="s">
        <v>142</v>
      </c>
      <c r="K60" s="62" t="str">
        <f>TEXTJOIN("", TRUE, Geral!B117:T117)</f>
        <v>BR-SPAPESP_DASP-PENITPRE-CSDTCARANDIRU_ICO-FOT-DGZ-MT0_3055-005-060</v>
      </c>
      <c r="L6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0" s="60" t="s">
        <v>434</v>
      </c>
      <c r="N60" s="60" t="s">
        <v>145</v>
      </c>
      <c r="O60" s="55" t="s">
        <v>435</v>
      </c>
      <c r="P60" s="65" t="s">
        <v>147</v>
      </c>
      <c r="Q60" s="65" t="s">
        <v>148</v>
      </c>
      <c r="R60" s="63" t="str">
        <f t="shared" si="2"/>
        <v>Figura n – [“Soldados de serviço” nas muralhas (12.11.1956)]
Fonte: Arquivo do Estado de São Paulo, 1965.</v>
      </c>
      <c r="S60" s="63" t="str">
        <f t="shared" si="3"/>
        <v>ARQUIVO PÚBLICO DO ESTADO DE SÃO PAULO (Brasil). [“Soldados de serviço” nas muralhas (12.11.1956)]. São Paulo, Brasil. 27 dez. 1965. Fotografia digitalizada; preto e branco; suporte em papel fotográfico. Disponível em: &lt;link do dataverse&gt;. Acesso em: 28 out. 2025.</v>
      </c>
      <c r="T60" s="60" t="s">
        <v>436</v>
      </c>
    </row>
    <row r="61" ht="15.75" customHeight="1">
      <c r="A61" s="45" t="str">
        <f t="shared" si="1"/>
        <v>061</v>
      </c>
      <c r="B61" s="55" t="s">
        <v>437</v>
      </c>
      <c r="C61" s="56" t="s">
        <v>136</v>
      </c>
      <c r="D61" s="57">
        <v>25245.0</v>
      </c>
      <c r="E61" s="58" t="s">
        <v>137</v>
      </c>
      <c r="F61" s="60" t="s">
        <v>138</v>
      </c>
      <c r="G61" s="60" t="s">
        <v>139</v>
      </c>
      <c r="H61" s="60" t="s">
        <v>438</v>
      </c>
      <c r="I61" s="60" t="s">
        <v>141</v>
      </c>
      <c r="J61" s="61" t="s">
        <v>142</v>
      </c>
      <c r="K61" s="62" t="str">
        <f>TEXTJOIN("", TRUE, Geral!B119:T119)</f>
        <v>BR-SPAPESP_DASP-PENITPRE-CSDTCARANDIRU_ICO-FOT-DGZ-MT0_3055-005-061</v>
      </c>
      <c r="L6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1" s="60" t="s">
        <v>439</v>
      </c>
      <c r="N61" s="60" t="s">
        <v>145</v>
      </c>
      <c r="O61" s="55" t="s">
        <v>440</v>
      </c>
      <c r="P61" s="65" t="s">
        <v>147</v>
      </c>
      <c r="Q61" s="65" t="s">
        <v>148</v>
      </c>
      <c r="R61" s="63" t="str">
        <f t="shared" si="2"/>
        <v>Figura n – [Solenidade de inauguração do pavilhão nº 9 da Casa de Detenção (Carandiru) com banda marcial e presos em formação (1961)]
Fonte: Arquivo do Estado de São Paulo, 1969.</v>
      </c>
      <c r="S61" s="63" t="str">
        <f t="shared" si="3"/>
        <v>ARQUIVO PÚBLICO DO ESTADO DE SÃO PAULO (Brasil). [Solenidade de inauguração do pavilhão nº 9 da Casa de Detenção (Carandiru) com banda marcial e presos em formação (1961)]. São Paulo, Brasil. 11 fev. 1969. Fotografia digitalizada; preto e branco; suporte em papel fotográfico. Disponível em: &lt;link do dataverse&gt;. Acesso em: 28 out. 2025.</v>
      </c>
      <c r="T61" s="60" t="s">
        <v>441</v>
      </c>
    </row>
    <row r="62" ht="15.75" customHeight="1">
      <c r="A62" s="45" t="str">
        <f t="shared" si="1"/>
        <v>062</v>
      </c>
      <c r="B62" s="55" t="s">
        <v>442</v>
      </c>
      <c r="C62" s="56" t="s">
        <v>136</v>
      </c>
      <c r="D62" s="57">
        <v>25442.0</v>
      </c>
      <c r="E62" s="58" t="s">
        <v>137</v>
      </c>
      <c r="F62" s="60" t="s">
        <v>138</v>
      </c>
      <c r="G62" s="60" t="s">
        <v>139</v>
      </c>
      <c r="H62" s="60" t="s">
        <v>443</v>
      </c>
      <c r="I62" s="60" t="s">
        <v>141</v>
      </c>
      <c r="J62" s="61" t="s">
        <v>142</v>
      </c>
      <c r="K62" s="62" t="str">
        <f>TEXTJOIN("", TRUE, Geral!B121:T121)</f>
        <v>BR-SPAPESP_DASP-PENITPRE-CSDTCARANDIRU_ICO-FOT-DGZ-MT0_3055-005-062</v>
      </c>
      <c r="L6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2" s="60" t="s">
        <v>444</v>
      </c>
      <c r="N62" s="60" t="s">
        <v>145</v>
      </c>
      <c r="O62" s="55" t="s">
        <v>445</v>
      </c>
      <c r="P62" s="65" t="s">
        <v>147</v>
      </c>
      <c r="Q62" s="65" t="s">
        <v>148</v>
      </c>
      <c r="R62" s="63" t="str">
        <f t="shared" si="2"/>
        <v>Figura n – [Repórter e militares inspecionando o arsenal de armas artesanais e drogas apreendidas após motim no Carandiru (1964)]
Fonte: Arquivo do Estado de São Paulo, 1969.</v>
      </c>
      <c r="S62" s="63" t="str">
        <f t="shared" si="3"/>
        <v>ARQUIVO PÚBLICO DO ESTADO DE SÃO PAULO (Brasil). [Repórter e militares inspecionando o arsenal de armas artesanais e drogas apreendidas após motim no Carandiru (1964)]. São Paulo, Brasil. 27 ago. 1969. Fotografia digitalizada; preto e branco; suporte em papel fotográfico. Disponível em: &lt;link do dataverse&gt;. Acesso em: 28 out. 2025.</v>
      </c>
      <c r="T62" s="60" t="s">
        <v>446</v>
      </c>
    </row>
    <row r="63" ht="15.75" customHeight="1">
      <c r="A63" s="45" t="str">
        <f t="shared" si="1"/>
        <v>063</v>
      </c>
      <c r="B63" s="55" t="s">
        <v>447</v>
      </c>
      <c r="C63" s="56" t="s">
        <v>136</v>
      </c>
      <c r="D63" s="57">
        <v>25442.0</v>
      </c>
      <c r="E63" s="58" t="s">
        <v>137</v>
      </c>
      <c r="F63" s="60" t="s">
        <v>138</v>
      </c>
      <c r="G63" s="60" t="s">
        <v>139</v>
      </c>
      <c r="H63" s="60" t="s">
        <v>448</v>
      </c>
      <c r="I63" s="60" t="s">
        <v>141</v>
      </c>
      <c r="J63" s="61" t="s">
        <v>142</v>
      </c>
      <c r="K63" s="62" t="str">
        <f>TEXTJOIN("", TRUE, Geral!B123:T123)</f>
        <v>BR-SPAPESP_DASP-PENITPRE-CSDTCARANDIRU_ICO-FOT-DGZ-MT0_3055-005-063</v>
      </c>
      <c r="L6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3" s="60" t="s">
        <v>449</v>
      </c>
      <c r="N63" s="60" t="s">
        <v>145</v>
      </c>
      <c r="O63" s="55" t="s">
        <v>450</v>
      </c>
      <c r="P63" s="65" t="s">
        <v>147</v>
      </c>
      <c r="Q63" s="65" t="s">
        <v>148</v>
      </c>
      <c r="R63" s="63" t="str">
        <f t="shared" si="2"/>
        <v>Figura n – [Missa inaugural da Capela de Nossa Senhora Aparecida, com a presença de Dom Paulo Rolim Loureiro e centenas de detentos (1961)]
Fonte: Arquivo do Estado de São Paulo, 1969.</v>
      </c>
      <c r="S63" s="63" t="str">
        <f t="shared" si="3"/>
        <v>ARQUIVO PÚBLICO DO ESTADO DE SÃO PAULO (Brasil). [Missa inaugural da Capela de Nossa Senhora Aparecida, com a presença de Dom Paulo Rolim Loureiro e centenas de detentos (1961)]. São Paulo, Brasil. 27 ago. 1969. Fotografia digitalizada; preto e branco; suporte em papel fotográfico. Disponível em: &lt;link do dataverse&gt;. Acesso em: 28 out. 2025.</v>
      </c>
      <c r="T63" s="55" t="s">
        <v>451</v>
      </c>
    </row>
    <row r="64" ht="15.75" customHeight="1">
      <c r="A64" s="45" t="str">
        <f t="shared" si="1"/>
        <v>064</v>
      </c>
      <c r="B64" s="55" t="s">
        <v>452</v>
      </c>
      <c r="C64" s="56" t="s">
        <v>136</v>
      </c>
      <c r="D64" s="57">
        <v>26595.0</v>
      </c>
      <c r="E64" s="58" t="s">
        <v>137</v>
      </c>
      <c r="F64" s="60" t="s">
        <v>138</v>
      </c>
      <c r="G64" s="60" t="s">
        <v>139</v>
      </c>
      <c r="H64" s="60" t="s">
        <v>453</v>
      </c>
      <c r="I64" s="60" t="s">
        <v>141</v>
      </c>
      <c r="J64" s="61" t="s">
        <v>142</v>
      </c>
      <c r="K64" s="62" t="str">
        <f>TEXTJOIN("", TRUE, Geral!B125:T125)</f>
        <v>BR-SPAPESP_DASP-PENITPRE-CSDTCARANDIRU_ICO-FOT-DGZ-MT0_3055-005-064</v>
      </c>
      <c r="L6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4" s="60" t="s">
        <v>454</v>
      </c>
      <c r="N64" s="60" t="s">
        <v>145</v>
      </c>
      <c r="O64" s="55" t="s">
        <v>455</v>
      </c>
      <c r="P64" s="65" t="s">
        <v>147</v>
      </c>
      <c r="Q64" s="65" t="s">
        <v>148</v>
      </c>
      <c r="R64" s="63" t="str">
        <f t="shared" si="2"/>
        <v>Figura n – [Soldados armados e em posto de vigilância no topo da muralha da nova Casa de Detenção (1956)]
Fonte: Arquivo do Estado de São Paulo, 1972.</v>
      </c>
      <c r="S64" s="63" t="str">
        <f t="shared" si="3"/>
        <v>ARQUIVO PÚBLICO DO ESTADO DE SÃO PAULO (Brasil). [Soldados armados e em posto de vigilância no topo da muralha da nova Casa de Detenção (1956)]. São Paulo, Brasil. 23 out. 1972. Fotografia digitalizada; preto e branco; suporte em papel fotográfico. Disponível em: &lt;link do dataverse&gt;. Acesso em: 28 out. 2025.</v>
      </c>
      <c r="T64" s="55" t="s">
        <v>456</v>
      </c>
    </row>
    <row r="65" ht="15.75" customHeight="1">
      <c r="A65" s="45" t="str">
        <f t="shared" si="1"/>
        <v>065</v>
      </c>
      <c r="B65" s="55" t="s">
        <v>457</v>
      </c>
      <c r="C65" s="56" t="s">
        <v>136</v>
      </c>
      <c r="D65" s="57">
        <v>26708.0</v>
      </c>
      <c r="E65" s="58" t="s">
        <v>137</v>
      </c>
      <c r="F65" s="60" t="s">
        <v>138</v>
      </c>
      <c r="G65" s="60" t="s">
        <v>139</v>
      </c>
      <c r="H65" s="60" t="s">
        <v>458</v>
      </c>
      <c r="I65" s="60" t="s">
        <v>141</v>
      </c>
      <c r="J65" s="61" t="s">
        <v>142</v>
      </c>
      <c r="K65" s="62" t="str">
        <f>TEXTJOIN("", TRUE, Geral!B127:T127)</f>
        <v>BR-SPAPESP_DASP-PENITPRE-CSDTCARANDIRU_ICO-FOT-DGZ-MT0_3055-005-065</v>
      </c>
      <c r="L6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5" s="60" t="s">
        <v>459</v>
      </c>
      <c r="N65" s="60" t="s">
        <v>145</v>
      </c>
      <c r="O65" s="55" t="s">
        <v>460</v>
      </c>
      <c r="P65" s="65" t="s">
        <v>147</v>
      </c>
      <c r="Q65" s="65" t="s">
        <v>148</v>
      </c>
      <c r="R65" s="63" t="str">
        <f t="shared" si="2"/>
        <v>Figura n – [Foto Pavilhão 8, inauguração da capela (1961)]
Fonte: Arquivo do Estado de São Paulo, 1973.</v>
      </c>
      <c r="S65" s="63" t="str">
        <f t="shared" si="3"/>
        <v>ARQUIVO PÚBLICO DO ESTADO DE SÃO PAULO (Brasil). [Foto Pavilhão 8, inauguração da capela (1961)]. São Paulo, Brasil. 13 fev. 1973. Fotografia digitalizada; preto e branco; suporte em papel fotográfico. Disponível em: &lt;link do dataverse&gt;. Acesso em: 28 out. 2025.</v>
      </c>
      <c r="T65" s="55" t="s">
        <v>461</v>
      </c>
    </row>
    <row r="66" ht="15.75" customHeight="1">
      <c r="A66" s="45" t="str">
        <f t="shared" si="1"/>
        <v>066</v>
      </c>
      <c r="B66" s="55" t="s">
        <v>462</v>
      </c>
      <c r="C66" s="56" t="s">
        <v>136</v>
      </c>
      <c r="D66" s="57">
        <v>26789.0</v>
      </c>
      <c r="E66" s="58" t="s">
        <v>137</v>
      </c>
      <c r="F66" s="60" t="s">
        <v>138</v>
      </c>
      <c r="G66" s="60" t="s">
        <v>139</v>
      </c>
      <c r="H66" s="60" t="s">
        <v>463</v>
      </c>
      <c r="I66" s="60" t="s">
        <v>141</v>
      </c>
      <c r="J66" s="61" t="s">
        <v>142</v>
      </c>
      <c r="K66" s="62" t="str">
        <f>TEXTJOIN("", TRUE, Geral!B129:T129)</f>
        <v>BR-SPAPESP_DASP-PENITPRE-CSDTCARANDIRU_ICO-FOT-DGZ-MT0_3055-005-066</v>
      </c>
      <c r="L6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6" s="60" t="s">
        <v>464</v>
      </c>
      <c r="N66" s="60" t="s">
        <v>145</v>
      </c>
      <c r="O66" s="55" t="s">
        <v>465</v>
      </c>
      <c r="P66" s="65" t="s">
        <v>147</v>
      </c>
      <c r="Q66" s="65" t="s">
        <v>148</v>
      </c>
      <c r="R66" s="63" t="str">
        <f t="shared" si="2"/>
        <v>Figura n – [Placas de obras da Casa de Detenção e do Departamento de Obras Públicas (DOP) durante a gestão do Governador Jânio Quadros (1957)]
Fonte: Arquivo do Estado de São Paulo, 1973.</v>
      </c>
      <c r="S66" s="63" t="str">
        <f t="shared" si="3"/>
        <v>ARQUIVO PÚBLICO DO ESTADO DE SÃO PAULO (Brasil). [Placas de obras da Casa de Detenção e do Departamento de Obras Públicas (DOP) durante a gestão do Governador Jânio Quadros (1957)]. São Paulo, Brasil. 05 mai. 1973. Fotografia digitalizada; preto e branco; suporte em papel fotográfico. Disponível em: &lt;link do dataverse&gt;. Acesso em: 28 out. 2025.</v>
      </c>
      <c r="T66" s="60" t="s">
        <v>466</v>
      </c>
    </row>
    <row r="67" ht="15.75" customHeight="1">
      <c r="A67" s="45" t="str">
        <f t="shared" si="1"/>
        <v>067</v>
      </c>
      <c r="B67" s="55" t="s">
        <v>467</v>
      </c>
      <c r="C67" s="56" t="s">
        <v>136</v>
      </c>
      <c r="D67" s="57">
        <v>26975.0</v>
      </c>
      <c r="E67" s="58" t="s">
        <v>137</v>
      </c>
      <c r="F67" s="60" t="s">
        <v>138</v>
      </c>
      <c r="G67" s="60" t="s">
        <v>139</v>
      </c>
      <c r="H67" s="60" t="s">
        <v>468</v>
      </c>
      <c r="I67" s="60" t="s">
        <v>141</v>
      </c>
      <c r="J67" s="61" t="s">
        <v>142</v>
      </c>
      <c r="K67" s="62" t="str">
        <f>TEXTJOIN("", TRUE, Geral!B133:T133)</f>
        <v>BR-SPAPESP_DASP-PENITPRE-CSDTCARANDIRU_ICO-FOT-DGZ-MT0_3055-005-067</v>
      </c>
      <c r="L6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7" s="60" t="s">
        <v>469</v>
      </c>
      <c r="N67" s="60" t="s">
        <v>145</v>
      </c>
      <c r="O67" s="55" t="s">
        <v>470</v>
      </c>
      <c r="P67" s="65" t="s">
        <v>147</v>
      </c>
      <c r="Q67" s="65" t="s">
        <v>148</v>
      </c>
      <c r="R67" s="63" t="str">
        <f t="shared" si="2"/>
        <v>Figura n – [Fachada, 12.09.1956. Legenda indica reutilização em 1965]
Fonte: Arquivo do Estado de São Paulo, 1973.</v>
      </c>
      <c r="S67" s="63" t="str">
        <f t="shared" si="3"/>
        <v>ARQUIVO PÚBLICO DO ESTADO DE SÃO PAULO (Brasil). [Fachada, 12.09.1956. Legenda indica reutilização em 1965]. São Paulo, Brasil. 07 nov. 1973. Fotografia digitalizada; preto e branco; suporte em papel fotográfico. Disponível em: &lt;link do dataverse&gt;. Acesso em: 28 out. 2025.</v>
      </c>
      <c r="T67" s="60" t="s">
        <v>471</v>
      </c>
    </row>
    <row r="68" ht="15.75" customHeight="1">
      <c r="A68" s="45" t="str">
        <f t="shared" si="1"/>
        <v>68F</v>
      </c>
      <c r="B68" s="55" t="s">
        <v>472</v>
      </c>
      <c r="C68" s="56" t="s">
        <v>136</v>
      </c>
      <c r="D68" s="57">
        <v>28280.0</v>
      </c>
      <c r="E68" s="58" t="s">
        <v>137</v>
      </c>
      <c r="F68" s="60" t="s">
        <v>138</v>
      </c>
      <c r="G68" s="60" t="s">
        <v>139</v>
      </c>
      <c r="H68" s="60" t="s">
        <v>473</v>
      </c>
      <c r="I68" s="60" t="s">
        <v>141</v>
      </c>
      <c r="J68" s="61" t="s">
        <v>142</v>
      </c>
      <c r="K68" s="62" t="str">
        <f>TEXTJOIN("", TRUE, Geral!B131:U131)</f>
        <v>BR-SPAPESP_DASP-PENITPRE-CSDTCARANDIRU_ICO-FOT-DGZ-MT0_3055-005-068F</v>
      </c>
      <c r="L6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8" s="60" t="s">
        <v>474</v>
      </c>
      <c r="N68" s="60" t="s">
        <v>145</v>
      </c>
      <c r="O68" s="55" t="s">
        <v>475</v>
      </c>
      <c r="P68" s="65" t="s">
        <v>147</v>
      </c>
      <c r="Q68" s="65" t="s">
        <v>148</v>
      </c>
      <c r="R68" s="63" t="str">
        <f t="shared" si="2"/>
        <v>Figura n – [Diretor (Coronel Fernão Guedes) e oficiais inspecionando o pátio do pavilhão Nove após a tentativa de fuga no Carandiru (1973)]
Fonte: Arquivo do Estado de São Paulo, 1977.</v>
      </c>
      <c r="S68" s="63" t="str">
        <f t="shared" si="3"/>
        <v>ARQUIVO PÚBLICO DO ESTADO DE SÃO PAULO (Brasil). [Diretor (Coronel Fernão Guedes) e oficiais inspecionando o pátio do pavilhão Nove após a tentativa de fuga no Carandiru (1973)]. São Paulo, Brasil. 04 jun. 1977. Fotografia digitalizada; preto e branco; suporte em papel fotográfico. Disponível em: &lt;link do dataverse&gt;. Acesso em: 28 out. 2025.</v>
      </c>
      <c r="T68" s="60" t="s">
        <v>476</v>
      </c>
    </row>
    <row r="69" ht="15.75" customHeight="1">
      <c r="A69" s="45" t="str">
        <f t="shared" si="1"/>
        <v>069</v>
      </c>
      <c r="B69" s="55" t="s">
        <v>432</v>
      </c>
      <c r="C69" s="56" t="s">
        <v>136</v>
      </c>
      <c r="D69" s="57">
        <v>28397.0</v>
      </c>
      <c r="E69" s="58" t="s">
        <v>137</v>
      </c>
      <c r="F69" s="60" t="s">
        <v>138</v>
      </c>
      <c r="G69" s="60" t="s">
        <v>139</v>
      </c>
      <c r="H69" s="60" t="s">
        <v>477</v>
      </c>
      <c r="I69" s="60" t="s">
        <v>141</v>
      </c>
      <c r="J69" s="61" t="s">
        <v>142</v>
      </c>
      <c r="K69" s="62" t="str">
        <f>TEXTJOIN("", TRUE, Geral!B135:T135)</f>
        <v>BR-SPAPESP_DASP-PENITPRE-CSDTCARANDIRU_ICO-FOT-DGZ-MT0_3055-005-069</v>
      </c>
      <c r="L6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9" s="60" t="s">
        <v>478</v>
      </c>
      <c r="N69" s="60" t="s">
        <v>145</v>
      </c>
      <c r="O69" s="55" t="s">
        <v>479</v>
      </c>
      <c r="P69" s="65" t="s">
        <v>147</v>
      </c>
      <c r="Q69" s="65" t="s">
        <v>148</v>
      </c>
      <c r="R69" s="63" t="str">
        <f t="shared" si="2"/>
        <v>Figura n – [“Soldados de serviço” nas muralhas (12.11.1956)]
Fonte: Arquivo do Estado de São Paulo, 1977.</v>
      </c>
      <c r="S69" s="63" t="str">
        <f t="shared" si="3"/>
        <v>ARQUIVO PÚBLICO DO ESTADO DE SÃO PAULO (Brasil). [“Soldados de serviço” nas muralhas (12.11.1956)]. São Paulo, Brasil. 29 set. 1977. Fotografia digitalizada; preto e branco; suporte em papel fotográfico. Disponível em: &lt;link do dataverse&gt;. Acesso em: 28 out. 2025.</v>
      </c>
      <c r="T69" s="55" t="s">
        <v>480</v>
      </c>
    </row>
    <row r="70" ht="15.75" customHeight="1">
      <c r="A70" s="45" t="str">
        <f t="shared" si="1"/>
        <v>070</v>
      </c>
      <c r="B70" s="55" t="s">
        <v>481</v>
      </c>
      <c r="C70" s="56" t="s">
        <v>136</v>
      </c>
      <c r="D70" s="57">
        <v>28476.0</v>
      </c>
      <c r="E70" s="58" t="s">
        <v>137</v>
      </c>
      <c r="F70" s="60" t="s">
        <v>138</v>
      </c>
      <c r="G70" s="60" t="s">
        <v>139</v>
      </c>
      <c r="H70" s="60" t="s">
        <v>482</v>
      </c>
      <c r="I70" s="60" t="s">
        <v>141</v>
      </c>
      <c r="J70" s="61" t="s">
        <v>142</v>
      </c>
      <c r="K70" s="62" t="str">
        <f>TEXTJOIN("", TRUE, Geral!B137:T137)</f>
        <v>BR-SPAPESP_DASP-PENITPRE-CSDTCARANDIRU_ICO-FOT-DGZ-MT0_3055-005-070</v>
      </c>
      <c r="L7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0" s="60" t="s">
        <v>483</v>
      </c>
      <c r="N70" s="60" t="s">
        <v>145</v>
      </c>
      <c r="O70" s="55" t="s">
        <v>484</v>
      </c>
      <c r="P70" s="65" t="s">
        <v>147</v>
      </c>
      <c r="Q70" s="65" t="s">
        <v>148</v>
      </c>
      <c r="R70" s="63" t="str">
        <f t="shared" si="2"/>
        <v>Figura n – [Grupo de soldados armados em formação no Pátio da Casa da Guarda, na inauguração da Casa de Detenção (1956)]
Fonte: Arquivo do Estado de São Paulo, 1977.</v>
      </c>
      <c r="S70" s="63" t="str">
        <f t="shared" si="3"/>
        <v>ARQUIVO PÚBLICO DO ESTADO DE SÃO PAULO (Brasil). [Grupo de soldados armados em formação no Pátio da Casa da Guarda, na inauguração da Casa de Detenção (1956)]. São Paulo, Brasil. 17 dez. 1977. Fotografia digitalizada; preto e branco; suporte em papel fotográfico. Disponível em: &lt;link do dataverse&gt;. Acesso em: 28 out. 2025.</v>
      </c>
      <c r="T70" s="55" t="s">
        <v>485</v>
      </c>
    </row>
    <row r="71" ht="15.75" customHeight="1">
      <c r="A71" s="45" t="str">
        <f t="shared" si="1"/>
        <v>071</v>
      </c>
      <c r="B71" s="55" t="s">
        <v>486</v>
      </c>
      <c r="C71" s="56" t="s">
        <v>136</v>
      </c>
      <c r="D71" s="57">
        <v>28513.0</v>
      </c>
      <c r="E71" s="58" t="s">
        <v>137</v>
      </c>
      <c r="F71" s="60" t="s">
        <v>138</v>
      </c>
      <c r="G71" s="60" t="s">
        <v>139</v>
      </c>
      <c r="H71" s="60" t="s">
        <v>487</v>
      </c>
      <c r="I71" s="60" t="s">
        <v>141</v>
      </c>
      <c r="J71" s="61" t="s">
        <v>142</v>
      </c>
      <c r="K71" s="62" t="str">
        <f>TEXTJOIN("", TRUE, Geral!B139:T139)</f>
        <v>BR-SPAPESP_DASP-PENITPRE-CSDTCARANDIRU_ICO-FOT-DGZ-MT0_3055-005-071</v>
      </c>
      <c r="L7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1" s="60" t="s">
        <v>488</v>
      </c>
      <c r="N71" s="60" t="s">
        <v>145</v>
      </c>
      <c r="O71" s="55" t="s">
        <v>489</v>
      </c>
      <c r="P71" s="65" t="s">
        <v>147</v>
      </c>
      <c r="Q71" s="65" t="s">
        <v>148</v>
      </c>
      <c r="R71" s="63" t="str">
        <f t="shared" si="2"/>
        <v>Figura n – [Guarda (soldado) armado em serviço de vigilância na passarela dos muros da Casa de Detenção (1956)]
Fonte: Arquivo do Estado de São Paulo, 1978.</v>
      </c>
      <c r="S71" s="63" t="str">
        <f t="shared" si="3"/>
        <v>ARQUIVO PÚBLICO DO ESTADO DE SÃO PAULO (Brasil). [Guarda (soldado) armado em serviço de vigilância na passarela dos muros da Casa de Detenção (1956)]. São Paulo, Brasil. 23 jan. 1978. Fotografia digitalizada; preto e branco; suporte em papel fotográfico. Disponível em: &lt;link do dataverse&gt;. Acesso em: 28 out. 2025.</v>
      </c>
      <c r="T71" s="60" t="s">
        <v>490</v>
      </c>
    </row>
    <row r="72" ht="15.75" customHeight="1">
      <c r="A72" s="45" t="str">
        <f t="shared" si="1"/>
        <v>072</v>
      </c>
      <c r="B72" s="55" t="s">
        <v>491</v>
      </c>
      <c r="C72" s="56" t="s">
        <v>136</v>
      </c>
      <c r="D72" s="57">
        <v>28538.0</v>
      </c>
      <c r="E72" s="58" t="s">
        <v>137</v>
      </c>
      <c r="F72" s="60" t="s">
        <v>138</v>
      </c>
      <c r="G72" s="60" t="s">
        <v>139</v>
      </c>
      <c r="H72" s="60" t="s">
        <v>492</v>
      </c>
      <c r="I72" s="60" t="s">
        <v>141</v>
      </c>
      <c r="J72" s="61" t="s">
        <v>142</v>
      </c>
      <c r="K72" s="62" t="str">
        <f>TEXTJOIN("", TRUE, Geral!B141:T141)</f>
        <v>BR-SPAPESP_DASP-PENITPRE-CSDTCARANDIRU_ICO-FOT-DGZ-MT0_3055-005-072</v>
      </c>
      <c r="L7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2" s="60" t="s">
        <v>493</v>
      </c>
      <c r="N72" s="60" t="s">
        <v>145</v>
      </c>
      <c r="O72" s="55" t="s">
        <v>494</v>
      </c>
      <c r="P72" s="65" t="s">
        <v>147</v>
      </c>
      <c r="Q72" s="65" t="s">
        <v>148</v>
      </c>
      <c r="R72" s="63" t="str">
        <f t="shared" si="2"/>
        <v>Figura n – [Agentes em guarita de vigilância em frente às janelas do pavilhão, durante evento esportivo no Carandiru (1969)]
Fonte: Arquivo do Estado de São Paulo, 1978.</v>
      </c>
      <c r="S72" s="63" t="str">
        <f t="shared" si="3"/>
        <v>ARQUIVO PÚBLICO DO ESTADO DE SÃO PAULO (Brasil). [Agentes em guarita de vigilância em frente às janelas do pavilhão, durante evento esportivo no Carandiru (1969)]. São Paulo, Brasil. 17 fev. 1978. Fotografia digitalizada; preto e branco; suporte em papel fotográfico. Disponível em: &lt;link do dataverse&gt;. Acesso em: 28 out. 2025.</v>
      </c>
      <c r="T72" s="60" t="s">
        <v>495</v>
      </c>
    </row>
    <row r="73" ht="15.75" customHeight="1">
      <c r="A73" s="45" t="str">
        <f t="shared" si="1"/>
        <v>073</v>
      </c>
      <c r="B73" s="55" t="s">
        <v>496</v>
      </c>
      <c r="C73" s="56" t="s">
        <v>136</v>
      </c>
      <c r="D73" s="57">
        <v>28588.0</v>
      </c>
      <c r="E73" s="58" t="s">
        <v>137</v>
      </c>
      <c r="F73" s="60" t="s">
        <v>138</v>
      </c>
      <c r="G73" s="60" t="s">
        <v>139</v>
      </c>
      <c r="H73" s="60" t="s">
        <v>497</v>
      </c>
      <c r="I73" s="60" t="s">
        <v>141</v>
      </c>
      <c r="J73" s="61" t="s">
        <v>142</v>
      </c>
      <c r="K73" s="62" t="str">
        <f>TEXTJOIN("", TRUE, Geral!B143:T143)</f>
        <v>BR-SPAPESP_DASP-PENITPRE-CSDTCARANDIRU_ICO-FOT-DGZ-MT0_3055-005-073</v>
      </c>
      <c r="L7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3" s="60" t="s">
        <v>498</v>
      </c>
      <c r="N73" s="60" t="s">
        <v>145</v>
      </c>
      <c r="O73" s="55" t="s">
        <v>499</v>
      </c>
      <c r="P73" s="65" t="s">
        <v>147</v>
      </c>
      <c r="Q73" s="65" t="s">
        <v>148</v>
      </c>
      <c r="R73" s="63" t="str">
        <f t="shared" si="2"/>
        <v>Figura n – [Foto Pavilhão 9, pátio interno (1961)]
Fonte: Arquivo do Estado de São Paulo, 1978.</v>
      </c>
      <c r="S73" s="63" t="str">
        <f t="shared" si="3"/>
        <v>ARQUIVO PÚBLICO DO ESTADO DE SÃO PAULO (Brasil). [Foto Pavilhão 9, pátio interno (1961)]. São Paulo, Brasil. 08 abr. 1978. Fotografia digitalizada; preto e branco; suporte em papel fotográfico. Disponível em: &lt;link do dataverse&gt;. Acesso em: 28 out. 2025.</v>
      </c>
      <c r="T73" s="60" t="s">
        <v>500</v>
      </c>
    </row>
    <row r="74" ht="15.75" customHeight="1">
      <c r="A74" s="45" t="str">
        <f t="shared" si="1"/>
        <v>074</v>
      </c>
      <c r="B74" s="55" t="s">
        <v>501</v>
      </c>
      <c r="C74" s="56" t="s">
        <v>136</v>
      </c>
      <c r="D74" s="57">
        <v>28588.0</v>
      </c>
      <c r="E74" s="58" t="s">
        <v>137</v>
      </c>
      <c r="F74" s="60" t="s">
        <v>214</v>
      </c>
      <c r="G74" s="60" t="s">
        <v>139</v>
      </c>
      <c r="H74" s="60" t="s">
        <v>502</v>
      </c>
      <c r="I74" s="60" t="s">
        <v>141</v>
      </c>
      <c r="J74" s="61" t="s">
        <v>142</v>
      </c>
      <c r="K74" s="62" t="str">
        <f>TEXTJOIN("", TRUE, Geral!B145:T145)</f>
        <v>BR-SPAPESP_DASP-PENITPRE-CSDTCARANDIRU_ICO-FOT-DGZ-MT0_3055-005-074</v>
      </c>
      <c r="L7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4" s="60" t="s">
        <v>503</v>
      </c>
      <c r="N74" s="60" t="s">
        <v>145</v>
      </c>
      <c r="O74" s="55" t="s">
        <v>504</v>
      </c>
      <c r="P74" s="65" t="s">
        <v>147</v>
      </c>
      <c r="Q74" s="65" t="s">
        <v>293</v>
      </c>
      <c r="R74" s="63" t="str">
        <f t="shared" si="2"/>
        <v>Figura n – [Pavilhão 2 e Edifício da administração em obras (1954)]
Fonte: Arquivo do Estado de São Paulo, 1978.</v>
      </c>
      <c r="S74" s="63" t="str">
        <f t="shared" si="3"/>
        <v>ARQUIVO PÚBLICO DO ESTADO DE SÃO PAULO (Brasil). [Pavilhão 2 e Edifício da administração em obras (1954)]. São Paulo, Brasil. 08 abr. 1978. Fotografia digitalizada; sépia; suporte em papel fotográfico. Disponível em: &lt;link do dataverse&gt;. Acesso em: 28 out. 2025.</v>
      </c>
      <c r="T74" s="60" t="s">
        <v>505</v>
      </c>
    </row>
    <row r="75" ht="15.75" customHeight="1">
      <c r="A75" s="45" t="str">
        <f t="shared" si="1"/>
        <v>075</v>
      </c>
      <c r="B75" s="55" t="s">
        <v>506</v>
      </c>
      <c r="C75" s="56" t="s">
        <v>136</v>
      </c>
      <c r="D75" s="57">
        <v>28902.0</v>
      </c>
      <c r="E75" s="58" t="s">
        <v>137</v>
      </c>
      <c r="F75" s="60" t="s">
        <v>214</v>
      </c>
      <c r="G75" s="60" t="s">
        <v>139</v>
      </c>
      <c r="H75" s="60" t="s">
        <v>507</v>
      </c>
      <c r="I75" s="60" t="s">
        <v>141</v>
      </c>
      <c r="J75" s="61" t="s">
        <v>142</v>
      </c>
      <c r="K75" s="62" t="str">
        <f>TEXTJOIN("", TRUE, Geral!B147:T147)</f>
        <v>BR-SPAPESP_DASP-PENITPRE-CSDTCARANDIRU_ICO-FOT-DGZ-MT0_3055-005-075</v>
      </c>
      <c r="L7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5" s="60" t="s">
        <v>508</v>
      </c>
      <c r="N75" s="60" t="s">
        <v>145</v>
      </c>
      <c r="O75" s="55" t="s">
        <v>509</v>
      </c>
      <c r="P75" s="65" t="s">
        <v>147</v>
      </c>
      <c r="Q75" s="65" t="s">
        <v>293</v>
      </c>
      <c r="R75" s="63" t="str">
        <f t="shared" si="2"/>
        <v>Figura n – [Edifício da administração em obras (1954)]
Fonte: Arquivo do Estado de São Paulo, 1979.</v>
      </c>
      <c r="S75" s="63" t="str">
        <f t="shared" si="3"/>
        <v>ARQUIVO PÚBLICO DO ESTADO DE SÃO PAULO (Brasil). [Edifício da administração em obras (1954)]. São Paulo, Brasil. 16 fev. 1979. Fotografia digitalizada; sépia; suporte em papel fotográfico. Disponível em: &lt;link do dataverse&gt;. Acesso em: 28 out. 2025.</v>
      </c>
      <c r="T75" s="60" t="s">
        <v>510</v>
      </c>
    </row>
    <row r="76" ht="15.75" customHeight="1">
      <c r="A76" s="45" t="str">
        <f t="shared" si="1"/>
        <v>076</v>
      </c>
      <c r="B76" s="55" t="s">
        <v>511</v>
      </c>
      <c r="C76" s="56" t="s">
        <v>136</v>
      </c>
      <c r="D76" s="57">
        <v>29004.0</v>
      </c>
      <c r="E76" s="58" t="s">
        <v>137</v>
      </c>
      <c r="F76" s="60" t="s">
        <v>138</v>
      </c>
      <c r="G76" s="60" t="s">
        <v>139</v>
      </c>
      <c r="H76" s="60" t="s">
        <v>512</v>
      </c>
      <c r="I76" s="60" t="s">
        <v>141</v>
      </c>
      <c r="J76" s="61" t="s">
        <v>142</v>
      </c>
      <c r="K76" s="62" t="str">
        <f>TEXTJOIN("", TRUE, Geral!B149:T149)</f>
        <v>BR-SPAPESP_DASP-PENITPRE-CSDTCARANDIRU_ICO-FOT-DGZ-MT0_3055-005-076</v>
      </c>
      <c r="L76" s="55"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6" s="55" t="s">
        <v>513</v>
      </c>
      <c r="N76" s="60" t="s">
        <v>145</v>
      </c>
      <c r="O76" s="55" t="s">
        <v>514</v>
      </c>
      <c r="P76" s="65" t="s">
        <v>147</v>
      </c>
      <c r="Q76" s="65" t="s">
        <v>148</v>
      </c>
      <c r="R76" s="63" t="str">
        <f t="shared" si="2"/>
        <v>Figura n – [Visita de inspeção de autoridades ao pavilhão em construção, com a estrutura aparente de madeira e concreto (1960)]
Fonte: Arquivo do Estado de São Paulo, 1979.</v>
      </c>
      <c r="S76" s="63" t="str">
        <f t="shared" si="3"/>
        <v>ARQUIVO PÚBLICO DO ESTADO DE SÃO PAULO (Brasil). [Visita de inspeção de autoridades ao pavilhão em construção, com a estrutura aparente de madeira e concreto (1960)]. São Paulo, Brasil. 29 mai. 1979. Fotografia digitalizada; preto e branco; suporte em papel fotográfico. Disponível em: &lt;link do dataverse&gt;. Acesso em: 28 out. 2025.</v>
      </c>
      <c r="T76" s="60" t="s">
        <v>515</v>
      </c>
    </row>
    <row r="77" ht="15.75" customHeight="1">
      <c r="A77" s="45" t="str">
        <f t="shared" si="1"/>
        <v>077</v>
      </c>
      <c r="B77" s="55" t="s">
        <v>516</v>
      </c>
      <c r="C77" s="56" t="s">
        <v>136</v>
      </c>
      <c r="D77" s="57">
        <v>29004.0</v>
      </c>
      <c r="E77" s="58" t="s">
        <v>137</v>
      </c>
      <c r="F77" s="60" t="s">
        <v>138</v>
      </c>
      <c r="G77" s="60" t="s">
        <v>139</v>
      </c>
      <c r="H77" s="60" t="s">
        <v>517</v>
      </c>
      <c r="I77" s="60" t="s">
        <v>141</v>
      </c>
      <c r="J77" s="61" t="s">
        <v>142</v>
      </c>
      <c r="K77" s="62" t="str">
        <f>TEXTJOIN("", TRUE, Geral!B151:T151)</f>
        <v>BR-SPAPESP_DASP-PENITPRE-CSDTCARANDIRU_ICO-FOT-DGZ-MT0_3055-005-077</v>
      </c>
      <c r="L7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7" s="60" t="s">
        <v>518</v>
      </c>
      <c r="N77" s="60" t="s">
        <v>145</v>
      </c>
      <c r="O77" s="55" t="s">
        <v>519</v>
      </c>
      <c r="P77" s="65" t="s">
        <v>147</v>
      </c>
      <c r="Q77" s="65" t="s">
        <v>148</v>
      </c>
      <c r="R77" s="63" t="str">
        <f t="shared" si="2"/>
        <v>Figura n – [Foto Pavilhão 9, pátio interno em construção (1960)]
Fonte: Arquivo do Estado de São Paulo, 1979.</v>
      </c>
      <c r="S77" s="63" t="str">
        <f t="shared" si="3"/>
        <v>ARQUIVO PÚBLICO DO ESTADO DE SÃO PAULO (Brasil). [Foto Pavilhão 9, pátio interno em construção (1960)]. São Paulo, Brasil. 29 mai. 1979. Fotografia digitalizada; preto e branco; suporte em papel fotográfico. Disponível em: &lt;link do dataverse&gt;. Acesso em: 28 out. 2025.</v>
      </c>
      <c r="T77" s="60" t="s">
        <v>520</v>
      </c>
    </row>
    <row r="78" ht="15.75" customHeight="1">
      <c r="A78" s="45" t="str">
        <f t="shared" si="1"/>
        <v>078</v>
      </c>
      <c r="B78" s="55" t="s">
        <v>521</v>
      </c>
      <c r="C78" s="56" t="s">
        <v>136</v>
      </c>
      <c r="D78" s="57">
        <v>29004.0</v>
      </c>
      <c r="E78" s="58" t="s">
        <v>137</v>
      </c>
      <c r="F78" s="60" t="s">
        <v>138</v>
      </c>
      <c r="G78" s="60" t="s">
        <v>139</v>
      </c>
      <c r="H78" s="60" t="s">
        <v>522</v>
      </c>
      <c r="I78" s="60" t="s">
        <v>141</v>
      </c>
      <c r="J78" s="61" t="s">
        <v>142</v>
      </c>
      <c r="K78" s="62" t="str">
        <f>TEXTJOIN("", TRUE, Geral!B153:T153)</f>
        <v>BR-SPAPESP_DASP-PENITPRE-CSDTCARANDIRU_ICO-FOT-DGZ-MT0_3055-005-078</v>
      </c>
      <c r="L78"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8" s="60" t="s">
        <v>523</v>
      </c>
      <c r="N78" s="60" t="s">
        <v>145</v>
      </c>
      <c r="O78" s="55" t="s">
        <v>524</v>
      </c>
      <c r="P78" s="65" t="s">
        <v>147</v>
      </c>
      <c r="Q78" s="65" t="s">
        <v>148</v>
      </c>
      <c r="R78" s="63" t="str">
        <f t="shared" si="2"/>
        <v>Figura n – [Pavilhão nº 2 da nova Casa de Detenção do Carandiru]
Fonte: Arquivo do Estado de São Paulo, 1979.</v>
      </c>
      <c r="S78" s="63" t="str">
        <f t="shared" si="3"/>
        <v>ARQUIVO PÚBLICO DO ESTADO DE SÃO PAULO (Brasil). [Pavilhão nº 2 da nova Casa de Detenção do Carandiru]. São Paulo, Brasil. 29 mai. 1979. Fotografia digitalizada; preto e branco; suporte em papel fotográfico. Disponível em: &lt;link do dataverse&gt;. Acesso em: 28 out. 2025.</v>
      </c>
      <c r="T78" s="66" t="s">
        <v>525</v>
      </c>
    </row>
    <row r="79" ht="15.75" customHeight="1">
      <c r="A79" s="45" t="str">
        <f t="shared" si="1"/>
        <v>079</v>
      </c>
      <c r="B79" s="55" t="s">
        <v>526</v>
      </c>
      <c r="C79" s="56" t="s">
        <v>136</v>
      </c>
      <c r="D79" s="57">
        <v>29006.0</v>
      </c>
      <c r="E79" s="58" t="s">
        <v>137</v>
      </c>
      <c r="F79" s="60" t="s">
        <v>138</v>
      </c>
      <c r="G79" s="60" t="s">
        <v>139</v>
      </c>
      <c r="H79" s="60" t="s">
        <v>527</v>
      </c>
      <c r="I79" s="60" t="s">
        <v>141</v>
      </c>
      <c r="J79" s="61" t="s">
        <v>142</v>
      </c>
      <c r="K79" s="62" t="str">
        <f>TEXTJOIN("", TRUE, Geral!B157:T157)</f>
        <v>BR-SPAPESP_DASP-PENITPRE-CSDTCARANDIRU_ICO-FOT-DGZ-MT0_3055-005-079</v>
      </c>
      <c r="L79"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9" s="60" t="s">
        <v>528</v>
      </c>
      <c r="N79" s="60" t="s">
        <v>145</v>
      </c>
      <c r="O79" s="55" t="s">
        <v>529</v>
      </c>
      <c r="P79" s="65" t="s">
        <v>147</v>
      </c>
      <c r="Q79" s="65" t="s">
        <v>148</v>
      </c>
      <c r="R79" s="63" t="str">
        <f t="shared" si="2"/>
        <v>Figura n – [Pavilhão 8 inaugurado hoje (23.08.1960)]
Fonte: Arquivo do Estado de São Paulo, 1979.</v>
      </c>
      <c r="S79" s="63" t="str">
        <f t="shared" si="3"/>
        <v>ARQUIVO PÚBLICO DO ESTADO DE SÃO PAULO (Brasil). [Pavilhão 8 inaugurado hoje (23.08.1960)]. São Paulo, Brasil. 31 mai. 1979. Fotografia digitalizada; preto e branco; suporte em papel fotográfico. Disponível em: &lt;link do dataverse&gt;. Acesso em: 28 out. 2025.</v>
      </c>
      <c r="T79" s="60" t="s">
        <v>530</v>
      </c>
    </row>
    <row r="80" ht="15.75" customHeight="1">
      <c r="A80" s="45" t="str">
        <f t="shared" si="1"/>
        <v>080</v>
      </c>
      <c r="B80" s="55" t="s">
        <v>531</v>
      </c>
      <c r="C80" s="56" t="s">
        <v>136</v>
      </c>
      <c r="D80" s="57">
        <v>29006.0</v>
      </c>
      <c r="E80" s="58" t="s">
        <v>137</v>
      </c>
      <c r="F80" s="60" t="s">
        <v>532</v>
      </c>
      <c r="G80" s="60" t="s">
        <v>139</v>
      </c>
      <c r="H80" s="60" t="s">
        <v>533</v>
      </c>
      <c r="I80" s="60" t="s">
        <v>141</v>
      </c>
      <c r="J80" s="61" t="s">
        <v>142</v>
      </c>
      <c r="K80" s="62" t="str">
        <f>TEXTJOIN("", TRUE, Geral!B159:T159)</f>
        <v>BR-SPAPESP_DASP-PENITPRE-CSDTCARANDIRU_ICO-FOT-DGZ-MT0_3055-005-080</v>
      </c>
      <c r="L80"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0" s="60" t="s">
        <v>534</v>
      </c>
      <c r="N80" s="60" t="s">
        <v>145</v>
      </c>
      <c r="O80" s="55" t="s">
        <v>535</v>
      </c>
      <c r="P80" s="65" t="s">
        <v>147</v>
      </c>
      <c r="Q80" s="65" t="s">
        <v>148</v>
      </c>
      <c r="R80" s="63" t="str">
        <f t="shared" si="2"/>
        <v>Figura n – [Máquina de estaqueamento em operação no terreno da nova Casa de Detenção, com a vizinhança ao fundo (1952)]
Fonte: Arquivo do Estado de São Paulo, 1979.</v>
      </c>
      <c r="S80" s="63" t="str">
        <f t="shared" si="3"/>
        <v>ARQUIVO PÚBLICO DO ESTADO DE SÃO PAULO (Brasil). [Máquina de estaqueamento em operação no terreno da nova Casa de Detenção, com a vizinhança ao fundo (1952)]. São Paulo, Brasil. 31 mai. 1979.  Fotografia digitalizada; preto e branco; suporte em papel fotográfico. Disponível em: &lt;link do dataverse&gt;. Acesso em: 28 out. 2025.</v>
      </c>
      <c r="T80" s="60" t="s">
        <v>536</v>
      </c>
    </row>
    <row r="81" ht="15.75" customHeight="1">
      <c r="A81" s="45" t="str">
        <f t="shared" si="1"/>
        <v>081</v>
      </c>
      <c r="B81" s="55" t="s">
        <v>537</v>
      </c>
      <c r="C81" s="56" t="s">
        <v>136</v>
      </c>
      <c r="D81" s="57">
        <v>29006.0</v>
      </c>
      <c r="E81" s="58" t="s">
        <v>137</v>
      </c>
      <c r="F81" s="60" t="s">
        <v>138</v>
      </c>
      <c r="G81" s="60" t="s">
        <v>139</v>
      </c>
      <c r="H81" s="60" t="s">
        <v>538</v>
      </c>
      <c r="I81" s="60" t="s">
        <v>141</v>
      </c>
      <c r="J81" s="61" t="s">
        <v>142</v>
      </c>
      <c r="K81" s="62" t="str">
        <f>TEXTJOIN("", TRUE, Geral!B155:T155)</f>
        <v>BR-SPAPESP_DASP-PENITPRE-CSDTCARANDIRU_ICO-FOT-DGZ-MT0_3055-005-081</v>
      </c>
      <c r="L81"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1" s="60" t="s">
        <v>539</v>
      </c>
      <c r="N81" s="60" t="s">
        <v>145</v>
      </c>
      <c r="O81" s="55" t="s">
        <v>540</v>
      </c>
      <c r="P81" s="65" t="s">
        <v>147</v>
      </c>
      <c r="Q81" s="65" t="s">
        <v>148</v>
      </c>
      <c r="R81" s="63" t="str">
        <f t="shared" si="2"/>
        <v>Figura n – [ Estaqueamento, detalhe (1952)]
Fonte: Arquivo do Estado de São Paulo, 1979.</v>
      </c>
      <c r="S81" s="63" t="str">
        <f t="shared" si="3"/>
        <v>ARQUIVO PÚBLICO DO ESTADO DE SÃO PAULO (Brasil). [ Estaqueamento, detalhe (1952)]. São Paulo, Brasil. 31 mai. 1979. Fotografia digitalizada; preto e branco; suporte em papel fotográfico. Disponível em: &lt;link do dataverse&gt;. Acesso em: 28 out. 2025.</v>
      </c>
      <c r="T81" s="60" t="s">
        <v>541</v>
      </c>
    </row>
    <row r="82" ht="15.75" customHeight="1">
      <c r="A82" s="45" t="str">
        <f t="shared" si="1"/>
        <v>082</v>
      </c>
      <c r="B82" s="55" t="s">
        <v>542</v>
      </c>
      <c r="C82" s="56" t="s">
        <v>136</v>
      </c>
      <c r="D82" s="57">
        <v>29007.0</v>
      </c>
      <c r="E82" s="58" t="s">
        <v>137</v>
      </c>
      <c r="F82" s="60" t="s">
        <v>138</v>
      </c>
      <c r="G82" s="60" t="s">
        <v>139</v>
      </c>
      <c r="H82" s="60" t="s">
        <v>543</v>
      </c>
      <c r="I82" s="60" t="s">
        <v>141</v>
      </c>
      <c r="J82" s="61" t="s">
        <v>142</v>
      </c>
      <c r="K82" s="62" t="str">
        <f>TEXTJOIN("", TRUE, Geral!B161:T161)</f>
        <v>BR-SPAPESP_DASP-PENITPRE-CSDTCARANDIRU_ICO-FOT-DGZ-MT0_3055-005-082</v>
      </c>
      <c r="L82"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2" s="60" t="s">
        <v>544</v>
      </c>
      <c r="N82" s="60" t="s">
        <v>145</v>
      </c>
      <c r="O82" s="55" t="s">
        <v>545</v>
      </c>
      <c r="P82" s="65" t="s">
        <v>147</v>
      </c>
      <c r="Q82" s="65" t="s">
        <v>148</v>
      </c>
      <c r="R82" s="63" t="str">
        <f t="shared" si="2"/>
        <v>Figura n – [Repórter, operários e empreiteiros (1952)]
Fonte: Arquivo do Estado de São Paulo, 1979.</v>
      </c>
      <c r="S82" s="63" t="str">
        <f t="shared" si="3"/>
        <v>ARQUIVO PÚBLICO DO ESTADO DE SÃO PAULO (Brasil). [Repórter, operários e empreiteiros (1952)]. São Paulo, Brasil. 01 jun. 1979. Fotografia digitalizada; preto e branco; suporte em papel fotográfico. Disponível em: &lt;link do dataverse&gt;. Acesso em: 28 out. 2025.</v>
      </c>
      <c r="T82" s="55" t="s">
        <v>546</v>
      </c>
    </row>
    <row r="83" ht="15.75" customHeight="1">
      <c r="A83" s="45" t="str">
        <f t="shared" si="1"/>
        <v>083</v>
      </c>
      <c r="B83" s="55" t="s">
        <v>547</v>
      </c>
      <c r="C83" s="56" t="s">
        <v>136</v>
      </c>
      <c r="D83" s="57">
        <v>29027.0</v>
      </c>
      <c r="E83" s="58" t="s">
        <v>137</v>
      </c>
      <c r="F83" s="60" t="s">
        <v>138</v>
      </c>
      <c r="G83" s="60" t="s">
        <v>139</v>
      </c>
      <c r="H83" s="60" t="s">
        <v>548</v>
      </c>
      <c r="I83" s="60" t="s">
        <v>141</v>
      </c>
      <c r="J83" s="61" t="s">
        <v>142</v>
      </c>
      <c r="K83" s="62" t="str">
        <f>TEXTJOIN("", TRUE, Geral!B163:T163)</f>
        <v>BR-SPAPESP_DASP-PENITPRE-CSDTCARANDIRU_ICO-FOT-DGZ-MT0_3055-005-083</v>
      </c>
      <c r="L83"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3" s="60" t="s">
        <v>549</v>
      </c>
      <c r="N83" s="60" t="s">
        <v>145</v>
      </c>
      <c r="O83" s="55" t="s">
        <v>550</v>
      </c>
      <c r="P83" s="65" t="s">
        <v>147</v>
      </c>
      <c r="Q83" s="65" t="s">
        <v>148</v>
      </c>
      <c r="R83" s="63" t="str">
        <f t="shared" si="2"/>
        <v>Figura n – [Pavilhões 4, 7 e 9 ao fundo (1978)]
Fonte: Arquivo do Estado de São Paulo, 1979.</v>
      </c>
      <c r="S83" s="63" t="str">
        <f t="shared" si="3"/>
        <v>ARQUIVO PÚBLICO DO ESTADO DE SÃO PAULO (Brasil). [Pavilhões 4, 7 e 9 ao fundo (1978)]. São Paulo, Brasil. 21 jun. 1979. Fotografia digitalizada; preto e branco; suporte em papel fotográfico. Disponível em: &lt;link do dataverse&gt;. Acesso em: 28 out. 2025.</v>
      </c>
      <c r="T83" s="60" t="s">
        <v>551</v>
      </c>
    </row>
    <row r="84" ht="15.75" customHeight="1">
      <c r="A84" s="45" t="str">
        <f t="shared" si="1"/>
        <v>084</v>
      </c>
      <c r="B84" s="55" t="s">
        <v>552</v>
      </c>
      <c r="C84" s="56" t="s">
        <v>136</v>
      </c>
      <c r="D84" s="57">
        <v>29027.0</v>
      </c>
      <c r="E84" s="58" t="s">
        <v>137</v>
      </c>
      <c r="F84" s="60" t="s">
        <v>138</v>
      </c>
      <c r="G84" s="60" t="s">
        <v>139</v>
      </c>
      <c r="H84" s="60" t="s">
        <v>553</v>
      </c>
      <c r="I84" s="60" t="s">
        <v>141</v>
      </c>
      <c r="J84" s="61" t="s">
        <v>142</v>
      </c>
      <c r="K84" s="62" t="str">
        <f>TEXTJOIN("", TRUE, Geral!B165:T165)</f>
        <v>BR-SPAPESP_DASP-PENITPRE-CSDTCARANDIRU_ICO-FOT-DGZ-MT0_3055-005-084</v>
      </c>
      <c r="L84"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4" s="60" t="s">
        <v>554</v>
      </c>
      <c r="N84" s="60" t="s">
        <v>145</v>
      </c>
      <c r="O84" s="55" t="s">
        <v>555</v>
      </c>
      <c r="P84" s="65" t="s">
        <v>147</v>
      </c>
      <c r="Q84" s="65" t="s">
        <v>148</v>
      </c>
      <c r="R84" s="63" t="str">
        <f t="shared" si="2"/>
        <v>Figura n – [Muralhas (12.11.1956)]
Fonte: Arquivo do Estado de São Paulo, 1979.</v>
      </c>
      <c r="S84" s="63" t="str">
        <f t="shared" si="3"/>
        <v>ARQUIVO PÚBLICO DO ESTADO DE SÃO PAULO (Brasil). [Muralhas (12.11.1956)]. São Paulo, Brasil. 21 jun. 1979. Fotografia digitalizada; preto e branco; suporte em papel fotográfico. Disponível em: &lt;link do dataverse&gt;. Acesso em: 28 out. 2025.</v>
      </c>
      <c r="T84" s="60" t="s">
        <v>556</v>
      </c>
    </row>
    <row r="85" ht="15.75" customHeight="1">
      <c r="A85" s="45" t="str">
        <f t="shared" si="1"/>
        <v>085</v>
      </c>
      <c r="B85" s="55" t="s">
        <v>557</v>
      </c>
      <c r="C85" s="56" t="s">
        <v>136</v>
      </c>
      <c r="D85" s="57">
        <v>29029.0</v>
      </c>
      <c r="E85" s="58" t="s">
        <v>137</v>
      </c>
      <c r="F85" s="60" t="s">
        <v>138</v>
      </c>
      <c r="G85" s="60" t="s">
        <v>139</v>
      </c>
      <c r="H85" s="60" t="s">
        <v>558</v>
      </c>
      <c r="I85" s="60" t="s">
        <v>141</v>
      </c>
      <c r="J85" s="61" t="s">
        <v>142</v>
      </c>
      <c r="K85" s="62" t="str">
        <f>TEXTJOIN("", TRUE, Geral!B167:T167)</f>
        <v>BR-SPAPESP_DASP-PENITPRE-CSDTCARANDIRU_ICO-FOT-DGZ-MT0_3055-005-085</v>
      </c>
      <c r="L85"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5" s="60" t="s">
        <v>559</v>
      </c>
      <c r="N85" s="60" t="s">
        <v>145</v>
      </c>
      <c r="O85" s="55" t="s">
        <v>560</v>
      </c>
      <c r="P85" s="65" t="s">
        <v>147</v>
      </c>
      <c r="Q85" s="65" t="s">
        <v>148</v>
      </c>
      <c r="R85" s="63" t="str">
        <f t="shared" si="2"/>
        <v>Figura n – [Novo pavilhão da Casa de Detenção (Carandiru) em estágio de construção, em meio à crise de superlotação (1959)]
Fonte: Arquivo do Estado de São Paulo, 1979.</v>
      </c>
      <c r="S85" s="63" t="str">
        <f t="shared" si="3"/>
        <v>ARQUIVO PÚBLICO DO ESTADO DE SÃO PAULO (Brasil). [Novo pavilhão da Casa de Detenção (Carandiru) em estágio de construção, em meio à crise de superlotação (1959)]. São Paulo, Brasil. 23 jun. 1979. Fotografia digitalizada; preto e branco; suporte em papel fotográfico. Disponível em: &lt;link do dataverse&gt;. Acesso em: 28 out. 2025.</v>
      </c>
      <c r="T85" s="60" t="s">
        <v>561</v>
      </c>
    </row>
    <row r="86" ht="15.75" customHeight="1">
      <c r="A86" s="45" t="str">
        <f t="shared" si="1"/>
        <v>086</v>
      </c>
      <c r="B86" s="55" t="s">
        <v>562</v>
      </c>
      <c r="C86" s="56" t="s">
        <v>136</v>
      </c>
      <c r="D86" s="57">
        <v>29060.0</v>
      </c>
      <c r="E86" s="58" t="s">
        <v>137</v>
      </c>
      <c r="F86" s="60" t="s">
        <v>138</v>
      </c>
      <c r="G86" s="60" t="s">
        <v>139</v>
      </c>
      <c r="H86" s="60" t="s">
        <v>563</v>
      </c>
      <c r="I86" s="60" t="s">
        <v>141</v>
      </c>
      <c r="J86" s="61" t="s">
        <v>142</v>
      </c>
      <c r="K86" s="62" t="str">
        <f>TEXTJOIN("", TRUE, Geral!B169:T169)</f>
        <v>BR-SPAPESP_DASP-PENITPRE-CSDTCARANDIRU_ICO-FOT-DGZ-MT0_3055-005-086</v>
      </c>
      <c r="L86"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6" s="60" t="s">
        <v>564</v>
      </c>
      <c r="N86" s="60" t="s">
        <v>145</v>
      </c>
      <c r="O86" s="55" t="s">
        <v>565</v>
      </c>
      <c r="P86" s="65" t="s">
        <v>147</v>
      </c>
      <c r="Q86" s="65" t="s">
        <v>148</v>
      </c>
      <c r="R86" s="63" t="str">
        <f t="shared" si="2"/>
        <v>Figura n – [Estaqueamento, plano aberto (1952)]
Fonte: Arquivo do Estado de São Paulo, 1979.</v>
      </c>
      <c r="S86" s="63" t="str">
        <f t="shared" si="3"/>
        <v>ARQUIVO PÚBLICO DO ESTADO DE SÃO PAULO (Brasil). [Estaqueamento, plano aberto (1952)]. São Paulo, Brasil. 24 jul. 1979. Fotografia digitalizada; preto e branco; suporte em papel fotográfico. Disponível em: &lt;link do dataverse&gt;. Acesso em: 28 out. 2025.</v>
      </c>
      <c r="T86" s="60" t="s">
        <v>566</v>
      </c>
    </row>
    <row r="87" ht="15.75" customHeight="1">
      <c r="A87" s="45" t="str">
        <f t="shared" si="1"/>
        <v>087</v>
      </c>
      <c r="B87" s="55" t="s">
        <v>567</v>
      </c>
      <c r="C87" s="56" t="s">
        <v>136</v>
      </c>
      <c r="D87" s="57">
        <v>29216.0</v>
      </c>
      <c r="E87" s="58" t="s">
        <v>137</v>
      </c>
      <c r="F87" s="60" t="s">
        <v>138</v>
      </c>
      <c r="G87" s="60" t="s">
        <v>139</v>
      </c>
      <c r="H87" s="60" t="s">
        <v>568</v>
      </c>
      <c r="I87" s="60" t="s">
        <v>141</v>
      </c>
      <c r="J87" s="61" t="s">
        <v>142</v>
      </c>
      <c r="K87" s="62" t="str">
        <f>TEXTJOIN("", TRUE, Geral!B171:T171)</f>
        <v>BR-SPAPESP_DASP-PENITPRE-CSDTCARANDIRU_ICO-FOT-DGZ-MT0_3055-005-087</v>
      </c>
      <c r="L87" s="60"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7" s="60" t="s">
        <v>569</v>
      </c>
      <c r="N87" s="60" t="s">
        <v>145</v>
      </c>
      <c r="O87" s="55" t="s">
        <v>570</v>
      </c>
      <c r="P87" s="65" t="s">
        <v>147</v>
      </c>
      <c r="Q87" s="65" t="s">
        <v>148</v>
      </c>
      <c r="R87" s="63" t="str">
        <f t="shared" si="2"/>
        <v>Figura n – [Edificação auxiliar do pavilhão nº 8, com estilo de telhado em duas águas e janelas arqueadas, no Carandiru (1960)]
Fonte: Arquivo do Estado de São Paulo, 1979.</v>
      </c>
      <c r="S87" s="63" t="str">
        <f t="shared" si="3"/>
        <v>ARQUIVO PÚBLICO DO ESTADO DE SÃO PAULO (Brasil). [Edificação auxiliar do pavilhão nº 8, com estilo de telhado em duas águas e janelas arqueadas, no Carandiru (1960)]. São Paulo, Brasil. 27 dez. 1979. Fotografia digitalizada; preto e branco; suporte em papel fotográfico. Disponível em: &lt;link do dataverse&gt;. Acesso em: 28 out. 2025.</v>
      </c>
      <c r="T87" s="60" t="s">
        <v>571</v>
      </c>
    </row>
    <row r="88" ht="15.75" customHeight="1">
      <c r="A88" s="45" t="str">
        <f t="shared" si="1"/>
        <v>088</v>
      </c>
      <c r="B88" s="67" t="s">
        <v>572</v>
      </c>
      <c r="C88" s="68" t="s">
        <v>136</v>
      </c>
      <c r="D88" s="69" t="s">
        <v>573</v>
      </c>
      <c r="E88" s="70" t="s">
        <v>137</v>
      </c>
      <c r="F88" s="71" t="s">
        <v>138</v>
      </c>
      <c r="G88" s="71" t="s">
        <v>139</v>
      </c>
      <c r="H88" s="71" t="s">
        <v>574</v>
      </c>
      <c r="I88" s="71" t="s">
        <v>141</v>
      </c>
      <c r="J88" s="72" t="s">
        <v>142</v>
      </c>
      <c r="K88" s="73" t="str">
        <f>TEXTJOIN("", TRUE, Geral!B173:T173)</f>
        <v>BR-SPAPESP_DASP-PENITPRE-CSDTCARANDIRU_ICO-FOT-DGZ-MT0_3055-005-088</v>
      </c>
      <c r="L88" s="7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8" s="71" t="s">
        <v>575</v>
      </c>
      <c r="N88" s="71" t="s">
        <v>145</v>
      </c>
      <c r="O88" s="67" t="s">
        <v>576</v>
      </c>
      <c r="P88" s="74" t="s">
        <v>147</v>
      </c>
      <c r="Q88" s="74" t="s">
        <v>148</v>
      </c>
      <c r="R88" s="75" t="str">
        <f t="shared" si="2"/>
        <v>Figura n – [Pavilhão 2 já pronto batizado com fuga, 5.7.1956]
Fonte: Arquivo do Estado de São Paulo, s.d.</v>
      </c>
      <c r="S88" s="75" t="str">
        <f t="shared" si="3"/>
        <v>ARQUIVO PÚBLICO DO ESTADO DE SÃO PAULO (Brasil). [Pavilhão 2 já pronto batizado com fuga, 5.7.1956]. São Paulo, Brasil. s.d s.d s.d. Fotografia digitalizada; preto e branco; suporte em papel fotográfico. Disponível em: &lt;link do dataverse&gt;. Acesso em: 28 out. 2025.</v>
      </c>
      <c r="T88" s="71" t="s">
        <v>577</v>
      </c>
    </row>
  </sheetData>
  <autoFilter ref="$D$1:$D$88">
    <sortState ref="D1:D88">
      <sortCondition ref="D1:D88"/>
    </sortState>
  </autoFilter>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65.88"/>
    <col customWidth="1" min="12" max="12" width="73.25"/>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76" t="s">
        <v>116</v>
      </c>
      <c r="B1" s="39" t="s">
        <v>117</v>
      </c>
      <c r="C1" s="40" t="s">
        <v>118</v>
      </c>
      <c r="D1" s="41" t="s">
        <v>119</v>
      </c>
      <c r="E1" s="40" t="s">
        <v>120</v>
      </c>
      <c r="F1" s="41" t="s">
        <v>121</v>
      </c>
      <c r="G1" s="40" t="s">
        <v>122</v>
      </c>
      <c r="H1" s="42" t="s">
        <v>123</v>
      </c>
      <c r="I1" s="40" t="s">
        <v>124</v>
      </c>
      <c r="J1" s="40" t="s">
        <v>125</v>
      </c>
      <c r="K1" s="41" t="s">
        <v>126</v>
      </c>
      <c r="L1" s="77" t="s">
        <v>127</v>
      </c>
      <c r="M1" s="43" t="s">
        <v>128</v>
      </c>
      <c r="N1" s="40" t="s">
        <v>129</v>
      </c>
      <c r="O1" s="41" t="s">
        <v>130</v>
      </c>
      <c r="P1" s="40" t="s">
        <v>131</v>
      </c>
      <c r="Q1" s="40" t="s">
        <v>7</v>
      </c>
      <c r="R1" s="42" t="s">
        <v>132</v>
      </c>
      <c r="S1" s="44" t="s">
        <v>133</v>
      </c>
      <c r="T1" s="41" t="s">
        <v>134</v>
      </c>
    </row>
    <row r="2" ht="15.75" customHeight="1">
      <c r="A2" s="45" t="str">
        <f t="shared" ref="A2:A21" si="1">RIGHT(K2,3)</f>
        <v>001</v>
      </c>
      <c r="B2" s="78" t="s">
        <v>578</v>
      </c>
      <c r="C2" s="79" t="s">
        <v>136</v>
      </c>
      <c r="D2" s="80">
        <v>28157.0</v>
      </c>
      <c r="E2" s="81" t="s">
        <v>137</v>
      </c>
      <c r="F2" s="82" t="s">
        <v>138</v>
      </c>
      <c r="G2" s="83" t="s">
        <v>139</v>
      </c>
      <c r="H2" s="78" t="s">
        <v>140</v>
      </c>
      <c r="I2" s="78" t="s">
        <v>141</v>
      </c>
      <c r="J2" s="84" t="s">
        <v>579</v>
      </c>
      <c r="K2" s="85" t="str">
        <f>TEXTJOIN("", TRUE, Geral!B175:T175)</f>
        <v>BR-SPAPESP_DASP-PENITPRE-CSDTCARANDIRU_ICO-FOT-DGZ-MT02767-011-001</v>
      </c>
      <c r="L2" s="82" t="str">
        <f>'3055-005'!L2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 s="83" t="s">
        <v>580</v>
      </c>
      <c r="N2" s="83" t="s">
        <v>145</v>
      </c>
      <c r="O2" s="78" t="s">
        <v>581</v>
      </c>
      <c r="P2" s="82" t="s">
        <v>147</v>
      </c>
      <c r="Q2" s="82" t="s">
        <v>148</v>
      </c>
      <c r="R2" s="86" t="str">
        <f t="shared" ref="R2:R21" si="2">"Figura n – ["&amp;B2&amp;"]"&amp;CHAR(10)&amp;"Fonte: Arquivo do Estado de São Paulo, "&amp;TEXT(D2,"yyyy")&amp;"."</f>
        <v>Figura n – [Casa de costura da Casa de Detenção após descoberta de túnel de fuga.]
Fonte: Arquivo do Estado de São Paulo, 1977.</v>
      </c>
      <c r="S2" s="86" t="str">
        <f t="shared" ref="S2:S21" si="3">"ARQUIVO PÚBLICO DO ESTADO DE SÃO PAULO (Brasil). ["&amp;B2&amp;"]. "&amp;G2&amp;". "&amp;TEXT(D2,"dd")&amp;" "&amp;LOWER(TEXT(D2,"mmm"))&amp;" "&amp;TEXT(D2,"yyyy")&amp;". "&amp;F2&amp;". Disponível em: &lt;link do dataverse&gt;. Acesso em: 28 out. 2025."</f>
        <v>ARQUIVO PÚBLICO DO ESTADO DE SÃO PAULO (Brasil). [Casa de costura da Casa de Detenção após descoberta de túnel de fuga.]. São Paulo, Brasil. 01 fev. 1977. Fotografia digitalizada; preto e branco; suporte em papel fotográfico. Disponível em: &lt;link do dataverse&gt;. Acesso em: 28 out. 2025.</v>
      </c>
      <c r="T2" s="83" t="s">
        <v>582</v>
      </c>
    </row>
    <row r="3" ht="15.75" customHeight="1">
      <c r="A3" s="45" t="str">
        <f t="shared" si="1"/>
        <v>002</v>
      </c>
      <c r="B3" s="87" t="s">
        <v>583</v>
      </c>
      <c r="C3" s="88" t="s">
        <v>136</v>
      </c>
      <c r="D3" s="89">
        <v>20120.0</v>
      </c>
      <c r="E3" s="90" t="s">
        <v>137</v>
      </c>
      <c r="F3" s="91" t="s">
        <v>138</v>
      </c>
      <c r="G3" s="92" t="s">
        <v>139</v>
      </c>
      <c r="H3" s="92" t="s">
        <v>140</v>
      </c>
      <c r="I3" s="92" t="s">
        <v>141</v>
      </c>
      <c r="J3" s="93" t="s">
        <v>579</v>
      </c>
      <c r="K3" s="94" t="str">
        <f>TEXTJOIN("", TRUE, Geral!B177:T177)</f>
        <v>BR-SPAPESP_DASP-PENITPRE-CSDTCARANDIRU_ICO-FOT-DGZ-MT0_2767-011-002</v>
      </c>
      <c r="L3" s="91" t="str">
        <f t="shared" ref="L3:L21" si="4">$L$2</f>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92" t="s">
        <v>584</v>
      </c>
      <c r="N3" s="92" t="s">
        <v>145</v>
      </c>
      <c r="O3" s="87" t="s">
        <v>585</v>
      </c>
      <c r="P3" s="91" t="s">
        <v>147</v>
      </c>
      <c r="Q3" s="91" t="s">
        <v>586</v>
      </c>
      <c r="R3" s="95" t="str">
        <f t="shared" si="2"/>
        <v>Figura n – [Celas isoladas da Casa de Detenção]
Fonte: Arquivo do Estado de São Paulo, 1955.</v>
      </c>
      <c r="S3" s="95" t="str">
        <f t="shared" si="3"/>
        <v>ARQUIVO PÚBLICO DO ESTADO DE SÃO PAULO (Brasil). [Celas isoladas da Casa de Detenção]. São Paulo, Brasil. 31 jan. 1955. Fotografia digitalizada; preto e branco; suporte em papel fotográfico. Disponível em: &lt;link do dataverse&gt;. Acesso em: 28 out. 2025.</v>
      </c>
      <c r="T3" s="92" t="s">
        <v>587</v>
      </c>
    </row>
    <row r="4" ht="15.75" customHeight="1">
      <c r="A4" s="45" t="str">
        <f t="shared" si="1"/>
        <v>003</v>
      </c>
      <c r="B4" s="87" t="s">
        <v>588</v>
      </c>
      <c r="C4" s="88" t="s">
        <v>136</v>
      </c>
      <c r="D4" s="96">
        <v>23442.0</v>
      </c>
      <c r="E4" s="90" t="s">
        <v>137</v>
      </c>
      <c r="F4" s="91" t="s">
        <v>138</v>
      </c>
      <c r="G4" s="92" t="s">
        <v>139</v>
      </c>
      <c r="H4" s="87" t="s">
        <v>140</v>
      </c>
      <c r="I4" s="87" t="s">
        <v>141</v>
      </c>
      <c r="J4" s="93" t="s">
        <v>579</v>
      </c>
      <c r="K4" s="94" t="str">
        <f>TEXTJOIN("", TRUE, Geral!B179:T179)</f>
        <v>BR-SPAPESP_DASP-PENITPRE-CSDTCARANDIRU_ICO-FOT-DGZ-MT0_2767-011-003</v>
      </c>
      <c r="L4"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92" t="s">
        <v>589</v>
      </c>
      <c r="N4" s="92" t="s">
        <v>145</v>
      </c>
      <c r="O4" s="87" t="s">
        <v>590</v>
      </c>
      <c r="P4" s="91" t="s">
        <v>147</v>
      </c>
      <c r="Q4" s="91" t="s">
        <v>586</v>
      </c>
      <c r="R4" s="95" t="str">
        <f t="shared" si="2"/>
        <v>Figura n – [Jornalistas e fotógrafos aglomerados no portão da Casa de Detenção após boato de motim.]
Fonte: Arquivo do Estado de São Paulo, 1964.</v>
      </c>
      <c r="S4" s="95" t="str">
        <f t="shared" si="3"/>
        <v>ARQUIVO PÚBLICO DO ESTADO DE SÃO PAULO (Brasil). [Jornalistas e fotógrafos aglomerados no portão da Casa de Detenção após boato de motim.]. São Paulo, Brasil. 06 mar. 1964. Fotografia digitalizada; preto e branco; suporte em papel fotográfico. Disponível em: &lt;link do dataverse&gt;. Acesso em: 28 out. 2025.</v>
      </c>
      <c r="T4" s="92" t="s">
        <v>591</v>
      </c>
    </row>
    <row r="5" ht="15.75" customHeight="1">
      <c r="A5" s="45" t="str">
        <f t="shared" si="1"/>
        <v>004</v>
      </c>
      <c r="B5" s="87" t="s">
        <v>592</v>
      </c>
      <c r="C5" s="88" t="s">
        <v>136</v>
      </c>
      <c r="D5" s="89">
        <v>23228.0</v>
      </c>
      <c r="E5" s="90" t="s">
        <v>137</v>
      </c>
      <c r="F5" s="91" t="s">
        <v>138</v>
      </c>
      <c r="G5" s="92" t="s">
        <v>139</v>
      </c>
      <c r="H5" s="92" t="s">
        <v>140</v>
      </c>
      <c r="I5" s="92" t="s">
        <v>141</v>
      </c>
      <c r="J5" s="93" t="s">
        <v>579</v>
      </c>
      <c r="K5" s="94" t="str">
        <f>TEXTJOIN("", TRUE, Geral!B181:T181)</f>
        <v>BR-SPAPESP_DASP-PENITPRE-CSDTCARANDIRU_ICO-FOT-DGZ-MT0_2767-011-004</v>
      </c>
      <c r="L5"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92" t="s">
        <v>593</v>
      </c>
      <c r="N5" s="92" t="s">
        <v>145</v>
      </c>
      <c r="O5" s="87" t="s">
        <v>594</v>
      </c>
      <c r="P5" s="91" t="s">
        <v>147</v>
      </c>
      <c r="Q5" s="91" t="s">
        <v>595</v>
      </c>
      <c r="R5" s="95" t="str">
        <f t="shared" si="2"/>
        <v>Figura n – [Campanha de doação de sangue de detentos do Carandiru em convênio com a COLSAN]
Fonte: Arquivo do Estado de São Paulo, 1963.</v>
      </c>
      <c r="S5" s="95" t="str">
        <f t="shared" si="3"/>
        <v>ARQUIVO PÚBLICO DO ESTADO DE SÃO PAULO (Brasil). [Campanha de doação de sangue de detentos do Carandiru em convênio com a COLSAN]. São Paulo, Brasil. 05 ago. 1963. Fotografia digitalizada; preto e branco; suporte em papel fotográfico. Disponível em: &lt;link do dataverse&gt;. Acesso em: 28 out. 2025.</v>
      </c>
      <c r="T5" s="92" t="s">
        <v>596</v>
      </c>
    </row>
    <row r="6" ht="15.75" customHeight="1">
      <c r="A6" s="45" t="str">
        <f t="shared" si="1"/>
        <v>005</v>
      </c>
      <c r="B6" s="87" t="s">
        <v>597</v>
      </c>
      <c r="C6" s="88" t="s">
        <v>136</v>
      </c>
      <c r="D6" s="96">
        <v>23442.0</v>
      </c>
      <c r="E6" s="90" t="s">
        <v>137</v>
      </c>
      <c r="F6" s="91" t="s">
        <v>138</v>
      </c>
      <c r="G6" s="92" t="s">
        <v>139</v>
      </c>
      <c r="H6" s="87" t="s">
        <v>140</v>
      </c>
      <c r="I6" s="87" t="s">
        <v>141</v>
      </c>
      <c r="J6" s="93" t="s">
        <v>579</v>
      </c>
      <c r="K6" s="94" t="str">
        <f>TEXTJOIN("", TRUE, Geral!B183:T183)</f>
        <v>BR-SPAPESP_DASP-PENITPRE-CSDTCARANDIRU_ICO-FOT-DGZ-MT0_2767-011-005</v>
      </c>
      <c r="L6"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92" t="s">
        <v>598</v>
      </c>
      <c r="N6" s="92" t="s">
        <v>145</v>
      </c>
      <c r="O6" s="87" t="s">
        <v>599</v>
      </c>
      <c r="P6" s="91" t="s">
        <v>147</v>
      </c>
      <c r="Q6" s="91" t="s">
        <v>586</v>
      </c>
      <c r="R6" s="95" t="str">
        <f t="shared" si="2"/>
        <v>Figura n – [Ambulância saindo da Casa de Detenção]
Fonte: Arquivo do Estado de São Paulo, 1964.</v>
      </c>
      <c r="S6" s="95" t="str">
        <f t="shared" si="3"/>
        <v>ARQUIVO PÚBLICO DO ESTADO DE SÃO PAULO (Brasil). [Ambulância saindo da Casa de Detenção]. São Paulo, Brasil. 06 mar. 1964. Fotografia digitalizada; preto e branco; suporte em papel fotográfico. Disponível em: &lt;link do dataverse&gt;. Acesso em: 28 out. 2025.</v>
      </c>
      <c r="T6" s="92" t="s">
        <v>600</v>
      </c>
    </row>
    <row r="7" ht="15.75" customHeight="1">
      <c r="A7" s="45" t="str">
        <f t="shared" si="1"/>
        <v>006</v>
      </c>
      <c r="B7" s="87" t="s">
        <v>601</v>
      </c>
      <c r="C7" s="88" t="s">
        <v>136</v>
      </c>
      <c r="D7" s="89">
        <v>16338.0</v>
      </c>
      <c r="E7" s="90" t="s">
        <v>137</v>
      </c>
      <c r="F7" s="91" t="s">
        <v>138</v>
      </c>
      <c r="G7" s="92" t="s">
        <v>139</v>
      </c>
      <c r="H7" s="92" t="s">
        <v>140</v>
      </c>
      <c r="I7" s="92" t="s">
        <v>141</v>
      </c>
      <c r="J7" s="93" t="s">
        <v>579</v>
      </c>
      <c r="K7" s="94" t="str">
        <f>TEXTJOIN("", TRUE, Geral!B185:T185)</f>
        <v>BR-SPAPESP_DASP-PENITPRE-CSDTCARANDIRU_ICO-FOT-DGZ-MT0_2767-011-006</v>
      </c>
      <c r="L7"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92" t="s">
        <v>602</v>
      </c>
      <c r="N7" s="92" t="s">
        <v>145</v>
      </c>
      <c r="O7" s="87" t="s">
        <v>603</v>
      </c>
      <c r="P7" s="91" t="s">
        <v>147</v>
      </c>
      <c r="Q7" s="91" t="s">
        <v>604</v>
      </c>
      <c r="R7" s="95" t="str">
        <f t="shared" si="2"/>
        <v>Figura n – [Aspecto interno e limpeza do letreiro no pátio da Casa de Detenção da Avenida Tiradentes.]
Fonte: Arquivo do Estado de São Paulo, 1944.</v>
      </c>
      <c r="S7" s="95" t="str">
        <f t="shared" si="3"/>
        <v>ARQUIVO PÚBLICO DO ESTADO DE SÃO PAULO (Brasil). [Aspecto interno e limpeza do letreiro no pátio da Casa de Detenção da Avenida Tiradentes.]. São Paulo, Brasil. 23 set. 1944. Fotografia digitalizada; preto e branco; suporte em papel fotográfico. Disponível em: &lt;link do dataverse&gt;. Acesso em: 28 out. 2025.</v>
      </c>
      <c r="T7" s="92" t="s">
        <v>605</v>
      </c>
    </row>
    <row r="8" ht="15.75" customHeight="1">
      <c r="A8" s="45" t="str">
        <f t="shared" si="1"/>
        <v>007</v>
      </c>
      <c r="B8" s="87" t="s">
        <v>606</v>
      </c>
      <c r="C8" s="88" t="s">
        <v>136</v>
      </c>
      <c r="D8" s="97">
        <v>28121.0</v>
      </c>
      <c r="E8" s="90" t="s">
        <v>137</v>
      </c>
      <c r="F8" s="91" t="s">
        <v>138</v>
      </c>
      <c r="G8" s="92" t="s">
        <v>139</v>
      </c>
      <c r="H8" s="87" t="s">
        <v>140</v>
      </c>
      <c r="I8" s="87" t="s">
        <v>141</v>
      </c>
      <c r="J8" s="93" t="s">
        <v>579</v>
      </c>
      <c r="K8" s="94" t="str">
        <f>TEXTJOIN("", TRUE, Geral!B187:T187)</f>
        <v>BR-SPAPESP_DASP-PENITPRE-CSDTCARANDIRU_ICO-FOT-DGZ-MT0_2767-011-007</v>
      </c>
      <c r="L8"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92" t="s">
        <v>607</v>
      </c>
      <c r="N8" s="92" t="s">
        <v>145</v>
      </c>
      <c r="O8" s="87" t="s">
        <v>608</v>
      </c>
      <c r="P8" s="91" t="s">
        <v>147</v>
      </c>
      <c r="Q8" s="91" t="s">
        <v>604</v>
      </c>
      <c r="R8" s="95" t="str">
        <f t="shared" si="2"/>
        <v>Figura n – [Grande aglomeração de detentos no pátio da Casa de Detenção ("Praça de Esportes")]
Fonte: Arquivo do Estado de São Paulo, 1976.</v>
      </c>
      <c r="S8" s="95" t="str">
        <f t="shared" si="3"/>
        <v>ARQUIVO PÚBLICO DO ESTADO DE SÃO PAULO (Brasil). [Grande aglomeração de detentos no pátio da Casa de Detenção ("Praça de Esportes")]. São Paulo, Brasil. 27 dez. 1976. Fotografia digitalizada; preto e branco; suporte em papel fotográfico. Disponível em: &lt;link do dataverse&gt;. Acesso em: 28 out. 2025.</v>
      </c>
      <c r="T8" s="92" t="s">
        <v>609</v>
      </c>
    </row>
    <row r="9" ht="15.75" customHeight="1">
      <c r="A9" s="45" t="str">
        <f t="shared" si="1"/>
        <v>008</v>
      </c>
      <c r="B9" s="87" t="s">
        <v>610</v>
      </c>
      <c r="C9" s="88" t="s">
        <v>136</v>
      </c>
      <c r="D9" s="89">
        <v>20110.0</v>
      </c>
      <c r="E9" s="90" t="s">
        <v>137</v>
      </c>
      <c r="F9" s="91" t="s">
        <v>138</v>
      </c>
      <c r="G9" s="92" t="s">
        <v>139</v>
      </c>
      <c r="H9" s="92" t="s">
        <v>140</v>
      </c>
      <c r="I9" s="92" t="s">
        <v>141</v>
      </c>
      <c r="J9" s="93" t="s">
        <v>579</v>
      </c>
      <c r="K9" s="94" t="str">
        <f>TEXTJOIN("", TRUE, Geral!B189:T189)</f>
        <v>BR-SPAPESP_DASP-PENITPRE-CSDTCARANDIRU_ICO-FOT-DGZ-MT0_2767-011-008</v>
      </c>
      <c r="L9"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92" t="s">
        <v>611</v>
      </c>
      <c r="N9" s="92" t="s">
        <v>145</v>
      </c>
      <c r="O9" s="87" t="s">
        <v>612</v>
      </c>
      <c r="P9" s="91" t="s">
        <v>147</v>
      </c>
      <c r="Q9" s="91" t="s">
        <v>595</v>
      </c>
      <c r="R9" s="95" t="str">
        <f t="shared" si="2"/>
        <v>Figura n – [Ação da guarda com cassetetes para sufocar início de rebelião na Casa de Detenção]
Fonte: Arquivo do Estado de São Paulo, 1955.</v>
      </c>
      <c r="S9" s="95" t="str">
        <f t="shared" si="3"/>
        <v>ARQUIVO PÚBLICO DO ESTADO DE SÃO PAULO (Brasil). [Ação da guarda com cassetetes para sufocar início de rebelião na Casa de Detenção]. São Paulo, Brasil. 21 jan. 1955. Fotografia digitalizada; preto e branco; suporte em papel fotográfico. Disponível em: &lt;link do dataverse&gt;. Acesso em: 28 out. 2025.</v>
      </c>
      <c r="T9" s="92" t="s">
        <v>613</v>
      </c>
    </row>
    <row r="10" ht="15.75" customHeight="1">
      <c r="A10" s="45" t="str">
        <f t="shared" si="1"/>
        <v>009</v>
      </c>
      <c r="B10" s="87" t="s">
        <v>614</v>
      </c>
      <c r="C10" s="88" t="s">
        <v>136</v>
      </c>
      <c r="D10" s="96">
        <v>22833.0</v>
      </c>
      <c r="E10" s="90" t="s">
        <v>137</v>
      </c>
      <c r="F10" s="91" t="s">
        <v>138</v>
      </c>
      <c r="G10" s="92" t="s">
        <v>139</v>
      </c>
      <c r="H10" s="87" t="s">
        <v>140</v>
      </c>
      <c r="I10" s="87" t="s">
        <v>141</v>
      </c>
      <c r="J10" s="93" t="s">
        <v>579</v>
      </c>
      <c r="K10" s="94" t="str">
        <f>TEXTJOIN("", TRUE, Geral!B191:T191)</f>
        <v>BR-SPAPESP_DASP-PENITPRE-CSDTCARANDIRU_ICO-FOT-DGZ-MT0_2767-011-009</v>
      </c>
      <c r="L10"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92" t="s">
        <v>615</v>
      </c>
      <c r="N10" s="92" t="s">
        <v>145</v>
      </c>
      <c r="O10" s="87" t="s">
        <v>616</v>
      </c>
      <c r="P10" s="91" t="s">
        <v>147</v>
      </c>
      <c r="Q10" s="91" t="s">
        <v>604</v>
      </c>
      <c r="R10" s="95" t="str">
        <f t="shared" si="2"/>
        <v>Figura n – [Corredor interno das alas deterioradas ("Alas do Inferno") da Casa de Detenção da Avenida Tiradentes.]
Fonte: Arquivo do Estado de São Paulo, 1962.</v>
      </c>
      <c r="S10" s="95" t="str">
        <f t="shared" si="3"/>
        <v>ARQUIVO PÚBLICO DO ESTADO DE SÃO PAULO (Brasil). [Corredor interno das alas deterioradas ("Alas do Inferno") da Casa de Detenção da Avenida Tiradentes.]. São Paulo, Brasil. 06 jul. 1962. Fotografia digitalizada; preto e branco; suporte em papel fotográfico. Disponível em: &lt;link do dataverse&gt;. Acesso em: 28 out. 2025.</v>
      </c>
      <c r="T10" s="92" t="s">
        <v>617</v>
      </c>
    </row>
    <row r="11" ht="15.75" customHeight="1">
      <c r="A11" s="45" t="str">
        <f t="shared" si="1"/>
        <v>010</v>
      </c>
      <c r="B11" s="87" t="s">
        <v>618</v>
      </c>
      <c r="C11" s="88" t="s">
        <v>136</v>
      </c>
      <c r="D11" s="89">
        <v>19936.0</v>
      </c>
      <c r="E11" s="90" t="s">
        <v>137</v>
      </c>
      <c r="F11" s="91" t="s">
        <v>138</v>
      </c>
      <c r="G11" s="92" t="s">
        <v>139</v>
      </c>
      <c r="H11" s="92" t="s">
        <v>140</v>
      </c>
      <c r="I11" s="92" t="s">
        <v>141</v>
      </c>
      <c r="J11" s="93" t="s">
        <v>579</v>
      </c>
      <c r="K11" s="94" t="str">
        <f>TEXTJOIN("", TRUE, Geral!B193:T193)</f>
        <v>BR-SPAPESP_DASP-PENITPRE-CSDTCARANDIRU_ICO-FOT-DGZ-MT0_2767-011-010</v>
      </c>
      <c r="L11"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92" t="s">
        <v>619</v>
      </c>
      <c r="N11" s="92" t="s">
        <v>145</v>
      </c>
      <c r="O11" s="87" t="s">
        <v>620</v>
      </c>
      <c r="P11" s="91" t="s">
        <v>147</v>
      </c>
      <c r="Q11" s="91" t="s">
        <v>604</v>
      </c>
      <c r="R11" s="95" t="str">
        <f t="shared" si="2"/>
        <v>Figura n – [Gráfico do local e rota de fuga de detentos da Casa de Detenção da Avenida Tiradentes.]
Fonte: Arquivo do Estado de São Paulo, 1954.</v>
      </c>
      <c r="S11" s="95" t="str">
        <f t="shared" si="3"/>
        <v>ARQUIVO PÚBLICO DO ESTADO DE SÃO PAULO (Brasil). [Gráfico do local e rota de fuga de detentos da Casa de Detenção da Avenida Tiradentes.]. São Paulo, Brasil. 31 jul. 1954. Fotografia digitalizada; preto e branco; suporte em papel fotográfico. Disponível em: &lt;link do dataverse&gt;. Acesso em: 28 out. 2025.</v>
      </c>
      <c r="T11" s="92" t="s">
        <v>621</v>
      </c>
    </row>
    <row r="12" ht="15.75" customHeight="1">
      <c r="A12" s="45" t="str">
        <f t="shared" si="1"/>
        <v>011</v>
      </c>
      <c r="B12" s="87" t="s">
        <v>622</v>
      </c>
      <c r="C12" s="88" t="s">
        <v>136</v>
      </c>
      <c r="D12" s="96">
        <v>21029.0</v>
      </c>
      <c r="E12" s="90" t="s">
        <v>137</v>
      </c>
      <c r="F12" s="91" t="s">
        <v>138</v>
      </c>
      <c r="G12" s="92" t="s">
        <v>139</v>
      </c>
      <c r="H12" s="87" t="s">
        <v>140</v>
      </c>
      <c r="I12" s="87" t="s">
        <v>141</v>
      </c>
      <c r="J12" s="93" t="s">
        <v>579</v>
      </c>
      <c r="K12" s="94" t="str">
        <f>TEXTJOIN("", TRUE, Geral!B195:T195)</f>
        <v>BR-SPAPESP_DASP-PENITPRE-CSDTCARANDIRU_ICO-FOT-DGZ-MT0_2767-011-011</v>
      </c>
      <c r="L12"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92" t="s">
        <v>623</v>
      </c>
      <c r="N12" s="92" t="s">
        <v>145</v>
      </c>
      <c r="O12" s="87" t="s">
        <v>624</v>
      </c>
      <c r="P12" s="91" t="s">
        <v>147</v>
      </c>
      <c r="Q12" s="91" t="s">
        <v>604</v>
      </c>
      <c r="R12" s="95" t="str">
        <f t="shared" si="2"/>
        <v>Figura n – [Gráfico indicando a rota de fuga pelo telhado de detentos da Casa de Detenção.]
Fonte: Arquivo do Estado de São Paulo, 1957.</v>
      </c>
      <c r="S12" s="95" t="str">
        <f t="shared" si="3"/>
        <v>ARQUIVO PÚBLICO DO ESTADO DE SÃO PAULO (Brasil). [Gráfico indicando a rota de fuga pelo telhado de detentos da Casa de Detenção.]. São Paulo, Brasil. 28 jul. 1957. Fotografia digitalizada; preto e branco; suporte em papel fotográfico. Disponível em: &lt;link do dataverse&gt;. Acesso em: 28 out. 2025.</v>
      </c>
      <c r="T12" s="92" t="s">
        <v>625</v>
      </c>
    </row>
    <row r="13" ht="15.75" customHeight="1">
      <c r="A13" s="45" t="str">
        <f t="shared" si="1"/>
        <v>012</v>
      </c>
      <c r="B13" s="87" t="s">
        <v>626</v>
      </c>
      <c r="C13" s="88" t="s">
        <v>136</v>
      </c>
      <c r="D13" s="89">
        <v>21029.0</v>
      </c>
      <c r="E13" s="90" t="s">
        <v>137</v>
      </c>
      <c r="F13" s="91" t="s">
        <v>138</v>
      </c>
      <c r="G13" s="92" t="s">
        <v>139</v>
      </c>
      <c r="H13" s="92" t="s">
        <v>140</v>
      </c>
      <c r="I13" s="92" t="s">
        <v>141</v>
      </c>
      <c r="J13" s="93" t="s">
        <v>579</v>
      </c>
      <c r="K13" s="94" t="str">
        <f>TEXTJOIN("", TRUE, Geral!B197:T197)</f>
        <v>BR-SPAPESP_DASP-PENITPRE-CSDTCARANDIRU_ICO-FOT-DGZ-MT0_2767-011-012</v>
      </c>
      <c r="L13"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92" t="s">
        <v>627</v>
      </c>
      <c r="N13" s="92" t="s">
        <v>145</v>
      </c>
      <c r="O13" s="87" t="s">
        <v>628</v>
      </c>
      <c r="P13" s="91" t="s">
        <v>147</v>
      </c>
      <c r="Q13" s="91" t="s">
        <v>604</v>
      </c>
      <c r="R13" s="95" t="str">
        <f t="shared" si="2"/>
        <v>Figura n – [Fachada da Casa de Detenção mostrando janela utilizada em fuga de detentos.]
Fonte: Arquivo do Estado de São Paulo, 1957.</v>
      </c>
      <c r="S13" s="95" t="str">
        <f t="shared" si="3"/>
        <v>ARQUIVO PÚBLICO DO ESTADO DE SÃO PAULO (Brasil). [Fachada da Casa de Detenção mostrando janela utilizada em fuga de detentos.]. São Paulo, Brasil. 28 jul. 1957. Fotografia digitalizada; preto e branco; suporte em papel fotográfico. Disponível em: &lt;link do dataverse&gt;. Acesso em: 28 out. 2025.</v>
      </c>
      <c r="T13" s="92" t="s">
        <v>629</v>
      </c>
    </row>
    <row r="14" ht="15.75" customHeight="1">
      <c r="A14" s="45" t="str">
        <f t="shared" si="1"/>
        <v>013</v>
      </c>
      <c r="B14" s="87" t="s">
        <v>630</v>
      </c>
      <c r="C14" s="88" t="s">
        <v>136</v>
      </c>
      <c r="D14" s="89">
        <v>20710.0</v>
      </c>
      <c r="E14" s="90" t="s">
        <v>137</v>
      </c>
      <c r="F14" s="91" t="s">
        <v>138</v>
      </c>
      <c r="G14" s="92" t="s">
        <v>139</v>
      </c>
      <c r="H14" s="87" t="s">
        <v>140</v>
      </c>
      <c r="I14" s="87" t="s">
        <v>141</v>
      </c>
      <c r="J14" s="93" t="s">
        <v>579</v>
      </c>
      <c r="K14" s="94" t="str">
        <f>TEXTJOIN("", TRUE, Geral!B199:T199)</f>
        <v>BR-SPAPESP_DASP-PENITPRE-CSDTCARANDIRU_ICO-FOT-DGZ-MT0_2767-011-013</v>
      </c>
      <c r="L14"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92" t="s">
        <v>631</v>
      </c>
      <c r="N14" s="92" t="s">
        <v>145</v>
      </c>
      <c r="O14" s="87" t="s">
        <v>632</v>
      </c>
      <c r="P14" s="91" t="s">
        <v>147</v>
      </c>
      <c r="Q14" s="91" t="s">
        <v>148</v>
      </c>
      <c r="R14" s="95" t="str">
        <f t="shared" si="2"/>
        <v>Figura n – [Inauguração do Pavilhão 2 (casa da guarda, muralha e cimento curando), 1956]
Fonte: Arquivo do Estado de São Paulo, 1956.</v>
      </c>
      <c r="S14" s="95" t="str">
        <f t="shared" si="3"/>
        <v>ARQUIVO PÚBLICO DO ESTADO DE SÃO PAULO (Brasil). [Inauguração do Pavilhão 2 (casa da guarda, muralha e cimento curando), 1956]. São Paulo, Brasil. 12 set. 1956. Fotografia digitalizada; preto e branco; suporte em papel fotográfico. Disponível em: &lt;link do dataverse&gt;. Acesso em: 28 out. 2025.</v>
      </c>
      <c r="T14" s="92" t="s">
        <v>633</v>
      </c>
    </row>
    <row r="15" ht="15.75" customHeight="1">
      <c r="A15" s="45" t="str">
        <f t="shared" si="1"/>
        <v>014</v>
      </c>
      <c r="B15" s="87" t="s">
        <v>634</v>
      </c>
      <c r="C15" s="88" t="s">
        <v>136</v>
      </c>
      <c r="D15" s="89">
        <v>19878.0</v>
      </c>
      <c r="E15" s="90" t="s">
        <v>137</v>
      </c>
      <c r="F15" s="91" t="s">
        <v>138</v>
      </c>
      <c r="G15" s="92" t="s">
        <v>139</v>
      </c>
      <c r="H15" s="92" t="s">
        <v>140</v>
      </c>
      <c r="I15" s="92" t="s">
        <v>141</v>
      </c>
      <c r="J15" s="98" t="s">
        <v>579</v>
      </c>
      <c r="K15" s="94" t="str">
        <f>TEXTJOIN("", TRUE, Geral!B201:T201)</f>
        <v>BR-SPAPESP_DASP-PENITPRE-CSDTCARANDIRU_ICO-FOT-DGZ-MT0_2767-011-014</v>
      </c>
      <c r="L15"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92" t="s">
        <v>635</v>
      </c>
      <c r="N15" s="92" t="s">
        <v>145</v>
      </c>
      <c r="O15" s="87" t="s">
        <v>636</v>
      </c>
      <c r="P15" s="91" t="s">
        <v>147</v>
      </c>
      <c r="Q15" s="91" t="s">
        <v>595</v>
      </c>
      <c r="R15" s="95" t="str">
        <f t="shared" si="2"/>
        <v>Figura n – [Vista externa da cela 14 da Casa de Detenção assinalada após fuga de Deolindo Bianchetti.]
Fonte: Arquivo do Estado de São Paulo, 1954.</v>
      </c>
      <c r="S15" s="95" t="str">
        <f t="shared" si="3"/>
        <v>ARQUIVO PÚBLICO DO ESTADO DE SÃO PAULO (Brasil). [Vista externa da cela 14 da Casa de Detenção assinalada após fuga de Deolindo Bianchetti.]. São Paulo, Brasil. 03 jun. 1954. Fotografia digitalizada; preto e branco; suporte em papel fotográfico. Disponível em: &lt;link do dataverse&gt;. Acesso em: 28 out. 2025.</v>
      </c>
      <c r="T15" s="92" t="s">
        <v>637</v>
      </c>
    </row>
    <row r="16" ht="15.75" customHeight="1">
      <c r="A16" s="45" t="str">
        <f t="shared" si="1"/>
        <v>015</v>
      </c>
      <c r="B16" s="87" t="s">
        <v>638</v>
      </c>
      <c r="C16" s="88" t="s">
        <v>136</v>
      </c>
      <c r="D16" s="96">
        <v>17360.0</v>
      </c>
      <c r="E16" s="90" t="s">
        <v>137</v>
      </c>
      <c r="F16" s="91" t="s">
        <v>138</v>
      </c>
      <c r="G16" s="92" t="s">
        <v>139</v>
      </c>
      <c r="H16" s="87" t="s">
        <v>140</v>
      </c>
      <c r="I16" s="87" t="s">
        <v>141</v>
      </c>
      <c r="J16" s="98" t="s">
        <v>579</v>
      </c>
      <c r="K16" s="94" t="str">
        <f>TEXTJOIN("", TRUE, Geral!B203:T203)</f>
        <v>BR-SPAPESP_DASP-PENITPRE-CSDTCARANDIRU_ICO-FOT-DGZ-MT0_2767-011-015</v>
      </c>
      <c r="L16"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92" t="s">
        <v>639</v>
      </c>
      <c r="N16" s="92" t="s">
        <v>145</v>
      </c>
      <c r="O16" s="87" t="s">
        <v>640</v>
      </c>
      <c r="P16" s="91" t="s">
        <v>147</v>
      </c>
      <c r="Q16" s="91" t="s">
        <v>604</v>
      </c>
      <c r="R16" s="95" t="str">
        <f t="shared" si="2"/>
        <v>Figura n – [Movimentação de policiais e civis na Casa de Detenção após descoberta de plano de evasão.]
Fonte: Arquivo do Estado de São Paulo, 1947.</v>
      </c>
      <c r="S16" s="95" t="str">
        <f t="shared" si="3"/>
        <v>ARQUIVO PÚBLICO DO ESTADO DE SÃO PAULO (Brasil). [Movimentação de policiais e civis na Casa de Detenção após descoberta de plano de evasão.]. São Paulo, Brasil. 12 jul. 1947. Fotografia digitalizada; preto e branco; suporte em papel fotográfico. Disponível em: &lt;link do dataverse&gt;. Acesso em: 28 out. 2025.</v>
      </c>
      <c r="T16" s="92" t="s">
        <v>641</v>
      </c>
    </row>
    <row r="17" ht="15.75" customHeight="1">
      <c r="A17" s="45" t="str">
        <f t="shared" si="1"/>
        <v>016</v>
      </c>
      <c r="B17" s="87" t="s">
        <v>642</v>
      </c>
      <c r="C17" s="88" t="s">
        <v>136</v>
      </c>
      <c r="D17" s="89">
        <v>22339.0</v>
      </c>
      <c r="E17" s="90" t="s">
        <v>137</v>
      </c>
      <c r="F17" s="91" t="s">
        <v>138</v>
      </c>
      <c r="G17" s="92" t="s">
        <v>139</v>
      </c>
      <c r="H17" s="92" t="s">
        <v>140</v>
      </c>
      <c r="I17" s="92" t="s">
        <v>141</v>
      </c>
      <c r="J17" s="98" t="s">
        <v>579</v>
      </c>
      <c r="K17" s="94" t="str">
        <f>TEXTJOIN("", TRUE, Geral!B205:T205)</f>
        <v>BR-SPAPESP_DASP-PENITPRE-CSDTCARANDIRU_ICO-FOT-DGZ-MT0_2767-011-016</v>
      </c>
      <c r="L17"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92" t="s">
        <v>643</v>
      </c>
      <c r="N17" s="92" t="s">
        <v>145</v>
      </c>
      <c r="O17" s="87" t="s">
        <v>644</v>
      </c>
      <c r="P17" s="91" t="s">
        <v>147</v>
      </c>
      <c r="Q17" s="91" t="s">
        <v>604</v>
      </c>
      <c r="R17" s="95" t="str">
        <f t="shared" si="2"/>
        <v>Figura n – [Partida de futebol e minuto de silêncio durante torneio na Penitenciária do Estado.]
Fonte: Arquivo do Estado de São Paulo, 1961.</v>
      </c>
      <c r="S17" s="95" t="str">
        <f t="shared" si="3"/>
        <v>ARQUIVO PÚBLICO DO ESTADO DE SÃO PAULO (Brasil). [Partida de futebol e minuto de silêncio durante torneio na Penitenciária do Estado.]. São Paulo, Brasil. 27 fev. 1961. Fotografia digitalizada; preto e branco; suporte em papel fotográfico. Disponível em: &lt;link do dataverse&gt;. Acesso em: 28 out. 2025.</v>
      </c>
      <c r="T17" s="92" t="s">
        <v>645</v>
      </c>
    </row>
    <row r="18" ht="15.75" customHeight="1">
      <c r="A18" s="45" t="str">
        <f t="shared" si="1"/>
        <v>017</v>
      </c>
      <c r="B18" s="87" t="s">
        <v>646</v>
      </c>
      <c r="C18" s="88" t="s">
        <v>136</v>
      </c>
      <c r="D18" s="96">
        <v>14346.0</v>
      </c>
      <c r="E18" s="90" t="s">
        <v>137</v>
      </c>
      <c r="F18" s="91" t="s">
        <v>214</v>
      </c>
      <c r="G18" s="92" t="s">
        <v>139</v>
      </c>
      <c r="H18" s="87" t="s">
        <v>140</v>
      </c>
      <c r="I18" s="87" t="s">
        <v>141</v>
      </c>
      <c r="J18" s="93" t="s">
        <v>579</v>
      </c>
      <c r="K18" s="94" t="str">
        <f>TEXTJOIN("", TRUE, Geral!B207:T207)</f>
        <v>BR-SPAPESP_DASP-PENITPRE-CSDTCARANDIRU_ICO-FOT-DGZ-MT0_2767-011-017</v>
      </c>
      <c r="L18"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92" t="s">
        <v>647</v>
      </c>
      <c r="N18" s="92" t="s">
        <v>145</v>
      </c>
      <c r="O18" s="87" t="s">
        <v>648</v>
      </c>
      <c r="P18" s="91" t="s">
        <v>147</v>
      </c>
      <c r="Q18" s="91" t="s">
        <v>293</v>
      </c>
      <c r="R18" s="95" t="str">
        <f t="shared" si="2"/>
        <v>Figura n – [Av. Tiradentes (1939)]
Fonte: Arquivo do Estado de São Paulo, 1939.</v>
      </c>
      <c r="S18" s="95" t="str">
        <f t="shared" si="3"/>
        <v>ARQUIVO PÚBLICO DO ESTADO DE SÃO PAULO (Brasil). [Av. Tiradentes (1939)]. São Paulo, Brasil. 11 abr. 1939. Fotografia digitalizada; sépia; suporte em papel fotográfico. Disponível em: &lt;link do dataverse&gt;. Acesso em: 28 out. 2025.</v>
      </c>
      <c r="T18" s="92" t="s">
        <v>649</v>
      </c>
    </row>
    <row r="19" ht="15.75" customHeight="1">
      <c r="A19" s="45" t="str">
        <f t="shared" si="1"/>
        <v>018</v>
      </c>
      <c r="B19" s="87" t="s">
        <v>650</v>
      </c>
      <c r="C19" s="88" t="s">
        <v>136</v>
      </c>
      <c r="D19" s="89">
        <v>22313.0</v>
      </c>
      <c r="E19" s="90" t="s">
        <v>137</v>
      </c>
      <c r="F19" s="91" t="s">
        <v>138</v>
      </c>
      <c r="G19" s="92" t="s">
        <v>139</v>
      </c>
      <c r="H19" s="92" t="s">
        <v>140</v>
      </c>
      <c r="I19" s="92" t="s">
        <v>141</v>
      </c>
      <c r="J19" s="98" t="s">
        <v>579</v>
      </c>
      <c r="K19" s="94" t="str">
        <f>TEXTJOIN("", TRUE, Geral!B209:T209)</f>
        <v>BR-SPAPESP_DASP-PENITPRE-CSDTCARANDIRU_ICO-FOT-DGZ-MT0_2767-011-018</v>
      </c>
      <c r="L19"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92" t="s">
        <v>651</v>
      </c>
      <c r="N19" s="92" t="s">
        <v>145</v>
      </c>
      <c r="O19" s="87" t="s">
        <v>652</v>
      </c>
      <c r="P19" s="91" t="s">
        <v>147</v>
      </c>
      <c r="Q19" s="91" t="s">
        <v>604</v>
      </c>
      <c r="R19" s="95" t="str">
        <f t="shared" si="2"/>
        <v>Figura n – [Reclusos da Casa de Detenção formados no pátio comemorando decreto de liberdade de J.K.]
Fonte: Arquivo do Estado de São Paulo, 1961.</v>
      </c>
      <c r="S19" s="95" t="str">
        <f t="shared" si="3"/>
        <v>ARQUIVO PÚBLICO DO ESTADO DE SÃO PAULO (Brasil). [Reclusos da Casa de Detenção formados no pátio comemorando decreto de liberdade de J.K.]. São Paulo, Brasil. 01 fev. 1961. Fotografia digitalizada; preto e branco; suporte em papel fotográfico. Disponível em: &lt;link do dataverse&gt;. Acesso em: 28 out. 2025.</v>
      </c>
      <c r="T19" s="92" t="s">
        <v>653</v>
      </c>
    </row>
    <row r="20" ht="15.75" customHeight="1">
      <c r="A20" s="45" t="str">
        <f t="shared" si="1"/>
        <v>019</v>
      </c>
      <c r="B20" s="87" t="s">
        <v>654</v>
      </c>
      <c r="C20" s="88" t="s">
        <v>136</v>
      </c>
      <c r="D20" s="96">
        <v>20641.0</v>
      </c>
      <c r="E20" s="90" t="s">
        <v>137</v>
      </c>
      <c r="F20" s="91" t="s">
        <v>138</v>
      </c>
      <c r="G20" s="92" t="s">
        <v>139</v>
      </c>
      <c r="H20" s="87" t="s">
        <v>140</v>
      </c>
      <c r="I20" s="87" t="s">
        <v>141</v>
      </c>
      <c r="J20" s="93" t="s">
        <v>579</v>
      </c>
      <c r="K20" s="94" t="str">
        <f>TEXTJOIN("", TRUE, Geral!B211:T211)</f>
        <v>BR-SPAPESP_DASP-PENITPRE-CSDTCARANDIRU_ICO-FOT-DGZ-MT0_2767-011-019</v>
      </c>
      <c r="L20" s="91"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92" t="s">
        <v>655</v>
      </c>
      <c r="N20" s="92" t="s">
        <v>145</v>
      </c>
      <c r="O20" s="87" t="s">
        <v>656</v>
      </c>
      <c r="P20" s="91" t="s">
        <v>147</v>
      </c>
      <c r="Q20" s="91" t="s">
        <v>148</v>
      </c>
      <c r="R20" s="95" t="str">
        <f t="shared" si="2"/>
        <v>Figura n – [Detalhe da construção da muralha. 5.7.1956]
Fonte: Arquivo do Estado de São Paulo, 1956.</v>
      </c>
      <c r="S20" s="95" t="str">
        <f t="shared" si="3"/>
        <v>ARQUIVO PÚBLICO DO ESTADO DE SÃO PAULO (Brasil). [Detalhe da construção da muralha. 5.7.1956]. São Paulo, Brasil. 05 jul. 1956. Fotografia digitalizada; preto e branco; suporte em papel fotográfico. Disponível em: &lt;link do dataverse&gt;. Acesso em: 28 out. 2025.</v>
      </c>
      <c r="T20" s="92" t="s">
        <v>657</v>
      </c>
    </row>
    <row r="21" ht="15.75" customHeight="1">
      <c r="A21" s="45" t="str">
        <f t="shared" si="1"/>
        <v>020</v>
      </c>
      <c r="B21" s="99" t="s">
        <v>658</v>
      </c>
      <c r="C21" s="100" t="s">
        <v>136</v>
      </c>
      <c r="D21" s="101">
        <v>25519.0</v>
      </c>
      <c r="E21" s="102" t="s">
        <v>137</v>
      </c>
      <c r="F21" s="103" t="s">
        <v>214</v>
      </c>
      <c r="G21" s="104" t="s">
        <v>139</v>
      </c>
      <c r="H21" s="104" t="s">
        <v>140</v>
      </c>
      <c r="I21" s="104" t="s">
        <v>141</v>
      </c>
      <c r="J21" s="105" t="s">
        <v>579</v>
      </c>
      <c r="K21" s="106" t="str">
        <f>TEXTJOIN("", TRUE, Geral!B213:T213)</f>
        <v>BR-SPAPESP_DASP-PENITPRE-CSDTCARANDIRU_ICO-FOT-DGZ-MT0_2767-011-020</v>
      </c>
      <c r="L21" s="103" t="str">
        <f t="shared" si="4"/>
        <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104" t="s">
        <v>659</v>
      </c>
      <c r="N21" s="104" t="s">
        <v>145</v>
      </c>
      <c r="O21" s="99" t="s">
        <v>660</v>
      </c>
      <c r="P21" s="103" t="s">
        <v>147</v>
      </c>
      <c r="Q21" s="103" t="s">
        <v>293</v>
      </c>
      <c r="R21" s="107" t="str">
        <f t="shared" si="2"/>
        <v>Figura n – [Foto da muralha, com recorte de jornal no verso]
Fonte: Arquivo do Estado de São Paulo, 1969.</v>
      </c>
      <c r="S21" s="107" t="str">
        <f t="shared" si="3"/>
        <v>ARQUIVO PÚBLICO DO ESTADO DE SÃO PAULO (Brasil). [Foto da muralha, com recorte de jornal no verso]. São Paulo, Brasil. 12 nov. 1969. Fotografia digitalizada; sépia; suporte em papel fotográfico. Disponível em: &lt;link do dataverse&gt;. Acesso em: 28 out. 2025.</v>
      </c>
      <c r="T21" s="104" t="s">
        <v>661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45.75"/>
    <col customWidth="1" min="3" max="3" width="21.13"/>
    <col customWidth="1" min="4" max="4" width="32.5"/>
    <col customWidth="1" min="5" max="5" width="24.38"/>
    <col customWidth="1" min="6" max="6" width="35.25"/>
    <col customWidth="1" min="7" max="7" width="19.88"/>
    <col customWidth="1" min="8" max="8" width="29.5"/>
    <col customWidth="1" min="9" max="9" width="40.38"/>
    <col customWidth="1" min="10" max="10" width="14.13"/>
    <col customWidth="1" min="11" max="11" width="44.63"/>
    <col customWidth="1" min="12" max="12" width="92.63"/>
    <col customWidth="1" min="13" max="13" width="56.75"/>
    <col customWidth="1" min="14" max="14" width="78.13"/>
    <col customWidth="1" min="15" max="16" width="23.25"/>
    <col customWidth="1" min="17" max="17" width="29.63"/>
    <col customWidth="1" min="18" max="18" width="50.88"/>
    <col customWidth="1" min="19" max="19" width="64.88"/>
    <col customWidth="1" min="20" max="20" width="109.63"/>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39" t="s">
        <v>132</v>
      </c>
      <c r="S1" s="108" t="s">
        <v>133</v>
      </c>
      <c r="T1" s="41" t="s">
        <v>134</v>
      </c>
    </row>
    <row r="2" ht="15.75" customHeight="1">
      <c r="A2" s="45" t="str">
        <f t="shared" ref="A2:A48" si="1">RIGHT(K2,3)</f>
        <v>001</v>
      </c>
      <c r="B2" s="78" t="s">
        <v>662</v>
      </c>
      <c r="C2" s="79" t="s">
        <v>136</v>
      </c>
      <c r="D2" s="109">
        <v>19938.0</v>
      </c>
      <c r="E2" s="81" t="s">
        <v>137</v>
      </c>
      <c r="F2" s="82" t="s">
        <v>138</v>
      </c>
      <c r="G2" s="83" t="s">
        <v>139</v>
      </c>
      <c r="H2" s="78" t="s">
        <v>140</v>
      </c>
      <c r="I2" s="78" t="s">
        <v>141</v>
      </c>
      <c r="J2" s="84" t="s">
        <v>663</v>
      </c>
      <c r="K2" s="110" t="str">
        <f>TEXTJOIN("", TRUE, Geral!B215:T215)</f>
        <v>BR-SPAPESP_DASP-PENITPRE-CSDTCARANDIRU_ICO-FOT-DGZ-MT0_2776-012-001</v>
      </c>
      <c r="L2" s="83" t="s">
        <v>664</v>
      </c>
      <c r="M2" s="83" t="s">
        <v>665</v>
      </c>
      <c r="N2" s="83" t="s">
        <v>145</v>
      </c>
      <c r="O2" s="78" t="s">
        <v>666</v>
      </c>
      <c r="P2" s="82" t="s">
        <v>147</v>
      </c>
      <c r="Q2" s="82" t="s">
        <v>586</v>
      </c>
      <c r="R2" s="111" t="str">
        <f t="shared" ref="R2:R47" si="2">"Figura n – ["&amp;B2&amp;"]"&amp;CHAR(10)&amp;"Fonte: Arquivo do Estado de São Paulo, "&amp;TEXT(D2,"yyyy")&amp;"."</f>
        <v>Figura n – [Soldados da Força Pública em operação de recaptura de detentos evadidos em Vila Guilherme.]
Fonte: Arquivo do Estado de São Paulo, 1954.</v>
      </c>
      <c r="S2" s="111" t="str">
        <f t="shared" ref="S2:S47" si="3">"ARQUIVO PÚBLICO DO ESTADO DE SÃO PAULO (Brasil). ["&amp;B2&amp;"]. "&amp;G2&amp;". "&amp;TEXT(D2,"dd")&amp;" "&amp;LOWER(TEXT(D2,"mmm"))&amp;" "&amp;TEXT(D2,"yyyy")&amp;". "&amp;F2&amp;". Disponível em: &lt;link do dataverse&gt;. Acesso em: 28 out. 2025."</f>
        <v>ARQUIVO PÚBLICO DO ESTADO DE SÃO PAULO (Brasil). [Soldados da Força Pública em operação de recaptura de detentos evadidos em Vila Guilherme.]. São Paulo, Brasil. 02 ago. 1954. Fotografia digitalizada; preto e branco; suporte em papel fotográfico. Disponível em: &lt;link do dataverse&gt;. Acesso em: 28 out. 2025.</v>
      </c>
      <c r="T2" s="83" t="s">
        <v>667</v>
      </c>
    </row>
    <row r="3" ht="15.75" customHeight="1">
      <c r="A3" s="45" t="str">
        <f t="shared" si="1"/>
        <v>002</v>
      </c>
      <c r="B3" s="87" t="s">
        <v>668</v>
      </c>
      <c r="C3" s="88" t="s">
        <v>136</v>
      </c>
      <c r="D3" s="89">
        <v>19938.0</v>
      </c>
      <c r="E3" s="90" t="s">
        <v>137</v>
      </c>
      <c r="F3" s="91" t="s">
        <v>138</v>
      </c>
      <c r="G3" s="92" t="s">
        <v>139</v>
      </c>
      <c r="H3" s="87" t="s">
        <v>140</v>
      </c>
      <c r="I3" s="87" t="s">
        <v>141</v>
      </c>
      <c r="J3" s="93" t="s">
        <v>663</v>
      </c>
      <c r="K3" s="112" t="str">
        <f>TEXTJOIN("", TRUE, Geral!B217:T217)</f>
        <v>BR-SPAPESP_DASP-PENITPRE-CSDTCARANDIRU_ICO-FOT-DGZ-MT0_2776-012-002</v>
      </c>
      <c r="L3" s="92" t="s">
        <v>664</v>
      </c>
      <c r="M3" s="92" t="s">
        <v>669</v>
      </c>
      <c r="N3" s="92" t="s">
        <v>145</v>
      </c>
      <c r="O3" s="87" t="s">
        <v>670</v>
      </c>
      <c r="P3" s="91" t="s">
        <v>147</v>
      </c>
      <c r="Q3" s="91" t="s">
        <v>586</v>
      </c>
      <c r="R3" s="113" t="str">
        <f t="shared" si="2"/>
        <v>Figura n – [Delegado Nicolau Mario Centola em operação de recaptura do detento "Quinzinho" em Vila Guilherme.]
Fonte: Arquivo do Estado de São Paulo, 1954.</v>
      </c>
      <c r="S3" s="113" t="str">
        <f t="shared" si="3"/>
        <v>ARQUIVO PÚBLICO DO ESTADO DE SÃO PAULO (Brasil). [Delegado Nicolau Mario Centola em operação de recaptura do detento "Quinzinho" em Vila Guilherme.]. São Paulo, Brasil. 02 ago. 1954. Fotografia digitalizada; preto e branco; suporte em papel fotográfico. Disponível em: &lt;link do dataverse&gt;. Acesso em: 28 out. 2025.</v>
      </c>
      <c r="T3" s="92" t="s">
        <v>671</v>
      </c>
    </row>
    <row r="4" ht="15.75" customHeight="1">
      <c r="A4" s="45" t="str">
        <f t="shared" si="1"/>
        <v>003</v>
      </c>
      <c r="B4" s="87" t="s">
        <v>672</v>
      </c>
      <c r="C4" s="88" t="s">
        <v>136</v>
      </c>
      <c r="D4" s="89">
        <v>19878.0</v>
      </c>
      <c r="E4" s="90" t="s">
        <v>137</v>
      </c>
      <c r="F4" s="91" t="s">
        <v>138</v>
      </c>
      <c r="G4" s="92" t="s">
        <v>139</v>
      </c>
      <c r="H4" s="87" t="s">
        <v>140</v>
      </c>
      <c r="I4" s="87" t="s">
        <v>141</v>
      </c>
      <c r="J4" s="93" t="s">
        <v>663</v>
      </c>
      <c r="K4" s="112" t="str">
        <f>TEXTJOIN("", TRUE, Geral!B219:T219)</f>
        <v>BR-SPAPESP_DASP-PENITPRE-CSDTCARANDIRU_ICO-FOT-DGZ-MT0_2776-012-003</v>
      </c>
      <c r="L4" s="92" t="s">
        <v>664</v>
      </c>
      <c r="M4" s="92" t="s">
        <v>673</v>
      </c>
      <c r="N4" s="92" t="s">
        <v>145</v>
      </c>
      <c r="O4" s="87" t="s">
        <v>674</v>
      </c>
      <c r="P4" s="91" t="s">
        <v>147</v>
      </c>
      <c r="Q4" s="91" t="s">
        <v>586</v>
      </c>
      <c r="R4" s="113" t="str">
        <f t="shared" si="2"/>
        <v>Figura n – [Patrulhas da Força Pública vasculhando imediações após fuga da Casa de Detenção da Avenida Tiradentes.]
Fonte: Arquivo do Estado de São Paulo, 1954.</v>
      </c>
      <c r="S4" s="113" t="str">
        <f t="shared" si="3"/>
        <v>ARQUIVO PÚBLICO DO ESTADO DE SÃO PAULO (Brasil). [Patrulhas da Força Pública vasculhando imediações após fuga da Casa de Detenção da Avenida Tiradentes.]. São Paulo, Brasil. 03 jun. 1954. Fotografia digitalizada; preto e branco; suporte em papel fotográfico. Disponível em: &lt;link do dataverse&gt;. Acesso em: 28 out. 2025.</v>
      </c>
      <c r="T4" s="92" t="s">
        <v>675</v>
      </c>
    </row>
    <row r="5" ht="15.75" customHeight="1">
      <c r="A5" s="45" t="str">
        <f t="shared" si="1"/>
        <v>004</v>
      </c>
      <c r="B5" s="87" t="s">
        <v>676</v>
      </c>
      <c r="C5" s="88" t="s">
        <v>136</v>
      </c>
      <c r="D5" s="89">
        <v>20026.0</v>
      </c>
      <c r="E5" s="90" t="s">
        <v>137</v>
      </c>
      <c r="F5" s="91" t="s">
        <v>138</v>
      </c>
      <c r="G5" s="92" t="s">
        <v>139</v>
      </c>
      <c r="H5" s="87" t="s">
        <v>140</v>
      </c>
      <c r="I5" s="87" t="s">
        <v>141</v>
      </c>
      <c r="J5" s="93" t="s">
        <v>663</v>
      </c>
      <c r="K5" s="112" t="str">
        <f>TEXTJOIN("", TRUE, Geral!B221:T221)</f>
        <v>BR-SPAPESP_DASP-PENITPRE-CSDTCARANDIRU_ICO-FOT-DGZ-MT0_2776-012-004</v>
      </c>
      <c r="L5" s="92" t="s">
        <v>664</v>
      </c>
      <c r="M5" s="92" t="s">
        <v>677</v>
      </c>
      <c r="N5" s="92" t="s">
        <v>145</v>
      </c>
      <c r="O5" s="87" t="s">
        <v>678</v>
      </c>
      <c r="P5" s="91" t="s">
        <v>147</v>
      </c>
      <c r="Q5" s="91" t="s">
        <v>586</v>
      </c>
      <c r="R5" s="113" t="str">
        <f t="shared" si="2"/>
        <v>Figura n – [Repórter entrevistando detentos da célula 32 sobre apreensão de maconha na Casa de Detenção.]
Fonte: Arquivo do Estado de São Paulo, 1954.</v>
      </c>
      <c r="S5" s="113" t="str">
        <f t="shared" si="3"/>
        <v>ARQUIVO PÚBLICO DO ESTADO DE SÃO PAULO (Brasil). [Repórter entrevistando detentos da célula 32 sobre apreensão de maconha na Casa de Detenção.]. São Paulo, Brasil. 29 out. 1954. Fotografia digitalizada; preto e branco; suporte em papel fotográfico. Disponível em: &lt;link do dataverse&gt;. Acesso em: 28 out. 2025.</v>
      </c>
      <c r="T5" s="92" t="s">
        <v>679</v>
      </c>
    </row>
    <row r="6" ht="15.75" customHeight="1">
      <c r="A6" s="45" t="str">
        <f t="shared" si="1"/>
        <v>005</v>
      </c>
      <c r="B6" s="87" t="s">
        <v>680</v>
      </c>
      <c r="C6" s="88" t="s">
        <v>136</v>
      </c>
      <c r="D6" s="89">
        <v>21982.0</v>
      </c>
      <c r="E6" s="90" t="s">
        <v>137</v>
      </c>
      <c r="F6" s="91" t="s">
        <v>138</v>
      </c>
      <c r="G6" s="92" t="s">
        <v>139</v>
      </c>
      <c r="H6" s="87" t="s">
        <v>140</v>
      </c>
      <c r="I6" s="87" t="s">
        <v>141</v>
      </c>
      <c r="J6" s="93" t="s">
        <v>663</v>
      </c>
      <c r="K6" s="112" t="str">
        <f>TEXTJOIN("", TRUE, Geral!B223:T223)</f>
        <v>BR-SPAPESP_DASP-PENITPRE-CSDTCARANDIRU_ICO-FOT-DGZ-MT0_2776-012-005</v>
      </c>
      <c r="L6" s="92" t="s">
        <v>664</v>
      </c>
      <c r="M6" s="92" t="s">
        <v>681</v>
      </c>
      <c r="N6" s="92" t="s">
        <v>145</v>
      </c>
      <c r="O6" s="87" t="s">
        <v>682</v>
      </c>
      <c r="P6" s="91" t="s">
        <v>147</v>
      </c>
      <c r="Q6" s="91" t="s">
        <v>586</v>
      </c>
      <c r="R6" s="113" t="str">
        <f t="shared" si="2"/>
        <v>Figura n – [Reconstituição gráfica da fuga de nove detentos por túnel sob a muralha.]
Fonte: Arquivo do Estado de São Paulo, 1960.</v>
      </c>
      <c r="S6" s="113" t="str">
        <f t="shared" si="3"/>
        <v>ARQUIVO PÚBLICO DO ESTADO DE SÃO PAULO (Brasil). [Reconstituição gráfica da fuga de nove detentos por túnel sob a muralha.]. São Paulo, Brasil. 07 mar. 1960. Fotografia digitalizada; preto e branco; suporte em papel fotográfico. Disponível em: &lt;link do dataverse&gt;. Acesso em: 28 out. 2025.</v>
      </c>
      <c r="T6" s="92" t="s">
        <v>683</v>
      </c>
    </row>
    <row r="7" ht="15.75" customHeight="1">
      <c r="A7" s="45" t="str">
        <f t="shared" si="1"/>
        <v>006</v>
      </c>
      <c r="B7" s="87" t="s">
        <v>684</v>
      </c>
      <c r="C7" s="88" t="s">
        <v>136</v>
      </c>
      <c r="D7" s="89">
        <v>21983.0</v>
      </c>
      <c r="E7" s="90" t="s">
        <v>137</v>
      </c>
      <c r="F7" s="91" t="s">
        <v>138</v>
      </c>
      <c r="G7" s="92" t="s">
        <v>139</v>
      </c>
      <c r="H7" s="87" t="s">
        <v>140</v>
      </c>
      <c r="I7" s="87" t="s">
        <v>141</v>
      </c>
      <c r="J7" s="93" t="s">
        <v>663</v>
      </c>
      <c r="K7" s="112" t="str">
        <f>TEXTJOIN("", TRUE, Geral!B225:T225)</f>
        <v>BR-SPAPESP_DASP-PENITPRE-CSDTCARANDIRU_ICO-FOT-DGZ-MT0_2776-012-006</v>
      </c>
      <c r="L7" s="92" t="s">
        <v>664</v>
      </c>
      <c r="M7" s="92" t="s">
        <v>685</v>
      </c>
      <c r="N7" s="92" t="s">
        <v>145</v>
      </c>
      <c r="O7" s="87" t="s">
        <v>686</v>
      </c>
      <c r="P7" s="91" t="s">
        <v>147</v>
      </c>
      <c r="Q7" s="91" t="s">
        <v>586</v>
      </c>
      <c r="R7" s="113" t="str">
        <f t="shared" si="2"/>
        <v>Figura n – [Vista aérea com marcação gráfica da etapa 5 da "fuga em cinco tempos".]
Fonte: Arquivo do Estado de São Paulo, 1960.</v>
      </c>
      <c r="S7" s="113" t="str">
        <f t="shared" si="3"/>
        <v>ARQUIVO PÚBLICO DO ESTADO DE SÃO PAULO (Brasil). [Vista aérea com marcação gráfica da etapa 5 da "fuga em cinco tempos".]. São Paulo, Brasil. 08 mar. 1960. Fotografia digitalizada; preto e branco; suporte em papel fotográfico. Disponível em: &lt;link do dataverse&gt;. Acesso em: 28 out. 2025.</v>
      </c>
      <c r="T7" s="92" t="s">
        <v>687</v>
      </c>
    </row>
    <row r="8" ht="15.75" customHeight="1">
      <c r="A8" s="45" t="str">
        <f t="shared" si="1"/>
        <v>007</v>
      </c>
      <c r="B8" s="87" t="s">
        <v>688</v>
      </c>
      <c r="C8" s="88" t="s">
        <v>136</v>
      </c>
      <c r="D8" s="89">
        <v>21983.0</v>
      </c>
      <c r="E8" s="90" t="s">
        <v>137</v>
      </c>
      <c r="F8" s="91" t="s">
        <v>138</v>
      </c>
      <c r="G8" s="92" t="s">
        <v>139</v>
      </c>
      <c r="H8" s="87" t="s">
        <v>140</v>
      </c>
      <c r="I8" s="87" t="s">
        <v>141</v>
      </c>
      <c r="J8" s="93" t="s">
        <v>663</v>
      </c>
      <c r="K8" s="112" t="str">
        <f>TEXTJOIN("", TRUE, Geral!B227:T227)</f>
        <v>BR-SPAPESP_DASP-PENITPRE-CSDTCARANDIRU_ICO-FOT-DGZ-MT0_2776-012-007</v>
      </c>
      <c r="L8" s="92" t="s">
        <v>664</v>
      </c>
      <c r="M8" s="92" t="s">
        <v>689</v>
      </c>
      <c r="N8" s="92" t="s">
        <v>145</v>
      </c>
      <c r="O8" s="87" t="s">
        <v>690</v>
      </c>
      <c r="P8" s="91" t="s">
        <v>147</v>
      </c>
      <c r="Q8" s="91" t="s">
        <v>586</v>
      </c>
      <c r="R8" s="113" t="str">
        <f t="shared" si="2"/>
        <v>Figura n – [Reconstituição fotográfica aérea com marcação das etapas (1 a 4) da "fuga em cinco tempos"]
Fonte: Arquivo do Estado de São Paulo, 1960.</v>
      </c>
      <c r="S8" s="113" t="str">
        <f t="shared" si="3"/>
        <v>ARQUIVO PÚBLICO DO ESTADO DE SÃO PAULO (Brasil). [Reconstituição fotográfica aérea com marcação das etapas (1 a 4) da "fuga em cinco tempos"]. São Paulo, Brasil. 08 mar. 1960. Fotografia digitalizada; preto e branco; suporte em papel fotográfico. Disponível em: &lt;link do dataverse&gt;. Acesso em: 28 out. 2025.</v>
      </c>
      <c r="T8" s="92" t="s">
        <v>691</v>
      </c>
    </row>
    <row r="9" ht="15.75" customHeight="1">
      <c r="A9" s="45" t="str">
        <f t="shared" si="1"/>
        <v>008</v>
      </c>
      <c r="B9" s="87" t="s">
        <v>692</v>
      </c>
      <c r="C9" s="88" t="s">
        <v>136</v>
      </c>
      <c r="D9" s="89">
        <v>23449.0</v>
      </c>
      <c r="E9" s="90" t="s">
        <v>137</v>
      </c>
      <c r="F9" s="91" t="s">
        <v>138</v>
      </c>
      <c r="G9" s="92" t="s">
        <v>139</v>
      </c>
      <c r="H9" s="87" t="s">
        <v>140</v>
      </c>
      <c r="I9" s="87" t="s">
        <v>141</v>
      </c>
      <c r="J9" s="93" t="s">
        <v>663</v>
      </c>
      <c r="K9" s="112" t="str">
        <f>TEXTJOIN("", TRUE, Geral!B229:T229)</f>
        <v>BR-SPAPESP_DASP-PENITPRE-CSDTCARANDIRU_ICO-FOT-DGZ-MT0_2776-012-008</v>
      </c>
      <c r="L9" s="92" t="s">
        <v>664</v>
      </c>
      <c r="M9" s="92" t="s">
        <v>693</v>
      </c>
      <c r="N9" s="92" t="s">
        <v>145</v>
      </c>
      <c r="O9" s="87" t="s">
        <v>148</v>
      </c>
      <c r="P9" s="91" t="s">
        <v>147</v>
      </c>
      <c r="Q9" s="91" t="s">
        <v>586</v>
      </c>
      <c r="R9" s="113" t="str">
        <f t="shared" si="2"/>
        <v>Figura n – [Celebração de missa para detentos e visitantes na Casa de Detenção da Avenida Tiradentes.]
Fonte: Arquivo do Estado de São Paulo, 1964.</v>
      </c>
      <c r="S9" s="113" t="str">
        <f t="shared" si="3"/>
        <v>ARQUIVO PÚBLICO DO ESTADO DE SÃO PAULO (Brasil). [Celebração de missa para detentos e visitantes na Casa de Detenção da Avenida Tiradentes.]. São Paulo, Brasil. 13 mar. 1964. Fotografia digitalizada; preto e branco; suporte em papel fotográfico. Disponível em: &lt;link do dataverse&gt;. Acesso em: 28 out. 2025.</v>
      </c>
      <c r="T9" s="92" t="s">
        <v>694</v>
      </c>
    </row>
    <row r="10" ht="15.75" customHeight="1">
      <c r="A10" s="45" t="str">
        <f t="shared" si="1"/>
        <v>009</v>
      </c>
      <c r="B10" s="87" t="s">
        <v>695</v>
      </c>
      <c r="C10" s="88" t="s">
        <v>136</v>
      </c>
      <c r="D10" s="89">
        <v>20125.0</v>
      </c>
      <c r="E10" s="90" t="s">
        <v>137</v>
      </c>
      <c r="F10" s="91" t="s">
        <v>138</v>
      </c>
      <c r="G10" s="92" t="s">
        <v>139</v>
      </c>
      <c r="H10" s="87" t="s">
        <v>140</v>
      </c>
      <c r="I10" s="87" t="s">
        <v>141</v>
      </c>
      <c r="J10" s="93" t="s">
        <v>663</v>
      </c>
      <c r="K10" s="112" t="str">
        <f>TEXTJOIN("", TRUE, Geral!B231:T231)</f>
        <v>BR-SPAPESP_DASP-PENITPRE-CSDTCARANDIRU_ICO-FOT-DGZ-MT0_2776-012-009</v>
      </c>
      <c r="L10" s="92" t="s">
        <v>664</v>
      </c>
      <c r="M10" s="92" t="s">
        <v>696</v>
      </c>
      <c r="N10" s="92" t="s">
        <v>145</v>
      </c>
      <c r="O10" s="87" t="s">
        <v>697</v>
      </c>
      <c r="P10" s="91" t="s">
        <v>147</v>
      </c>
      <c r="Q10" s="91" t="s">
        <v>586</v>
      </c>
      <c r="R10" s="113" t="str">
        <f t="shared" si="2"/>
        <v>Figura n – [Detentos testemunhas do assassinato do detento-cozinheiro Mario Gagliardi na Casa de Detenção.]
Fonte: Arquivo do Estado de São Paulo, 1955.</v>
      </c>
      <c r="S10" s="113" t="str">
        <f t="shared" si="3"/>
        <v>ARQUIVO PÚBLICO DO ESTADO DE SÃO PAULO (Brasil). [Detentos testemunhas do assassinato do detento-cozinheiro Mario Gagliardi na Casa de Detenção.]. São Paulo, Brasil. 05 fev. 1955. Fotografia digitalizada; preto e branco; suporte em papel fotográfico. Disponível em: &lt;link do dataverse&gt;. Acesso em: 28 out. 2025.</v>
      </c>
      <c r="T10" s="92" t="s">
        <v>698</v>
      </c>
    </row>
    <row r="11" ht="15.75" customHeight="1">
      <c r="A11" s="45" t="str">
        <f t="shared" si="1"/>
        <v>010</v>
      </c>
      <c r="B11" s="87" t="s">
        <v>699</v>
      </c>
      <c r="C11" s="88" t="s">
        <v>136</v>
      </c>
      <c r="D11" s="114">
        <v>16285.0</v>
      </c>
      <c r="E11" s="90" t="s">
        <v>137</v>
      </c>
      <c r="F11" s="91" t="s">
        <v>138</v>
      </c>
      <c r="G11" s="92" t="s">
        <v>139</v>
      </c>
      <c r="H11" s="87" t="s">
        <v>140</v>
      </c>
      <c r="I11" s="87" t="s">
        <v>141</v>
      </c>
      <c r="J11" s="93" t="s">
        <v>663</v>
      </c>
      <c r="K11" s="112" t="str">
        <f>TEXTJOIN("", TRUE, Geral!B233:T233)</f>
        <v>BR-SPAPESP_DASP-PENITPRE-CSDTCARANDIRU_ICO-FOT-DGZ-MT0_2776-012-010</v>
      </c>
      <c r="L11" s="92" t="s">
        <v>664</v>
      </c>
      <c r="M11" s="92" t="s">
        <v>700</v>
      </c>
      <c r="N11" s="92" t="s">
        <v>145</v>
      </c>
      <c r="O11" s="87" t="s">
        <v>701</v>
      </c>
      <c r="P11" s="91" t="s">
        <v>147</v>
      </c>
      <c r="Q11" s="91" t="s">
        <v>586</v>
      </c>
      <c r="R11" s="113" t="str">
        <f t="shared" si="2"/>
        <v>Figura n – [Desfile da Escola de Educação Física e Instrução Pré-Militar na Casa de Detenção da Avenida Tiradentes.]
Fonte: Arquivo do Estado de São Paulo, 1944.</v>
      </c>
      <c r="S11" s="113" t="str">
        <f t="shared" si="3"/>
        <v>ARQUIVO PÚBLICO DO ESTADO DE SÃO PAULO (Brasil). [Desfile da Escola de Educação Física e Instrução Pré-Militar na Casa de Detenção da Avenida Tiradentes.]. São Paulo, Brasil. 01 ago. 1944. Fotografia digitalizada; preto e branco; suporte em papel fotográfico. Disponível em: &lt;link do dataverse&gt;. Acesso em: 28 out. 2025.</v>
      </c>
      <c r="T11" s="92" t="s">
        <v>702</v>
      </c>
    </row>
    <row r="12" ht="15.75" customHeight="1">
      <c r="A12" s="45" t="str">
        <f t="shared" si="1"/>
        <v>011</v>
      </c>
      <c r="B12" s="87" t="s">
        <v>703</v>
      </c>
      <c r="C12" s="88" t="s">
        <v>136</v>
      </c>
      <c r="D12" s="89">
        <v>23139.0</v>
      </c>
      <c r="E12" s="90" t="s">
        <v>137</v>
      </c>
      <c r="F12" s="91" t="s">
        <v>138</v>
      </c>
      <c r="G12" s="92" t="s">
        <v>139</v>
      </c>
      <c r="H12" s="87" t="s">
        <v>140</v>
      </c>
      <c r="I12" s="87" t="s">
        <v>141</v>
      </c>
      <c r="J12" s="93" t="s">
        <v>663</v>
      </c>
      <c r="K12" s="112" t="str">
        <f>TEXTJOIN("", TRUE, Geral!B235:T235)</f>
        <v>BR-SPAPESP_DASP-PENITPRE-CSDTCARANDIRU_ICO-FOT-DGZ-MT0_2776-012-011</v>
      </c>
      <c r="L12" s="92" t="s">
        <v>664</v>
      </c>
      <c r="M12" s="92" t="s">
        <v>704</v>
      </c>
      <c r="N12" s="92" t="s">
        <v>145</v>
      </c>
      <c r="O12" s="87" t="s">
        <v>705</v>
      </c>
      <c r="P12" s="91" t="s">
        <v>147</v>
      </c>
      <c r="Q12" s="91" t="s">
        <v>586</v>
      </c>
      <c r="R12" s="113" t="str">
        <f t="shared" si="2"/>
        <v>Figura n – [Detentas suspeitas aguardando interrogatório com polígrafo após morte de Maria da Silveira.]
Fonte: Arquivo do Estado de São Paulo, 1963.</v>
      </c>
      <c r="S12" s="113" t="str">
        <f t="shared" si="3"/>
        <v>ARQUIVO PÚBLICO DO ESTADO DE SÃO PAULO (Brasil). [Detentas suspeitas aguardando interrogatório com polígrafo após morte de Maria da Silveira.]. São Paulo, Brasil. 08 mai. 1963. Fotografia digitalizada; preto e branco; suporte em papel fotográfico. Disponível em: &lt;link do dataverse&gt;. Acesso em: 28 out. 2025.</v>
      </c>
      <c r="T12" s="92" t="s">
        <v>706</v>
      </c>
    </row>
    <row r="13" ht="15.75" customHeight="1">
      <c r="A13" s="45" t="str">
        <f t="shared" si="1"/>
        <v>012</v>
      </c>
      <c r="B13" s="87" t="s">
        <v>707</v>
      </c>
      <c r="C13" s="88" t="s">
        <v>136</v>
      </c>
      <c r="D13" s="89">
        <v>22656.0</v>
      </c>
      <c r="E13" s="90" t="s">
        <v>137</v>
      </c>
      <c r="F13" s="91" t="s">
        <v>138</v>
      </c>
      <c r="G13" s="92" t="s">
        <v>139</v>
      </c>
      <c r="H13" s="87" t="s">
        <v>140</v>
      </c>
      <c r="I13" s="87" t="s">
        <v>141</v>
      </c>
      <c r="J13" s="93" t="s">
        <v>663</v>
      </c>
      <c r="K13" s="112" t="str">
        <f>TEXTJOIN("", TRUE, Geral!B237:T237)</f>
        <v>BR-SPAPESP_DASP-PENITPRE-CSDTCARANDIRU_ICO-FOT-DGZ-MT0_2776-012-012</v>
      </c>
      <c r="L13" s="92" t="s">
        <v>664</v>
      </c>
      <c r="M13" s="92" t="s">
        <v>708</v>
      </c>
      <c r="N13" s="92" t="s">
        <v>145</v>
      </c>
      <c r="O13" s="87" t="s">
        <v>709</v>
      </c>
      <c r="P13" s="91" t="s">
        <v>147</v>
      </c>
      <c r="Q13" s="91" t="s">
        <v>586</v>
      </c>
      <c r="R13" s="113" t="str">
        <f t="shared" si="2"/>
        <v>Figura n – [Primeiros cinco detentos beneficiados por indulto presidencial em liberdade na Casa de Detenção.]
Fonte: Arquivo do Estado de São Paulo, 1962.</v>
      </c>
      <c r="S13" s="113" t="str">
        <f t="shared" si="3"/>
        <v>ARQUIVO PÚBLICO DO ESTADO DE SÃO PAULO (Brasil). [Primeiros cinco detentos beneficiados por indulto presidencial em liberdade na Casa de Detenção.]. São Paulo, Brasil. 10 jan. 1962. Fotografia digitalizada; preto e branco; suporte em papel fotográfico. Disponível em: &lt;link do dataverse&gt;. Acesso em: 28 out. 2025.</v>
      </c>
      <c r="T13" s="92" t="s">
        <v>710</v>
      </c>
    </row>
    <row r="14" ht="15.75" customHeight="1">
      <c r="A14" s="45" t="str">
        <f t="shared" si="1"/>
        <v>013</v>
      </c>
      <c r="B14" s="87" t="s">
        <v>711</v>
      </c>
      <c r="C14" s="88" t="s">
        <v>136</v>
      </c>
      <c r="D14" s="89">
        <v>22207.0</v>
      </c>
      <c r="E14" s="90" t="s">
        <v>137</v>
      </c>
      <c r="F14" s="91" t="s">
        <v>138</v>
      </c>
      <c r="G14" s="92" t="s">
        <v>139</v>
      </c>
      <c r="H14" s="87" t="s">
        <v>140</v>
      </c>
      <c r="I14" s="87" t="s">
        <v>141</v>
      </c>
      <c r="J14" s="93" t="s">
        <v>663</v>
      </c>
      <c r="K14" s="112" t="str">
        <f>TEXTJOIN("", TRUE, Geral!B239:T239)</f>
        <v>BR-SPAPESP_DASP-PENITPRE-CSDTCARANDIRU_ICO-FOT-DGZ-MT0_2776-012-013</v>
      </c>
      <c r="L14" s="92" t="s">
        <v>664</v>
      </c>
      <c r="M14" s="92" t="s">
        <v>712</v>
      </c>
      <c r="N14" s="92" t="s">
        <v>145</v>
      </c>
      <c r="O14" s="87" t="s">
        <v>713</v>
      </c>
      <c r="P14" s="91" t="s">
        <v>147</v>
      </c>
      <c r="Q14" s="91" t="s">
        <v>586</v>
      </c>
      <c r="R14" s="113" t="str">
        <f t="shared" si="2"/>
        <v>Figura n – [Soldados armados realizando busca no telhado da Casa de Detenção após alarme de fuga.]
Fonte: Arquivo do Estado de São Paulo, 1960.</v>
      </c>
      <c r="S14" s="113" t="str">
        <f t="shared" si="3"/>
        <v>ARQUIVO PÚBLICO DO ESTADO DE SÃO PAULO (Brasil). [Soldados armados realizando busca no telhado da Casa de Detenção após alarme de fuga.]. São Paulo, Brasil. 18 out. 1960. Fotografia digitalizada; preto e branco; suporte em papel fotográfico. Disponível em: &lt;link do dataverse&gt;. Acesso em: 28 out. 2025.</v>
      </c>
      <c r="T14" s="92" t="s">
        <v>714</v>
      </c>
    </row>
    <row r="15" ht="15.75" customHeight="1">
      <c r="A15" s="45" t="str">
        <f t="shared" si="1"/>
        <v>014</v>
      </c>
      <c r="B15" s="87" t="s">
        <v>715</v>
      </c>
      <c r="C15" s="88" t="s">
        <v>136</v>
      </c>
      <c r="D15" s="89">
        <v>19878.0</v>
      </c>
      <c r="E15" s="90" t="s">
        <v>137</v>
      </c>
      <c r="F15" s="91" t="s">
        <v>138</v>
      </c>
      <c r="G15" s="92" t="s">
        <v>139</v>
      </c>
      <c r="H15" s="87" t="s">
        <v>140</v>
      </c>
      <c r="I15" s="87" t="s">
        <v>141</v>
      </c>
      <c r="J15" s="93" t="s">
        <v>663</v>
      </c>
      <c r="K15" s="112" t="str">
        <f>TEXTJOIN("", TRUE, Geral!B241:T241)</f>
        <v>BR-SPAPESP_DASP-PENITPRE-CSDTCARANDIRU_ICO-FOT-DGZ-MT0_2776-012-014</v>
      </c>
      <c r="L15" s="92" t="s">
        <v>664</v>
      </c>
      <c r="M15" s="92" t="s">
        <v>716</v>
      </c>
      <c r="N15" s="92" t="s">
        <v>145</v>
      </c>
      <c r="O15" s="87" t="s">
        <v>717</v>
      </c>
      <c r="P15" s="91" t="s">
        <v>147</v>
      </c>
      <c r="Q15" s="91" t="s">
        <v>718</v>
      </c>
      <c r="R15" s="113" t="str">
        <f t="shared" si="2"/>
        <v>Figura n – [Reconstituição da fuga de nove detentos através de túnel na cela 14 da Casa de Detenção.]
Fonte: Arquivo do Estado de São Paulo, 1954.</v>
      </c>
      <c r="S15" s="113" t="str">
        <f t="shared" si="3"/>
        <v>ARQUIVO PÚBLICO DO ESTADO DE SÃO PAULO (Brasil). [Reconstituição da fuga de nove detentos através de túnel na cela 14 da Casa de Detenção.]. São Paulo, Brasil. 03 jun. 1954. Fotografia digitalizada; preto e branco; suporte em papel fotográfico. Disponível em: &lt;link do dataverse&gt;. Acesso em: 28 out. 2025.</v>
      </c>
      <c r="T15" s="92" t="s">
        <v>719</v>
      </c>
    </row>
    <row r="16" ht="15.75" customHeight="1">
      <c r="A16" s="45" t="str">
        <f t="shared" si="1"/>
        <v>015</v>
      </c>
      <c r="B16" s="87" t="s">
        <v>720</v>
      </c>
      <c r="C16" s="88" t="s">
        <v>136</v>
      </c>
      <c r="D16" s="89">
        <v>19005.0</v>
      </c>
      <c r="E16" s="90" t="s">
        <v>137</v>
      </c>
      <c r="F16" s="91" t="s">
        <v>138</v>
      </c>
      <c r="G16" s="92" t="s">
        <v>139</v>
      </c>
      <c r="H16" s="87" t="s">
        <v>140</v>
      </c>
      <c r="I16" s="87" t="s">
        <v>141</v>
      </c>
      <c r="J16" s="93" t="s">
        <v>663</v>
      </c>
      <c r="K16" s="112" t="str">
        <f>TEXTJOIN("", TRUE, Geral!B243:T243)</f>
        <v>BR-SPAPESP_DASP-PENITPRE-CSDTCARANDIRU_ICO-FOT-DGZ-MT0_2776-012-015</v>
      </c>
      <c r="L16" s="92" t="s">
        <v>664</v>
      </c>
      <c r="M16" s="92" t="s">
        <v>721</v>
      </c>
      <c r="N16" s="92" t="s">
        <v>145</v>
      </c>
      <c r="O16" s="87" t="s">
        <v>722</v>
      </c>
      <c r="P16" s="91" t="s">
        <v>147</v>
      </c>
      <c r="Q16" s="91" t="s">
        <v>718</v>
      </c>
      <c r="R16" s="113" t="str">
        <f t="shared" si="2"/>
        <v>Figura n – [Cerimônia de formatura e homenagem de detentos concludentes do curso de alfabetização.]
Fonte: Arquivo do Estado de São Paulo, 1952.</v>
      </c>
      <c r="S16" s="113" t="str">
        <f t="shared" si="3"/>
        <v>ARQUIVO PÚBLICO DO ESTADO DE SÃO PAULO (Brasil). [Cerimônia de formatura e homenagem de detentos concludentes do curso de alfabetização.]. São Paulo, Brasil. 12 jan. 1952. Fotografia digitalizada; preto e branco; suporte em papel fotográfico. Disponível em: &lt;link do dataverse&gt;. Acesso em: 28 out. 2025.</v>
      </c>
      <c r="T16" s="92" t="s">
        <v>723</v>
      </c>
    </row>
    <row r="17" ht="15.75" customHeight="1">
      <c r="A17" s="45" t="str">
        <f t="shared" si="1"/>
        <v>016</v>
      </c>
      <c r="B17" s="87" t="s">
        <v>724</v>
      </c>
      <c r="C17" s="88" t="s">
        <v>136</v>
      </c>
      <c r="D17" s="89">
        <v>21621.0</v>
      </c>
      <c r="E17" s="90" t="s">
        <v>137</v>
      </c>
      <c r="F17" s="91" t="s">
        <v>138</v>
      </c>
      <c r="G17" s="92" t="s">
        <v>139</v>
      </c>
      <c r="H17" s="87" t="s">
        <v>140</v>
      </c>
      <c r="I17" s="87" t="s">
        <v>141</v>
      </c>
      <c r="J17" s="93" t="s">
        <v>663</v>
      </c>
      <c r="K17" s="112" t="str">
        <f>TEXTJOIN("", TRUE, Geral!B245:T245)</f>
        <v>BR-SPAPESP_DASP-PENITPRE-CSDTCARANDIRU_ICO-FOT-DGZ-MT0_2776-012-016</v>
      </c>
      <c r="L17" s="92" t="s">
        <v>664</v>
      </c>
      <c r="M17" s="92" t="s">
        <v>725</v>
      </c>
      <c r="N17" s="92" t="s">
        <v>145</v>
      </c>
      <c r="O17" s="87" t="s">
        <v>726</v>
      </c>
      <c r="P17" s="91" t="s">
        <v>147</v>
      </c>
      <c r="Q17" s="91" t="s">
        <v>586</v>
      </c>
      <c r="R17" s="113" t="str">
        <f t="shared" si="2"/>
        <v>Figura n – [Retrato em perfil de detento da Casa de Detenção em reportagem sobre a crise no sistema prisional.]
Fonte: Arquivo do Estado de São Paulo, 1959.</v>
      </c>
      <c r="S17" s="113" t="str">
        <f t="shared" si="3"/>
        <v>ARQUIVO PÚBLICO DO ESTADO DE SÃO PAULO (Brasil). [Retrato em perfil de detento da Casa de Detenção em reportagem sobre a crise no sistema prisional.]. São Paulo, Brasil. 12 mar. 1959. Fotografia digitalizada; preto e branco; suporte em papel fotográfico. Disponível em: &lt;link do dataverse&gt;. Acesso em: 28 out. 2025.</v>
      </c>
      <c r="T17" s="92" t="s">
        <v>727</v>
      </c>
    </row>
    <row r="18" ht="15.75" customHeight="1">
      <c r="A18" s="45" t="str">
        <f t="shared" si="1"/>
        <v>017</v>
      </c>
      <c r="B18" s="87" t="s">
        <v>728</v>
      </c>
      <c r="C18" s="88" t="s">
        <v>136</v>
      </c>
      <c r="D18" s="89">
        <v>17835.0</v>
      </c>
      <c r="E18" s="90" t="s">
        <v>137</v>
      </c>
      <c r="F18" s="91" t="s">
        <v>138</v>
      </c>
      <c r="G18" s="92" t="s">
        <v>139</v>
      </c>
      <c r="H18" s="87" t="s">
        <v>140</v>
      </c>
      <c r="I18" s="87" t="s">
        <v>141</v>
      </c>
      <c r="J18" s="93" t="s">
        <v>663</v>
      </c>
      <c r="K18" s="112" t="str">
        <f>TEXTJOIN("", TRUE, Geral!B247:T247)</f>
        <v>BR-SPAPESP_DASP-PENITPRE-CSDTCARANDIRU_ICO-FOT-DGZ-MT0_2776-012-017</v>
      </c>
      <c r="L18" s="92" t="s">
        <v>664</v>
      </c>
      <c r="M18" s="92" t="s">
        <v>729</v>
      </c>
      <c r="N18" s="92" t="s">
        <v>145</v>
      </c>
      <c r="O18" s="87" t="s">
        <v>730</v>
      </c>
      <c r="P18" s="91" t="s">
        <v>147</v>
      </c>
      <c r="Q18" s="91" t="s">
        <v>586</v>
      </c>
      <c r="R18" s="113" t="str">
        <f t="shared" si="2"/>
        <v>Figura n – [Detentos exibindo álbum de recortes sobre movimento de anistia após indulto para réus primários.]
Fonte: Arquivo do Estado de São Paulo, 1948.</v>
      </c>
      <c r="S18" s="113" t="str">
        <f t="shared" si="3"/>
        <v>ARQUIVO PÚBLICO DO ESTADO DE SÃO PAULO (Brasil). [Detentos exibindo álbum de recortes sobre movimento de anistia após indulto para réus primários.]. São Paulo, Brasil. 29 out. 1948. Fotografia digitalizada; preto e branco; suporte em papel fotográfico. Disponível em: &lt;link do dataverse&gt;. Acesso em: 28 out. 2025.</v>
      </c>
      <c r="T18" s="92" t="s">
        <v>731</v>
      </c>
    </row>
    <row r="19" ht="15.75" customHeight="1">
      <c r="A19" s="45" t="str">
        <f t="shared" si="1"/>
        <v>018</v>
      </c>
      <c r="B19" s="87" t="s">
        <v>732</v>
      </c>
      <c r="C19" s="88" t="s">
        <v>136</v>
      </c>
      <c r="D19" s="89">
        <v>19878.0</v>
      </c>
      <c r="E19" s="90" t="s">
        <v>137</v>
      </c>
      <c r="F19" s="91" t="s">
        <v>138</v>
      </c>
      <c r="G19" s="92" t="s">
        <v>139</v>
      </c>
      <c r="H19" s="87" t="s">
        <v>140</v>
      </c>
      <c r="I19" s="87" t="s">
        <v>141</v>
      </c>
      <c r="J19" s="93" t="s">
        <v>663</v>
      </c>
      <c r="K19" s="112" t="str">
        <f>TEXTJOIN("", TRUE, Geral!B249:T249)</f>
        <v>BR-SPAPESP_DASP-PENITPRE-CSDTCARANDIRU_ICO-FOT-DGZ-MT0_2776-012-018</v>
      </c>
      <c r="L19" s="92" t="s">
        <v>664</v>
      </c>
      <c r="M19" s="92" t="s">
        <v>733</v>
      </c>
      <c r="N19" s="92" t="s">
        <v>145</v>
      </c>
      <c r="O19" s="87" t="s">
        <v>734</v>
      </c>
      <c r="P19" s="91" t="s">
        <v>147</v>
      </c>
      <c r="Q19" s="91" t="s">
        <v>586</v>
      </c>
      <c r="R19" s="113" t="str">
        <f t="shared" si="2"/>
        <v>Figura n – [Vasilhames utilizados na escavação de túnel para fuga de detentos na Casa de Detenção.]
Fonte: Arquivo do Estado de São Paulo, 1954.</v>
      </c>
      <c r="S19" s="113" t="str">
        <f t="shared" si="3"/>
        <v>ARQUIVO PÚBLICO DO ESTADO DE SÃO PAULO (Brasil). [Vasilhames utilizados na escavação de túnel para fuga de detentos na Casa de Detenção.]. São Paulo, Brasil. 03 jun. 1954. Fotografia digitalizada; preto e branco; suporte em papel fotográfico. Disponível em: &lt;link do dataverse&gt;. Acesso em: 28 out. 2025.</v>
      </c>
      <c r="T19" s="92" t="s">
        <v>735</v>
      </c>
    </row>
    <row r="20" ht="15.75" customHeight="1">
      <c r="A20" s="45" t="str">
        <f t="shared" si="1"/>
        <v>019</v>
      </c>
      <c r="B20" s="87" t="s">
        <v>736</v>
      </c>
      <c r="C20" s="88" t="s">
        <v>136</v>
      </c>
      <c r="D20" s="89">
        <v>20064.0</v>
      </c>
      <c r="E20" s="90" t="s">
        <v>137</v>
      </c>
      <c r="F20" s="91" t="s">
        <v>138</v>
      </c>
      <c r="G20" s="92" t="s">
        <v>139</v>
      </c>
      <c r="H20" s="87" t="s">
        <v>140</v>
      </c>
      <c r="I20" s="87" t="s">
        <v>141</v>
      </c>
      <c r="J20" s="93" t="s">
        <v>663</v>
      </c>
      <c r="K20" s="112" t="str">
        <f>TEXTJOIN("", TRUE, Geral!B251:T251)</f>
        <v>BR-SPAPESP_DASP-PENITPRE-CSDTCARANDIRU_ICO-FOT-DGZ-MT0_2776-012-019</v>
      </c>
      <c r="L20" s="92" t="s">
        <v>664</v>
      </c>
      <c r="M20" s="92" t="s">
        <v>737</v>
      </c>
      <c r="N20" s="92" t="s">
        <v>145</v>
      </c>
      <c r="O20" s="87" t="s">
        <v>738</v>
      </c>
      <c r="P20" s="91" t="s">
        <v>147</v>
      </c>
      <c r="Q20" s="91" t="s">
        <v>718</v>
      </c>
      <c r="R20" s="113" t="str">
        <f t="shared" si="2"/>
        <v>Figura n – [Reunião entre comissão de detentos e diretor administrativo para organização da festa de Natal.]
Fonte: Arquivo do Estado de São Paulo, 1954.</v>
      </c>
      <c r="S20" s="113" t="str">
        <f t="shared" si="3"/>
        <v>ARQUIVO PÚBLICO DO ESTADO DE SÃO PAULO (Brasil). [Reunião entre comissão de detentos e diretor administrativo para organização da festa de Natal.]. São Paulo, Brasil. 06 dez. 1954. Fotografia digitalizada; preto e branco; suporte em papel fotográfico. Disponível em: &lt;link do dataverse&gt;. Acesso em: 28 out. 2025.</v>
      </c>
      <c r="T20" s="92" t="s">
        <v>739</v>
      </c>
    </row>
    <row r="21" ht="15.75" customHeight="1">
      <c r="A21" s="45" t="str">
        <f t="shared" si="1"/>
        <v>020</v>
      </c>
      <c r="B21" s="87" t="s">
        <v>740</v>
      </c>
      <c r="C21" s="88" t="s">
        <v>136</v>
      </c>
      <c r="D21" s="89">
        <v>21170.0</v>
      </c>
      <c r="E21" s="90" t="s">
        <v>137</v>
      </c>
      <c r="F21" s="91" t="s">
        <v>138</v>
      </c>
      <c r="G21" s="92" t="s">
        <v>139</v>
      </c>
      <c r="H21" s="87" t="s">
        <v>140</v>
      </c>
      <c r="I21" s="87" t="s">
        <v>141</v>
      </c>
      <c r="J21" s="93" t="s">
        <v>663</v>
      </c>
      <c r="K21" s="112" t="str">
        <f>TEXTJOIN("", TRUE, Geral!B253:T253)</f>
        <v>BR-SPAPESP_DASP-PENITPRE-CSDTCARANDIRU_ICO-FOT-DGZ-MT0_2776-012-020</v>
      </c>
      <c r="L21" s="92" t="s">
        <v>664</v>
      </c>
      <c r="M21" s="92" t="s">
        <v>741</v>
      </c>
      <c r="N21" s="92" t="s">
        <v>145</v>
      </c>
      <c r="O21" s="87" t="s">
        <v>742</v>
      </c>
      <c r="P21" s="91" t="s">
        <v>147</v>
      </c>
      <c r="Q21" s="91" t="s">
        <v>586</v>
      </c>
      <c r="R21" s="113" t="str">
        <f t="shared" si="2"/>
        <v>Figura n – [Detentos realizando a pintura da fachada da Casa de Detenção sob vigilância policial.]
Fonte: Arquivo do Estado de São Paulo, 1957.</v>
      </c>
      <c r="S21" s="113" t="str">
        <f t="shared" si="3"/>
        <v>ARQUIVO PÚBLICO DO ESTADO DE SÃO PAULO (Brasil). [Detentos realizando a pintura da fachada da Casa de Detenção sob vigilância policial.]. São Paulo, Brasil. 16 dez. 1957. Fotografia digitalizada; preto e branco; suporte em papel fotográfico. Disponível em: &lt;link do dataverse&gt;. Acesso em: 28 out. 2025.</v>
      </c>
      <c r="T21" s="92" t="s">
        <v>743</v>
      </c>
    </row>
    <row r="22" ht="15.75" customHeight="1">
      <c r="A22" s="45" t="str">
        <f t="shared" si="1"/>
        <v>021</v>
      </c>
      <c r="B22" s="87" t="s">
        <v>744</v>
      </c>
      <c r="C22" s="88" t="s">
        <v>136</v>
      </c>
      <c r="D22" s="89">
        <v>20124.0</v>
      </c>
      <c r="E22" s="90" t="s">
        <v>137</v>
      </c>
      <c r="F22" s="91" t="s">
        <v>138</v>
      </c>
      <c r="G22" s="92" t="s">
        <v>139</v>
      </c>
      <c r="H22" s="87" t="s">
        <v>140</v>
      </c>
      <c r="I22" s="87" t="s">
        <v>141</v>
      </c>
      <c r="J22" s="93" t="s">
        <v>663</v>
      </c>
      <c r="K22" s="112" t="str">
        <f>TEXTJOIN("", TRUE, Geral!B255:T255)</f>
        <v>BR-SPAPESP_DASP-PENITPRE-CSDTCARANDIRU_ICO-FOT-DGZ-MT0_2776-012-021</v>
      </c>
      <c r="L22" s="92" t="s">
        <v>664</v>
      </c>
      <c r="M22" s="92" t="s">
        <v>745</v>
      </c>
      <c r="N22" s="92" t="s">
        <v>145</v>
      </c>
      <c r="O22" s="87" t="s">
        <v>746</v>
      </c>
      <c r="P22" s="91" t="s">
        <v>147</v>
      </c>
      <c r="Q22" s="91" t="s">
        <v>586</v>
      </c>
      <c r="R22" s="113" t="str">
        <f t="shared" si="2"/>
        <v>Figura n – [Vista aérea interna do pátio e galpões da Casa de Detenção da Avenida Tiradentes.]
Fonte: Arquivo do Estado de São Paulo, 1955.</v>
      </c>
      <c r="S22" s="113" t="str">
        <f t="shared" si="3"/>
        <v>ARQUIVO PÚBLICO DO ESTADO DE SÃO PAULO (Brasil). [Vista aérea interna do pátio e galpões da Casa de Detenção da Avenida Tiradentes.]. São Paulo, Brasil. 04 fev. 1955. Fotografia digitalizada; preto e branco; suporte em papel fotográfico. Disponível em: &lt;link do dataverse&gt;. Acesso em: 28 out. 2025.</v>
      </c>
      <c r="T22" s="92" t="s">
        <v>747</v>
      </c>
    </row>
    <row r="23" ht="15.75" customHeight="1">
      <c r="A23" s="45" t="str">
        <f t="shared" si="1"/>
        <v>022</v>
      </c>
      <c r="B23" s="87" t="s">
        <v>748</v>
      </c>
      <c r="C23" s="88" t="s">
        <v>136</v>
      </c>
      <c r="D23" s="89">
        <v>21170.0</v>
      </c>
      <c r="E23" s="90" t="s">
        <v>137</v>
      </c>
      <c r="F23" s="91" t="s">
        <v>138</v>
      </c>
      <c r="G23" s="92" t="s">
        <v>139</v>
      </c>
      <c r="H23" s="87" t="s">
        <v>140</v>
      </c>
      <c r="I23" s="87" t="s">
        <v>141</v>
      </c>
      <c r="J23" s="93" t="s">
        <v>663</v>
      </c>
      <c r="K23" s="112" t="str">
        <f>TEXTJOIN("", TRUE, Geral!B257:T257)</f>
        <v>BR-SPAPESP_DASP-PENITPRE-CSDTCARANDIRU_ICO-FOT-DGZ-MT0_2776-012-022</v>
      </c>
      <c r="L23" s="92" t="s">
        <v>664</v>
      </c>
      <c r="M23" s="92" t="s">
        <v>749</v>
      </c>
      <c r="N23" s="92" t="s">
        <v>145</v>
      </c>
      <c r="O23" s="87" t="s">
        <v>742</v>
      </c>
      <c r="P23" s="91" t="s">
        <v>147</v>
      </c>
      <c r="Q23" s="91" t="s">
        <v>586</v>
      </c>
      <c r="R23" s="113" t="str">
        <f t="shared" si="2"/>
        <v>Figura n – [Detentos realizando a pintura da fachada da Casa de Detenção da Avenida Tiradentes sob vigilância policial.]
Fonte: Arquivo do Estado de São Paulo, 1957.</v>
      </c>
      <c r="S23" s="113" t="str">
        <f t="shared" si="3"/>
        <v>ARQUIVO PÚBLICO DO ESTADO DE SÃO PAULO (Brasil). [Detentos realizando a pintura da fachada da Casa de Detenção da Avenida Tiradentes sob vigilância policial.]. São Paulo, Brasil. 16 dez. 1957. Fotografia digitalizada; preto e branco; suporte em papel fotográfico. Disponível em: &lt;link do dataverse&gt;. Acesso em: 28 out. 2025.</v>
      </c>
      <c r="T23" s="92" t="s">
        <v>747</v>
      </c>
    </row>
    <row r="24" ht="15.75" customHeight="1">
      <c r="A24" s="45" t="str">
        <f t="shared" si="1"/>
        <v>023</v>
      </c>
      <c r="B24" s="87" t="s">
        <v>750</v>
      </c>
      <c r="C24" s="88" t="s">
        <v>136</v>
      </c>
      <c r="D24" s="89">
        <v>22628.0</v>
      </c>
      <c r="E24" s="90" t="s">
        <v>137</v>
      </c>
      <c r="F24" s="91" t="s">
        <v>138</v>
      </c>
      <c r="G24" s="92" t="s">
        <v>139</v>
      </c>
      <c r="H24" s="87" t="s">
        <v>140</v>
      </c>
      <c r="I24" s="87" t="s">
        <v>141</v>
      </c>
      <c r="J24" s="93" t="s">
        <v>663</v>
      </c>
      <c r="K24" s="112" t="str">
        <f>TEXTJOIN("", TRUE, Geral!B259:T259)</f>
        <v>BR-SPAPESP_DASP-PENITPRE-CSDTCARANDIRU_ICO-FOT-DGZ-MT0_2776-012-023</v>
      </c>
      <c r="L24" s="92" t="s">
        <v>664</v>
      </c>
      <c r="M24" s="92" t="s">
        <v>751</v>
      </c>
      <c r="N24" s="92" t="s">
        <v>145</v>
      </c>
      <c r="O24" s="87" t="s">
        <v>752</v>
      </c>
      <c r="P24" s="91" t="s">
        <v>147</v>
      </c>
      <c r="Q24" s="91" t="s">
        <v>586</v>
      </c>
      <c r="R24" s="113" t="str">
        <f t="shared" si="2"/>
        <v>Figura n – [Cerco policial da Força Pública ao redor da Casa de Detenção após tentativa de fuga.]
Fonte: Arquivo do Estado de São Paulo, 1961.</v>
      </c>
      <c r="S24" s="113" t="str">
        <f t="shared" si="3"/>
        <v>ARQUIVO PÚBLICO DO ESTADO DE SÃO PAULO (Brasil). [Cerco policial da Força Pública ao redor da Casa de Detenção após tentativa de fuga.]. São Paulo, Brasil. 13 dez. 1961. Fotografia digitalizada; preto e branco; suporte em papel fotográfico. Disponível em: &lt;link do dataverse&gt;. Acesso em: 28 out. 2025.</v>
      </c>
      <c r="T24" s="92" t="s">
        <v>753</v>
      </c>
    </row>
    <row r="25" ht="15.75" customHeight="1">
      <c r="A25" s="45" t="str">
        <f t="shared" si="1"/>
        <v>024</v>
      </c>
      <c r="B25" s="87" t="s">
        <v>754</v>
      </c>
      <c r="C25" s="88" t="s">
        <v>136</v>
      </c>
      <c r="D25" s="89">
        <v>20121.0</v>
      </c>
      <c r="E25" s="90" t="s">
        <v>137</v>
      </c>
      <c r="F25" s="91" t="s">
        <v>138</v>
      </c>
      <c r="G25" s="92" t="s">
        <v>139</v>
      </c>
      <c r="H25" s="87" t="s">
        <v>140</v>
      </c>
      <c r="I25" s="87" t="s">
        <v>141</v>
      </c>
      <c r="J25" s="93" t="s">
        <v>663</v>
      </c>
      <c r="K25" s="112" t="str">
        <f>TEXTJOIN("", TRUE, Geral!B261:T261)</f>
        <v>BR-SPAPESP_DASP-PENITPRE-CSDTCARANDIRU_ICO-FOT-DGZ-MT0_2776-012-024</v>
      </c>
      <c r="L25" s="92" t="s">
        <v>664</v>
      </c>
      <c r="M25" s="92" t="s">
        <v>755</v>
      </c>
      <c r="N25" s="92" t="s">
        <v>145</v>
      </c>
      <c r="O25" s="87" t="s">
        <v>756</v>
      </c>
      <c r="P25" s="91" t="s">
        <v>147</v>
      </c>
      <c r="Q25" s="91" t="s">
        <v>586</v>
      </c>
      <c r="R25" s="113" t="str">
        <f t="shared" si="2"/>
        <v>Figura n – [Pátio interno da Casa de Detenção identificado como local de convívio.]
Fonte: Arquivo do Estado de São Paulo, 1955.</v>
      </c>
      <c r="S25" s="113" t="str">
        <f t="shared" si="3"/>
        <v>ARQUIVO PÚBLICO DO ESTADO DE SÃO PAULO (Brasil). [Pátio interno da Casa de Detenção identificado como local de convívio.]. São Paulo, Brasil. 01 fev. 1955. Fotografia digitalizada; preto e branco; suporte em papel fotográfico. Disponível em: &lt;link do dataverse&gt;. Acesso em: 28 out. 2025.</v>
      </c>
      <c r="T25" s="92" t="s">
        <v>757</v>
      </c>
    </row>
    <row r="26" ht="60.0" customHeight="1">
      <c r="A26" s="45" t="str">
        <f t="shared" si="1"/>
        <v>025</v>
      </c>
      <c r="B26" s="87" t="s">
        <v>758</v>
      </c>
      <c r="C26" s="88" t="s">
        <v>136</v>
      </c>
      <c r="D26" s="89">
        <v>23266.0</v>
      </c>
      <c r="E26" s="90" t="s">
        <v>137</v>
      </c>
      <c r="F26" s="91" t="s">
        <v>138</v>
      </c>
      <c r="G26" s="92" t="s">
        <v>139</v>
      </c>
      <c r="H26" s="87" t="s">
        <v>140</v>
      </c>
      <c r="I26" s="87" t="s">
        <v>141</v>
      </c>
      <c r="J26" s="93" t="s">
        <v>663</v>
      </c>
      <c r="K26" s="112" t="str">
        <f>TEXTJOIN("", TRUE, Geral!B263:T263)</f>
        <v>BR-SPAPESP_DASP-PENITPRE-CSDTCARANDIRU_ICO-FOT-DGZ-MT0_2776-012-025</v>
      </c>
      <c r="L26" s="92" t="s">
        <v>664</v>
      </c>
      <c r="M26" s="92" t="s">
        <v>759</v>
      </c>
      <c r="N26" s="92" t="s">
        <v>145</v>
      </c>
      <c r="O26" s="87" t="s">
        <v>760</v>
      </c>
      <c r="P26" s="91" t="s">
        <v>147</v>
      </c>
      <c r="Q26" s="91" t="s">
        <v>586</v>
      </c>
      <c r="R26" s="113" t="str">
        <f t="shared" si="2"/>
        <v>Figura n – [Registro de rota de acesso em seção administrativa.]
Fonte: Arquivo do Estado de São Paulo, 1963.</v>
      </c>
      <c r="S26" s="113" t="str">
        <f t="shared" si="3"/>
        <v>ARQUIVO PÚBLICO DO ESTADO DE SÃO PAULO (Brasil). [Registro de rota de acesso em seção administrativa.]. São Paulo, Brasil. 12 set. 1963. Fotografia digitalizada; preto e branco; suporte em papel fotográfico. Disponível em: &lt;link do dataverse&gt;. Acesso em: 28 out. 2025.</v>
      </c>
      <c r="T26" s="92" t="s">
        <v>761</v>
      </c>
    </row>
    <row r="27" ht="15.75" customHeight="1">
      <c r="A27" s="45" t="str">
        <f t="shared" si="1"/>
        <v>026</v>
      </c>
      <c r="B27" s="87" t="s">
        <v>762</v>
      </c>
      <c r="C27" s="88" t="s">
        <v>136</v>
      </c>
      <c r="D27" s="89">
        <v>20121.0</v>
      </c>
      <c r="E27" s="90" t="s">
        <v>137</v>
      </c>
      <c r="F27" s="91" t="s">
        <v>138</v>
      </c>
      <c r="G27" s="92" t="s">
        <v>139</v>
      </c>
      <c r="H27" s="87" t="s">
        <v>140</v>
      </c>
      <c r="I27" s="87" t="s">
        <v>141</v>
      </c>
      <c r="J27" s="93" t="s">
        <v>663</v>
      </c>
      <c r="K27" s="112" t="str">
        <f>TEXTJOIN("", TRUE, Geral!B265:T265)</f>
        <v>BR-SPAPESP_DASP-PENITPRE-CSDTCARANDIRU_ICO-FOT-DGZ-MT0_2776-012-026</v>
      </c>
      <c r="L27" s="92" t="s">
        <v>664</v>
      </c>
      <c r="M27" s="92" t="s">
        <v>763</v>
      </c>
      <c r="N27" s="92" t="s">
        <v>145</v>
      </c>
      <c r="O27" s="87" t="s">
        <v>764</v>
      </c>
      <c r="P27" s="91" t="s">
        <v>147</v>
      </c>
      <c r="Q27" s="91" t="s">
        <v>765</v>
      </c>
      <c r="R27" s="113" t="str">
        <f t="shared" si="2"/>
        <v>Figura n – [Cotidiano carcerário e dinâmica de custódia na Casa de Detenção da Avenida Tiradentes.]
Fonte: Arquivo do Estado de São Paulo, 1955.</v>
      </c>
      <c r="S27" s="113" t="str">
        <f t="shared" si="3"/>
        <v>ARQUIVO PÚBLICO DO ESTADO DE SÃO PAULO (Brasil). [Cotidiano carcerário e dinâmica de custódia na Casa de Detenção da Avenida Tiradentes.]. São Paulo, Brasil. 01 fev. 1955. Fotografia digitalizada; preto e branco; suporte em papel fotográfico. Disponível em: &lt;link do dataverse&gt;. Acesso em: 28 out. 2025.</v>
      </c>
      <c r="T27" s="92" t="s">
        <v>766</v>
      </c>
    </row>
    <row r="28" ht="15.75" customHeight="1">
      <c r="A28" s="45" t="str">
        <f t="shared" si="1"/>
        <v>027</v>
      </c>
      <c r="B28" s="87" t="s">
        <v>767</v>
      </c>
      <c r="C28" s="88" t="s">
        <v>136</v>
      </c>
      <c r="D28" s="89">
        <v>20074.0</v>
      </c>
      <c r="E28" s="90" t="s">
        <v>137</v>
      </c>
      <c r="F28" s="91" t="s">
        <v>138</v>
      </c>
      <c r="G28" s="92" t="s">
        <v>139</v>
      </c>
      <c r="H28" s="87" t="s">
        <v>140</v>
      </c>
      <c r="I28" s="87" t="s">
        <v>141</v>
      </c>
      <c r="J28" s="93" t="s">
        <v>663</v>
      </c>
      <c r="K28" s="112" t="str">
        <f>TEXTJOIN("", TRUE, Geral!B267:T267)</f>
        <v>BR-SPAPESP_DASP-PENITPRE-CSDTCARANDIRU_ICO-FOT-DGZ-MT0_2776-012-027</v>
      </c>
      <c r="L28" s="92" t="s">
        <v>664</v>
      </c>
      <c r="M28" s="92" t="s">
        <v>768</v>
      </c>
      <c r="N28" s="92" t="s">
        <v>145</v>
      </c>
      <c r="O28" s="87" t="s">
        <v>769</v>
      </c>
      <c r="P28" s="91" t="s">
        <v>147</v>
      </c>
      <c r="Q28" s="91" t="s">
        <v>586</v>
      </c>
      <c r="R28" s="113" t="str">
        <f t="shared" si="2"/>
        <v>Figura n – [Organização de celebração natalina para familiares na Casa de Detenção.]
Fonte: Arquivo do Estado de São Paulo, 1954.</v>
      </c>
      <c r="S28" s="113" t="str">
        <f t="shared" si="3"/>
        <v>ARQUIVO PÚBLICO DO ESTADO DE SÃO PAULO (Brasil). [Organização de celebração natalina para familiares na Casa de Detenção.]. São Paulo, Brasil. 16 dez. 1954. Fotografia digitalizada; preto e branco; suporte em papel fotográfico. Disponível em: &lt;link do dataverse&gt;. Acesso em: 28 out. 2025.</v>
      </c>
      <c r="T28" s="92" t="s">
        <v>770</v>
      </c>
    </row>
    <row r="29" ht="15.75" customHeight="1">
      <c r="A29" s="45" t="str">
        <f t="shared" si="1"/>
        <v>028</v>
      </c>
      <c r="B29" s="87" t="s">
        <v>771</v>
      </c>
      <c r="C29" s="88" t="s">
        <v>136</v>
      </c>
      <c r="D29" s="89">
        <v>23501.0</v>
      </c>
      <c r="E29" s="90" t="s">
        <v>137</v>
      </c>
      <c r="F29" s="91" t="s">
        <v>138</v>
      </c>
      <c r="G29" s="92" t="s">
        <v>139</v>
      </c>
      <c r="H29" s="87" t="s">
        <v>140</v>
      </c>
      <c r="I29" s="87" t="s">
        <v>141</v>
      </c>
      <c r="J29" s="93" t="s">
        <v>663</v>
      </c>
      <c r="K29" s="112" t="str">
        <f>TEXTJOIN("", TRUE, Geral!B269:T269)</f>
        <v>BR-SPAPESP_DASP-PENITPRE-CSDTCARANDIRU_ICO-FOT-DGZ-MT0_2776-012-028</v>
      </c>
      <c r="L29" s="92" t="s">
        <v>664</v>
      </c>
      <c r="M29" s="92" t="s">
        <v>772</v>
      </c>
      <c r="N29" s="92" t="s">
        <v>145</v>
      </c>
      <c r="O29" s="87" t="s">
        <v>773</v>
      </c>
      <c r="P29" s="91" t="s">
        <v>147</v>
      </c>
      <c r="Q29" s="91" t="s">
        <v>774</v>
      </c>
      <c r="R29" s="113" t="str">
        <f t="shared" si="2"/>
        <v>Figura n – [Registro documental de instrumentos utilizados em evasão na Casa de Detenção.]
Fonte: Arquivo do Estado de São Paulo, 1964.</v>
      </c>
      <c r="S29" s="113" t="str">
        <f t="shared" si="3"/>
        <v>ARQUIVO PÚBLICO DO ESTADO DE SÃO PAULO (Brasil). [Registro documental de instrumentos utilizados em evasão na Casa de Detenção.]. São Paulo, Brasil. 04 mai. 1964. Fotografia digitalizada; preto e branco; suporte em papel fotográfico. Disponível em: &lt;link do dataverse&gt;. Acesso em: 28 out. 2025.</v>
      </c>
      <c r="T29" s="92" t="s">
        <v>775</v>
      </c>
    </row>
    <row r="30" ht="15.75" customHeight="1">
      <c r="A30" s="45" t="str">
        <f t="shared" si="1"/>
        <v>029</v>
      </c>
      <c r="B30" s="87" t="s">
        <v>776</v>
      </c>
      <c r="C30" s="88" t="s">
        <v>136</v>
      </c>
      <c r="D30" s="89">
        <v>23348.0</v>
      </c>
      <c r="E30" s="90" t="s">
        <v>137</v>
      </c>
      <c r="F30" s="91" t="s">
        <v>138</v>
      </c>
      <c r="G30" s="92" t="s">
        <v>139</v>
      </c>
      <c r="H30" s="87" t="s">
        <v>140</v>
      </c>
      <c r="I30" s="87" t="s">
        <v>141</v>
      </c>
      <c r="J30" s="93" t="s">
        <v>663</v>
      </c>
      <c r="K30" s="112" t="str">
        <f>TEXTJOIN("", TRUE, Geral!B271:T271)</f>
        <v>BR-SPAPESP_DASP-PENITPRE-CSDTCARANDIRU_ICO-FOT-DGZ-MT0_2776-012-029</v>
      </c>
      <c r="L30" s="92" t="s">
        <v>664</v>
      </c>
      <c r="M30" s="92" t="s">
        <v>777</v>
      </c>
      <c r="N30" s="92" t="s">
        <v>145</v>
      </c>
      <c r="O30" s="87" t="s">
        <v>778</v>
      </c>
      <c r="P30" s="91" t="s">
        <v>147</v>
      </c>
      <c r="Q30" s="91" t="s">
        <v>774</v>
      </c>
      <c r="R30" s="113" t="str">
        <f t="shared" si="2"/>
        <v>Figura n – [Documentação de comissão processante sobre irregularidades na Casa de Detenção.]
Fonte: Arquivo do Estado de São Paulo, 1963.</v>
      </c>
      <c r="S30" s="113" t="str">
        <f t="shared" si="3"/>
        <v>ARQUIVO PÚBLICO DO ESTADO DE SÃO PAULO (Brasil). [Documentação de comissão processante sobre irregularidades na Casa de Detenção.]. São Paulo, Brasil. 03 dez. 1963. Fotografia digitalizada; preto e branco; suporte em papel fotográfico. Disponível em: &lt;link do dataverse&gt;. Acesso em: 28 out. 2025.</v>
      </c>
      <c r="T30" s="92" t="s">
        <v>779</v>
      </c>
    </row>
    <row r="31" ht="15.75" customHeight="1">
      <c r="A31" s="45" t="str">
        <f t="shared" si="1"/>
        <v>030</v>
      </c>
      <c r="B31" s="87" t="s">
        <v>780</v>
      </c>
      <c r="C31" s="88" t="s">
        <v>136</v>
      </c>
      <c r="D31" s="89">
        <v>16351.0</v>
      </c>
      <c r="E31" s="90" t="s">
        <v>137</v>
      </c>
      <c r="F31" s="91" t="s">
        <v>138</v>
      </c>
      <c r="G31" s="92" t="s">
        <v>139</v>
      </c>
      <c r="H31" s="87" t="s">
        <v>140</v>
      </c>
      <c r="I31" s="87" t="s">
        <v>141</v>
      </c>
      <c r="J31" s="93" t="s">
        <v>663</v>
      </c>
      <c r="K31" s="112" t="str">
        <f>TEXTJOIN("", TRUE, Geral!B273:T273)</f>
        <v>BR-SPAPESP_DASP-PENITPRE-CSDTCARANDIRU_ICO-FOT-DGZ-MT0_2776-012-030</v>
      </c>
      <c r="L31" s="92" t="s">
        <v>664</v>
      </c>
      <c r="M31" s="92" t="s">
        <v>781</v>
      </c>
      <c r="N31" s="92" t="s">
        <v>145</v>
      </c>
      <c r="O31" s="87" t="s">
        <v>782</v>
      </c>
      <c r="P31" s="91" t="s">
        <v>147</v>
      </c>
      <c r="Q31" s="91" t="s">
        <v>586</v>
      </c>
      <c r="R31" s="113" t="str">
        <f t="shared" si="2"/>
        <v>Figura n – [Rotina e controle de acesso na seção feminina da Casa de Detenção.]
Fonte: Arquivo do Estado de São Paulo, 1944.</v>
      </c>
      <c r="S31" s="113" t="str">
        <f t="shared" si="3"/>
        <v>ARQUIVO PÚBLICO DO ESTADO DE SÃO PAULO (Brasil). [Rotina e controle de acesso na seção feminina da Casa de Detenção.]. São Paulo, Brasil. 06 out. 1944. Fotografia digitalizada; preto e branco; suporte em papel fotográfico. Disponível em: &lt;link do dataverse&gt;. Acesso em: 28 out. 2025.</v>
      </c>
      <c r="T31" s="92" t="s">
        <v>783</v>
      </c>
    </row>
    <row r="32" ht="15.75" customHeight="1">
      <c r="A32" s="45" t="str">
        <f t="shared" si="1"/>
        <v>031</v>
      </c>
      <c r="B32" s="87" t="s">
        <v>784</v>
      </c>
      <c r="C32" s="88" t="s">
        <v>136</v>
      </c>
      <c r="D32" s="89">
        <v>28506.0</v>
      </c>
      <c r="E32" s="90" t="s">
        <v>137</v>
      </c>
      <c r="F32" s="91" t="s">
        <v>138</v>
      </c>
      <c r="G32" s="92" t="s">
        <v>139</v>
      </c>
      <c r="H32" s="87" t="s">
        <v>140</v>
      </c>
      <c r="I32" s="87" t="s">
        <v>141</v>
      </c>
      <c r="J32" s="93" t="s">
        <v>663</v>
      </c>
      <c r="K32" s="112" t="str">
        <f>TEXTJOIN("", TRUE, Geral!B275:T275)</f>
        <v>BR-SPAPESP_DASP-PENITPRE-CSDTCARANDIRU_ICO-FOT-DGZ-MT0_2776-012-031</v>
      </c>
      <c r="L32" s="92" t="s">
        <v>664</v>
      </c>
      <c r="M32" s="92" t="s">
        <v>785</v>
      </c>
      <c r="N32" s="92" t="s">
        <v>145</v>
      </c>
      <c r="O32" s="87" t="s">
        <v>786</v>
      </c>
      <c r="P32" s="91" t="s">
        <v>147</v>
      </c>
      <c r="Q32" s="91" t="s">
        <v>586</v>
      </c>
      <c r="R32" s="113" t="str">
        <f t="shared" si="2"/>
        <v>Figura n – [Perspectiva arquitetônica e dinâmica de circulação em corredor da Casa de Detenção.]
Fonte: Arquivo do Estado de São Paulo, 1978.</v>
      </c>
      <c r="S32" s="113" t="str">
        <f t="shared" si="3"/>
        <v>ARQUIVO PÚBLICO DO ESTADO DE SÃO PAULO (Brasil). [Perspectiva arquitetônica e dinâmica de circulação em corredor da Casa de Detenção.]. São Paulo, Brasil. 16 jan. 1978. Fotografia digitalizada; preto e branco; suporte em papel fotográfico. Disponível em: &lt;link do dataverse&gt;. Acesso em: 28 out. 2025.</v>
      </c>
      <c r="T32" s="92" t="s">
        <v>787</v>
      </c>
    </row>
    <row r="33" ht="15.75" customHeight="1">
      <c r="A33" s="45" t="str">
        <f t="shared" si="1"/>
        <v>032</v>
      </c>
      <c r="B33" s="87" t="s">
        <v>788</v>
      </c>
      <c r="C33" s="88" t="s">
        <v>136</v>
      </c>
      <c r="D33" s="89">
        <v>28506.0</v>
      </c>
      <c r="E33" s="90" t="s">
        <v>137</v>
      </c>
      <c r="F33" s="91" t="s">
        <v>138</v>
      </c>
      <c r="G33" s="92" t="s">
        <v>139</v>
      </c>
      <c r="H33" s="87" t="s">
        <v>140</v>
      </c>
      <c r="I33" s="87" t="s">
        <v>141</v>
      </c>
      <c r="J33" s="93" t="s">
        <v>663</v>
      </c>
      <c r="K33" s="112" t="str">
        <f>TEXTJOIN("", TRUE, Geral!B277:T277)</f>
        <v>BR-SPAPESP_DASP-PENITPRE-CSDTCARANDIRU_ICO-FOT-DGZ-MT0_2776-012-032</v>
      </c>
      <c r="L33" s="92" t="s">
        <v>664</v>
      </c>
      <c r="M33" s="92" t="s">
        <v>789</v>
      </c>
      <c r="N33" s="92" t="s">
        <v>145</v>
      </c>
      <c r="O33" s="87" t="s">
        <v>790</v>
      </c>
      <c r="P33" s="91" t="s">
        <v>147</v>
      </c>
      <c r="Q33" s="91" t="s">
        <v>774</v>
      </c>
      <c r="R33" s="113" t="str">
        <f t="shared" si="2"/>
        <v>Figura n – [Dinâmica de movimentação e controle em ala da Casa de Detenção.]
Fonte: Arquivo do Estado de São Paulo, 1978.</v>
      </c>
      <c r="S33" s="113" t="str">
        <f t="shared" si="3"/>
        <v>ARQUIVO PÚBLICO DO ESTADO DE SÃO PAULO (Brasil). [Dinâmica de movimentação e controle em ala da Casa de Detenção.]. São Paulo, Brasil. 16 jan. 1978. Fotografia digitalizada; preto e branco; suporte em papel fotográfico. Disponível em: &lt;link do dataverse&gt;. Acesso em: 28 out. 2025.</v>
      </c>
      <c r="T33" s="92" t="s">
        <v>791</v>
      </c>
    </row>
    <row r="34" ht="15.75" customHeight="1">
      <c r="A34" s="45" t="str">
        <f t="shared" si="1"/>
        <v>033</v>
      </c>
      <c r="B34" s="87" t="s">
        <v>792</v>
      </c>
      <c r="C34" s="88" t="s">
        <v>136</v>
      </c>
      <c r="D34" s="89">
        <v>28197.0</v>
      </c>
      <c r="E34" s="90" t="s">
        <v>137</v>
      </c>
      <c r="F34" s="91" t="s">
        <v>138</v>
      </c>
      <c r="G34" s="92" t="s">
        <v>139</v>
      </c>
      <c r="H34" s="87" t="s">
        <v>140</v>
      </c>
      <c r="I34" s="87" t="s">
        <v>141</v>
      </c>
      <c r="J34" s="93" t="s">
        <v>663</v>
      </c>
      <c r="K34" s="112" t="str">
        <f>TEXTJOIN("", TRUE, Geral!B279:T279)</f>
        <v>BR-SPAPESP_DASP-PENITPRE-CSDTCARANDIRU_ICO-FOT-DGZ-MT0_2776-012-033</v>
      </c>
      <c r="L34" s="92" t="s">
        <v>664</v>
      </c>
      <c r="M34" s="92" t="s">
        <v>793</v>
      </c>
      <c r="N34" s="92" t="s">
        <v>145</v>
      </c>
      <c r="O34" s="87" t="s">
        <v>794</v>
      </c>
      <c r="P34" s="91" t="s">
        <v>147</v>
      </c>
      <c r="Q34" s="91" t="s">
        <v>774</v>
      </c>
      <c r="R34" s="113" t="str">
        <f t="shared" si="2"/>
        <v>Figura n – [Registro arquitetônico do portão principal de acesso da Casa de Detenção da Avenida Tiradentes.]
Fonte: Arquivo do Estado de São Paulo, 1977.</v>
      </c>
      <c r="S34" s="113" t="str">
        <f t="shared" si="3"/>
        <v>ARQUIVO PÚBLICO DO ESTADO DE SÃO PAULO (Brasil). [Registro arquitetônico do portão principal de acesso da Casa de Detenção da Avenida Tiradentes.]. São Paulo, Brasil. 13 mar. 1977. Fotografia digitalizada; preto e branco; suporte em papel fotográfico. Disponível em: &lt;link do dataverse&gt;. Acesso em: 28 out. 2025.</v>
      </c>
      <c r="T34" s="92" t="s">
        <v>795</v>
      </c>
    </row>
    <row r="35" ht="15.75" customHeight="1">
      <c r="A35" s="45" t="str">
        <f t="shared" si="1"/>
        <v>034</v>
      </c>
      <c r="B35" s="87" t="s">
        <v>796</v>
      </c>
      <c r="C35" s="88" t="s">
        <v>136</v>
      </c>
      <c r="D35" s="89">
        <v>27897.0</v>
      </c>
      <c r="E35" s="90" t="s">
        <v>137</v>
      </c>
      <c r="F35" s="91" t="s">
        <v>138</v>
      </c>
      <c r="G35" s="92" t="s">
        <v>139</v>
      </c>
      <c r="H35" s="87" t="s">
        <v>140</v>
      </c>
      <c r="I35" s="87" t="s">
        <v>141</v>
      </c>
      <c r="J35" s="93" t="s">
        <v>663</v>
      </c>
      <c r="K35" s="112" t="str">
        <f>TEXTJOIN("", TRUE, Geral!B281:T281)</f>
        <v>BR-SPAPESP_DASP-PENITPRE-CSDTCARANDIRU_ICO-FOT-DGZ-MT0_2776-012-034</v>
      </c>
      <c r="L35" s="92" t="s">
        <v>664</v>
      </c>
      <c r="M35" s="92" t="s">
        <v>797</v>
      </c>
      <c r="N35" s="92" t="s">
        <v>145</v>
      </c>
      <c r="O35" s="87" t="s">
        <v>798</v>
      </c>
      <c r="P35" s="91" t="s">
        <v>147</v>
      </c>
      <c r="Q35" s="91" t="s">
        <v>586</v>
      </c>
      <c r="R35" s="113" t="str">
        <f t="shared" si="2"/>
        <v>Figura n – [Densidade demográfica e superlotação na Casa de Detenção.]
Fonte: Arquivo do Estado de São Paulo, 1976.</v>
      </c>
      <c r="S35" s="113" t="str">
        <f t="shared" si="3"/>
        <v>ARQUIVO PÚBLICO DO ESTADO DE SÃO PAULO (Brasil). [Densidade demográfica e superlotação na Casa de Detenção.]. São Paulo, Brasil. 17 mai. 1976. Fotografia digitalizada; preto e branco; suporte em papel fotográfico. Disponível em: &lt;link do dataverse&gt;. Acesso em: 28 out. 2025.</v>
      </c>
      <c r="T35" s="92" t="s">
        <v>799</v>
      </c>
    </row>
    <row r="36" ht="15.75" customHeight="1">
      <c r="A36" s="45" t="str">
        <f t="shared" si="1"/>
        <v>035</v>
      </c>
      <c r="B36" s="87" t="s">
        <v>800</v>
      </c>
      <c r="C36" s="88" t="s">
        <v>136</v>
      </c>
      <c r="D36" s="89">
        <v>23362.0</v>
      </c>
      <c r="E36" s="90" t="s">
        <v>137</v>
      </c>
      <c r="F36" s="91" t="s">
        <v>138</v>
      </c>
      <c r="G36" s="92" t="s">
        <v>139</v>
      </c>
      <c r="H36" s="87" t="s">
        <v>140</v>
      </c>
      <c r="I36" s="87" t="s">
        <v>141</v>
      </c>
      <c r="J36" s="93" t="s">
        <v>663</v>
      </c>
      <c r="K36" s="112" t="str">
        <f>TEXTJOIN("", TRUE, Geral!B283:T283)</f>
        <v>BR-SPAPESP_DASP-PENITPRE-CSDTCARANDIRU_ICO-FOT-DGZ-MT0_2776-012-035</v>
      </c>
      <c r="L36" s="92" t="s">
        <v>664</v>
      </c>
      <c r="M36" s="92" t="s">
        <v>801</v>
      </c>
      <c r="N36" s="92" t="s">
        <v>145</v>
      </c>
      <c r="O36" s="87" t="s">
        <v>802</v>
      </c>
      <c r="P36" s="91" t="s">
        <v>147</v>
      </c>
      <c r="Q36" s="91" t="s">
        <v>803</v>
      </c>
      <c r="R36" s="113" t="str">
        <f t="shared" si="2"/>
        <v>Figura n – [Pavilhão 5 na data da inauguração (17.12.1963)]
Fonte: Arquivo do Estado de São Paulo, 1963.</v>
      </c>
      <c r="S36" s="113" t="str">
        <f t="shared" si="3"/>
        <v>ARQUIVO PÚBLICO DO ESTADO DE SÃO PAULO (Brasil). [Pavilhão 5 na data da inauguração (17.12.1963)]. São Paulo, Brasil. 17 dez. 1963. Fotografia digitalizada; preto e branco; suporte em papel fotográfico. Disponível em: &lt;link do dataverse&gt;. Acesso em: 28 out. 2025.</v>
      </c>
      <c r="T36" s="92" t="s">
        <v>804</v>
      </c>
    </row>
    <row r="37" ht="15.75" customHeight="1">
      <c r="A37" s="45" t="str">
        <f t="shared" si="1"/>
        <v>036</v>
      </c>
      <c r="B37" s="87" t="s">
        <v>805</v>
      </c>
      <c r="C37" s="88" t="s">
        <v>136</v>
      </c>
      <c r="D37" s="89">
        <v>22628.0</v>
      </c>
      <c r="E37" s="90" t="s">
        <v>137</v>
      </c>
      <c r="F37" s="91" t="s">
        <v>138</v>
      </c>
      <c r="G37" s="92" t="s">
        <v>139</v>
      </c>
      <c r="H37" s="87" t="s">
        <v>140</v>
      </c>
      <c r="I37" s="87" t="s">
        <v>141</v>
      </c>
      <c r="J37" s="93" t="s">
        <v>663</v>
      </c>
      <c r="K37" s="112" t="str">
        <f>TEXTJOIN("", TRUE, Geral!B285:T285)</f>
        <v>BR-SPAPESP_DASP-PENITPRE-CSDTCARANDIRU_ICO-FOT-DGZ-MT0_2776-012-036</v>
      </c>
      <c r="L37" s="92" t="s">
        <v>664</v>
      </c>
      <c r="M37" s="92" t="s">
        <v>806</v>
      </c>
      <c r="N37" s="92" t="s">
        <v>145</v>
      </c>
      <c r="O37" s="87" t="s">
        <v>807</v>
      </c>
      <c r="P37" s="91" t="s">
        <v>147</v>
      </c>
      <c r="Q37" s="91" t="s">
        <v>765</v>
      </c>
      <c r="R37" s="113" t="str">
        <f t="shared" si="2"/>
        <v>Figura n – [Atendimento médico emergencial após tentativa de evasão na Casa de Detenção.]
Fonte: Arquivo do Estado de São Paulo, 1961.</v>
      </c>
      <c r="S37" s="113" t="str">
        <f t="shared" si="3"/>
        <v>ARQUIVO PÚBLICO DO ESTADO DE SÃO PAULO (Brasil). [Atendimento médico emergencial após tentativa de evasão na Casa de Detenção.]. São Paulo, Brasil. 13 dez. 1961. Fotografia digitalizada; preto e branco; suporte em papel fotográfico. Disponível em: &lt;link do dataverse&gt;. Acesso em: 28 out. 2025.</v>
      </c>
      <c r="T37" s="92" t="s">
        <v>808</v>
      </c>
    </row>
    <row r="38" ht="15.75" customHeight="1">
      <c r="A38" s="45" t="str">
        <f t="shared" si="1"/>
        <v>037</v>
      </c>
      <c r="B38" s="87" t="s">
        <v>809</v>
      </c>
      <c r="C38" s="88" t="s">
        <v>136</v>
      </c>
      <c r="D38" s="89">
        <v>21981.0</v>
      </c>
      <c r="E38" s="90" t="s">
        <v>137</v>
      </c>
      <c r="F38" s="91" t="s">
        <v>138</v>
      </c>
      <c r="G38" s="92" t="s">
        <v>139</v>
      </c>
      <c r="H38" s="87" t="s">
        <v>140</v>
      </c>
      <c r="I38" s="87" t="s">
        <v>141</v>
      </c>
      <c r="J38" s="93" t="s">
        <v>663</v>
      </c>
      <c r="K38" s="112" t="str">
        <f>TEXTJOIN("", TRUE, Geral!B287:T287)</f>
        <v>BR-SPAPESP_DASP-PENITPRE-CSDTCARANDIRU_ICO-FOT-DGZ-MT0_2776-012-037</v>
      </c>
      <c r="L38" s="92" t="s">
        <v>664</v>
      </c>
      <c r="M38" s="92" t="s">
        <v>810</v>
      </c>
      <c r="N38" s="92" t="s">
        <v>145</v>
      </c>
      <c r="O38" s="87" t="s">
        <v>811</v>
      </c>
      <c r="P38" s="91" t="s">
        <v>147</v>
      </c>
      <c r="Q38" s="91" t="s">
        <v>774</v>
      </c>
      <c r="R38" s="113" t="str">
        <f t="shared" si="2"/>
        <v>Figura n – [Mobilização policial após fuga coletiva na Casa de Detenção da Avenida Tiradentes.]
Fonte: Arquivo do Estado de São Paulo, 1960.</v>
      </c>
      <c r="S38" s="113" t="str">
        <f t="shared" si="3"/>
        <v>ARQUIVO PÚBLICO DO ESTADO DE SÃO PAULO (Brasil). [Mobilização policial após fuga coletiva na Casa de Detenção da Avenida Tiradentes.]. São Paulo, Brasil. 06 mar. 1960. Fotografia digitalizada; preto e branco; suporte em papel fotográfico. Disponível em: &lt;link do dataverse&gt;. Acesso em: 28 out. 2025.</v>
      </c>
      <c r="T38" s="92" t="s">
        <v>812</v>
      </c>
    </row>
    <row r="39" ht="15.75" customHeight="1">
      <c r="A39" s="45" t="str">
        <f t="shared" si="1"/>
        <v>038</v>
      </c>
      <c r="B39" s="87" t="s">
        <v>813</v>
      </c>
      <c r="C39" s="88" t="s">
        <v>136</v>
      </c>
      <c r="D39" s="89">
        <v>21981.0</v>
      </c>
      <c r="E39" s="90" t="s">
        <v>137</v>
      </c>
      <c r="F39" s="91" t="s">
        <v>138</v>
      </c>
      <c r="G39" s="92" t="s">
        <v>139</v>
      </c>
      <c r="H39" s="87" t="s">
        <v>140</v>
      </c>
      <c r="I39" s="87" t="s">
        <v>141</v>
      </c>
      <c r="J39" s="93" t="s">
        <v>663</v>
      </c>
      <c r="K39" s="112" t="str">
        <f>TEXTJOIN("", TRUE, Geral!B289:T289)</f>
        <v>BR-SPAPESP_DASP-PENITPRE-CSDTCARANDIRU_ICO-FOT-DGZ-MT0_2776-012-038</v>
      </c>
      <c r="L39" s="92" t="s">
        <v>664</v>
      </c>
      <c r="M39" s="92" t="s">
        <v>814</v>
      </c>
      <c r="N39" s="92" t="s">
        <v>145</v>
      </c>
      <c r="O39" s="87" t="s">
        <v>815</v>
      </c>
      <c r="P39" s="91" t="s">
        <v>147</v>
      </c>
      <c r="Q39" s="91" t="s">
        <v>774</v>
      </c>
      <c r="R39" s="113" t="str">
        <f t="shared" si="2"/>
        <v>Figura n – [Mobilização de familiares após notícia de fuga na Casa de Detenção.]
Fonte: Arquivo do Estado de São Paulo, 1960.</v>
      </c>
      <c r="S39" s="113" t="str">
        <f t="shared" si="3"/>
        <v>ARQUIVO PÚBLICO DO ESTADO DE SÃO PAULO (Brasil). [Mobilização de familiares após notícia de fuga na Casa de Detenção.]. São Paulo, Brasil. 06 mar. 1960. Fotografia digitalizada; preto e branco; suporte em papel fotográfico. Disponível em: &lt;link do dataverse&gt;. Acesso em: 28 out. 2025.</v>
      </c>
      <c r="T39" s="92" t="s">
        <v>816</v>
      </c>
    </row>
    <row r="40" ht="15.75" customHeight="1">
      <c r="A40" s="45" t="str">
        <f t="shared" si="1"/>
        <v>039</v>
      </c>
      <c r="B40" s="87" t="s">
        <v>817</v>
      </c>
      <c r="C40" s="88" t="s">
        <v>136</v>
      </c>
      <c r="D40" s="89">
        <v>20117.0</v>
      </c>
      <c r="E40" s="90" t="s">
        <v>137</v>
      </c>
      <c r="F40" s="91" t="s">
        <v>138</v>
      </c>
      <c r="G40" s="92" t="s">
        <v>139</v>
      </c>
      <c r="H40" s="87" t="s">
        <v>140</v>
      </c>
      <c r="I40" s="87" t="s">
        <v>141</v>
      </c>
      <c r="J40" s="93" t="s">
        <v>663</v>
      </c>
      <c r="K40" s="112" t="str">
        <f>TEXTJOIN("", TRUE, Geral!B291:T291)</f>
        <v>BR-SPAPESP_DASP-PENITPRE-CSDTCARANDIRU_ICO-FOT-DGZ-MT0_2776-012-039</v>
      </c>
      <c r="L40" s="92" t="s">
        <v>664</v>
      </c>
      <c r="M40" s="92" t="s">
        <v>818</v>
      </c>
      <c r="N40" s="92" t="s">
        <v>145</v>
      </c>
      <c r="O40" s="87" t="s">
        <v>819</v>
      </c>
      <c r="P40" s="91" t="s">
        <v>147</v>
      </c>
      <c r="Q40" s="91" t="s">
        <v>774</v>
      </c>
      <c r="R40" s="113" t="str">
        <f t="shared" si="2"/>
        <v>Figura n – [Solenidade de homenagem e pronunciamento de detento na Casa de Detenção.]
Fonte: Arquivo do Estado de São Paulo, 1955.</v>
      </c>
      <c r="S40" s="113" t="str">
        <f t="shared" si="3"/>
        <v>ARQUIVO PÚBLICO DO ESTADO DE SÃO PAULO (Brasil). [Solenidade de homenagem e pronunciamento de detento na Casa de Detenção.]. São Paulo, Brasil. 28 jan. 1955. Fotografia digitalizada; preto e branco; suporte em papel fotográfico. Disponível em: &lt;link do dataverse&gt;. Acesso em: 28 out. 2025.</v>
      </c>
      <c r="T40" s="92" t="s">
        <v>820</v>
      </c>
    </row>
    <row r="41" ht="15.75" customHeight="1">
      <c r="A41" s="45" t="str">
        <f t="shared" si="1"/>
        <v>040</v>
      </c>
      <c r="B41" s="87" t="s">
        <v>821</v>
      </c>
      <c r="C41" s="88" t="s">
        <v>136</v>
      </c>
      <c r="D41" s="89">
        <v>16254.0</v>
      </c>
      <c r="E41" s="90" t="s">
        <v>137</v>
      </c>
      <c r="F41" s="91" t="s">
        <v>138</v>
      </c>
      <c r="G41" s="92" t="s">
        <v>139</v>
      </c>
      <c r="H41" s="87" t="s">
        <v>140</v>
      </c>
      <c r="I41" s="87" t="s">
        <v>141</v>
      </c>
      <c r="J41" s="93" t="s">
        <v>663</v>
      </c>
      <c r="K41" s="112" t="str">
        <f>TEXTJOIN("", TRUE, Geral!B293:T293)</f>
        <v>BR-SPAPESP_DASP-PENITPRE-CSDTCARANDIRU_ICO-FOT-DGZ-MT0_2776-012-040</v>
      </c>
      <c r="L41" s="92" t="s">
        <v>664</v>
      </c>
      <c r="M41" s="92" t="s">
        <v>822</v>
      </c>
      <c r="N41" s="92" t="s">
        <v>145</v>
      </c>
      <c r="O41" s="87" t="s">
        <v>823</v>
      </c>
      <c r="P41" s="91" t="s">
        <v>147</v>
      </c>
      <c r="Q41" s="91" t="s">
        <v>774</v>
      </c>
      <c r="R41" s="113" t="str">
        <f t="shared" si="2"/>
        <v>Figura n – [Exercícios de instrução e formação cívica na Casa de Detenção.]
Fonte: Arquivo do Estado de São Paulo, 1944.</v>
      </c>
      <c r="S41" s="113" t="str">
        <f t="shared" si="3"/>
        <v>ARQUIVO PÚBLICO DO ESTADO DE SÃO PAULO (Brasil). [Exercícios de instrução e formação cívica na Casa de Detenção.]. São Paulo, Brasil. 01 jul. 1944. Fotografia digitalizada; preto e branco; suporte em papel fotográfico. Disponível em: &lt;link do dataverse&gt;. Acesso em: 28 out. 2025.</v>
      </c>
      <c r="T41" s="92" t="s">
        <v>824</v>
      </c>
    </row>
    <row r="42" ht="15.75" customHeight="1">
      <c r="A42" s="45" t="str">
        <f t="shared" si="1"/>
        <v>041</v>
      </c>
      <c r="B42" s="87" t="s">
        <v>825</v>
      </c>
      <c r="C42" s="88" t="s">
        <v>136</v>
      </c>
      <c r="D42" s="89">
        <v>20029.0</v>
      </c>
      <c r="E42" s="90" t="s">
        <v>137</v>
      </c>
      <c r="F42" s="91" t="s">
        <v>138</v>
      </c>
      <c r="G42" s="92" t="s">
        <v>139</v>
      </c>
      <c r="H42" s="87" t="s">
        <v>140</v>
      </c>
      <c r="I42" s="87" t="s">
        <v>141</v>
      </c>
      <c r="J42" s="93" t="s">
        <v>663</v>
      </c>
      <c r="K42" s="112" t="str">
        <f>TEXTJOIN("", TRUE, Geral!B295:T295)</f>
        <v>BR-SPAPESP_DASP-PENITPRE-CSDTCARANDIRU_ICO-FOT-DGZ-MT0_2776-012-041</v>
      </c>
      <c r="L42" s="92" t="s">
        <v>664</v>
      </c>
      <c r="M42" s="92" t="s">
        <v>826</v>
      </c>
      <c r="N42" s="92" t="s">
        <v>145</v>
      </c>
      <c r="O42" s="87" t="s">
        <v>827</v>
      </c>
      <c r="P42" s="91" t="s">
        <v>147</v>
      </c>
      <c r="Q42" s="91" t="s">
        <v>774</v>
      </c>
      <c r="R42" s="113" t="str">
        <f t="shared" si="2"/>
        <v>Figura n – [Registro de produção artesanal por detento e interface com a imprensa na Casa de Detenção.]
Fonte: Arquivo do Estado de São Paulo, 1954.</v>
      </c>
      <c r="S42" s="113" t="str">
        <f t="shared" si="3"/>
        <v>ARQUIVO PÚBLICO DO ESTADO DE SÃO PAULO (Brasil). [Registro de produção artesanal por detento e interface com a imprensa na Casa de Detenção.]. São Paulo, Brasil. 01 nov. 1954. Fotografia digitalizada; preto e branco; suporte em papel fotográfico. Disponível em: &lt;link do dataverse&gt;. Acesso em: 28 out. 2025.</v>
      </c>
      <c r="T42" s="92" t="s">
        <v>828</v>
      </c>
    </row>
    <row r="43" ht="15.75" customHeight="1">
      <c r="A43" s="45" t="str">
        <f t="shared" si="1"/>
        <v>042</v>
      </c>
      <c r="B43" s="87" t="s">
        <v>829</v>
      </c>
      <c r="C43" s="88" t="s">
        <v>136</v>
      </c>
      <c r="D43" s="89">
        <v>27897.0</v>
      </c>
      <c r="E43" s="90" t="s">
        <v>137</v>
      </c>
      <c r="F43" s="91" t="s">
        <v>138</v>
      </c>
      <c r="G43" s="92" t="s">
        <v>139</v>
      </c>
      <c r="H43" s="87" t="s">
        <v>140</v>
      </c>
      <c r="I43" s="87" t="s">
        <v>141</v>
      </c>
      <c r="J43" s="93" t="s">
        <v>663</v>
      </c>
      <c r="K43" s="112" t="str">
        <f>TEXTJOIN("", TRUE, Geral!B297:T297)</f>
        <v>BR-SPAPESP_DASP-PENITPRE-CSDTCARANDIRU_ICO-FOT-DGZ-MT0_2776-012-042</v>
      </c>
      <c r="L43" s="92" t="s">
        <v>664</v>
      </c>
      <c r="M43" s="92" t="s">
        <v>830</v>
      </c>
      <c r="N43" s="92" t="s">
        <v>145</v>
      </c>
      <c r="O43" s="87" t="s">
        <v>831</v>
      </c>
      <c r="P43" s="91" t="s">
        <v>147</v>
      </c>
      <c r="Q43" s="91" t="s">
        <v>774</v>
      </c>
      <c r="R43" s="113" t="str">
        <f t="shared" si="2"/>
        <v>Figura n – [Evento coletivo e registro de superlotação no pátio da Casa de Detenção.]
Fonte: Arquivo do Estado de São Paulo, 1976.</v>
      </c>
      <c r="S43" s="113" t="str">
        <f t="shared" si="3"/>
        <v>ARQUIVO PÚBLICO DO ESTADO DE SÃO PAULO (Brasil). [Evento coletivo e registro de superlotação no pátio da Casa de Detenção.]. São Paulo, Brasil. 17 mai. 1976. Fotografia digitalizada; preto e branco; suporte em papel fotográfico. Disponível em: &lt;link do dataverse&gt;. Acesso em: 28 out. 2025.</v>
      </c>
      <c r="T43" s="92" t="s">
        <v>832</v>
      </c>
    </row>
    <row r="44" ht="15.75" customHeight="1">
      <c r="A44" s="45" t="str">
        <f t="shared" si="1"/>
        <v>043</v>
      </c>
      <c r="B44" s="87" t="s">
        <v>833</v>
      </c>
      <c r="C44" s="88" t="s">
        <v>136</v>
      </c>
      <c r="D44" s="89">
        <v>27897.0</v>
      </c>
      <c r="E44" s="90" t="s">
        <v>137</v>
      </c>
      <c r="F44" s="91" t="s">
        <v>138</v>
      </c>
      <c r="G44" s="92" t="s">
        <v>139</v>
      </c>
      <c r="H44" s="87" t="s">
        <v>140</v>
      </c>
      <c r="I44" s="87" t="s">
        <v>141</v>
      </c>
      <c r="J44" s="93" t="s">
        <v>663</v>
      </c>
      <c r="K44" s="112" t="str">
        <f>TEXTJOIN("", TRUE, Geral!B299:T299)</f>
        <v>BR-SPAPESP_DASP-PENITPRE-CSDTCARANDIRU_ICO-FOT-DGZ-MT0_2776-012-043</v>
      </c>
      <c r="L44" s="92" t="s">
        <v>664</v>
      </c>
      <c r="M44" s="92" t="s">
        <v>834</v>
      </c>
      <c r="N44" s="92" t="s">
        <v>145</v>
      </c>
      <c r="O44" s="87" t="s">
        <v>835</v>
      </c>
      <c r="P44" s="91" t="s">
        <v>147</v>
      </c>
      <c r="Q44" s="91" t="s">
        <v>774</v>
      </c>
      <c r="R44" s="113" t="str">
        <f t="shared" si="2"/>
        <v>Figura n – [Atividade cultural e registro de superlotação no pátio da Casa de Detenção.]
Fonte: Arquivo do Estado de São Paulo, 1976.</v>
      </c>
      <c r="S44" s="113" t="str">
        <f t="shared" si="3"/>
        <v>ARQUIVO PÚBLICO DO ESTADO DE SÃO PAULO (Brasil). [Atividade cultural e registro de superlotação no pátio da Casa de Detenção.]. São Paulo, Brasil. 17 mai. 1976. Fotografia digitalizada; preto e branco; suporte em papel fotográfico. Disponível em: &lt;link do dataverse&gt;. Acesso em: 28 out. 2025.</v>
      </c>
      <c r="T44" s="92" t="s">
        <v>836</v>
      </c>
    </row>
    <row r="45" ht="15.75" customHeight="1">
      <c r="A45" s="45" t="str">
        <f t="shared" si="1"/>
        <v>044</v>
      </c>
      <c r="B45" s="87" t="s">
        <v>837</v>
      </c>
      <c r="C45" s="88" t="s">
        <v>136</v>
      </c>
      <c r="D45" s="97">
        <v>23504.0</v>
      </c>
      <c r="E45" s="90" t="s">
        <v>137</v>
      </c>
      <c r="F45" s="91" t="s">
        <v>138</v>
      </c>
      <c r="G45" s="92" t="s">
        <v>139</v>
      </c>
      <c r="H45" s="87" t="s">
        <v>140</v>
      </c>
      <c r="I45" s="87" t="s">
        <v>141</v>
      </c>
      <c r="J45" s="93" t="s">
        <v>663</v>
      </c>
      <c r="K45" s="112" t="str">
        <f>TEXTJOIN("", TRUE, Geral!B301:T301)</f>
        <v>BR-SPAPESP_DASP-PENITPRE-CSDTCARANDIRU_ICO-FOT-DGZ-MT0_2776-012-044</v>
      </c>
      <c r="L45" s="92" t="s">
        <v>664</v>
      </c>
      <c r="M45" s="92" t="s">
        <v>838</v>
      </c>
      <c r="N45" s="92" t="s">
        <v>145</v>
      </c>
      <c r="O45" s="87" t="s">
        <v>839</v>
      </c>
      <c r="P45" s="91" t="s">
        <v>147</v>
      </c>
      <c r="Q45" s="91" t="s">
        <v>586</v>
      </c>
      <c r="R45" s="113" t="str">
        <f t="shared" si="2"/>
        <v>Figura n – [Fachada interna da antiga Casa de Detenção da Avenida Tiradentes.]
Fonte: Arquivo do Estado de São Paulo, 1964.</v>
      </c>
      <c r="S45" s="113" t="str">
        <f t="shared" si="3"/>
        <v>ARQUIVO PÚBLICO DO ESTADO DE SÃO PAULO (Brasil). [Fachada interna da antiga Casa de Detenção da Avenida Tiradentes.]. São Paulo, Brasil. 07 mai. 1964. Fotografia digitalizada; preto e branco; suporte em papel fotográfico. Disponível em: &lt;link do dataverse&gt;. Acesso em: 28 out. 2025.</v>
      </c>
      <c r="T45" s="92" t="s">
        <v>840</v>
      </c>
    </row>
    <row r="46" ht="15.75" customHeight="1">
      <c r="A46" s="45" t="str">
        <f t="shared" si="1"/>
        <v>045</v>
      </c>
      <c r="B46" s="87" t="s">
        <v>841</v>
      </c>
      <c r="C46" s="88" t="s">
        <v>136</v>
      </c>
      <c r="D46" s="89">
        <v>20085.0</v>
      </c>
      <c r="E46" s="90" t="s">
        <v>137</v>
      </c>
      <c r="F46" s="91" t="s">
        <v>138</v>
      </c>
      <c r="G46" s="92" t="s">
        <v>139</v>
      </c>
      <c r="H46" s="87" t="s">
        <v>140</v>
      </c>
      <c r="I46" s="87" t="s">
        <v>141</v>
      </c>
      <c r="J46" s="93" t="s">
        <v>663</v>
      </c>
      <c r="K46" s="112" t="str">
        <f>TEXTJOIN("", TRUE, Geral!B303:T303)</f>
        <v>BR-SPAPESP_DASP-PENITPRE-CSDTCARANDIRU_ICO-FOT-DGZ-MT0_2776-012-045</v>
      </c>
      <c r="L46" s="92" t="s">
        <v>664</v>
      </c>
      <c r="M46" s="92" t="s">
        <v>842</v>
      </c>
      <c r="N46" s="92" t="s">
        <v>145</v>
      </c>
      <c r="O46" s="87" t="s">
        <v>843</v>
      </c>
      <c r="P46" s="91" t="s">
        <v>147</v>
      </c>
      <c r="Q46" s="91" t="s">
        <v>586</v>
      </c>
      <c r="R46" s="113" t="str">
        <f t="shared" si="2"/>
        <v>Figura n – [Celebração de Natal para detentos e seus familiares na Casa de Detenção da Avenida Tiradentes.]
Fonte: Arquivo do Estado de São Paulo, 1954.</v>
      </c>
      <c r="S46" s="113" t="str">
        <f t="shared" si="3"/>
        <v>ARQUIVO PÚBLICO DO ESTADO DE SÃO PAULO (Brasil). [Celebração de Natal para detentos e seus familiares na Casa de Detenção da Avenida Tiradentes.]. São Paulo, Brasil. 27 dez. 1954. Fotografia digitalizada; preto e branco; suporte em papel fotográfico. Disponível em: &lt;link do dataverse&gt;. Acesso em: 28 out. 2025.</v>
      </c>
      <c r="T46" s="92" t="s">
        <v>844</v>
      </c>
    </row>
    <row r="47" ht="15.75" customHeight="1">
      <c r="A47" s="45" t="str">
        <f t="shared" si="1"/>
        <v>046</v>
      </c>
      <c r="B47" s="99" t="s">
        <v>845</v>
      </c>
      <c r="C47" s="100" t="s">
        <v>136</v>
      </c>
      <c r="D47" s="101">
        <v>22148.0</v>
      </c>
      <c r="E47" s="102" t="s">
        <v>137</v>
      </c>
      <c r="F47" s="103" t="s">
        <v>138</v>
      </c>
      <c r="G47" s="104" t="s">
        <v>139</v>
      </c>
      <c r="H47" s="99" t="s">
        <v>140</v>
      </c>
      <c r="I47" s="99" t="s">
        <v>141</v>
      </c>
      <c r="J47" s="115" t="s">
        <v>663</v>
      </c>
      <c r="K47" s="116" t="str">
        <f>TEXTJOIN("", TRUE, Geral!B305:T305)</f>
        <v>BR-SPAPESP_DASP-PENITPRE-CSDTCARANDIRU_ICO-FOT-DGZ-MT0_2776-012-046</v>
      </c>
      <c r="L47" s="104" t="s">
        <v>664</v>
      </c>
      <c r="M47" s="104" t="s">
        <v>846</v>
      </c>
      <c r="N47" s="104" t="s">
        <v>145</v>
      </c>
      <c r="O47" s="99" t="s">
        <v>847</v>
      </c>
      <c r="P47" s="103" t="s">
        <v>147</v>
      </c>
      <c r="Q47" s="103" t="s">
        <v>586</v>
      </c>
      <c r="R47" s="117" t="str">
        <f t="shared" si="2"/>
        <v>Figura n – [Sentinela em frente ao novo Pavilhão 8 da Casa de Detenção do Carandiru]
Fonte: Arquivo do Estado de São Paulo, 1960.</v>
      </c>
      <c r="S47" s="117" t="str">
        <f t="shared" si="3"/>
        <v>ARQUIVO PÚBLICO DO ESTADO DE SÃO PAULO (Brasil). [Sentinela em frente ao novo Pavilhão 8 da Casa de Detenção do Carandiru]. São Paulo, Brasil. 20 ago. 1960. Fotografia digitalizada; preto e branco; suporte em papel fotográfico. Disponível em: &lt;link do dataverse&gt;. Acesso em: 28 out. 2025.</v>
      </c>
      <c r="T47" s="104" t="s">
        <v>848</v>
      </c>
    </row>
    <row r="48" ht="15.75" customHeight="1">
      <c r="A48" s="118" t="str">
        <f t="shared" si="1"/>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38" t="s">
        <v>116</v>
      </c>
      <c r="B1" s="39" t="s">
        <v>117</v>
      </c>
      <c r="C1" s="40" t="s">
        <v>118</v>
      </c>
      <c r="D1" s="41" t="s">
        <v>119</v>
      </c>
      <c r="E1" s="40" t="s">
        <v>120</v>
      </c>
      <c r="F1" s="41" t="s">
        <v>121</v>
      </c>
      <c r="G1" s="40" t="s">
        <v>122</v>
      </c>
      <c r="H1" s="42" t="s">
        <v>123</v>
      </c>
      <c r="I1" s="40" t="s">
        <v>124</v>
      </c>
      <c r="J1" s="40" t="s">
        <v>125</v>
      </c>
      <c r="K1" s="41" t="s">
        <v>126</v>
      </c>
      <c r="L1" s="40" t="s">
        <v>127</v>
      </c>
      <c r="M1" s="43" t="s">
        <v>128</v>
      </c>
      <c r="N1" s="40" t="s">
        <v>129</v>
      </c>
      <c r="O1" s="41" t="s">
        <v>130</v>
      </c>
      <c r="P1" s="40" t="s">
        <v>131</v>
      </c>
      <c r="Q1" s="40" t="s">
        <v>7</v>
      </c>
      <c r="R1" s="42" t="s">
        <v>132</v>
      </c>
      <c r="S1" s="44" t="s">
        <v>133</v>
      </c>
      <c r="T1" s="41" t="s">
        <v>134</v>
      </c>
    </row>
    <row r="2" ht="15.75" customHeight="1">
      <c r="A2" s="45" t="str">
        <f t="shared" ref="A2:A31" si="1">RIGHT(K2,3)</f>
        <v>001</v>
      </c>
      <c r="B2" s="78" t="s">
        <v>849</v>
      </c>
      <c r="C2" s="79" t="s">
        <v>136</v>
      </c>
      <c r="D2" s="109">
        <v>25211.0</v>
      </c>
      <c r="E2" s="81" t="s">
        <v>137</v>
      </c>
      <c r="F2" s="82" t="s">
        <v>138</v>
      </c>
      <c r="G2" s="83" t="s">
        <v>139</v>
      </c>
      <c r="H2" s="78" t="s">
        <v>140</v>
      </c>
      <c r="I2" s="78" t="s">
        <v>141</v>
      </c>
      <c r="J2" s="84" t="s">
        <v>850</v>
      </c>
      <c r="K2" s="110" t="str">
        <f>TEXTJOIN("", TRUE, Geral!B307:T307)</f>
        <v>BR-SPAPESP_DASP-PENITPRE-CSDTCARANDIRU_ICO-FOT-DGZ-MT0_3055-003-001</v>
      </c>
      <c r="L2" s="83" t="s">
        <v>664</v>
      </c>
      <c r="M2" s="83" t="s">
        <v>851</v>
      </c>
      <c r="N2" s="83" t="s">
        <v>145</v>
      </c>
      <c r="O2" s="78" t="s">
        <v>852</v>
      </c>
      <c r="P2" s="82" t="s">
        <v>147</v>
      </c>
      <c r="Q2" s="82" t="s">
        <v>148</v>
      </c>
      <c r="R2" s="86" t="str">
        <f t="shared" ref="R2:R31" si="2">"Figura n – ["&amp;B2&amp;"]"&amp;CHAR(10)&amp;"Fonte: Arquivo do Estado de São Paulo, "&amp;TEXT(D2,"yyyy")&amp;"."</f>
        <v>Figura n – [Pavilhões 2, 5 e 8 – grafite e muralhas internas (08.01.1969)]
Fonte: Arquivo do Estado de São Paulo, 1969.</v>
      </c>
      <c r="S2" s="86" t="str">
        <f t="shared" ref="S2:S31" si="3">"ARQUIVO PÚBLICO DO ESTADO DE SÃO PAULO (Brasil). ["&amp;B2&amp;"]. "&amp;G2&amp;". "&amp;TEXT(D2,"dd")&amp;" "&amp;LOWER(TEXT(D2,"mmm"))&amp;" "&amp;TEXT(D2,"yyyy")&amp;". "&amp;F2&amp;". Disponível em: &lt;link do dataverse&gt;. Acesso em: 28 out. 2025."</f>
        <v>ARQUIVO PÚBLICO DO ESTADO DE SÃO PAULO (Brasil). [Pavilhões 2, 5 e 8 – grafite e muralhas internas (08.01.1969)]. São Paulo, Brasil. 08 jan. 1969. Fotografia digitalizada; preto e branco; suporte em papel fotográfico. Disponível em: &lt;link do dataverse&gt;. Acesso em: 28 out. 2025.</v>
      </c>
      <c r="T2" s="83" t="s">
        <v>853</v>
      </c>
    </row>
    <row r="3" ht="15.75" customHeight="1">
      <c r="A3" s="45" t="str">
        <f t="shared" si="1"/>
        <v>002</v>
      </c>
      <c r="B3" s="87" t="s">
        <v>854</v>
      </c>
      <c r="C3" s="88" t="s">
        <v>136</v>
      </c>
      <c r="D3" s="89">
        <v>25211.0</v>
      </c>
      <c r="E3" s="90" t="s">
        <v>137</v>
      </c>
      <c r="F3" s="91" t="s">
        <v>138</v>
      </c>
      <c r="G3" s="92" t="s">
        <v>139</v>
      </c>
      <c r="H3" s="92" t="s">
        <v>140</v>
      </c>
      <c r="I3" s="92" t="s">
        <v>141</v>
      </c>
      <c r="J3" s="98" t="s">
        <v>850</v>
      </c>
      <c r="K3" s="112" t="str">
        <f>TEXTJOIN("", TRUE, Geral!B309:T309)</f>
        <v>BR-SPAPESP_DASP-PENITPRE-CSDTCARANDIRU_ICO-FOT-DGZ-MT0_3055-003-002</v>
      </c>
      <c r="L3" s="92" t="s">
        <v>664</v>
      </c>
      <c r="M3" s="92" t="s">
        <v>855</v>
      </c>
      <c r="N3" s="92" t="s">
        <v>145</v>
      </c>
      <c r="O3" s="87" t="s">
        <v>856</v>
      </c>
      <c r="P3" s="91" t="s">
        <v>147</v>
      </c>
      <c r="Q3" s="91" t="s">
        <v>586</v>
      </c>
      <c r="R3" s="95" t="str">
        <f t="shared" si="2"/>
        <v>Figura n – [Homem em atividade de organização de arquivos e prontuários no interior da Casa de Detenção do Carandiru.]
Fonte: Arquivo do Estado de São Paulo, 1969.</v>
      </c>
      <c r="S3" s="95" t="str">
        <f t="shared" si="3"/>
        <v>ARQUIVO PÚBLICO DO ESTADO DE SÃO PAULO (Brasil). [Homem em atividade de organização de arquivos e prontuários no interior da Casa de Detenção do Carandiru.]. São Paulo, Brasil. 08 jan. 1969. Fotografia digitalizada; preto e branco; suporte em papel fotográfico. Disponível em: &lt;link do dataverse&gt;. Acesso em: 28 out. 2025.</v>
      </c>
      <c r="T3" s="92" t="s">
        <v>857</v>
      </c>
    </row>
    <row r="4" ht="15.75" customHeight="1">
      <c r="A4" s="45" t="str">
        <f t="shared" si="1"/>
        <v>003</v>
      </c>
      <c r="B4" s="87" t="s">
        <v>858</v>
      </c>
      <c r="C4" s="88" t="s">
        <v>136</v>
      </c>
      <c r="D4" s="89">
        <v>23606.0</v>
      </c>
      <c r="E4" s="90" t="s">
        <v>137</v>
      </c>
      <c r="F4" s="91" t="s">
        <v>138</v>
      </c>
      <c r="G4" s="92" t="s">
        <v>139</v>
      </c>
      <c r="H4" s="87" t="s">
        <v>140</v>
      </c>
      <c r="I4" s="87" t="s">
        <v>141</v>
      </c>
      <c r="J4" s="98" t="s">
        <v>850</v>
      </c>
      <c r="K4" s="112" t="str">
        <f>TEXTJOIN("", TRUE, Geral!B311:T311)</f>
        <v>BR-SPAPESP_DASP-PENITPRE-CSDTCARANDIRU_ICO-FOT-DGZ-MT0_3055-003-003</v>
      </c>
      <c r="L4" s="92" t="s">
        <v>664</v>
      </c>
      <c r="M4" s="92" t="s">
        <v>859</v>
      </c>
      <c r="N4" s="92" t="s">
        <v>145</v>
      </c>
      <c r="O4" s="87" t="s">
        <v>860</v>
      </c>
      <c r="P4" s="91" t="s">
        <v>147</v>
      </c>
      <c r="Q4" s="91" t="s">
        <v>586</v>
      </c>
      <c r="R4" s="95" t="str">
        <f t="shared" si="2"/>
        <v>Figura n – [Familiares e crianças aguardam entrada na Casa de Detenção do Carandiru em contexto de instabilidade.]
Fonte: Arquivo do Estado de São Paulo, 1964.</v>
      </c>
      <c r="S4" s="95" t="str">
        <f t="shared" si="3"/>
        <v>ARQUIVO PÚBLICO DO ESTADO DE SÃO PAULO (Brasil). [Familiares e crianças aguardam entrada na Casa de Detenção do Carandiru em contexto de instabilidade.]. São Paulo, Brasil. 17 ago. 1964. Fotografia digitalizada; preto e branco; suporte em papel fotográfico. Disponível em: &lt;link do dataverse&gt;. Acesso em: 28 out. 2025.</v>
      </c>
      <c r="T4" s="92" t="s">
        <v>861</v>
      </c>
    </row>
    <row r="5" ht="15.75" customHeight="1">
      <c r="A5" s="45" t="str">
        <f t="shared" si="1"/>
        <v>004</v>
      </c>
      <c r="B5" s="87" t="s">
        <v>862</v>
      </c>
      <c r="C5" s="88" t="s">
        <v>136</v>
      </c>
      <c r="D5" s="89">
        <v>23606.0</v>
      </c>
      <c r="E5" s="90" t="s">
        <v>137</v>
      </c>
      <c r="F5" s="91" t="s">
        <v>138</v>
      </c>
      <c r="G5" s="92" t="s">
        <v>139</v>
      </c>
      <c r="H5" s="92" t="s">
        <v>140</v>
      </c>
      <c r="I5" s="92" t="s">
        <v>141</v>
      </c>
      <c r="J5" s="98" t="s">
        <v>850</v>
      </c>
      <c r="K5" s="112" t="str">
        <f>TEXTJOIN("", TRUE, Geral!B313:T313)</f>
        <v>BR-SPAPESP_DASP-PENITPRE-CSDTCARANDIRU_ICO-FOT-DGZ-MT0_3055-003-004</v>
      </c>
      <c r="L5" s="92" t="s">
        <v>664</v>
      </c>
      <c r="M5" s="92" t="s">
        <v>863</v>
      </c>
      <c r="N5" s="92" t="s">
        <v>145</v>
      </c>
      <c r="O5" s="87" t="s">
        <v>864</v>
      </c>
      <c r="P5" s="91" t="s">
        <v>147</v>
      </c>
      <c r="Q5" s="91" t="s">
        <v>774</v>
      </c>
      <c r="R5" s="95" t="str">
        <f t="shared" si="2"/>
        <v>Figura n – [Intervenção do Corpo de Bombeiros no pátio da Casa de Detenção do Carandiru durante ocorrência noturna.]
Fonte: Arquivo do Estado de São Paulo, 1964.</v>
      </c>
      <c r="S5" s="95" t="str">
        <f t="shared" si="3"/>
        <v>ARQUIVO PÚBLICO DO ESTADO DE SÃO PAULO (Brasil). [Intervenção do Corpo de Bombeiros no pátio da Casa de Detenção do Carandiru durante ocorrência noturna.]. São Paulo, Brasil. 17 ago. 1964. Fotografia digitalizada; preto e branco; suporte em papel fotográfico. Disponível em: &lt;link do dataverse&gt;. Acesso em: 28 out. 2025.</v>
      </c>
      <c r="T5" s="92" t="s">
        <v>865</v>
      </c>
    </row>
    <row r="6" ht="15.75" customHeight="1">
      <c r="A6" s="45" t="str">
        <f t="shared" si="1"/>
        <v>005</v>
      </c>
      <c r="B6" s="87" t="s">
        <v>866</v>
      </c>
      <c r="C6" s="88" t="s">
        <v>136</v>
      </c>
      <c r="D6" s="89">
        <v>23606.0</v>
      </c>
      <c r="E6" s="90" t="s">
        <v>137</v>
      </c>
      <c r="F6" s="91" t="s">
        <v>138</v>
      </c>
      <c r="G6" s="92" t="s">
        <v>139</v>
      </c>
      <c r="H6" s="87" t="s">
        <v>140</v>
      </c>
      <c r="I6" s="87" t="s">
        <v>141</v>
      </c>
      <c r="J6" s="98" t="s">
        <v>850</v>
      </c>
      <c r="K6" s="112" t="str">
        <f>TEXTJOIN("", TRUE, Geral!B315:T315)</f>
        <v>BR-SPAPESP_DASP-PENITPRE-CSDTCARANDIRU_ICO-FOT-DGZ-MT0_3055-003-005</v>
      </c>
      <c r="L6" s="92" t="s">
        <v>664</v>
      </c>
      <c r="M6" s="92" t="s">
        <v>867</v>
      </c>
      <c r="N6" s="92" t="s">
        <v>145</v>
      </c>
      <c r="O6" s="87" t="s">
        <v>868</v>
      </c>
      <c r="P6" s="91" t="s">
        <v>147</v>
      </c>
      <c r="Q6" s="91" t="s">
        <v>774</v>
      </c>
      <c r="R6" s="95" t="str">
        <f t="shared" si="2"/>
        <v>Figura n – [Vista externa da muralha e celas iluminadas da Casa de Detenção do Carandiru durante a noite.]
Fonte: Arquivo do Estado de São Paulo, 1964.</v>
      </c>
      <c r="S6" s="95" t="str">
        <f t="shared" si="3"/>
        <v>ARQUIVO PÚBLICO DO ESTADO DE SÃO PAULO (Brasil). [Vista externa da muralha e celas iluminadas da Casa de Detenção do Carandiru durante a noite.]. São Paulo, Brasil. 17 ago. 1964. Fotografia digitalizada; preto e branco; suporte em papel fotográfico. Disponível em: &lt;link do dataverse&gt;. Acesso em: 28 out. 2025.</v>
      </c>
      <c r="T6" s="92" t="s">
        <v>869</v>
      </c>
    </row>
    <row r="7" ht="15.75" customHeight="1">
      <c r="A7" s="45" t="str">
        <f t="shared" si="1"/>
        <v>006</v>
      </c>
      <c r="B7" s="87" t="s">
        <v>870</v>
      </c>
      <c r="C7" s="88" t="s">
        <v>136</v>
      </c>
      <c r="D7" s="89">
        <v>22250.0</v>
      </c>
      <c r="E7" s="90" t="s">
        <v>137</v>
      </c>
      <c r="F7" s="91" t="s">
        <v>138</v>
      </c>
      <c r="G7" s="92" t="s">
        <v>139</v>
      </c>
      <c r="H7" s="92" t="s">
        <v>140</v>
      </c>
      <c r="I7" s="92" t="s">
        <v>141</v>
      </c>
      <c r="J7" s="98" t="s">
        <v>850</v>
      </c>
      <c r="K7" s="112" t="str">
        <f>TEXTJOIN("", TRUE, Geral!B317:T317)</f>
        <v>BR-SPAPESP_DASP-PENITPRE-CSDTCARANDIRU_ICO-FOT-DGZ-MT0_3055-003-006</v>
      </c>
      <c r="L7" s="92" t="s">
        <v>664</v>
      </c>
      <c r="M7" s="92" t="s">
        <v>871</v>
      </c>
      <c r="N7" s="92" t="s">
        <v>145</v>
      </c>
      <c r="O7" s="87" t="s">
        <v>872</v>
      </c>
      <c r="P7" s="91" t="s">
        <v>147</v>
      </c>
      <c r="Q7" s="91" t="s">
        <v>774</v>
      </c>
      <c r="R7" s="95" t="str">
        <f t="shared" si="2"/>
        <v>Figura n – [Vista do interior de uma cela individual na Casa de Detenção do Carandiru.]
Fonte: Arquivo do Estado de São Paulo, 1960.</v>
      </c>
      <c r="S7" s="95" t="str">
        <f t="shared" si="3"/>
        <v>ARQUIVO PÚBLICO DO ESTADO DE SÃO PAULO (Brasil). [Vista do interior de uma cela individual na Casa de Detenção do Carandiru.]. São Paulo, Brasil. 30 nov. 1960. Fotografia digitalizada; preto e branco; suporte em papel fotográfico. Disponível em: &lt;link do dataverse&gt;. Acesso em: 28 out. 2025.</v>
      </c>
      <c r="T7" s="92" t="s">
        <v>873</v>
      </c>
    </row>
    <row r="8" ht="15.75" customHeight="1">
      <c r="A8" s="45" t="str">
        <f t="shared" si="1"/>
        <v>007</v>
      </c>
      <c r="B8" s="87" t="s">
        <v>874</v>
      </c>
      <c r="C8" s="88" t="s">
        <v>136</v>
      </c>
      <c r="D8" s="89">
        <v>28271.0</v>
      </c>
      <c r="E8" s="90" t="s">
        <v>137</v>
      </c>
      <c r="F8" s="91" t="s">
        <v>138</v>
      </c>
      <c r="G8" s="92" t="s">
        <v>139</v>
      </c>
      <c r="H8" s="87" t="s">
        <v>140</v>
      </c>
      <c r="I8" s="87" t="s">
        <v>141</v>
      </c>
      <c r="J8" s="93" t="s">
        <v>850</v>
      </c>
      <c r="K8" s="112" t="str">
        <f>TEXTJOIN("", TRUE, Geral!B319:T319)</f>
        <v>BR-SPAPESP_DASP-PENITPRE-CSDTCARANDIRU_ICO-FOT-DGZ-MT0_3055-003-007</v>
      </c>
      <c r="L8" s="92" t="s">
        <v>664</v>
      </c>
      <c r="M8" s="92" t="s">
        <v>875</v>
      </c>
      <c r="N8" s="92" t="s">
        <v>145</v>
      </c>
      <c r="O8" s="87" t="s">
        <v>876</v>
      </c>
      <c r="P8" s="91" t="s">
        <v>147</v>
      </c>
      <c r="Q8" s="91" t="s">
        <v>148</v>
      </c>
      <c r="R8" s="95" t="str">
        <f t="shared" si="2"/>
        <v>Figura n – [Pavilhões 4 e 7 em obras (1977)]
Fonte: Arquivo do Estado de São Paulo, 1977.</v>
      </c>
      <c r="S8" s="95" t="str">
        <f t="shared" si="3"/>
        <v>ARQUIVO PÚBLICO DO ESTADO DE SÃO PAULO (Brasil). [Pavilhões 4 e 7 em obras (1977)]. São Paulo, Brasil. 26 mai. 1977. Fotografia digitalizada; preto e branco; suporte em papel fotográfico. Disponível em: &lt;link do dataverse&gt;. Acesso em: 28 out. 2025.</v>
      </c>
      <c r="T8" s="92" t="s">
        <v>877</v>
      </c>
    </row>
    <row r="9" ht="15.75" customHeight="1">
      <c r="A9" s="45" t="str">
        <f t="shared" si="1"/>
        <v>008</v>
      </c>
      <c r="B9" s="87" t="s">
        <v>878</v>
      </c>
      <c r="C9" s="88" t="s">
        <v>136</v>
      </c>
      <c r="D9" s="89">
        <v>28118.0</v>
      </c>
      <c r="E9" s="90" t="s">
        <v>137</v>
      </c>
      <c r="F9" s="91" t="s">
        <v>138</v>
      </c>
      <c r="G9" s="92" t="s">
        <v>139</v>
      </c>
      <c r="H9" s="92" t="s">
        <v>140</v>
      </c>
      <c r="I9" s="92" t="s">
        <v>141</v>
      </c>
      <c r="J9" s="93" t="s">
        <v>850</v>
      </c>
      <c r="K9" s="112" t="str">
        <f>TEXTJOIN("", TRUE, Geral!B321:T321)</f>
        <v>BR-SPAPESP_DASP-PENITPRE-CSDTCARANDIRU_ICO-FOT-DGZ-MT0_3055-003-008</v>
      </c>
      <c r="L9" s="92" t="s">
        <v>664</v>
      </c>
      <c r="M9" s="92" t="s">
        <v>879</v>
      </c>
      <c r="N9" s="92" t="s">
        <v>145</v>
      </c>
      <c r="O9" s="87" t="s">
        <v>880</v>
      </c>
      <c r="P9" s="91" t="s">
        <v>147</v>
      </c>
      <c r="Q9" s="91" t="s">
        <v>148</v>
      </c>
      <c r="R9" s="95" t="str">
        <f t="shared" si="2"/>
        <v>Figura n – [Fachada, 1976. Legenda indica que 40 pessoas saíram no indulto natalino do General Geisel]
Fonte: Arquivo do Estado de São Paulo, 1976.</v>
      </c>
      <c r="S9" s="95" t="str">
        <f t="shared" si="3"/>
        <v>ARQUIVO PÚBLICO DO ESTADO DE SÃO PAULO (Brasil). [Fachada, 1976. Legenda indica que 40 pessoas saíram no indulto natalino do General Geisel]. São Paulo, Brasil. 24 dez. 1976. Fotografia digitalizada; preto e branco; suporte em papel fotográfico. Disponível em: &lt;link do dataverse&gt;. Acesso em: 28 out. 2025.</v>
      </c>
      <c r="T9" s="92" t="s">
        <v>881</v>
      </c>
    </row>
    <row r="10" ht="15.75" customHeight="1">
      <c r="A10" s="45" t="str">
        <f t="shared" si="1"/>
        <v>009</v>
      </c>
      <c r="B10" s="87" t="s">
        <v>874</v>
      </c>
      <c r="C10" s="88" t="s">
        <v>136</v>
      </c>
      <c r="D10" s="89">
        <v>28271.0</v>
      </c>
      <c r="E10" s="90" t="s">
        <v>137</v>
      </c>
      <c r="F10" s="91" t="s">
        <v>138</v>
      </c>
      <c r="G10" s="92" t="s">
        <v>139</v>
      </c>
      <c r="H10" s="87" t="s">
        <v>140</v>
      </c>
      <c r="I10" s="87" t="s">
        <v>141</v>
      </c>
      <c r="J10" s="93" t="s">
        <v>850</v>
      </c>
      <c r="K10" s="112" t="str">
        <f>TEXTJOIN("", TRUE, Geral!B323:T323)</f>
        <v>BR-SPAPESP_DASP-PENITPRE-CSDTCARANDIRU_ICO-FOT-DGZ-MT0_3055-003-009</v>
      </c>
      <c r="L10" s="92" t="s">
        <v>664</v>
      </c>
      <c r="M10" s="92" t="s">
        <v>882</v>
      </c>
      <c r="N10" s="92" t="s">
        <v>145</v>
      </c>
      <c r="O10" s="87" t="s">
        <v>883</v>
      </c>
      <c r="P10" s="91" t="s">
        <v>147</v>
      </c>
      <c r="Q10" s="91" t="s">
        <v>148</v>
      </c>
      <c r="R10" s="95" t="str">
        <f t="shared" si="2"/>
        <v>Figura n – [Pavilhões 4 e 7 em obras (1977)]
Fonte: Arquivo do Estado de São Paulo, 1977.</v>
      </c>
      <c r="S10" s="95" t="str">
        <f t="shared" si="3"/>
        <v>ARQUIVO PÚBLICO DO ESTADO DE SÃO PAULO (Brasil). [Pavilhões 4 e 7 em obras (1977)]. São Paulo, Brasil. 26 mai. 1977. Fotografia digitalizada; preto e branco; suporte em papel fotográfico. Disponível em: &lt;link do dataverse&gt;. Acesso em: 28 out. 2025.</v>
      </c>
      <c r="T10" s="92" t="s">
        <v>884</v>
      </c>
    </row>
    <row r="11" ht="15.75" customHeight="1">
      <c r="A11" s="45" t="str">
        <f t="shared" si="1"/>
        <v>010</v>
      </c>
      <c r="B11" s="87" t="s">
        <v>885</v>
      </c>
      <c r="C11" s="88" t="s">
        <v>136</v>
      </c>
      <c r="D11" s="89">
        <v>20710.0</v>
      </c>
      <c r="E11" s="90" t="s">
        <v>137</v>
      </c>
      <c r="F11" s="91" t="s">
        <v>138</v>
      </c>
      <c r="G11" s="92" t="s">
        <v>139</v>
      </c>
      <c r="H11" s="92" t="s">
        <v>140</v>
      </c>
      <c r="I11" s="92" t="s">
        <v>141</v>
      </c>
      <c r="J11" s="98" t="s">
        <v>850</v>
      </c>
      <c r="K11" s="112" t="str">
        <f>TEXTJOIN("", TRUE, Geral!B325:T325)</f>
        <v>BR-SPAPESP_DASP-PENITPRE-CSDTCARANDIRU_ICO-FOT-DGZ-MT0_3055-003-010</v>
      </c>
      <c r="L11" s="92" t="s">
        <v>664</v>
      </c>
      <c r="M11" s="92" t="s">
        <v>886</v>
      </c>
      <c r="N11" s="92" t="s">
        <v>145</v>
      </c>
      <c r="O11" s="87" t="s">
        <v>887</v>
      </c>
      <c r="P11" s="91" t="s">
        <v>147</v>
      </c>
      <c r="Q11" s="91" t="s">
        <v>148</v>
      </c>
      <c r="R11" s="95" t="str">
        <f t="shared" si="2"/>
        <v>Figura n – [Oficial de segurança operando portão de ferro na entrada da Casa de Detenção do Carandiru.]
Fonte: Arquivo do Estado de São Paulo, 1956.</v>
      </c>
      <c r="S11" s="95" t="str">
        <f t="shared" si="3"/>
        <v>ARQUIVO PÚBLICO DO ESTADO DE SÃO PAULO (Brasil). [Oficial de segurança operando portão de ferro na entrada da Casa de Detenção do Carandiru.]. São Paulo, Brasil. 12 set. 1956. Fotografia digitalizada; preto e branco; suporte em papel fotográfico. Disponível em: &lt;link do dataverse&gt;. Acesso em: 28 out. 2025.</v>
      </c>
      <c r="T11" s="92" t="s">
        <v>888</v>
      </c>
    </row>
    <row r="12" ht="15.75" customHeight="1">
      <c r="A12" s="45" t="str">
        <f t="shared" si="1"/>
        <v>011</v>
      </c>
      <c r="B12" s="87" t="s">
        <v>889</v>
      </c>
      <c r="C12" s="88" t="s">
        <v>136</v>
      </c>
      <c r="D12" s="89">
        <v>20710.0</v>
      </c>
      <c r="E12" s="90" t="s">
        <v>137</v>
      </c>
      <c r="F12" s="91" t="s">
        <v>138</v>
      </c>
      <c r="G12" s="92" t="s">
        <v>139</v>
      </c>
      <c r="H12" s="87" t="s">
        <v>140</v>
      </c>
      <c r="I12" s="87" t="s">
        <v>141</v>
      </c>
      <c r="J12" s="93" t="s">
        <v>850</v>
      </c>
      <c r="K12" s="112" t="str">
        <f>TEXTJOIN("", TRUE, Geral!B327:T327)</f>
        <v>BR-SPAPESP_DASP-PENITPRE-CSDTCARANDIRU_ICO-FOT-DGZ-MT0_3055-003-011</v>
      </c>
      <c r="L12" s="92" t="s">
        <v>664</v>
      </c>
      <c r="M12" s="92" t="s">
        <v>890</v>
      </c>
      <c r="N12" s="92" t="s">
        <v>145</v>
      </c>
      <c r="O12" s="87" t="s">
        <v>891</v>
      </c>
      <c r="P12" s="91" t="s">
        <v>147</v>
      </c>
      <c r="Q12" s="91" t="s">
        <v>148</v>
      </c>
      <c r="R12" s="95" t="str">
        <f t="shared" si="2"/>
        <v>Figura n – [Sentinelas posicionados no topo das muralhas da Casa de Detenção do Carandiru.]
Fonte: Arquivo do Estado de São Paulo, 1956.</v>
      </c>
      <c r="S12" s="95" t="str">
        <f t="shared" si="3"/>
        <v>ARQUIVO PÚBLICO DO ESTADO DE SÃO PAULO (Brasil). [Sentinelas posicionados no topo das muralhas da Casa de Detenção do Carandiru.]. São Paulo, Brasil. 12 set. 1956. Fotografia digitalizada; preto e branco; suporte em papel fotográfico. Disponível em: &lt;link do dataverse&gt;. Acesso em: 28 out. 2025.</v>
      </c>
      <c r="T12" s="92" t="s">
        <v>892</v>
      </c>
    </row>
    <row r="13" ht="15.75" customHeight="1">
      <c r="A13" s="45" t="str">
        <f t="shared" si="1"/>
        <v>012</v>
      </c>
      <c r="B13" s="87" t="s">
        <v>893</v>
      </c>
      <c r="C13" s="88" t="s">
        <v>136</v>
      </c>
      <c r="D13" s="89">
        <v>23504.0</v>
      </c>
      <c r="E13" s="90" t="s">
        <v>137</v>
      </c>
      <c r="F13" s="91" t="s">
        <v>138</v>
      </c>
      <c r="G13" s="92" t="s">
        <v>139</v>
      </c>
      <c r="H13" s="92" t="s">
        <v>140</v>
      </c>
      <c r="I13" s="92" t="s">
        <v>141</v>
      </c>
      <c r="J13" s="98" t="s">
        <v>850</v>
      </c>
      <c r="K13" s="112" t="str">
        <f>TEXTJOIN("", TRUE, Geral!B329:T329)</f>
        <v>BR-SPAPESP_DASP-PENITPRE-CSDTCARANDIRU_ICO-FOT-DGZ-MT0_3055-003-012</v>
      </c>
      <c r="L13" s="92" t="s">
        <v>664</v>
      </c>
      <c r="M13" s="92" t="s">
        <v>894</v>
      </c>
      <c r="N13" s="92" t="s">
        <v>145</v>
      </c>
      <c r="O13" s="87" t="s">
        <v>895</v>
      </c>
      <c r="P13" s="91" t="s">
        <v>147</v>
      </c>
      <c r="Q13" s="91" t="s">
        <v>148</v>
      </c>
      <c r="R13" s="95" t="str">
        <f t="shared" si="2"/>
        <v>Figura n – [Interior de cela da Casa de Detenção da Avenida Tiradentes (São Paulo)]
Fonte: Arquivo do Estado de São Paulo, 1964.</v>
      </c>
      <c r="S13" s="95" t="str">
        <f t="shared" si="3"/>
        <v>ARQUIVO PÚBLICO DO ESTADO DE SÃO PAULO (Brasil). [Interior de cela da Casa de Detenção da Avenida Tiradentes (São Paulo)]. São Paulo, Brasil. 07 mai. 1964. Fotografia digitalizada; preto e branco; suporte em papel fotográfico. Disponível em: &lt;link do dataverse&gt;. Acesso em: 28 out. 2025.</v>
      </c>
      <c r="T13" s="92" t="s">
        <v>896</v>
      </c>
    </row>
    <row r="14" ht="15.75" customHeight="1">
      <c r="A14" s="45" t="str">
        <f t="shared" si="1"/>
        <v>013</v>
      </c>
      <c r="B14" s="87" t="s">
        <v>897</v>
      </c>
      <c r="C14" s="88" t="s">
        <v>136</v>
      </c>
      <c r="D14" s="89">
        <v>23605.0</v>
      </c>
      <c r="E14" s="90" t="s">
        <v>137</v>
      </c>
      <c r="F14" s="91" t="s">
        <v>138</v>
      </c>
      <c r="G14" s="92" t="s">
        <v>139</v>
      </c>
      <c r="H14" s="87" t="s">
        <v>140</v>
      </c>
      <c r="I14" s="87" t="s">
        <v>141</v>
      </c>
      <c r="J14" s="93" t="s">
        <v>850</v>
      </c>
      <c r="K14" s="112" t="str">
        <f>TEXTJOIN("", TRUE, Geral!B331:T331)</f>
        <v>BR-SPAPESP_DASP-PENITPRE-CSDTCARANDIRU_ICO-FOT-DGZ-MT0_3055-003-013</v>
      </c>
      <c r="L14" s="92" t="s">
        <v>664</v>
      </c>
      <c r="M14" s="92" t="s">
        <v>898</v>
      </c>
      <c r="N14" s="92" t="s">
        <v>145</v>
      </c>
      <c r="O14" s="87" t="s">
        <v>899</v>
      </c>
      <c r="P14" s="91" t="s">
        <v>147</v>
      </c>
      <c r="Q14" s="91" t="s">
        <v>293</v>
      </c>
      <c r="R14" s="95" t="str">
        <f t="shared" si="2"/>
        <v>Figura n – [Remoção de mulher ferida durante motim na Casa de Detenção do Carandiru (São Paulo)]
Fonte: Arquivo do Estado de São Paulo, 1964.</v>
      </c>
      <c r="S14" s="95" t="str">
        <f t="shared" si="3"/>
        <v>ARQUIVO PÚBLICO DO ESTADO DE SÃO PAULO (Brasil). [Remoção de mulher ferida durante motim na Casa de Detenção do Carandiru (São Paulo)]. São Paulo, Brasil. 16 ago. 1964. Fotografia digitalizada; preto e branco; suporte em papel fotográfico. Disponível em: &lt;link do dataverse&gt;. Acesso em: 28 out. 2025.</v>
      </c>
      <c r="T14" s="92" t="s">
        <v>900</v>
      </c>
    </row>
    <row r="15" ht="15.75" customHeight="1">
      <c r="A15" s="45" t="str">
        <f t="shared" si="1"/>
        <v>014</v>
      </c>
      <c r="B15" s="87" t="s">
        <v>901</v>
      </c>
      <c r="C15" s="88" t="s">
        <v>136</v>
      </c>
      <c r="D15" s="89">
        <v>21165.0</v>
      </c>
      <c r="E15" s="90" t="s">
        <v>137</v>
      </c>
      <c r="F15" s="91" t="s">
        <v>138</v>
      </c>
      <c r="G15" s="92" t="s">
        <v>139</v>
      </c>
      <c r="H15" s="92" t="s">
        <v>140</v>
      </c>
      <c r="I15" s="92" t="s">
        <v>141</v>
      </c>
      <c r="J15" s="98" t="s">
        <v>850</v>
      </c>
      <c r="K15" s="112" t="str">
        <f>TEXTJOIN("", TRUE, Geral!B333:T333)</f>
        <v>BR-SPAPESP_DASP-PENITPRE-CSDTCARANDIRU_ICO-FOT-DGZ-MT0_3055-003-014</v>
      </c>
      <c r="L15" s="92" t="s">
        <v>664</v>
      </c>
      <c r="M15" s="92" t="s">
        <v>902</v>
      </c>
      <c r="N15" s="92" t="s">
        <v>145</v>
      </c>
      <c r="O15" s="87" t="s">
        <v>903</v>
      </c>
      <c r="P15" s="91" t="s">
        <v>147</v>
      </c>
      <c r="Q15" s="91" t="s">
        <v>148</v>
      </c>
      <c r="R15" s="95" t="str">
        <f t="shared" si="2"/>
        <v>Figura n – [Estrutura em fase inicial das obras do conjunto carcerário da nova Casa de Detenção do Carandiru.]
Fonte: Arquivo do Estado de São Paulo, 1957.</v>
      </c>
      <c r="S15" s="95" t="str">
        <f t="shared" si="3"/>
        <v>ARQUIVO PÚBLICO DO ESTADO DE SÃO PAULO (Brasil). [Estrutura em fase inicial das obras do conjunto carcerário da nova Casa de Detenção do Carandiru.]. São Paulo, Brasil. 11 dez. 1957. Fotografia digitalizada; preto e branco; suporte em papel fotográfico. Disponível em: &lt;link do dataverse&gt;. Acesso em: 28 out. 2025.</v>
      </c>
      <c r="T15" s="92" t="s">
        <v>904</v>
      </c>
    </row>
    <row r="16" ht="15.75" customHeight="1">
      <c r="A16" s="45" t="str">
        <f t="shared" si="1"/>
        <v>015</v>
      </c>
      <c r="B16" s="87" t="s">
        <v>905</v>
      </c>
      <c r="C16" s="88" t="s">
        <v>136</v>
      </c>
      <c r="D16" s="89">
        <v>20069.0</v>
      </c>
      <c r="E16" s="90" t="s">
        <v>137</v>
      </c>
      <c r="F16" s="91" t="s">
        <v>138</v>
      </c>
      <c r="G16" s="92" t="s">
        <v>139</v>
      </c>
      <c r="H16" s="87" t="s">
        <v>140</v>
      </c>
      <c r="I16" s="87" t="s">
        <v>141</v>
      </c>
      <c r="J16" s="93" t="s">
        <v>850</v>
      </c>
      <c r="K16" s="112" t="str">
        <f>TEXTJOIN("", TRUE, Geral!B335:T335)</f>
        <v>BR-SPAPESP_DASP-PENITPRE-CSDTCARANDIRU_ICO-FOT-DGZ-MT0_3055-003-015</v>
      </c>
      <c r="L16" s="92" t="s">
        <v>664</v>
      </c>
      <c r="M16" s="92" t="s">
        <v>906</v>
      </c>
      <c r="N16" s="92" t="s">
        <v>145</v>
      </c>
      <c r="O16" s="87" t="s">
        <v>907</v>
      </c>
      <c r="P16" s="91" t="s">
        <v>147</v>
      </c>
      <c r="Q16" s="91" t="s">
        <v>148</v>
      </c>
      <c r="R16" s="95" t="str">
        <f t="shared" si="2"/>
        <v>Figura n – [“Total abandono” – Pavilhões 8 e 9 (1957)]
Fonte: Arquivo do Estado de São Paulo, 1954.</v>
      </c>
      <c r="S16" s="95" t="str">
        <f t="shared" si="3"/>
        <v>ARQUIVO PÚBLICO DO ESTADO DE SÃO PAULO (Brasil). [“Total abandono” – Pavilhões 8 e 9 (1957)]. São Paulo, Brasil. 11 dez. 1954. Fotografia digitalizada; preto e branco; suporte em papel fotográfico. Disponível em: &lt;link do dataverse&gt;. Acesso em: 28 out. 2025.</v>
      </c>
      <c r="T16" s="92" t="s">
        <v>908</v>
      </c>
    </row>
    <row r="17" ht="15.75" customHeight="1">
      <c r="A17" s="45" t="str">
        <f t="shared" si="1"/>
        <v>016</v>
      </c>
      <c r="B17" s="87" t="s">
        <v>909</v>
      </c>
      <c r="C17" s="88" t="s">
        <v>136</v>
      </c>
      <c r="D17" s="89">
        <v>28271.0</v>
      </c>
      <c r="E17" s="90" t="s">
        <v>137</v>
      </c>
      <c r="F17" s="91" t="s">
        <v>138</v>
      </c>
      <c r="G17" s="92" t="s">
        <v>139</v>
      </c>
      <c r="H17" s="92" t="s">
        <v>140</v>
      </c>
      <c r="I17" s="92" t="s">
        <v>141</v>
      </c>
      <c r="J17" s="98" t="s">
        <v>850</v>
      </c>
      <c r="K17" s="112" t="str">
        <f>TEXTJOIN("", TRUE, Geral!B337:T337)</f>
        <v>BR-SPAPESP_DASP-PENITPRE-CSDTCARANDIRU_ICO-FOT-DGZ-MT0_3055-003-016</v>
      </c>
      <c r="L17" s="92" t="s">
        <v>664</v>
      </c>
      <c r="M17" s="92" t="s">
        <v>910</v>
      </c>
      <c r="N17" s="92" t="s">
        <v>145</v>
      </c>
      <c r="O17" s="87" t="s">
        <v>911</v>
      </c>
      <c r="P17" s="91" t="s">
        <v>147</v>
      </c>
      <c r="Q17" s="91" t="s">
        <v>148</v>
      </c>
      <c r="R17" s="95" t="str">
        <f t="shared" si="2"/>
        <v>Figura n – [Interior de cela de concreto armado da Casa de Detenção (São Paulo)]
Fonte: Arquivo do Estado de São Paulo, 1977.</v>
      </c>
      <c r="S17" s="95" t="str">
        <f t="shared" si="3"/>
        <v>ARQUIVO PÚBLICO DO ESTADO DE SÃO PAULO (Brasil). [Interior de cela de concreto armado da Casa de Detenção (São Paulo)]. São Paulo, Brasil. 26 mai. 1977. Fotografia digitalizada; preto e branco; suporte em papel fotográfico. Disponível em: &lt;link do dataverse&gt;. Acesso em: 28 out. 2025.</v>
      </c>
      <c r="T17" s="92" t="s">
        <v>912</v>
      </c>
    </row>
    <row r="18" ht="15.75" customHeight="1">
      <c r="A18" s="45" t="str">
        <f t="shared" si="1"/>
        <v>017</v>
      </c>
      <c r="B18" s="87" t="s">
        <v>913</v>
      </c>
      <c r="C18" s="88" t="s">
        <v>136</v>
      </c>
      <c r="D18" s="89">
        <v>20710.0</v>
      </c>
      <c r="E18" s="90" t="s">
        <v>137</v>
      </c>
      <c r="F18" s="91" t="s">
        <v>138</v>
      </c>
      <c r="G18" s="92" t="s">
        <v>139</v>
      </c>
      <c r="H18" s="87" t="s">
        <v>140</v>
      </c>
      <c r="I18" s="87" t="s">
        <v>141</v>
      </c>
      <c r="J18" s="93" t="s">
        <v>850</v>
      </c>
      <c r="K18" s="112" t="str">
        <f>TEXTJOIN("", TRUE, Geral!B339:T339)</f>
        <v>BR-SPAPESP_DASP-PENITPRE-CSDTCARANDIRU_ICO-FOT-DGZ-MT0_3055-003-017</v>
      </c>
      <c r="L18" s="92" t="s">
        <v>664</v>
      </c>
      <c r="M18" s="92" t="s">
        <v>914</v>
      </c>
      <c r="N18" s="92" t="s">
        <v>145</v>
      </c>
      <c r="O18" s="87" t="s">
        <v>915</v>
      </c>
      <c r="P18" s="91" t="s">
        <v>147</v>
      </c>
      <c r="Q18" s="91" t="s">
        <v>148</v>
      </c>
      <c r="R18" s="95" t="str">
        <f t="shared" si="2"/>
        <v>Figura n – [Muralhas da nova Casa de Detenção do Carandiru]
Fonte: Arquivo do Estado de São Paulo, 1956.</v>
      </c>
      <c r="S18" s="95" t="str">
        <f t="shared" si="3"/>
        <v>ARQUIVO PÚBLICO DO ESTADO DE SÃO PAULO (Brasil). [Muralhas da nova Casa de Detenção do Carandiru]. São Paulo, Brasil. 12 set. 1956. Fotografia digitalizada; preto e branco; suporte em papel fotográfico. Disponível em: &lt;link do dataverse&gt;. Acesso em: 28 out. 2025.</v>
      </c>
      <c r="T18" s="92" t="s">
        <v>916</v>
      </c>
    </row>
    <row r="19" ht="15.75" customHeight="1">
      <c r="A19" s="45" t="str">
        <f t="shared" si="1"/>
        <v>018</v>
      </c>
      <c r="B19" s="87" t="s">
        <v>917</v>
      </c>
      <c r="C19" s="88" t="s">
        <v>136</v>
      </c>
      <c r="D19" s="89">
        <v>28803.0</v>
      </c>
      <c r="E19" s="90" t="s">
        <v>137</v>
      </c>
      <c r="F19" s="91" t="s">
        <v>138</v>
      </c>
      <c r="G19" s="92" t="s">
        <v>139</v>
      </c>
      <c r="H19" s="92" t="s">
        <v>140</v>
      </c>
      <c r="I19" s="92" t="s">
        <v>141</v>
      </c>
      <c r="J19" s="98" t="s">
        <v>850</v>
      </c>
      <c r="K19" s="112" t="str">
        <f>TEXTJOIN("", TRUE, Geral!B341:T341)</f>
        <v>BR-SPAPESP_DASP-PENITPRE-CSDTCARANDIRU_ICO-FOT-DGZ-MT0_3055-003-018</v>
      </c>
      <c r="L19" s="92" t="s">
        <v>664</v>
      </c>
      <c r="M19" s="92" t="s">
        <v>918</v>
      </c>
      <c r="N19" s="92" t="s">
        <v>145</v>
      </c>
      <c r="O19" s="87" t="s">
        <v>919</v>
      </c>
      <c r="P19" s="91" t="s">
        <v>147</v>
      </c>
      <c r="Q19" s="91" t="s">
        <v>148</v>
      </c>
      <c r="R19" s="95" t="str">
        <f t="shared" si="2"/>
        <v>Figura n – [Partida do Campeonato de Futebol da Casa de Detenção (São Paulo)]
Fonte: Arquivo do Estado de São Paulo, 1978.</v>
      </c>
      <c r="S19" s="95" t="str">
        <f t="shared" si="3"/>
        <v>ARQUIVO PÚBLICO DO ESTADO DE SÃO PAULO (Brasil). [Partida do Campeonato de Futebol da Casa de Detenção (São Paulo)]. São Paulo, Brasil. 09 nov. 1978. Fotografia digitalizada; preto e branco; suporte em papel fotográfico. Disponível em: &lt;link do dataverse&gt;. Acesso em: 28 out. 2025.</v>
      </c>
      <c r="T19" s="92" t="s">
        <v>920</v>
      </c>
    </row>
    <row r="20" ht="15.75" customHeight="1">
      <c r="A20" s="45" t="str">
        <f t="shared" si="1"/>
        <v>019</v>
      </c>
      <c r="B20" s="87" t="s">
        <v>921</v>
      </c>
      <c r="C20" s="88" t="s">
        <v>136</v>
      </c>
      <c r="D20" s="89">
        <v>20641.0</v>
      </c>
      <c r="E20" s="90" t="s">
        <v>137</v>
      </c>
      <c r="F20" s="91" t="s">
        <v>138</v>
      </c>
      <c r="G20" s="92" t="s">
        <v>139</v>
      </c>
      <c r="H20" s="87" t="s">
        <v>140</v>
      </c>
      <c r="I20" s="87" t="s">
        <v>141</v>
      </c>
      <c r="J20" s="93" t="s">
        <v>850</v>
      </c>
      <c r="K20" s="112" t="str">
        <f>TEXTJOIN("", TRUE, Geral!B343:T343)</f>
        <v>BR-SPAPESP_DASP-PENITPRE-CSDTCARANDIRU_ICO-FOT-DGZ-MT0_3055-003-019</v>
      </c>
      <c r="L20" s="92" t="s">
        <v>664</v>
      </c>
      <c r="M20" s="92" t="s">
        <v>922</v>
      </c>
      <c r="N20" s="92" t="s">
        <v>145</v>
      </c>
      <c r="O20" s="87" t="s">
        <v>923</v>
      </c>
      <c r="P20" s="91" t="s">
        <v>147</v>
      </c>
      <c r="Q20" s="91" t="s">
        <v>148</v>
      </c>
      <c r="R20" s="95" t="str">
        <f t="shared" si="2"/>
        <v>Figura n – [Registro de corda improvisada utilizada em fuga na Casa de Detenção (Carandiru).]
Fonte: Arquivo do Estado de São Paulo, 1956.</v>
      </c>
      <c r="S20" s="95" t="str">
        <f t="shared" si="3"/>
        <v>ARQUIVO PÚBLICO DO ESTADO DE SÃO PAULO (Brasil). [Registro de corda improvisada utilizada em fuga na Casa de Detenção (Carandiru).]. São Paulo, Brasil. 05 jul. 1956. Fotografia digitalizada; preto e branco; suporte em papel fotográfico. Disponível em: &lt;link do dataverse&gt;. Acesso em: 28 out. 2025.</v>
      </c>
      <c r="T20" s="92" t="s">
        <v>924</v>
      </c>
    </row>
    <row r="21" ht="15.75" customHeight="1">
      <c r="A21" s="45" t="str">
        <f t="shared" si="1"/>
        <v>020</v>
      </c>
      <c r="B21" s="87" t="s">
        <v>925</v>
      </c>
      <c r="C21" s="88" t="s">
        <v>136</v>
      </c>
      <c r="D21" s="89">
        <v>24392.0</v>
      </c>
      <c r="E21" s="90" t="s">
        <v>137</v>
      </c>
      <c r="F21" s="91" t="s">
        <v>138</v>
      </c>
      <c r="G21" s="92" t="s">
        <v>139</v>
      </c>
      <c r="H21" s="92" t="s">
        <v>140</v>
      </c>
      <c r="I21" s="92" t="s">
        <v>141</v>
      </c>
      <c r="J21" s="98" t="s">
        <v>850</v>
      </c>
      <c r="K21" s="112" t="str">
        <f>TEXTJOIN("", TRUE, Geral!B345:T345)</f>
        <v>BR-SPAPESP_DASP-PENITPRE-CSDTCARANDIRU_ICO-FOT-DGZ-MT0_3055-003-020</v>
      </c>
      <c r="L21" s="92" t="s">
        <v>664</v>
      </c>
      <c r="M21" s="92" t="s">
        <v>926</v>
      </c>
      <c r="N21" s="92" t="s">
        <v>145</v>
      </c>
      <c r="O21" s="87" t="s">
        <v>927</v>
      </c>
      <c r="P21" s="91" t="s">
        <v>147</v>
      </c>
      <c r="Q21" s="91" t="s">
        <v>148</v>
      </c>
      <c r="R21" s="95" t="str">
        <f t="shared" si="2"/>
        <v>Figura n – [Seleção de futebol da Casa de Detenção (Carandiru) em registro de partida contra o "Makambira's Boys".]
Fonte: Arquivo do Estado de São Paulo, 1966.</v>
      </c>
      <c r="S21" s="95" t="str">
        <f t="shared" si="3"/>
        <v>ARQUIVO PÚBLICO DO ESTADO DE SÃO PAULO (Brasil). [Seleção de futebol da Casa de Detenção (Carandiru) em registro de partida contra o "Makambira's Boys".]. São Paulo, Brasil. 12 out. 1966. Fotografia digitalizada; preto e branco; suporte em papel fotográfico. Disponível em: &lt;link do dataverse&gt;. Acesso em: 28 out. 2025.</v>
      </c>
      <c r="T21" s="92" t="s">
        <v>928</v>
      </c>
    </row>
    <row r="22" ht="15.75" customHeight="1">
      <c r="A22" s="45" t="str">
        <f t="shared" si="1"/>
        <v>021</v>
      </c>
      <c r="B22" s="87" t="s">
        <v>929</v>
      </c>
      <c r="C22" s="88" t="s">
        <v>136</v>
      </c>
      <c r="D22" s="89">
        <v>26595.0</v>
      </c>
      <c r="E22" s="90" t="s">
        <v>137</v>
      </c>
      <c r="F22" s="91" t="s">
        <v>138</v>
      </c>
      <c r="G22" s="92" t="s">
        <v>139</v>
      </c>
      <c r="H22" s="92" t="s">
        <v>140</v>
      </c>
      <c r="I22" s="92" t="s">
        <v>141</v>
      </c>
      <c r="J22" s="93" t="s">
        <v>850</v>
      </c>
      <c r="K22" s="112" t="str">
        <f>TEXTJOIN("", TRUE, Geral!B347:T347)</f>
        <v>BR-SPAPESP_DASP-PENITPRE-CSDTCARANDIRU_ICO-FOT-DGZ-MT0_3055-003-021</v>
      </c>
      <c r="L22" s="92" t="s">
        <v>664</v>
      </c>
      <c r="M22" s="92" t="s">
        <v>930</v>
      </c>
      <c r="N22" s="92" t="s">
        <v>145</v>
      </c>
      <c r="O22" s="87" t="s">
        <v>931</v>
      </c>
      <c r="P22" s="91" t="s">
        <v>147</v>
      </c>
      <c r="Q22" s="91" t="s">
        <v>148</v>
      </c>
      <c r="R22" s="95" t="str">
        <f t="shared" si="2"/>
        <v>Figura n – [Posto de observação da Casa de Detenção de Carandiru]
Fonte: Arquivo do Estado de São Paulo, 1972.</v>
      </c>
      <c r="S22" s="95" t="str">
        <f t="shared" si="3"/>
        <v>ARQUIVO PÚBLICO DO ESTADO DE SÃO PAULO (Brasil). [Posto de observação da Casa de Detenção de Carandiru]. São Paulo, Brasil. 23 out. 1972. Fotografia digitalizada; preto e branco; suporte em papel fotográfico. Disponível em: &lt;link do dataverse&gt;. Acesso em: 28 out. 2025.</v>
      </c>
      <c r="T22" s="92" t="s">
        <v>932</v>
      </c>
    </row>
    <row r="23" ht="15.75" customHeight="1">
      <c r="A23" s="45" t="str">
        <f t="shared" si="1"/>
        <v>022</v>
      </c>
      <c r="B23" s="87" t="s">
        <v>933</v>
      </c>
      <c r="C23" s="88" t="s">
        <v>136</v>
      </c>
      <c r="D23" s="89">
        <v>25211.0</v>
      </c>
      <c r="E23" s="90" t="s">
        <v>137</v>
      </c>
      <c r="F23" s="91" t="s">
        <v>138</v>
      </c>
      <c r="G23" s="92" t="s">
        <v>139</v>
      </c>
      <c r="H23" s="92" t="s">
        <v>140</v>
      </c>
      <c r="I23" s="92" t="s">
        <v>141</v>
      </c>
      <c r="J23" s="98" t="s">
        <v>850</v>
      </c>
      <c r="K23" s="112" t="str">
        <f>TEXTJOIN("", TRUE, Geral!B349:T349)</f>
        <v>BR-SPAPESP_DASP-PENITPRE-CSDTCARANDIRU_ICO-FOT-DGZ-MT0_3055-003-022</v>
      </c>
      <c r="L23" s="92" t="s">
        <v>664</v>
      </c>
      <c r="M23" s="92" t="s">
        <v>934</v>
      </c>
      <c r="N23" s="92" t="s">
        <v>145</v>
      </c>
      <c r="O23" s="87" t="s">
        <v>935</v>
      </c>
      <c r="P23" s="91" t="s">
        <v>147</v>
      </c>
      <c r="Q23" s="91" t="s">
        <v>148</v>
      </c>
      <c r="R23" s="95" t="str">
        <f t="shared" si="2"/>
        <v>Figura n – [Salão de barba e cabelo da Casa de Detenção de Carandiru]
Fonte: Arquivo do Estado de São Paulo, 1969.</v>
      </c>
      <c r="S23" s="95" t="str">
        <f t="shared" si="3"/>
        <v>ARQUIVO PÚBLICO DO ESTADO DE SÃO PAULO (Brasil). [Salão de barba e cabelo da Casa de Detenção de Carandiru]. São Paulo, Brasil. 08 jan. 1969. Fotografia digitalizada; preto e branco; suporte em papel fotográfico. Disponível em: &lt;link do dataverse&gt;. Acesso em: 28 out. 2025.</v>
      </c>
      <c r="T23" s="92" t="s">
        <v>936</v>
      </c>
    </row>
    <row r="24" ht="15.75" customHeight="1">
      <c r="A24" s="45" t="str">
        <f t="shared" si="1"/>
        <v>023</v>
      </c>
      <c r="B24" s="87" t="s">
        <v>937</v>
      </c>
      <c r="C24" s="88" t="s">
        <v>136</v>
      </c>
      <c r="D24" s="89">
        <v>25211.0</v>
      </c>
      <c r="E24" s="90" t="s">
        <v>137</v>
      </c>
      <c r="F24" s="91" t="s">
        <v>138</v>
      </c>
      <c r="G24" s="92" t="s">
        <v>139</v>
      </c>
      <c r="H24" s="92" t="s">
        <v>140</v>
      </c>
      <c r="I24" s="92" t="s">
        <v>141</v>
      </c>
      <c r="J24" s="93" t="s">
        <v>850</v>
      </c>
      <c r="K24" s="112" t="str">
        <f>TEXTJOIN("", TRUE, Geral!B351:T351)</f>
        <v>BR-SPAPESP_DASP-PENITPRE-CSDTCARANDIRU_ICO-FOT-DGZ-MT0_3055-003-023</v>
      </c>
      <c r="L24" s="92" t="s">
        <v>664</v>
      </c>
      <c r="M24" s="92" t="s">
        <v>938</v>
      </c>
      <c r="N24" s="92" t="s">
        <v>145</v>
      </c>
      <c r="O24" s="87" t="s">
        <v>939</v>
      </c>
      <c r="P24" s="91" t="s">
        <v>147</v>
      </c>
      <c r="Q24" s="91" t="s">
        <v>148</v>
      </c>
      <c r="R24" s="95" t="str">
        <f t="shared" si="2"/>
        <v>Figura n – [Um aspecto tomado do interior do presídio (Oficina de trabalho)]
Fonte: Arquivo do Estado de São Paulo, 1969.</v>
      </c>
      <c r="S24" s="95" t="str">
        <f t="shared" si="3"/>
        <v>ARQUIVO PÚBLICO DO ESTADO DE SÃO PAULO (Brasil). [Um aspecto tomado do interior do presídio (Oficina de trabalho)]. São Paulo, Brasil. 08 jan. 1969. Fotografia digitalizada; preto e branco; suporte em papel fotográfico. Disponível em: &lt;link do dataverse&gt;. Acesso em: 28 out. 2025.</v>
      </c>
      <c r="T24" s="92" t="s">
        <v>940</v>
      </c>
    </row>
    <row r="25" ht="15.75" customHeight="1">
      <c r="A25" s="45" t="str">
        <f t="shared" si="1"/>
        <v>024</v>
      </c>
      <c r="B25" s="87" t="s">
        <v>941</v>
      </c>
      <c r="C25" s="88" t="s">
        <v>136</v>
      </c>
      <c r="D25" s="89">
        <v>28476.0</v>
      </c>
      <c r="E25" s="90" t="s">
        <v>137</v>
      </c>
      <c r="F25" s="91" t="s">
        <v>138</v>
      </c>
      <c r="G25" s="92" t="s">
        <v>139</v>
      </c>
      <c r="H25" s="92" t="s">
        <v>140</v>
      </c>
      <c r="I25" s="92" t="s">
        <v>141</v>
      </c>
      <c r="J25" s="98" t="s">
        <v>850</v>
      </c>
      <c r="K25" s="112" t="str">
        <f>TEXTJOIN("", TRUE, Geral!B353:T353)</f>
        <v>BR-SPAPESP_DASP-PENITPRE-CSDTCARANDIRU_ICO-FOT-DGZ-MT0_3055-003-024</v>
      </c>
      <c r="L25" s="92" t="s">
        <v>664</v>
      </c>
      <c r="M25" s="92" t="s">
        <v>942</v>
      </c>
      <c r="N25" s="92" t="s">
        <v>145</v>
      </c>
      <c r="O25" s="87" t="s">
        <v>943</v>
      </c>
      <c r="P25" s="91" t="s">
        <v>147</v>
      </c>
      <c r="Q25" s="91" t="s">
        <v>148</v>
      </c>
      <c r="R25" s="95" t="str">
        <f t="shared" si="2"/>
        <v>Figura n – [Show na Casa de Detenção para 5 mil detentos]
Fonte: Arquivo do Estado de São Paulo, 1977.</v>
      </c>
      <c r="S25" s="95" t="str">
        <f t="shared" si="3"/>
        <v>ARQUIVO PÚBLICO DO ESTADO DE SÃO PAULO (Brasil). [Show na Casa de Detenção para 5 mil detentos]. São Paulo, Brasil. 17 dez. 1977. Fotografia digitalizada; preto e branco; suporte em papel fotográfico. Disponível em: &lt;link do dataverse&gt;. Acesso em: 28 out. 2025.</v>
      </c>
      <c r="T25" s="92" t="s">
        <v>944</v>
      </c>
    </row>
    <row r="26" ht="105.0" customHeight="1">
      <c r="A26" s="45" t="str">
        <f t="shared" si="1"/>
        <v>025</v>
      </c>
      <c r="B26" s="87" t="s">
        <v>945</v>
      </c>
      <c r="C26" s="88" t="s">
        <v>136</v>
      </c>
      <c r="D26" s="89">
        <v>25127.0</v>
      </c>
      <c r="E26" s="90" t="s">
        <v>137</v>
      </c>
      <c r="F26" s="91" t="s">
        <v>138</v>
      </c>
      <c r="G26" s="92" t="s">
        <v>139</v>
      </c>
      <c r="H26" s="92" t="s">
        <v>140</v>
      </c>
      <c r="I26" s="92" t="s">
        <v>141</v>
      </c>
      <c r="J26" s="93" t="s">
        <v>850</v>
      </c>
      <c r="K26" s="112" t="str">
        <f>TEXTJOIN("", TRUE, Geral!B355:T355)</f>
        <v>BR-SPAPESP_DASP-PENITPRE-CSDTCARANDIRU_ICO-FOT-DGZ-MT0_3055-003-025</v>
      </c>
      <c r="L26" s="92" t="s">
        <v>664</v>
      </c>
      <c r="M26" s="92" t="s">
        <v>946</v>
      </c>
      <c r="N26" s="92" t="s">
        <v>145</v>
      </c>
      <c r="O26" s="87" t="s">
        <v>947</v>
      </c>
      <c r="P26" s="91" t="s">
        <v>147</v>
      </c>
      <c r="Q26" s="91" t="s">
        <v>148</v>
      </c>
      <c r="R26" s="95" t="str">
        <f t="shared" si="2"/>
        <v>Figura n – [Local onde estudantes presos no Congresso de Ibiúna foram detidos]
Fonte: Arquivo do Estado de São Paulo, 1968.</v>
      </c>
      <c r="S26" s="95" t="str">
        <f t="shared" si="3"/>
        <v>ARQUIVO PÚBLICO DO ESTADO DE SÃO PAULO (Brasil). [Local onde estudantes presos no Congresso de Ibiúna foram detidos]. São Paulo, Brasil. 16 out. 1968. Fotografia digitalizada; preto e branco; suporte em papel fotográfico. Disponível em: &lt;link do dataverse&gt;. Acesso em: 28 out. 2025.</v>
      </c>
      <c r="T26" s="92" t="s">
        <v>948</v>
      </c>
    </row>
    <row r="27" ht="15.75" customHeight="1">
      <c r="A27" s="45" t="str">
        <f t="shared" si="1"/>
        <v>026</v>
      </c>
      <c r="B27" s="87" t="s">
        <v>949</v>
      </c>
      <c r="C27" s="88" t="s">
        <v>136</v>
      </c>
      <c r="D27" s="89">
        <v>25560.0</v>
      </c>
      <c r="E27" s="90" t="s">
        <v>137</v>
      </c>
      <c r="F27" s="91" t="s">
        <v>138</v>
      </c>
      <c r="G27" s="92" t="s">
        <v>139</v>
      </c>
      <c r="H27" s="92" t="s">
        <v>140</v>
      </c>
      <c r="I27" s="92" t="s">
        <v>141</v>
      </c>
      <c r="J27" s="98" t="s">
        <v>850</v>
      </c>
      <c r="K27" s="112" t="str">
        <f>TEXTJOIN("", TRUE, Geral!B357:T357)</f>
        <v>BR-SPAPESP_DASP-PENITPRE-CSDTCARANDIRU_ICO-FOT-DGZ-MT0_3055-003-026</v>
      </c>
      <c r="L27" s="92" t="s">
        <v>664</v>
      </c>
      <c r="M27" s="92" t="s">
        <v>950</v>
      </c>
      <c r="N27" s="92" t="s">
        <v>145</v>
      </c>
      <c r="O27" s="87" t="s">
        <v>951</v>
      </c>
      <c r="P27" s="91" t="s">
        <v>147</v>
      </c>
      <c r="Q27" s="91" t="s">
        <v>148</v>
      </c>
      <c r="R27" s="95" t="str">
        <f t="shared" si="2"/>
        <v>Figura n – [Missa oficiada por Dom Evaristo Arns]
Fonte: Arquivo do Estado de São Paulo, 1969.</v>
      </c>
      <c r="S27" s="95" t="str">
        <f t="shared" si="3"/>
        <v>ARQUIVO PÚBLICO DO ESTADO DE SÃO PAULO (Brasil). [Missa oficiada por Dom Evaristo Arns]. São Paulo, Brasil. 23 dez. 1969. Fotografia digitalizada; preto e branco; suporte em papel fotográfico. Disponível em: &lt;link do dataverse&gt;. Acesso em: 28 out. 2025.</v>
      </c>
      <c r="T27" s="92" t="s">
        <v>952</v>
      </c>
    </row>
    <row r="28" ht="15.75" customHeight="1">
      <c r="A28" s="45" t="str">
        <f t="shared" si="1"/>
        <v>027</v>
      </c>
      <c r="B28" s="87" t="s">
        <v>953</v>
      </c>
      <c r="C28" s="88" t="s">
        <v>136</v>
      </c>
      <c r="D28" s="89">
        <v>28197.0</v>
      </c>
      <c r="E28" s="90" t="s">
        <v>137</v>
      </c>
      <c r="F28" s="91" t="s">
        <v>138</v>
      </c>
      <c r="G28" s="92" t="s">
        <v>139</v>
      </c>
      <c r="H28" s="92" t="s">
        <v>140</v>
      </c>
      <c r="I28" s="92" t="s">
        <v>141</v>
      </c>
      <c r="J28" s="93" t="s">
        <v>850</v>
      </c>
      <c r="K28" s="112" t="str">
        <f>TEXTJOIN("", TRUE, Geral!B359:T359)</f>
        <v>BR-SPAPESP_DASP-PENITPRE-CSDTCARANDIRU_ICO-FOT-DGZ-MT0_3055-003-027</v>
      </c>
      <c r="L28" s="92" t="s">
        <v>664</v>
      </c>
      <c r="M28" s="92" t="s">
        <v>954</v>
      </c>
      <c r="N28" s="92" t="s">
        <v>145</v>
      </c>
      <c r="O28" s="87" t="s">
        <v>955</v>
      </c>
      <c r="P28" s="91" t="s">
        <v>147</v>
      </c>
      <c r="Q28" s="91" t="s">
        <v>148</v>
      </c>
      <c r="R28" s="95" t="str">
        <f t="shared" si="2"/>
        <v>Figura n – [Antiga Casa de Correção sendo demolida]
Fonte: Arquivo do Estado de São Paulo, 1977.</v>
      </c>
      <c r="S28" s="95" t="str">
        <f t="shared" si="3"/>
        <v>ARQUIVO PÚBLICO DO ESTADO DE SÃO PAULO (Brasil). [Antiga Casa de Correção sendo demolida]. São Paulo, Brasil. 13 mar. 1977. Fotografia digitalizada; preto e branco; suporte em papel fotográfico. Disponível em: &lt;link do dataverse&gt;. Acesso em: 28 out. 2025.</v>
      </c>
      <c r="T28" s="92" t="s">
        <v>956</v>
      </c>
    </row>
    <row r="29" ht="15.75" customHeight="1">
      <c r="A29" s="45" t="str">
        <f t="shared" si="1"/>
        <v>028</v>
      </c>
      <c r="B29" s="87" t="s">
        <v>957</v>
      </c>
      <c r="C29" s="88" t="s">
        <v>136</v>
      </c>
      <c r="D29" s="89">
        <v>28197.0</v>
      </c>
      <c r="E29" s="90" t="s">
        <v>137</v>
      </c>
      <c r="F29" s="91" t="s">
        <v>138</v>
      </c>
      <c r="G29" s="92" t="s">
        <v>139</v>
      </c>
      <c r="H29" s="92" t="s">
        <v>140</v>
      </c>
      <c r="I29" s="92" t="s">
        <v>141</v>
      </c>
      <c r="J29" s="98" t="s">
        <v>850</v>
      </c>
      <c r="K29" s="112" t="str">
        <f>TEXTJOIN("", TRUE, Geral!B361:T361)</f>
        <v>BR-SPAPESP_DASP-PENITPRE-CSDTCARANDIRU_ICO-FOT-DGZ-MT0_3055-003-028</v>
      </c>
      <c r="L29" s="92" t="s">
        <v>664</v>
      </c>
      <c r="M29" s="92" t="s">
        <v>958</v>
      </c>
      <c r="N29" s="92" t="s">
        <v>145</v>
      </c>
      <c r="O29" s="87" t="s">
        <v>959</v>
      </c>
      <c r="P29" s="91" t="s">
        <v>147</v>
      </c>
      <c r="Q29" s="91" t="s">
        <v>148</v>
      </c>
      <c r="R29" s="95" t="str">
        <f t="shared" si="2"/>
        <v>Figura n – [Detalhe do portão principal da antiga Casa de Correção com o ano de 1851]
Fonte: Arquivo do Estado de São Paulo, 1977.</v>
      </c>
      <c r="S29" s="95" t="str">
        <f t="shared" si="3"/>
        <v>ARQUIVO PÚBLICO DO ESTADO DE SÃO PAULO (Brasil). [Detalhe do portão principal da antiga Casa de Correção com o ano de 1851]. São Paulo, Brasil. 13 mar. 1977. Fotografia digitalizada; preto e branco; suporte em papel fotográfico. Disponível em: &lt;link do dataverse&gt;. Acesso em: 28 out. 2025.</v>
      </c>
      <c r="T29" s="92" t="s">
        <v>960</v>
      </c>
    </row>
    <row r="30" ht="15.75" customHeight="1">
      <c r="A30" s="45" t="str">
        <f t="shared" si="1"/>
        <v>029</v>
      </c>
      <c r="B30" s="87" t="s">
        <v>961</v>
      </c>
      <c r="C30" s="88" t="s">
        <v>136</v>
      </c>
      <c r="D30" s="89">
        <v>24287.0</v>
      </c>
      <c r="E30" s="90" t="s">
        <v>137</v>
      </c>
      <c r="F30" s="91" t="s">
        <v>138</v>
      </c>
      <c r="G30" s="92" t="s">
        <v>139</v>
      </c>
      <c r="H30" s="92" t="s">
        <v>140</v>
      </c>
      <c r="I30" s="92" t="s">
        <v>141</v>
      </c>
      <c r="J30" s="98" t="s">
        <v>850</v>
      </c>
      <c r="K30" s="112" t="str">
        <f>TEXTJOIN("", TRUE, Geral!B363:T363)</f>
        <v>BR-SPAPESP_DASP-PENITPRE-CSDTCARANDIRU_ICO-FOT-DGZ-MT0_3055-003-029</v>
      </c>
      <c r="L30" s="92" t="s">
        <v>664</v>
      </c>
      <c r="M30" s="92" t="s">
        <v>962</v>
      </c>
      <c r="N30" s="92" t="s">
        <v>145</v>
      </c>
      <c r="O30" s="87" t="s">
        <v>963</v>
      </c>
      <c r="P30" s="91" t="s">
        <v>147</v>
      </c>
      <c r="Q30" s="91" t="s">
        <v>148</v>
      </c>
      <c r="R30" s="95" t="str">
        <f t="shared" si="2"/>
        <v>Figura n – [Conflito entre detentos]
Fonte: Arquivo do Estado de São Paulo, 1966.</v>
      </c>
      <c r="S30" s="95" t="str">
        <f t="shared" si="3"/>
        <v>ARQUIVO PÚBLICO DO ESTADO DE SÃO PAULO (Brasil). [Conflito entre detentos]. São Paulo, Brasil. 29 jun. 1966. Fotografia digitalizada; preto e branco; suporte em papel fotográfico. Disponível em: &lt;link do dataverse&gt;. Acesso em: 28 out. 2025.</v>
      </c>
      <c r="T30" s="92" t="s">
        <v>964</v>
      </c>
    </row>
    <row r="31" ht="15.75" customHeight="1">
      <c r="A31" s="45" t="str">
        <f t="shared" si="1"/>
        <v>030</v>
      </c>
      <c r="B31" s="99" t="s">
        <v>965</v>
      </c>
      <c r="C31" s="100" t="s">
        <v>136</v>
      </c>
      <c r="D31" s="101">
        <v>24287.0</v>
      </c>
      <c r="E31" s="102" t="s">
        <v>137</v>
      </c>
      <c r="F31" s="103" t="s">
        <v>138</v>
      </c>
      <c r="G31" s="104" t="s">
        <v>139</v>
      </c>
      <c r="H31" s="104" t="s">
        <v>140</v>
      </c>
      <c r="I31" s="104" t="s">
        <v>141</v>
      </c>
      <c r="J31" s="105" t="s">
        <v>850</v>
      </c>
      <c r="K31" s="116" t="str">
        <f>TEXTJOIN("", TRUE, Geral!B365:T365)</f>
        <v>BR-SPAPESP_DASP-PENITPRE-CSDTCARANDIRU_ICO-FOT-DGZ-MT0_3055-003-030</v>
      </c>
      <c r="L31" s="104" t="s">
        <v>664</v>
      </c>
      <c r="M31" s="104" t="s">
        <v>966</v>
      </c>
      <c r="N31" s="104" t="s">
        <v>145</v>
      </c>
      <c r="O31" s="99" t="s">
        <v>967</v>
      </c>
      <c r="P31" s="103" t="s">
        <v>147</v>
      </c>
      <c r="Q31" s="103" t="s">
        <v>148</v>
      </c>
      <c r="R31" s="107" t="str">
        <f t="shared" si="2"/>
        <v>Figura n – [Conflito entre detentos com mortos e feridos]
Fonte: Arquivo do Estado de São Paulo, 1966.</v>
      </c>
      <c r="S31" s="107" t="str">
        <f t="shared" si="3"/>
        <v>ARQUIVO PÚBLICO DO ESTADO DE SÃO PAULO (Brasil). [Conflito entre detentos com mortos e feridos]. São Paulo, Brasil. 29 jun. 1966. Fotografia digitalizada; preto e branco; suporte em papel fotográfico. Disponível em: &lt;link do dataverse&gt;. Acesso em: 28 out. 2025.</v>
      </c>
      <c r="T31" s="104" t="s">
        <v>968</v>
      </c>
    </row>
    <row r="32"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25.5"/>
    <col customWidth="1" min="3" max="3" width="18.25"/>
    <col customWidth="1" min="4" max="4" width="12.63"/>
    <col customWidth="1" min="5" max="5" width="19.0"/>
    <col customWidth="1" min="6" max="6" width="25.75"/>
    <col customWidth="1" min="7" max="7" width="15.25"/>
    <col customWidth="1" min="8" max="8" width="15.38"/>
    <col customWidth="1" min="9" max="9" width="14.88"/>
    <col customWidth="1" min="10" max="10" width="17.0"/>
    <col customWidth="1" min="11" max="11" width="25.5"/>
    <col customWidth="1" min="12" max="12" width="16.5"/>
    <col customWidth="1" min="13" max="13" width="16.13"/>
    <col customWidth="1" min="14" max="14" width="16.25"/>
  </cols>
  <sheetData>
    <row r="1" ht="44.25" customHeight="1">
      <c r="A1" s="119"/>
      <c r="B1" s="120" t="s">
        <v>0</v>
      </c>
      <c r="C1" s="121" t="s">
        <v>1</v>
      </c>
      <c r="D1" s="121" t="s">
        <v>2</v>
      </c>
      <c r="E1" s="121" t="s">
        <v>969</v>
      </c>
      <c r="F1" s="121" t="s">
        <v>4</v>
      </c>
      <c r="G1" s="121" t="s">
        <v>5</v>
      </c>
      <c r="H1" s="121" t="s">
        <v>6</v>
      </c>
      <c r="I1" s="121" t="s">
        <v>7</v>
      </c>
      <c r="J1" s="121" t="s">
        <v>8</v>
      </c>
      <c r="K1" s="122" t="s">
        <v>9</v>
      </c>
      <c r="L1" s="123"/>
      <c r="M1" s="123"/>
      <c r="N1" s="123"/>
      <c r="O1" s="123"/>
    </row>
    <row r="2" ht="15.75" customHeight="1">
      <c r="A2" s="124" t="s">
        <v>970</v>
      </c>
      <c r="B2" s="125" t="s">
        <v>971</v>
      </c>
      <c r="C2" s="124" t="s">
        <v>971</v>
      </c>
      <c r="D2" s="124" t="s">
        <v>971</v>
      </c>
      <c r="E2" s="124" t="s">
        <v>971</v>
      </c>
      <c r="F2" s="124" t="s">
        <v>972</v>
      </c>
      <c r="G2" s="124" t="s">
        <v>972</v>
      </c>
      <c r="H2" s="124" t="s">
        <v>972</v>
      </c>
      <c r="I2" s="124" t="s">
        <v>972</v>
      </c>
      <c r="J2" s="124" t="s">
        <v>972</v>
      </c>
      <c r="K2" s="126" t="s">
        <v>971</v>
      </c>
      <c r="L2" s="123"/>
      <c r="M2" s="123"/>
      <c r="N2" s="123"/>
      <c r="O2" s="123"/>
    </row>
    <row r="3" ht="15.75" customHeight="1">
      <c r="A3" s="127" t="s">
        <v>973</v>
      </c>
      <c r="B3" s="125" t="s">
        <v>974</v>
      </c>
      <c r="C3" s="124" t="s">
        <v>975</v>
      </c>
      <c r="D3" s="124" t="s">
        <v>976</v>
      </c>
      <c r="E3" s="124" t="s">
        <v>977</v>
      </c>
      <c r="F3" s="124" t="s">
        <v>978</v>
      </c>
      <c r="G3" s="124" t="s">
        <v>979</v>
      </c>
      <c r="H3" s="124" t="s">
        <v>980</v>
      </c>
      <c r="I3" s="124" t="s">
        <v>981</v>
      </c>
      <c r="J3" s="124" t="s">
        <v>982</v>
      </c>
      <c r="K3" s="126" t="s">
        <v>983</v>
      </c>
      <c r="L3" s="123"/>
      <c r="M3" s="123"/>
      <c r="N3" s="123"/>
      <c r="O3" s="123"/>
    </row>
    <row r="4" ht="15.75" customHeight="1">
      <c r="A4" s="128"/>
      <c r="B4" s="129" t="s">
        <v>10</v>
      </c>
      <c r="C4" s="130" t="s">
        <v>12</v>
      </c>
      <c r="D4" s="130" t="s">
        <v>13</v>
      </c>
      <c r="E4" s="130" t="s">
        <v>15</v>
      </c>
      <c r="F4" s="130" t="s">
        <v>16</v>
      </c>
      <c r="G4" s="130" t="s">
        <v>17</v>
      </c>
      <c r="H4" s="130" t="s">
        <v>18</v>
      </c>
      <c r="I4" s="130" t="s">
        <v>19</v>
      </c>
      <c r="J4" s="130" t="s">
        <v>20</v>
      </c>
      <c r="K4" s="131" t="s">
        <v>984</v>
      </c>
      <c r="L4" s="123"/>
      <c r="M4" s="123"/>
      <c r="N4" s="123"/>
      <c r="O4" s="123"/>
    </row>
    <row r="5" ht="15.75" customHeight="1">
      <c r="A5" s="123"/>
      <c r="B5" s="123"/>
      <c r="C5" s="123"/>
      <c r="D5" s="123"/>
      <c r="E5" s="123"/>
      <c r="F5" s="123"/>
      <c r="G5" s="123"/>
      <c r="H5" s="123"/>
      <c r="I5" s="123"/>
      <c r="J5" s="123"/>
      <c r="K5" s="123"/>
      <c r="L5" s="123"/>
      <c r="M5" s="123"/>
      <c r="N5" s="123"/>
      <c r="O5" s="123"/>
    </row>
    <row r="6" ht="15.75" customHeight="1">
      <c r="A6" s="132"/>
      <c r="B6" s="132"/>
      <c r="C6" s="132"/>
      <c r="D6" s="132"/>
      <c r="E6" s="132"/>
      <c r="F6" s="133"/>
      <c r="G6" s="132"/>
      <c r="H6" s="132"/>
      <c r="I6" s="132"/>
      <c r="J6" s="132"/>
      <c r="K6" s="132"/>
      <c r="L6" s="132"/>
      <c r="M6" s="132"/>
      <c r="N6" s="132"/>
    </row>
    <row r="7" ht="15.75" customHeight="1">
      <c r="A7" s="132"/>
      <c r="B7" s="132"/>
      <c r="C7" s="134"/>
      <c r="D7" s="134"/>
      <c r="E7" s="132"/>
      <c r="F7" s="132"/>
      <c r="G7" s="132"/>
      <c r="H7" s="132"/>
      <c r="I7" s="132"/>
      <c r="J7" s="132"/>
      <c r="K7" s="132"/>
      <c r="L7" s="132"/>
      <c r="M7" s="132"/>
      <c r="N7" s="132"/>
    </row>
    <row r="8" ht="15.75" customHeight="1">
      <c r="A8" s="132"/>
      <c r="B8" s="132"/>
      <c r="C8" s="134"/>
      <c r="D8" s="134"/>
      <c r="E8" s="132"/>
      <c r="F8" s="132"/>
      <c r="G8" s="132"/>
      <c r="H8" s="132"/>
      <c r="I8" s="132"/>
      <c r="J8" s="132"/>
      <c r="K8" s="132"/>
      <c r="L8" s="132"/>
      <c r="M8" s="132"/>
      <c r="N8" s="132"/>
    </row>
    <row r="9" ht="15.75" customHeight="1">
      <c r="A9" s="132"/>
      <c r="B9" s="132"/>
      <c r="C9" s="134"/>
      <c r="D9" s="134"/>
      <c r="E9" s="132"/>
      <c r="F9" s="132"/>
      <c r="G9" s="132"/>
      <c r="H9" s="132"/>
      <c r="I9" s="132"/>
      <c r="J9" s="132"/>
      <c r="K9" s="132"/>
      <c r="L9" s="132"/>
      <c r="M9" s="132"/>
      <c r="N9" s="13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A4"/>
  </mergeCells>
  <dataValidations>
    <dataValidation type="list" allowBlank="1" showErrorMessage="1" sqref="B2:K2">
      <formula1>"Obrigatório,Opcional"</formula1>
    </dataValidation>
  </dataValidations>
  <drawing r:id="rId1"/>
</worksheet>
</file>