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3350 0001" sheetId="2" r:id="rId6"/>
    <sheet state="visible" name="Classificação" sheetId="3" r:id="rId7"/>
  </sheets>
  <definedNames/>
  <calcPr/>
</workbook>
</file>

<file path=xl/sharedStrings.xml><?xml version="1.0" encoding="utf-8"?>
<sst xmlns="http://schemas.openxmlformats.org/spreadsheetml/2006/main" count="537" uniqueCount="117">
  <si>
    <t>Local (país)</t>
  </si>
  <si>
    <t>Local (estado)</t>
  </si>
  <si>
    <t>Designação do repositório</t>
  </si>
  <si>
    <t>Designação do conjunto documental</t>
  </si>
  <si>
    <t>Designação do subconjunto documental</t>
  </si>
  <si>
    <t>Gênero documental</t>
  </si>
  <si>
    <t>Espécie/Tipo documental</t>
  </si>
  <si>
    <t>Técnica de registro</t>
  </si>
  <si>
    <t>Forma documental</t>
  </si>
  <si>
    <t>Unidade de descrição</t>
  </si>
  <si>
    <t>BR</t>
  </si>
  <si>
    <t>-</t>
  </si>
  <si>
    <t>SP</t>
  </si>
  <si>
    <t>APESP</t>
  </si>
  <si>
    <t>_</t>
  </si>
  <si>
    <t>CPOS</t>
  </si>
  <si>
    <t>PLNCARANDIRU</t>
  </si>
  <si>
    <t>ICO</t>
  </si>
  <si>
    <t>FOT</t>
  </si>
  <si>
    <t>DGZ</t>
  </si>
  <si>
    <t>MT0</t>
  </si>
  <si>
    <t>3350-0001</t>
  </si>
  <si>
    <t>001</t>
  </si>
  <si>
    <t>F</t>
  </si>
  <si>
    <t>.jpeg</t>
  </si>
  <si>
    <t>PLN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</si>
  <si>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</si>
  <si>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</si>
  <si>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</si>
  <si>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</si>
  <si>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</si>
  <si>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</si>
  <si>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</si>
  <si>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</si>
  <si>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</si>
  <si>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</si>
  <si>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</si>
  <si>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</si>
  <si>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Cód.</t>
  </si>
  <si>
    <t>Título descritivo (atribuído)</t>
  </si>
  <si>
    <t>Nível de descrição</t>
  </si>
  <si>
    <t xml:space="preserve">Data grafada na fotografia </t>
  </si>
  <si>
    <t>Tamanho</t>
  </si>
  <si>
    <t>Suporte</t>
  </si>
  <si>
    <t>Local</t>
  </si>
  <si>
    <t xml:space="preserve">Autor/Responsável </t>
  </si>
  <si>
    <t>Denominação do catálogo temático (CPOS)</t>
  </si>
  <si>
    <t>Localização</t>
  </si>
  <si>
    <t xml:space="preserve">Código de referência </t>
  </si>
  <si>
    <t>História arquivística</t>
  </si>
  <si>
    <t>Conteúdo/Assunto</t>
  </si>
  <si>
    <t xml:space="preserve">Condições de acesso e reprodução </t>
  </si>
  <si>
    <t>Palavras-chave</t>
  </si>
  <si>
    <t>Gênero</t>
  </si>
  <si>
    <t>Legenda para publicações</t>
  </si>
  <si>
    <t>Citação ABNT</t>
  </si>
  <si>
    <t xml:space="preserve">Notas (transcrição e outras informações) </t>
  </si>
  <si>
    <t>Etiqueta de identificação de projeto técnico estrutural da Casa de Detenção de São Paulo (Carandiru) – Acervo CPOS.</t>
  </si>
  <si>
    <t>Item</t>
  </si>
  <si>
    <t>Indeterminada</t>
  </si>
  <si>
    <t>Gerado pelo Dataverse</t>
  </si>
  <si>
    <t>Fotografia colorida</t>
  </si>
  <si>
    <t>São Paulo, Brasil</t>
  </si>
  <si>
    <t>Arquivo Público do Estado de São Paulo, Companhia Paulista de Obras e Serviços</t>
  </si>
  <si>
    <t>Planta da Casa de Detenção Carandiru</t>
  </si>
  <si>
    <t xml:space="preserve">Caixa: 3350
</t>
  </si>
  <si>
    <t>A Companhia Paulista de Obras e Serviços (CPOS), sucessora das antigas repartições de obras públicas do Estado de São Paulo (como a SACOP e a SVOP), foi a principal responsável pelo projeto, fiscalização e execução da infraestrutura estatal entre 1892 e 2019. Seu acervo cartográfico, atualmente sob custódia do Arquivo Público do Estado de São Paulo (APESP), é o registro técnico vital das edificações públicas paulistas. Ele documenta a materialização de políticas de saúde, educação e segurança através de plantas, cortes e cálculos estruturais de complexos fundamentais, como hospitais, escolas e unidades prisionais (incluindo o Carandiru).</t>
  </si>
  <si>
    <t>Registro administrativo e técnico de identificação de documentos (provavelmente plantas ou cópias heliográficas) referentes ao cálculo estrutural do complexo penitenciário da Casa de Detenção (Carandiru). A etiqueta traz a numeração de controle "3350" e a logomarca da CPOS Soluções de Engenharia.</t>
  </si>
  <si>
    <t>O acesso aos documentos deste acervo está condicionado ao compromisso de não repassá-los a terceiros, à obrigatoriedade de mencionar que os originais pertencem ao Arquivo Público do Estado de São Paulo,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Arquivo Público do Estado de São Paulo de qualquer responsabilidade.</t>
  </si>
  <si>
    <t>Casa de Detenção; Carandiru; Engenharia Civil; Estrutura; CPOS; São Paulo; Arquitetura Prisional; Patrimônio Documental.</t>
  </si>
  <si>
    <t>Fotografia (Iconográfico)</t>
  </si>
  <si>
    <t>Digitalização de fotografia em preto e branco 
(analógica original)</t>
  </si>
  <si>
    <t>Logotipo: "cpos – soluções de engenharia"
Numeração (carimbo): "3350"
Manuscrito: "Casa de detenção / Carandiru / Estrutura."
Fotografia digital realizada pelas pesquisadoras Maíra Rocha Machado, Bianca Tavolari e Maira Rosín para fins de pesquisa acadêmica, 2025.</t>
  </si>
  <si>
    <t>Planta de situação e implantação do Complexo Penitenciário do Carandiru (plano aberto).</t>
  </si>
  <si>
    <t>Reprodução fotográfica de um desenho técnico (planta de situação) detalhando a organização espacial e a distribuição dos edifícios no terreno do Carandiru. A planta identifica pavilhões específicos, áreas administrativas, hospitalares e de segurança, delimitadas pelas vias públicas circundantes.</t>
  </si>
  <si>
    <t>Carandiru; Casa de Detenção; Planta de Implantação; Arquitetura Prisional; Urbanismo; CPOS; São Paulo.</t>
  </si>
  <si>
    <t>Transcrição de Áreas: "Presídio Feminino", "Reclusão Primários", "Pavilhão Central", "Administração", "Hospital", "Reclusão Reincidentes", "Primários", "Detenção", "Reincidentes", "Portaria e Corpo da Guarda", "Moradia do Director", "Torre de Observação".
Transcrição de Logradouros: "Av. Carandiru", "Rua da Penitenciária", "Av. Cruzeiro do Sul".
Dados Cronológicos no Documento: Contém a anotação manuscrita "Alinhamento aprovado pelo Ato 30 de 1950".
Estado de Conservação e Captura: O documento original em suporte papel apresenta rasgos e perdas de suporte nas bordas direita e inferior. A fotografia registra o manuseio por pesquisadora utilizando luvas de proteção (rosa).
Referência de Arquivo: Conforme o nome do arquivo, o documento integra o acervo da Companhia Paulista de Obras e Serviços (CPOS) sob custódia do APESP.
Fotografia digital realizada pelas pesquisadoras Maíra Rocha Machado, Bianca Tavolari e Maira Rosín para fins de pesquisa acadêmica, 2025.</t>
  </si>
  <si>
    <t>Planta de situação e implantação do Complexo Penitenciário do Carandiru (em detalhe).</t>
  </si>
  <si>
    <t>Detalhamento da distribuição dos pavilhões numerados e alas hospitalares.</t>
  </si>
  <si>
    <t>Detalhe de título, escala e logradouro – Planta de Situação do Carandiru.</t>
  </si>
  <si>
    <t>Enquadramento macro da legenda técnica e orientação pela Av. Cruzeiro do Sul.</t>
  </si>
  <si>
    <t>Identificação Técnica; Escala 1:1.000; Av. Cruzeiro do Sul; Detalhe Cartográfico.</t>
  </si>
  <si>
    <t>Transcrição do título e escala: "PLANTA DE SITUAÇÃO / ESC: 1:1.000". Visível a indicação do logradouro "AV. CRUZEIRO DO SUL" e coordenadas de alinhamento.
Fotografia digital realizada pelas pesquisadoras Maíra Rocha Machado, Bianca Tavolari e Maira Rosín para fins de pesquisa acadêmica, 2025.</t>
  </si>
  <si>
    <t>Planta de situação do Complexo Penitenciário do Carandiru – Vista Superior de Conjunto.</t>
  </si>
  <si>
    <t>Foco na orientação geográfica (Rosa dos Ventos) e limite com a Av. Carandiru.</t>
  </si>
  <si>
    <t>Planta de Situação; Limite de Terreno; Carandiru; Vista de Conjunto.</t>
  </si>
  <si>
    <t>Fotografia digital realizada pelas pesquisadoras Maíra Rocha Machado, Bianca Tavolari e Maira Rosín para fins de pesquisa acadêmica, 2025.</t>
  </si>
  <si>
    <t>Desenho técnico de corte transversal de torre de observação – Carandiru.</t>
  </si>
  <si>
    <t>Desenho técnico detalhando a escada em caracol e o topo da guarita.</t>
  </si>
  <si>
    <t>Carandiru, Casa de Detenção, Arquitetura Prisional, CPOS, APESP, Engenharia Estrutural, História Administrativa</t>
  </si>
  <si>
    <t>Transcrição técnica: "CORTE C-D / ESC: 1:50".
Indicação de material no topo: "FERRO" (haste do para-raios).
Relação documental: O desenho integra a mesma prancha técnica que contém a planta de situação.
Fotografia digital realizada pelas pesquisadoras Maíra Rocha Machado, Bianca Tavolari e Maira Rosín para fins de pesquisa acadêmica, 2025.</t>
  </si>
  <si>
    <t>Vista de Prancha: Relação Planta e Detalhe</t>
  </si>
  <si>
    <t>Registro da coexistência da planta de situação e desenhos de corte na mesma peça física.</t>
  </si>
  <si>
    <t>Registro Integral de Suporte Papel</t>
  </si>
  <si>
    <t>Vista total da prancha técnica evidenciando perdas de suporte e dimensões físicas.</t>
  </si>
  <si>
    <t>Detalhe de Fluxo Documental e Controle</t>
  </si>
  <si>
    <t>Carimbos de microfilmagem e encaminhamento administrativo do DEOP.</t>
  </si>
  <si>
    <t>Projeto de Execução: Fundações do Corpo da Guarda</t>
  </si>
  <si>
    <t>Planta de locação de estacas e pilares do acesso principal.</t>
  </si>
  <si>
    <t>Detalhe Estrutural: Pilares dos Pavilhões 8 e 9</t>
  </si>
  <si>
    <t>Desenho técnico de locação das bases estruturais para detenção de primários e reincidentes.</t>
  </si>
  <si>
    <t>Projeto de Estaqueamento: Detenção de réus primários</t>
  </si>
  <si>
    <t>Especificações de carga e profundidade para as fundações do setor de primários.</t>
  </si>
  <si>
    <t>Projeto de Estaqueamento: Detenção de Reincidentes</t>
  </si>
  <si>
    <t>Detalhamento das 592 estacas previstas para o Pavilhão 9.</t>
  </si>
  <si>
    <t>Designação do conjunto documental (FUNDO)</t>
  </si>
  <si>
    <t>Conteúdo</t>
  </si>
  <si>
    <t>Obrigatório</t>
  </si>
  <si>
    <t>Opcional</t>
  </si>
  <si>
    <t>Plantas</t>
  </si>
  <si>
    <t>Arquivo Público do Estado de São Paulo</t>
  </si>
  <si>
    <t>Companhia Paulista de Obras e Serviços</t>
  </si>
  <si>
    <t>Iconográfico</t>
  </si>
  <si>
    <t>Planta</t>
  </si>
  <si>
    <t>Fotografia</t>
  </si>
  <si>
    <t>Matriz bruta (produção manual)</t>
  </si>
  <si>
    <t>Cx. e página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</si>
</sst>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rgb="FF4285F4"/>
      <name val="Roboto Mono"/>
    </font>
    <font>
      <color theme="1"/>
      <name val="Roboto Mono"/>
    </font>
    <font>
      <color rgb="FFFF6D01"/>
      <name val="Roboto Mono"/>
    </font>
    <font>
      <color rgb="FF34A853"/>
      <name val="Roboto Mono"/>
    </font>
    <font>
      <color rgb="FFEA4335"/>
      <name val="Roboto Mono"/>
    </font>
    <font>
      <color rgb="FF015781"/>
      <name val="Roboto Mono"/>
    </font>
    <font>
      <color rgb="FF073763"/>
      <name val="Roboto Mono"/>
    </font>
    <font>
      <sz val="11.0"/>
      <color theme="1"/>
      <name val="Roboto Mono"/>
    </font>
    <font>
      <color rgb="FF666666"/>
      <name val="Roboto Mono"/>
    </font>
    <font>
      <sz val="12.0"/>
      <color theme="1"/>
      <name val="Roboto Mono"/>
    </font>
    <font>
      <b/>
      <sz val="12.0"/>
      <color rgb="FFFFFFFF"/>
      <name val="Merriweather"/>
    </font>
    <font>
      <b/>
      <color rgb="FFFFFFFF"/>
      <name val="Merriweather"/>
    </font>
    <font>
      <color theme="1"/>
      <name val="Arial"/>
      <scheme val="minor"/>
    </font>
    <font>
      <sz val="12.0"/>
      <color theme="1"/>
      <name val="Roboto"/>
    </font>
    <font>
      <sz val="12.0"/>
      <color rgb="FF028BCD"/>
      <name val="Roboto"/>
    </font>
    <font>
      <sz val="11.0"/>
      <color theme="1"/>
      <name val="Cardo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BBC04"/>
        <bgColor rgb="FFFBBC04"/>
      </patternFill>
    </fill>
    <fill>
      <patternFill patternType="solid">
        <fgColor rgb="FF4285F4"/>
        <bgColor rgb="FF4285F4"/>
      </patternFill>
    </fill>
    <fill>
      <patternFill patternType="solid">
        <fgColor rgb="FFC6DBFF"/>
        <bgColor rgb="FFC6DBFF"/>
      </patternFill>
    </fill>
    <fill>
      <patternFill patternType="solid">
        <fgColor rgb="FFD0E0E3"/>
        <bgColor rgb="FFD0E0E3"/>
      </patternFill>
    </fill>
  </fills>
  <borders count="12">
    <border/>
    <border>
      <bottom style="thick">
        <color rgb="FF999999"/>
      </bottom>
    </border>
    <border>
      <right style="thin">
        <color rgb="FF999999"/>
      </right>
    </border>
    <border>
      <right style="thin">
        <color rgb="FF999999"/>
      </right>
      <bottom style="thick">
        <color rgb="FF99999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left style="thick">
        <color rgb="FF999999"/>
      </left>
    </border>
    <border>
      <right style="thick">
        <color rgb="FF999999"/>
      </right>
    </border>
    <border>
      <left style="thick">
        <color rgb="FF999999"/>
      </left>
      <bottom style="dotted">
        <color rgb="FF999999"/>
      </bottom>
    </border>
    <border>
      <bottom style="dotted">
        <color rgb="FF999999"/>
      </bottom>
    </border>
    <border>
      <right style="thick">
        <color rgb="FF999999"/>
      </right>
      <bottom style="dotted">
        <color rgb="FF999999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horizontal="center" shrinkToFit="0" wrapText="1"/>
    </xf>
    <xf borderId="1" fillId="2" fontId="1" numFmtId="0" xfId="0" applyBorder="1" applyFont="1"/>
    <xf borderId="1" fillId="0" fontId="3" numFmtId="0" xfId="0" applyBorder="1" applyFont="1"/>
    <xf borderId="0" fillId="2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bottom"/>
    </xf>
    <xf borderId="0" fillId="0" fontId="9" numFmtId="49" xfId="0" applyAlignment="1" applyFont="1" applyNumberFormat="1">
      <alignment horizontal="center" vertical="bottom"/>
    </xf>
    <xf borderId="2" fillId="0" fontId="10" numFmtId="49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center"/>
    </xf>
    <xf borderId="1" fillId="0" fontId="9" numFmtId="49" xfId="0" applyAlignment="1" applyBorder="1" applyFont="1" applyNumberFormat="1">
      <alignment horizontal="center" vertical="bottom"/>
    </xf>
    <xf borderId="3" fillId="0" fontId="10" numFmtId="49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vertical="center"/>
    </xf>
    <xf borderId="1" fillId="0" fontId="11" numFmtId="0" xfId="0" applyAlignment="1" applyBorder="1" applyFont="1">
      <alignment vertical="bottom"/>
    </xf>
    <xf borderId="0" fillId="0" fontId="13" numFmtId="0" xfId="0" applyAlignment="1" applyFont="1">
      <alignment horizontal="center" shrinkToFit="0" vertical="center" wrapText="1"/>
    </xf>
    <xf borderId="0" fillId="3" fontId="14" numFmtId="0" xfId="0" applyAlignment="1" applyFill="1" applyFont="1">
      <alignment horizontal="center" shrinkToFit="0" vertical="center" wrapText="1"/>
    </xf>
    <xf borderId="0" fillId="4" fontId="14" numFmtId="0" xfId="0" applyAlignment="1" applyFill="1" applyFont="1">
      <alignment horizontal="center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0" fillId="3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2" fontId="13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5" fontId="13" numFmtId="0" xfId="0" applyAlignment="1" applyFill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5" fontId="17" numFmtId="0" xfId="0" applyAlignment="1" applyFont="1">
      <alignment shrinkToFit="0" vertical="center" wrapText="1"/>
    </xf>
    <xf borderId="0" fillId="0" fontId="17" numFmtId="164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/>
    </xf>
    <xf borderId="0" fillId="0" fontId="1" numFmtId="0" xfId="0" applyAlignment="1" applyFont="1">
      <alignment shrinkToFit="0" vertical="center" wrapText="1"/>
    </xf>
    <xf borderId="4" fillId="2" fontId="19" numFmtId="0" xfId="0" applyAlignment="1" applyBorder="1" applyFont="1">
      <alignment horizontal="center" shrinkToFit="0" vertical="center" wrapText="1"/>
    </xf>
    <xf borderId="5" fillId="2" fontId="19" numFmtId="0" xfId="0" applyAlignment="1" applyBorder="1" applyFont="1">
      <alignment horizontal="center" shrinkToFit="0" vertical="center" wrapText="1"/>
    </xf>
    <xf borderId="6" fillId="2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7" fillId="0" fontId="19" numFmtId="0" xfId="0" applyAlignment="1" applyBorder="1" applyFont="1">
      <alignment horizontal="center"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7" fillId="2" fontId="19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9" numFmtId="49" xfId="0" applyAlignment="1" applyBorder="1" applyFont="1" applyNumberFormat="1">
      <alignment horizontal="center" shrinkToFit="0" vertical="center" wrapText="1"/>
    </xf>
    <xf borderId="9" fillId="0" fontId="3" numFmtId="0" xfId="0" applyBorder="1" applyFont="1"/>
    <xf borderId="9" fillId="6" fontId="19" numFmtId="0" xfId="0" applyAlignment="1" applyBorder="1" applyFill="1" applyFont="1">
      <alignment horizontal="center" shrinkToFit="0" vertical="center" wrapText="1"/>
    </xf>
    <xf borderId="10" fillId="6" fontId="19" numFmtId="0" xfId="0" applyAlignment="1" applyBorder="1" applyFont="1">
      <alignment horizontal="center" shrinkToFit="0" vertical="center" wrapText="1"/>
    </xf>
    <xf borderId="11" fillId="6" fontId="19" numFmtId="4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.38"/>
    <col customWidth="1" min="6" max="6" width="4.0"/>
    <col customWidth="1" min="8" max="8" width="4.0"/>
    <col customWidth="1" min="9" max="9" width="23.88"/>
    <col customWidth="1" min="10" max="10" width="5.25"/>
    <col customWidth="1" min="12" max="12" width="4.13"/>
    <col customWidth="1" min="14" max="14" width="2.63"/>
    <col customWidth="1" min="16" max="16" width="3.38"/>
    <col customWidth="1" min="18" max="18" width="3.75"/>
    <col customWidth="1" min="20" max="20" width="8.88"/>
    <col customWidth="1" min="21" max="21" width="4.5"/>
    <col customWidth="1" min="22" max="22" width="7.38"/>
  </cols>
  <sheetData>
    <row r="1">
      <c r="A1" s="1"/>
      <c r="B1" s="2" t="s">
        <v>0</v>
      </c>
      <c r="C1" s="3"/>
      <c r="D1" s="2" t="s">
        <v>1</v>
      </c>
      <c r="E1" s="2" t="s">
        <v>2</v>
      </c>
      <c r="F1" s="3"/>
      <c r="G1" s="2" t="s">
        <v>3</v>
      </c>
      <c r="H1" s="3"/>
      <c r="I1" s="2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4"/>
      <c r="U1" s="3"/>
      <c r="V1" s="3"/>
    </row>
    <row r="2">
      <c r="A2" s="5">
        <v>1.0</v>
      </c>
      <c r="B2" s="6" t="s">
        <v>10</v>
      </c>
      <c r="C2" s="7" t="s">
        <v>11</v>
      </c>
      <c r="D2" s="6" t="s">
        <v>12</v>
      </c>
      <c r="E2" s="8" t="s">
        <v>13</v>
      </c>
      <c r="F2" s="7" t="s">
        <v>14</v>
      </c>
      <c r="G2" s="9" t="s">
        <v>15</v>
      </c>
      <c r="H2" s="7" t="s">
        <v>11</v>
      </c>
      <c r="I2" s="10" t="s">
        <v>16</v>
      </c>
      <c r="J2" s="7" t="s">
        <v>14</v>
      </c>
      <c r="K2" s="11" t="s">
        <v>17</v>
      </c>
      <c r="L2" s="7" t="s">
        <v>11</v>
      </c>
      <c r="M2" s="11" t="s">
        <v>18</v>
      </c>
      <c r="N2" s="7" t="s">
        <v>11</v>
      </c>
      <c r="O2" s="12" t="s">
        <v>19</v>
      </c>
      <c r="P2" s="7" t="s">
        <v>11</v>
      </c>
      <c r="Q2" s="11" t="s">
        <v>20</v>
      </c>
      <c r="R2" s="7" t="s">
        <v>14</v>
      </c>
      <c r="S2" s="13" t="s">
        <v>21</v>
      </c>
      <c r="T2" s="14" t="s">
        <v>22</v>
      </c>
      <c r="U2" s="15" t="s">
        <v>23</v>
      </c>
      <c r="V2" s="16" t="s">
        <v>24</v>
      </c>
    </row>
    <row r="3">
      <c r="A3" s="5">
        <v>2.0</v>
      </c>
      <c r="B3" s="6" t="s">
        <v>10</v>
      </c>
      <c r="C3" s="7" t="s">
        <v>11</v>
      </c>
      <c r="D3" s="6" t="s">
        <v>12</v>
      </c>
      <c r="E3" s="8" t="s">
        <v>13</v>
      </c>
      <c r="F3" s="7" t="s">
        <v>14</v>
      </c>
      <c r="G3" s="9" t="s">
        <v>15</v>
      </c>
      <c r="H3" s="7" t="s">
        <v>11</v>
      </c>
      <c r="I3" s="10" t="s">
        <v>16</v>
      </c>
      <c r="J3" s="7" t="s">
        <v>14</v>
      </c>
      <c r="K3" s="11" t="s">
        <v>17</v>
      </c>
      <c r="L3" s="7" t="s">
        <v>11</v>
      </c>
      <c r="M3" s="17" t="s">
        <v>25</v>
      </c>
      <c r="N3" s="7" t="s">
        <v>11</v>
      </c>
      <c r="O3" s="17" t="s">
        <v>18</v>
      </c>
      <c r="P3" s="7" t="s">
        <v>11</v>
      </c>
      <c r="Q3" s="11" t="s">
        <v>20</v>
      </c>
      <c r="R3" s="7" t="s">
        <v>14</v>
      </c>
      <c r="S3" s="13" t="s">
        <v>21</v>
      </c>
      <c r="T3" s="14" t="s">
        <v>26</v>
      </c>
      <c r="U3" s="15" t="s">
        <v>23</v>
      </c>
      <c r="V3" s="16" t="s">
        <v>24</v>
      </c>
    </row>
    <row r="4">
      <c r="A4" s="5">
        <v>3.0</v>
      </c>
      <c r="B4" s="6" t="s">
        <v>10</v>
      </c>
      <c r="C4" s="7" t="s">
        <v>11</v>
      </c>
      <c r="D4" s="6" t="s">
        <v>12</v>
      </c>
      <c r="E4" s="8" t="s">
        <v>13</v>
      </c>
      <c r="F4" s="7" t="s">
        <v>14</v>
      </c>
      <c r="G4" s="9" t="s">
        <v>15</v>
      </c>
      <c r="H4" s="7" t="s">
        <v>11</v>
      </c>
      <c r="I4" s="10" t="s">
        <v>16</v>
      </c>
      <c r="J4" s="7" t="s">
        <v>14</v>
      </c>
      <c r="K4" s="11" t="s">
        <v>17</v>
      </c>
      <c r="L4" s="7" t="s">
        <v>11</v>
      </c>
      <c r="M4" s="17" t="s">
        <v>25</v>
      </c>
      <c r="N4" s="7" t="s">
        <v>11</v>
      </c>
      <c r="O4" s="17" t="s">
        <v>18</v>
      </c>
      <c r="P4" s="7" t="s">
        <v>11</v>
      </c>
      <c r="Q4" s="11" t="s">
        <v>20</v>
      </c>
      <c r="R4" s="7" t="s">
        <v>14</v>
      </c>
      <c r="S4" s="13" t="s">
        <v>21</v>
      </c>
      <c r="T4" s="14" t="s">
        <v>27</v>
      </c>
      <c r="U4" s="15" t="s">
        <v>23</v>
      </c>
      <c r="V4" s="16" t="s">
        <v>24</v>
      </c>
    </row>
    <row r="5">
      <c r="A5" s="5">
        <v>4.0</v>
      </c>
      <c r="B5" s="6" t="s">
        <v>10</v>
      </c>
      <c r="C5" s="7" t="s">
        <v>11</v>
      </c>
      <c r="D5" s="6" t="s">
        <v>12</v>
      </c>
      <c r="E5" s="8" t="s">
        <v>13</v>
      </c>
      <c r="F5" s="7" t="s">
        <v>14</v>
      </c>
      <c r="G5" s="9" t="s">
        <v>15</v>
      </c>
      <c r="H5" s="7" t="s">
        <v>11</v>
      </c>
      <c r="I5" s="10" t="s">
        <v>16</v>
      </c>
      <c r="J5" s="7" t="s">
        <v>14</v>
      </c>
      <c r="K5" s="11" t="s">
        <v>17</v>
      </c>
      <c r="L5" s="7" t="s">
        <v>11</v>
      </c>
      <c r="M5" s="17" t="s">
        <v>25</v>
      </c>
      <c r="N5" s="7" t="s">
        <v>11</v>
      </c>
      <c r="O5" s="17" t="s">
        <v>18</v>
      </c>
      <c r="P5" s="7" t="s">
        <v>11</v>
      </c>
      <c r="Q5" s="11" t="s">
        <v>20</v>
      </c>
      <c r="R5" s="7" t="s">
        <v>14</v>
      </c>
      <c r="S5" s="13" t="s">
        <v>21</v>
      </c>
      <c r="T5" s="14" t="s">
        <v>28</v>
      </c>
      <c r="U5" s="15" t="s">
        <v>23</v>
      </c>
      <c r="V5" s="16" t="s">
        <v>24</v>
      </c>
    </row>
    <row r="6">
      <c r="A6" s="5">
        <v>5.0</v>
      </c>
      <c r="B6" s="6" t="s">
        <v>10</v>
      </c>
      <c r="C6" s="7" t="s">
        <v>11</v>
      </c>
      <c r="D6" s="6" t="s">
        <v>12</v>
      </c>
      <c r="E6" s="8" t="s">
        <v>13</v>
      </c>
      <c r="F6" s="7" t="s">
        <v>14</v>
      </c>
      <c r="G6" s="9" t="s">
        <v>15</v>
      </c>
      <c r="H6" s="7" t="s">
        <v>11</v>
      </c>
      <c r="I6" s="10" t="s">
        <v>16</v>
      </c>
      <c r="J6" s="7" t="s">
        <v>14</v>
      </c>
      <c r="K6" s="11" t="s">
        <v>17</v>
      </c>
      <c r="L6" s="7" t="s">
        <v>11</v>
      </c>
      <c r="M6" s="17" t="s">
        <v>25</v>
      </c>
      <c r="N6" s="7" t="s">
        <v>11</v>
      </c>
      <c r="O6" s="17" t="s">
        <v>18</v>
      </c>
      <c r="P6" s="7" t="s">
        <v>11</v>
      </c>
      <c r="Q6" s="11" t="s">
        <v>20</v>
      </c>
      <c r="R6" s="7" t="s">
        <v>14</v>
      </c>
      <c r="S6" s="13" t="s">
        <v>21</v>
      </c>
      <c r="T6" s="14" t="s">
        <v>29</v>
      </c>
      <c r="U6" s="15" t="s">
        <v>23</v>
      </c>
      <c r="V6" s="16" t="s">
        <v>24</v>
      </c>
    </row>
    <row r="7">
      <c r="A7" s="5">
        <v>6.0</v>
      </c>
      <c r="B7" s="18" t="s">
        <v>10</v>
      </c>
      <c r="C7" s="19" t="s">
        <v>11</v>
      </c>
      <c r="D7" s="18" t="s">
        <v>12</v>
      </c>
      <c r="E7" s="9" t="s">
        <v>13</v>
      </c>
      <c r="F7" s="19" t="s">
        <v>14</v>
      </c>
      <c r="G7" s="9" t="s">
        <v>15</v>
      </c>
      <c r="H7" s="19" t="s">
        <v>11</v>
      </c>
      <c r="I7" s="10" t="s">
        <v>16</v>
      </c>
      <c r="J7" s="19" t="s">
        <v>14</v>
      </c>
      <c r="K7" s="17" t="s">
        <v>17</v>
      </c>
      <c r="L7" s="19" t="s">
        <v>11</v>
      </c>
      <c r="M7" s="17" t="s">
        <v>25</v>
      </c>
      <c r="N7" s="19" t="s">
        <v>11</v>
      </c>
      <c r="O7" s="17" t="s">
        <v>18</v>
      </c>
      <c r="P7" s="19" t="s">
        <v>11</v>
      </c>
      <c r="Q7" s="17" t="s">
        <v>20</v>
      </c>
      <c r="R7" s="19" t="s">
        <v>14</v>
      </c>
      <c r="S7" s="13" t="s">
        <v>21</v>
      </c>
      <c r="T7" s="14" t="s">
        <v>30</v>
      </c>
      <c r="U7" s="15" t="s">
        <v>23</v>
      </c>
      <c r="V7" s="16" t="s">
        <v>24</v>
      </c>
    </row>
    <row r="8">
      <c r="A8" s="5">
        <v>7.0</v>
      </c>
      <c r="B8" s="6" t="s">
        <v>10</v>
      </c>
      <c r="C8" s="7" t="s">
        <v>11</v>
      </c>
      <c r="D8" s="6" t="s">
        <v>12</v>
      </c>
      <c r="E8" s="8" t="s">
        <v>13</v>
      </c>
      <c r="F8" s="7" t="s">
        <v>14</v>
      </c>
      <c r="G8" s="9" t="s">
        <v>15</v>
      </c>
      <c r="H8" s="7" t="s">
        <v>11</v>
      </c>
      <c r="I8" s="10" t="s">
        <v>16</v>
      </c>
      <c r="J8" s="7" t="s">
        <v>14</v>
      </c>
      <c r="K8" s="17" t="s">
        <v>17</v>
      </c>
      <c r="L8" s="7" t="s">
        <v>11</v>
      </c>
      <c r="M8" s="17" t="s">
        <v>25</v>
      </c>
      <c r="N8" s="7" t="s">
        <v>11</v>
      </c>
      <c r="O8" s="17" t="s">
        <v>18</v>
      </c>
      <c r="P8" s="7" t="s">
        <v>11</v>
      </c>
      <c r="Q8" s="11" t="s">
        <v>20</v>
      </c>
      <c r="R8" s="7" t="s">
        <v>14</v>
      </c>
      <c r="S8" s="13" t="s">
        <v>21</v>
      </c>
      <c r="T8" s="14" t="s">
        <v>31</v>
      </c>
      <c r="U8" s="15" t="s">
        <v>23</v>
      </c>
      <c r="V8" s="16" t="s">
        <v>24</v>
      </c>
    </row>
    <row r="9">
      <c r="A9" s="5">
        <v>8.0</v>
      </c>
      <c r="B9" s="6" t="s">
        <v>10</v>
      </c>
      <c r="C9" s="7" t="s">
        <v>11</v>
      </c>
      <c r="D9" s="6" t="s">
        <v>12</v>
      </c>
      <c r="E9" s="8" t="s">
        <v>13</v>
      </c>
      <c r="F9" s="7" t="s">
        <v>14</v>
      </c>
      <c r="G9" s="9" t="s">
        <v>15</v>
      </c>
      <c r="H9" s="7" t="s">
        <v>11</v>
      </c>
      <c r="I9" s="10" t="s">
        <v>16</v>
      </c>
      <c r="J9" s="7" t="s">
        <v>14</v>
      </c>
      <c r="K9" s="17" t="s">
        <v>17</v>
      </c>
      <c r="L9" s="7" t="s">
        <v>11</v>
      </c>
      <c r="M9" s="17" t="s">
        <v>25</v>
      </c>
      <c r="N9" s="7" t="s">
        <v>11</v>
      </c>
      <c r="O9" s="17" t="s">
        <v>18</v>
      </c>
      <c r="P9" s="7" t="s">
        <v>11</v>
      </c>
      <c r="Q9" s="11" t="s">
        <v>20</v>
      </c>
      <c r="R9" s="7" t="s">
        <v>14</v>
      </c>
      <c r="S9" s="13" t="s">
        <v>21</v>
      </c>
      <c r="T9" s="14" t="s">
        <v>32</v>
      </c>
      <c r="U9" s="15" t="s">
        <v>23</v>
      </c>
      <c r="V9" s="16" t="s">
        <v>24</v>
      </c>
    </row>
    <row r="10">
      <c r="A10" s="5">
        <v>9.0</v>
      </c>
      <c r="B10" s="6" t="s">
        <v>10</v>
      </c>
      <c r="C10" s="7" t="s">
        <v>11</v>
      </c>
      <c r="D10" s="6" t="s">
        <v>12</v>
      </c>
      <c r="E10" s="8" t="s">
        <v>13</v>
      </c>
      <c r="F10" s="7" t="s">
        <v>14</v>
      </c>
      <c r="G10" s="9" t="s">
        <v>15</v>
      </c>
      <c r="H10" s="7" t="s">
        <v>11</v>
      </c>
      <c r="I10" s="10" t="s">
        <v>16</v>
      </c>
      <c r="J10" s="7" t="s">
        <v>14</v>
      </c>
      <c r="K10" s="17" t="s">
        <v>17</v>
      </c>
      <c r="L10" s="7" t="s">
        <v>11</v>
      </c>
      <c r="M10" s="12" t="s">
        <v>18</v>
      </c>
      <c r="N10" s="7" t="s">
        <v>11</v>
      </c>
      <c r="O10" s="17" t="s">
        <v>18</v>
      </c>
      <c r="P10" s="7" t="s">
        <v>11</v>
      </c>
      <c r="Q10" s="11" t="s">
        <v>20</v>
      </c>
      <c r="R10" s="7" t="s">
        <v>14</v>
      </c>
      <c r="S10" s="13" t="s">
        <v>21</v>
      </c>
      <c r="T10" s="14" t="s">
        <v>33</v>
      </c>
      <c r="U10" s="15" t="s">
        <v>23</v>
      </c>
      <c r="V10" s="16" t="s">
        <v>24</v>
      </c>
    </row>
    <row r="11">
      <c r="A11" s="5">
        <v>10.0</v>
      </c>
      <c r="B11" s="6" t="s">
        <v>10</v>
      </c>
      <c r="C11" s="7" t="s">
        <v>11</v>
      </c>
      <c r="D11" s="6" t="s">
        <v>12</v>
      </c>
      <c r="E11" s="8" t="s">
        <v>13</v>
      </c>
      <c r="F11" s="7" t="s">
        <v>14</v>
      </c>
      <c r="G11" s="9" t="s">
        <v>15</v>
      </c>
      <c r="H11" s="7" t="s">
        <v>11</v>
      </c>
      <c r="I11" s="10" t="s">
        <v>16</v>
      </c>
      <c r="J11" s="7" t="s">
        <v>14</v>
      </c>
      <c r="K11" s="17" t="s">
        <v>17</v>
      </c>
      <c r="L11" s="7" t="s">
        <v>11</v>
      </c>
      <c r="M11" s="12" t="s">
        <v>18</v>
      </c>
      <c r="N11" s="7" t="s">
        <v>11</v>
      </c>
      <c r="O11" s="17" t="s">
        <v>18</v>
      </c>
      <c r="P11" s="7" t="s">
        <v>11</v>
      </c>
      <c r="Q11" s="11" t="s">
        <v>20</v>
      </c>
      <c r="R11" s="7" t="s">
        <v>14</v>
      </c>
      <c r="S11" s="13" t="s">
        <v>21</v>
      </c>
      <c r="T11" s="14" t="s">
        <v>34</v>
      </c>
      <c r="U11" s="15" t="s">
        <v>23</v>
      </c>
      <c r="V11" s="16" t="s">
        <v>24</v>
      </c>
    </row>
    <row r="12">
      <c r="A12" s="5">
        <v>11.0</v>
      </c>
      <c r="B12" s="6" t="s">
        <v>10</v>
      </c>
      <c r="C12" s="7" t="s">
        <v>11</v>
      </c>
      <c r="D12" s="6" t="s">
        <v>12</v>
      </c>
      <c r="E12" s="8" t="s">
        <v>13</v>
      </c>
      <c r="F12" s="7" t="s">
        <v>14</v>
      </c>
      <c r="G12" s="9" t="s">
        <v>15</v>
      </c>
      <c r="H12" s="7" t="s">
        <v>11</v>
      </c>
      <c r="I12" s="10" t="s">
        <v>16</v>
      </c>
      <c r="J12" s="7" t="s">
        <v>14</v>
      </c>
      <c r="K12" s="17" t="s">
        <v>17</v>
      </c>
      <c r="L12" s="7" t="s">
        <v>11</v>
      </c>
      <c r="M12" s="17" t="s">
        <v>25</v>
      </c>
      <c r="N12" s="7" t="s">
        <v>11</v>
      </c>
      <c r="O12" s="17" t="s">
        <v>18</v>
      </c>
      <c r="P12" s="7" t="s">
        <v>11</v>
      </c>
      <c r="Q12" s="11" t="s">
        <v>20</v>
      </c>
      <c r="R12" s="7" t="s">
        <v>14</v>
      </c>
      <c r="S12" s="13" t="s">
        <v>21</v>
      </c>
      <c r="T12" s="14" t="s">
        <v>35</v>
      </c>
      <c r="U12" s="15" t="s">
        <v>23</v>
      </c>
      <c r="V12" s="16" t="s">
        <v>24</v>
      </c>
    </row>
    <row r="13">
      <c r="A13" s="5">
        <v>12.0</v>
      </c>
      <c r="B13" s="6" t="s">
        <v>10</v>
      </c>
      <c r="C13" s="7" t="s">
        <v>11</v>
      </c>
      <c r="D13" s="6" t="s">
        <v>12</v>
      </c>
      <c r="E13" s="8" t="s">
        <v>13</v>
      </c>
      <c r="F13" s="7" t="s">
        <v>14</v>
      </c>
      <c r="G13" s="9" t="s">
        <v>15</v>
      </c>
      <c r="H13" s="7" t="s">
        <v>11</v>
      </c>
      <c r="I13" s="10" t="s">
        <v>16</v>
      </c>
      <c r="J13" s="7" t="s">
        <v>14</v>
      </c>
      <c r="K13" s="17" t="s">
        <v>17</v>
      </c>
      <c r="L13" s="7" t="s">
        <v>11</v>
      </c>
      <c r="M13" s="12" t="s">
        <v>18</v>
      </c>
      <c r="N13" s="7" t="s">
        <v>11</v>
      </c>
      <c r="O13" s="17" t="s">
        <v>18</v>
      </c>
      <c r="P13" s="7" t="s">
        <v>11</v>
      </c>
      <c r="Q13" s="11" t="s">
        <v>20</v>
      </c>
      <c r="R13" s="7" t="s">
        <v>14</v>
      </c>
      <c r="S13" s="13" t="s">
        <v>21</v>
      </c>
      <c r="T13" s="14" t="s">
        <v>36</v>
      </c>
      <c r="U13" s="15" t="s">
        <v>23</v>
      </c>
      <c r="V13" s="16" t="s">
        <v>24</v>
      </c>
    </row>
    <row r="14">
      <c r="A14" s="20">
        <v>13.0</v>
      </c>
      <c r="B14" s="21" t="s">
        <v>10</v>
      </c>
      <c r="C14" s="22" t="s">
        <v>11</v>
      </c>
      <c r="D14" s="21" t="s">
        <v>12</v>
      </c>
      <c r="E14" s="23" t="s">
        <v>13</v>
      </c>
      <c r="F14" s="22" t="s">
        <v>14</v>
      </c>
      <c r="G14" s="24" t="s">
        <v>15</v>
      </c>
      <c r="H14" s="22" t="s">
        <v>11</v>
      </c>
      <c r="I14" s="25" t="s">
        <v>16</v>
      </c>
      <c r="J14" s="22" t="s">
        <v>14</v>
      </c>
      <c r="K14" s="26" t="s">
        <v>17</v>
      </c>
      <c r="L14" s="22" t="s">
        <v>11</v>
      </c>
      <c r="M14" s="27" t="s">
        <v>18</v>
      </c>
      <c r="N14" s="22" t="s">
        <v>11</v>
      </c>
      <c r="O14" s="26" t="s">
        <v>18</v>
      </c>
      <c r="P14" s="22" t="s">
        <v>11</v>
      </c>
      <c r="Q14" s="28" t="s">
        <v>20</v>
      </c>
      <c r="R14" s="22" t="s">
        <v>14</v>
      </c>
      <c r="S14" s="29" t="s">
        <v>21</v>
      </c>
      <c r="T14" s="30" t="s">
        <v>37</v>
      </c>
      <c r="U14" s="31" t="s">
        <v>23</v>
      </c>
      <c r="V14" s="32" t="s">
        <v>24</v>
      </c>
    </row>
  </sheetData>
  <mergeCells count="1">
    <mergeCell ref="S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38"/>
    <col customWidth="1" min="2" max="2" width="31.88"/>
    <col customWidth="1" min="3" max="3" width="15.88"/>
    <col customWidth="1" min="4" max="4" width="36.88"/>
    <col customWidth="1" min="5" max="5" width="21.63"/>
    <col customWidth="1" min="6" max="6" width="36.13"/>
    <col customWidth="1" min="7" max="7" width="21.88"/>
    <col customWidth="1" min="8" max="8" width="33.38"/>
    <col customWidth="1" min="9" max="9" width="43.63"/>
    <col customWidth="1" min="11" max="11" width="71.25"/>
    <col customWidth="1" min="12" max="12" width="77.75"/>
    <col customWidth="1" min="13" max="13" width="54.5"/>
    <col customWidth="1" min="14" max="14" width="99.75"/>
    <col customWidth="1" min="15" max="15" width="38.38"/>
    <col customWidth="1" min="16" max="16" width="33.75"/>
    <col customWidth="1" min="17" max="17" width="41.75"/>
    <col customWidth="1" min="18" max="18" width="52.63"/>
    <col customWidth="1" min="19" max="19" width="55.13"/>
    <col customWidth="1" min="20" max="20" width="103.38"/>
  </cols>
  <sheetData>
    <row r="1">
      <c r="A1" s="33" t="s">
        <v>38</v>
      </c>
      <c r="B1" s="34" t="s">
        <v>39</v>
      </c>
      <c r="C1" s="35" t="s">
        <v>40</v>
      </c>
      <c r="D1" s="36" t="s">
        <v>41</v>
      </c>
      <c r="E1" s="35" t="s">
        <v>42</v>
      </c>
      <c r="F1" s="35" t="s">
        <v>43</v>
      </c>
      <c r="G1" s="35" t="s">
        <v>44</v>
      </c>
      <c r="H1" s="34" t="s">
        <v>45</v>
      </c>
      <c r="I1" s="36" t="s">
        <v>46</v>
      </c>
      <c r="J1" s="35" t="s">
        <v>47</v>
      </c>
      <c r="K1" s="35" t="s">
        <v>48</v>
      </c>
      <c r="L1" s="35" t="s">
        <v>49</v>
      </c>
      <c r="M1" s="35" t="s">
        <v>50</v>
      </c>
      <c r="N1" s="35" t="s">
        <v>51</v>
      </c>
      <c r="O1" s="35" t="s">
        <v>52</v>
      </c>
      <c r="P1" s="35" t="s">
        <v>53</v>
      </c>
      <c r="Q1" s="35" t="s">
        <v>7</v>
      </c>
      <c r="R1" s="34" t="s">
        <v>54</v>
      </c>
      <c r="S1" s="37" t="s">
        <v>55</v>
      </c>
      <c r="T1" s="36" t="s">
        <v>56</v>
      </c>
      <c r="U1" s="38"/>
    </row>
    <row r="2">
      <c r="A2" s="39" t="str">
        <f t="shared" ref="A2:A14" si="1">RIGHT(K2,4)</f>
        <v>001F</v>
      </c>
      <c r="B2" s="40" t="s">
        <v>57</v>
      </c>
      <c r="C2" s="41" t="s">
        <v>58</v>
      </c>
      <c r="D2" s="42" t="s">
        <v>59</v>
      </c>
      <c r="E2" s="43" t="s">
        <v>60</v>
      </c>
      <c r="F2" s="42" t="s">
        <v>61</v>
      </c>
      <c r="G2" s="41" t="s">
        <v>62</v>
      </c>
      <c r="H2" s="44" t="s">
        <v>63</v>
      </c>
      <c r="I2" s="44" t="s">
        <v>64</v>
      </c>
      <c r="J2" s="42" t="s">
        <v>65</v>
      </c>
      <c r="K2" s="45" t="str">
        <f>TEXTJOIN("", TRUE, Geral!B2:U2)</f>
        <v>BR-SPAPESP_CPOS-PLNCARANDIRU_ICO-FOT-DGZ-MT0_3350-0001001F</v>
      </c>
      <c r="L2" s="44" t="s">
        <v>66</v>
      </c>
      <c r="M2" s="44" t="s">
        <v>67</v>
      </c>
      <c r="N2" s="46" t="s">
        <v>68</v>
      </c>
      <c r="O2" s="44" t="s">
        <v>69</v>
      </c>
      <c r="P2" s="46" t="s">
        <v>70</v>
      </c>
      <c r="Q2" s="46" t="s">
        <v>71</v>
      </c>
      <c r="R2" s="47" t="str">
        <f t="shared" ref="R2:R14" si="2">"Figura n – ["&amp;B2&amp;"]"&amp;CHAR(10)&amp;"Fonte: Arquivo do Estado de São Paulo, "&amp;TEXT(D2,"yyyy")&amp;"."</f>
        <v>Figura n – [Etiqueta de identificação de projeto técnico estrutural da Casa de Detenção de São Paulo (Carandiru) – Acervo CPOS.]
Fonte: Arquivo do Estado de São Paulo, Indeterminada.</v>
      </c>
      <c r="S2" s="47" t="str">
        <f t="shared" ref="S2:S14" si="3">"ARQUIVO PÚBLICO DO ESTADO DE SÃO PAULO (Brasil). ["&amp;B2&amp;"]. "&amp;G2&amp;". "&amp;TEXT(D2,"dd")&amp;" "&amp;LOWER(TEXT(D2,"mmm"))&amp;" "&amp;TEXT(D2,"yyyy")&amp;". "&amp;F2&amp;". Disponível em: &lt;link do dataverse&gt;. Acesso em: 28 out. 2025."</f>
        <v>ARQUIVO PÚBLICO DO ESTADO DE SÃO PAULO (Brasil). [Etiqueta de identificação de projeto técnico estrutural da Casa de Detenção de São Paulo (Carandiru) – Acervo CPOS.]. São Paulo, Brasil. Indeterminada indeterminada Indeterminada. Fotografia colorida. Disponível em: &lt;link do dataverse&gt;. Acesso em: 28 out. 2025.</v>
      </c>
      <c r="T2" s="44" t="s">
        <v>72</v>
      </c>
    </row>
    <row r="3">
      <c r="A3" s="39" t="str">
        <f t="shared" si="1"/>
        <v>002F</v>
      </c>
      <c r="B3" s="40" t="s">
        <v>73</v>
      </c>
      <c r="C3" s="41" t="s">
        <v>58</v>
      </c>
      <c r="D3" s="48">
        <v>19158.0</v>
      </c>
      <c r="E3" s="43" t="s">
        <v>60</v>
      </c>
      <c r="F3" s="42" t="s">
        <v>61</v>
      </c>
      <c r="G3" s="41" t="s">
        <v>62</v>
      </c>
      <c r="H3" s="44" t="s">
        <v>63</v>
      </c>
      <c r="I3" s="44" t="s">
        <v>64</v>
      </c>
      <c r="J3" s="42" t="s">
        <v>65</v>
      </c>
      <c r="K3" s="45" t="str">
        <f>TEXTJOIN("", TRUE, Geral!B3:U3)</f>
        <v>BR-SPAPESP_CPOS-PLNCARANDIRU_ICO-PLN-FOT-MT0_3350-0001002F</v>
      </c>
      <c r="L3" s="44" t="s">
        <v>66</v>
      </c>
      <c r="M3" s="44" t="s">
        <v>74</v>
      </c>
      <c r="N3" s="46" t="s">
        <v>68</v>
      </c>
      <c r="O3" s="44" t="s">
        <v>75</v>
      </c>
      <c r="P3" s="46" t="s">
        <v>70</v>
      </c>
      <c r="Q3" s="46" t="s">
        <v>71</v>
      </c>
      <c r="R3" s="47" t="str">
        <f t="shared" si="2"/>
        <v>Figura n – [Planta de situação e implantação do Complexo Penitenciário do Carandiru (plano aberto).]
Fonte: Arquivo do Estado de São Paulo, 1952.</v>
      </c>
      <c r="S3" s="47" t="str">
        <f t="shared" si="3"/>
        <v>ARQUIVO PÚBLICO DO ESTADO DE SÃO PAULO (Brasil). [Planta de situação e implantação do Complexo Penitenciário do Carandiru (plano aberto).]. São Paulo, Brasil. 13 juni 1952. Fotografia colorida. Disponível em: &lt;link do dataverse&gt;. Acesso em: 28 out. 2025.</v>
      </c>
      <c r="T3" s="44" t="s">
        <v>76</v>
      </c>
    </row>
    <row r="4">
      <c r="A4" s="39" t="str">
        <f t="shared" si="1"/>
        <v>003F</v>
      </c>
      <c r="B4" s="40" t="s">
        <v>77</v>
      </c>
      <c r="C4" s="41" t="s">
        <v>58</v>
      </c>
      <c r="D4" s="48">
        <v>19158.0</v>
      </c>
      <c r="E4" s="43" t="s">
        <v>60</v>
      </c>
      <c r="F4" s="42" t="s">
        <v>61</v>
      </c>
      <c r="G4" s="41" t="s">
        <v>62</v>
      </c>
      <c r="H4" s="44" t="s">
        <v>63</v>
      </c>
      <c r="I4" s="44" t="s">
        <v>64</v>
      </c>
      <c r="J4" s="42" t="s">
        <v>65</v>
      </c>
      <c r="K4" s="45" t="str">
        <f>TEXTJOIN("", TRUE, Geral!B4:U4)</f>
        <v>BR-SPAPESP_CPOS-PLNCARANDIRU_ICO-PLN-FOT-MT0_3350-0001003F</v>
      </c>
      <c r="L4" s="44" t="s">
        <v>66</v>
      </c>
      <c r="M4" s="44" t="s">
        <v>78</v>
      </c>
      <c r="N4" s="46" t="s">
        <v>68</v>
      </c>
      <c r="O4" s="46" t="str">
        <f>O3</f>
        <v>Carandiru; Casa de Detenção; Planta de Implantação; Arquitetura Prisional; Urbanismo; CPOS; São Paulo.</v>
      </c>
      <c r="P4" s="46" t="s">
        <v>70</v>
      </c>
      <c r="Q4" s="46" t="s">
        <v>71</v>
      </c>
      <c r="R4" s="47" t="str">
        <f t="shared" si="2"/>
        <v>Figura n – [Planta de situação e implantação do Complexo Penitenciário do Carandiru (em detalhe).]
Fonte: Arquivo do Estado de São Paulo, 1952.</v>
      </c>
      <c r="S4" s="47" t="str">
        <f t="shared" si="3"/>
        <v>ARQUIVO PÚBLICO DO ESTADO DE SÃO PAULO (Brasil). [Planta de situação e implantação do Complexo Penitenciário do Carandiru (em detalhe).]. São Paulo, Brasil. 13 juni 1952. Fotografia colorida. Disponível em: &lt;link do dataverse&gt;. Acesso em: 28 out. 2025.</v>
      </c>
      <c r="T4" s="44" t="str">
        <f>T3</f>
        <v>Transcrição de Áreas: "Presídio Feminino", "Reclusão Primários", "Pavilhão Central", "Administração", "Hospital", "Reclusão Reincidentes", "Primários", "Detenção", "Reincidentes", "Portaria e Corpo da Guarda", "Moradia do Director", "Torre de Observação".
Transcrição de Logradouros: "Av. Carandiru", "Rua da Penitenciária", "Av. Cruzeiro do Sul".
Dados Cronológicos no Documento: Contém a anotação manuscrita "Alinhamento aprovado pelo Ato 30 de 1950".
Estado de Conservação e Captura: O documento original em suporte papel apresenta rasgos e perdas de suporte nas bordas direita e inferior. A fotografia registra o manuseio por pesquisadora utilizando luvas de proteção (rosa).
Referência de Arquivo: Conforme o nome do arquivo, o documento integra o acervo da Companhia Paulista de Obras e Serviços (CPOS) sob custódia do APESP.
Fotografia digital realizada pelas pesquisadoras Maíra Rocha Machado, Bianca Tavolari e Maira Rosín para fins de pesquisa acadêmica, 2025.</v>
      </c>
    </row>
    <row r="5">
      <c r="A5" s="39" t="str">
        <f t="shared" si="1"/>
        <v>004F</v>
      </c>
      <c r="B5" s="40" t="s">
        <v>79</v>
      </c>
      <c r="C5" s="41" t="s">
        <v>58</v>
      </c>
      <c r="D5" s="48">
        <v>19158.0</v>
      </c>
      <c r="E5" s="43" t="s">
        <v>60</v>
      </c>
      <c r="F5" s="42" t="s">
        <v>61</v>
      </c>
      <c r="G5" s="41" t="s">
        <v>62</v>
      </c>
      <c r="H5" s="44" t="s">
        <v>63</v>
      </c>
      <c r="I5" s="44" t="s">
        <v>64</v>
      </c>
      <c r="J5" s="42" t="s">
        <v>65</v>
      </c>
      <c r="K5" s="45" t="str">
        <f>TEXTJOIN("", TRUE, Geral!B5:U5)</f>
        <v>BR-SPAPESP_CPOS-PLNCARANDIRU_ICO-PLN-FOT-MT0_3350-0001004F</v>
      </c>
      <c r="L5" s="44" t="s">
        <v>66</v>
      </c>
      <c r="M5" s="44" t="s">
        <v>80</v>
      </c>
      <c r="N5" s="46" t="s">
        <v>68</v>
      </c>
      <c r="O5" s="44" t="s">
        <v>81</v>
      </c>
      <c r="P5" s="46" t="s">
        <v>70</v>
      </c>
      <c r="Q5" s="46" t="s">
        <v>71</v>
      </c>
      <c r="R5" s="47" t="str">
        <f t="shared" si="2"/>
        <v>Figura n – [Detalhe de título, escala e logradouro – Planta de Situação do Carandiru.]
Fonte: Arquivo do Estado de São Paulo, 1952.</v>
      </c>
      <c r="S5" s="47" t="str">
        <f t="shared" si="3"/>
        <v>ARQUIVO PÚBLICO DO ESTADO DE SÃO PAULO (Brasil). [Detalhe de título, escala e logradouro – Planta de Situação do Carandiru.]. São Paulo, Brasil. 13 juni 1952. Fotografia colorida. Disponível em: &lt;link do dataverse&gt;. Acesso em: 28 out. 2025.</v>
      </c>
      <c r="T5" s="44" t="s">
        <v>82</v>
      </c>
    </row>
    <row r="6">
      <c r="A6" s="39" t="str">
        <f t="shared" si="1"/>
        <v>005F</v>
      </c>
      <c r="B6" s="40" t="s">
        <v>83</v>
      </c>
      <c r="C6" s="41" t="s">
        <v>58</v>
      </c>
      <c r="D6" s="48">
        <v>19158.0</v>
      </c>
      <c r="E6" s="43" t="s">
        <v>60</v>
      </c>
      <c r="F6" s="42" t="s">
        <v>61</v>
      </c>
      <c r="G6" s="41" t="s">
        <v>62</v>
      </c>
      <c r="H6" s="44" t="s">
        <v>63</v>
      </c>
      <c r="I6" s="44" t="s">
        <v>64</v>
      </c>
      <c r="J6" s="42" t="s">
        <v>65</v>
      </c>
      <c r="K6" s="45" t="str">
        <f>TEXTJOIN("", TRUE, Geral!B6:U6)</f>
        <v>BR-SPAPESP_CPOS-PLNCARANDIRU_ICO-PLN-FOT-MT0_3350-0001005F</v>
      </c>
      <c r="L6" s="44" t="s">
        <v>66</v>
      </c>
      <c r="M6" s="44" t="s">
        <v>84</v>
      </c>
      <c r="N6" s="46" t="s">
        <v>68</v>
      </c>
      <c r="O6" s="44" t="s">
        <v>85</v>
      </c>
      <c r="P6" s="46" t="s">
        <v>70</v>
      </c>
      <c r="Q6" s="46" t="s">
        <v>71</v>
      </c>
      <c r="R6" s="47" t="str">
        <f t="shared" si="2"/>
        <v>Figura n – [Planta de situação do Complexo Penitenciário do Carandiru – Vista Superior de Conjunto.]
Fonte: Arquivo do Estado de São Paulo, 1952.</v>
      </c>
      <c r="S6" s="47" t="str">
        <f t="shared" si="3"/>
        <v>ARQUIVO PÚBLICO DO ESTADO DE SÃO PAULO (Brasil). [Planta de situação do Complexo Penitenciário do Carandiru – Vista Superior de Conjunto.]. São Paulo, Brasil. 13 juni 1952. Fotografia colorida. Disponível em: &lt;link do dataverse&gt;. Acesso em: 28 out. 2025.</v>
      </c>
      <c r="T6" s="44" t="s">
        <v>86</v>
      </c>
    </row>
    <row r="7">
      <c r="A7" s="39" t="str">
        <f t="shared" si="1"/>
        <v>006F</v>
      </c>
      <c r="B7" s="40" t="s">
        <v>87</v>
      </c>
      <c r="C7" s="41" t="s">
        <v>58</v>
      </c>
      <c r="D7" s="48">
        <v>19158.0</v>
      </c>
      <c r="E7" s="43" t="s">
        <v>60</v>
      </c>
      <c r="F7" s="42" t="s">
        <v>61</v>
      </c>
      <c r="G7" s="41" t="s">
        <v>62</v>
      </c>
      <c r="H7" s="44" t="s">
        <v>63</v>
      </c>
      <c r="I7" s="44" t="s">
        <v>64</v>
      </c>
      <c r="J7" s="42" t="s">
        <v>65</v>
      </c>
      <c r="K7" s="45" t="str">
        <f>TEXTJOIN("", TRUE, Geral!B7:U7)</f>
        <v>BR-SPAPESP_CPOS-PLNCARANDIRU_ICO-PLN-FOT-MT0_3350-0001006F</v>
      </c>
      <c r="L7" s="44" t="s">
        <v>66</v>
      </c>
      <c r="M7" s="44" t="s">
        <v>88</v>
      </c>
      <c r="N7" s="46" t="s">
        <v>68</v>
      </c>
      <c r="O7" s="44" t="s">
        <v>89</v>
      </c>
      <c r="P7" s="46" t="s">
        <v>70</v>
      </c>
      <c r="Q7" s="46" t="s">
        <v>71</v>
      </c>
      <c r="R7" s="47" t="str">
        <f t="shared" si="2"/>
        <v>Figura n – [Desenho técnico de corte transversal de torre de observação – Carandiru.]
Fonte: Arquivo do Estado de São Paulo, 1952.</v>
      </c>
      <c r="S7" s="47" t="str">
        <f t="shared" si="3"/>
        <v>ARQUIVO PÚBLICO DO ESTADO DE SÃO PAULO (Brasil). [Desenho técnico de corte transversal de torre de observação – Carandiru.]. São Paulo, Brasil. 13 juni 1952. Fotografia colorida. Disponível em: &lt;link do dataverse&gt;. Acesso em: 28 out. 2025.</v>
      </c>
      <c r="T7" s="44" t="s">
        <v>90</v>
      </c>
    </row>
    <row r="8">
      <c r="A8" s="39" t="str">
        <f t="shared" si="1"/>
        <v>007F</v>
      </c>
      <c r="B8" s="40" t="s">
        <v>91</v>
      </c>
      <c r="C8" s="41" t="s">
        <v>58</v>
      </c>
      <c r="D8" s="48">
        <v>19158.0</v>
      </c>
      <c r="E8" s="43" t="s">
        <v>60</v>
      </c>
      <c r="F8" s="42" t="s">
        <v>61</v>
      </c>
      <c r="G8" s="41" t="s">
        <v>62</v>
      </c>
      <c r="H8" s="44" t="s">
        <v>63</v>
      </c>
      <c r="I8" s="44" t="s">
        <v>64</v>
      </c>
      <c r="J8" s="42" t="s">
        <v>65</v>
      </c>
      <c r="K8" s="45" t="str">
        <f>TEXTJOIN("", TRUE, Geral!B8:U8)</f>
        <v>BR-SPAPESP_CPOS-PLNCARANDIRU_ICO-PLN-FOT-MT0_3350-0001007F</v>
      </c>
      <c r="L8" s="44" t="s">
        <v>66</v>
      </c>
      <c r="M8" s="44" t="s">
        <v>92</v>
      </c>
      <c r="N8" s="46" t="s">
        <v>68</v>
      </c>
      <c r="O8" s="44" t="s">
        <v>89</v>
      </c>
      <c r="P8" s="46" t="s">
        <v>70</v>
      </c>
      <c r="Q8" s="46" t="s">
        <v>71</v>
      </c>
      <c r="R8" s="47" t="str">
        <f t="shared" si="2"/>
        <v>Figura n – [Vista de Prancha: Relação Planta e Detalhe]
Fonte: Arquivo do Estado de São Paulo, 1952.</v>
      </c>
      <c r="S8" s="47" t="str">
        <f t="shared" si="3"/>
        <v>ARQUIVO PÚBLICO DO ESTADO DE SÃO PAULO (Brasil). [Vista de Prancha: Relação Planta e Detalhe]. São Paulo, Brasil. 13 juni 1952. Fotografia colorida. Disponível em: &lt;link do dataverse&gt;. Acesso em: 28 out. 2025.</v>
      </c>
      <c r="T8" s="44" t="s">
        <v>86</v>
      </c>
    </row>
    <row r="9">
      <c r="A9" s="39" t="str">
        <f t="shared" si="1"/>
        <v>008F</v>
      </c>
      <c r="B9" s="40" t="s">
        <v>93</v>
      </c>
      <c r="C9" s="41" t="s">
        <v>58</v>
      </c>
      <c r="D9" s="48">
        <v>19158.0</v>
      </c>
      <c r="E9" s="43" t="s">
        <v>60</v>
      </c>
      <c r="F9" s="42" t="s">
        <v>61</v>
      </c>
      <c r="G9" s="41" t="s">
        <v>62</v>
      </c>
      <c r="H9" s="44" t="s">
        <v>63</v>
      </c>
      <c r="I9" s="44" t="s">
        <v>64</v>
      </c>
      <c r="J9" s="42" t="s">
        <v>65</v>
      </c>
      <c r="K9" s="45" t="str">
        <f>TEXTJOIN("", TRUE, Geral!B9:U9)</f>
        <v>BR-SPAPESP_CPOS-PLNCARANDIRU_ICO-PLN-FOT-MT0_3350-0001008F</v>
      </c>
      <c r="L9" s="44" t="s">
        <v>66</v>
      </c>
      <c r="M9" s="44" t="s">
        <v>94</v>
      </c>
      <c r="N9" s="46" t="s">
        <v>68</v>
      </c>
      <c r="O9" s="44" t="s">
        <v>89</v>
      </c>
      <c r="P9" s="46" t="s">
        <v>70</v>
      </c>
      <c r="Q9" s="46" t="s">
        <v>71</v>
      </c>
      <c r="R9" s="47" t="str">
        <f t="shared" si="2"/>
        <v>Figura n – [Registro Integral de Suporte Papel]
Fonte: Arquivo do Estado de São Paulo, 1952.</v>
      </c>
      <c r="S9" s="47" t="str">
        <f t="shared" si="3"/>
        <v>ARQUIVO PÚBLICO DO ESTADO DE SÃO PAULO (Brasil). [Registro Integral de Suporte Papel]. São Paulo, Brasil. 13 juni 1952. Fotografia colorida. Disponível em: &lt;link do dataverse&gt;. Acesso em: 28 out. 2025.</v>
      </c>
      <c r="T9" s="44" t="s">
        <v>86</v>
      </c>
    </row>
    <row r="10">
      <c r="A10" s="39" t="str">
        <f t="shared" si="1"/>
        <v>009F</v>
      </c>
      <c r="B10" s="40" t="s">
        <v>95</v>
      </c>
      <c r="C10" s="41" t="s">
        <v>58</v>
      </c>
      <c r="D10" s="48">
        <v>19158.0</v>
      </c>
      <c r="E10" s="43" t="s">
        <v>60</v>
      </c>
      <c r="F10" s="42" t="s">
        <v>61</v>
      </c>
      <c r="G10" s="41" t="s">
        <v>62</v>
      </c>
      <c r="H10" s="44" t="s">
        <v>63</v>
      </c>
      <c r="I10" s="44" t="s">
        <v>64</v>
      </c>
      <c r="J10" s="42" t="s">
        <v>65</v>
      </c>
      <c r="K10" s="45" t="str">
        <f>TEXTJOIN("", TRUE, Geral!B10:U10)</f>
        <v>BR-SPAPESP_CPOS-PLNCARANDIRU_ICO-FOT-FOT-MT0_3350-0001009F</v>
      </c>
      <c r="L10" s="44" t="s">
        <v>66</v>
      </c>
      <c r="M10" s="44" t="s">
        <v>96</v>
      </c>
      <c r="N10" s="46" t="s">
        <v>68</v>
      </c>
      <c r="O10" s="44" t="s">
        <v>89</v>
      </c>
      <c r="P10" s="46" t="s">
        <v>70</v>
      </c>
      <c r="Q10" s="46" t="s">
        <v>71</v>
      </c>
      <c r="R10" s="47" t="str">
        <f t="shared" si="2"/>
        <v>Figura n – [Detalhe de Fluxo Documental e Controle]
Fonte: Arquivo do Estado de São Paulo, 1952.</v>
      </c>
      <c r="S10" s="47" t="str">
        <f t="shared" si="3"/>
        <v>ARQUIVO PÚBLICO DO ESTADO DE SÃO PAULO (Brasil). [Detalhe de Fluxo Documental e Controle]. São Paulo, Brasil. 13 juni 1952. Fotografia colorida. Disponível em: &lt;link do dataverse&gt;. Acesso em: 28 out. 2025.</v>
      </c>
      <c r="T10" s="44" t="s">
        <v>86</v>
      </c>
    </row>
    <row r="11">
      <c r="A11" s="39" t="str">
        <f t="shared" si="1"/>
        <v>010F</v>
      </c>
      <c r="B11" s="40" t="s">
        <v>97</v>
      </c>
      <c r="C11" s="41" t="s">
        <v>58</v>
      </c>
      <c r="D11" s="48">
        <v>19158.0</v>
      </c>
      <c r="E11" s="43" t="s">
        <v>60</v>
      </c>
      <c r="F11" s="42" t="s">
        <v>61</v>
      </c>
      <c r="G11" s="41" t="s">
        <v>62</v>
      </c>
      <c r="H11" s="44" t="s">
        <v>63</v>
      </c>
      <c r="I11" s="44" t="s">
        <v>64</v>
      </c>
      <c r="J11" s="42" t="s">
        <v>65</v>
      </c>
      <c r="K11" s="45" t="str">
        <f>TEXTJOIN("", TRUE, Geral!B11:U11)</f>
        <v>BR-SPAPESP_CPOS-PLNCARANDIRU_ICO-FOT-FOT-MT0_3350-0001010F</v>
      </c>
      <c r="L11" s="44" t="s">
        <v>66</v>
      </c>
      <c r="M11" s="44" t="s">
        <v>98</v>
      </c>
      <c r="N11" s="46" t="s">
        <v>68</v>
      </c>
      <c r="O11" s="44" t="s">
        <v>89</v>
      </c>
      <c r="P11" s="46" t="s">
        <v>70</v>
      </c>
      <c r="Q11" s="46" t="s">
        <v>71</v>
      </c>
      <c r="R11" s="47" t="str">
        <f t="shared" si="2"/>
        <v>Figura n – [Projeto de Execução: Fundações do Corpo da Guarda]
Fonte: Arquivo do Estado de São Paulo, 1952.</v>
      </c>
      <c r="S11" s="47" t="str">
        <f t="shared" si="3"/>
        <v>ARQUIVO PÚBLICO DO ESTADO DE SÃO PAULO (Brasil). [Projeto de Execução: Fundações do Corpo da Guarda]. São Paulo, Brasil. 13 juni 1952. Fotografia colorida. Disponível em: &lt;link do dataverse&gt;. Acesso em: 28 out. 2025.</v>
      </c>
      <c r="T11" s="44" t="s">
        <v>86</v>
      </c>
    </row>
    <row r="12">
      <c r="A12" s="39" t="str">
        <f t="shared" si="1"/>
        <v>011F</v>
      </c>
      <c r="B12" s="40" t="s">
        <v>99</v>
      </c>
      <c r="C12" s="41" t="s">
        <v>58</v>
      </c>
      <c r="D12" s="48">
        <v>19158.0</v>
      </c>
      <c r="E12" s="43" t="s">
        <v>60</v>
      </c>
      <c r="F12" s="42" t="s">
        <v>61</v>
      </c>
      <c r="G12" s="41" t="s">
        <v>62</v>
      </c>
      <c r="H12" s="44" t="s">
        <v>63</v>
      </c>
      <c r="I12" s="44" t="s">
        <v>64</v>
      </c>
      <c r="J12" s="42" t="s">
        <v>65</v>
      </c>
      <c r="K12" s="45" t="str">
        <f>TEXTJOIN("", TRUE, Geral!B12:U12)</f>
        <v>BR-SPAPESP_CPOS-PLNCARANDIRU_ICO-PLN-FOT-MT0_3350-0001011F</v>
      </c>
      <c r="L12" s="44" t="s">
        <v>66</v>
      </c>
      <c r="M12" s="44" t="s">
        <v>100</v>
      </c>
      <c r="N12" s="46" t="s">
        <v>68</v>
      </c>
      <c r="O12" s="44" t="s">
        <v>89</v>
      </c>
      <c r="P12" s="46" t="s">
        <v>70</v>
      </c>
      <c r="Q12" s="46" t="s">
        <v>71</v>
      </c>
      <c r="R12" s="47" t="str">
        <f t="shared" si="2"/>
        <v>Figura n – [Detalhe Estrutural: Pilares dos Pavilhões 8 e 9]
Fonte: Arquivo do Estado de São Paulo, 1952.</v>
      </c>
      <c r="S12" s="47" t="str">
        <f t="shared" si="3"/>
        <v>ARQUIVO PÚBLICO DO ESTADO DE SÃO PAULO (Brasil). [Detalhe Estrutural: Pilares dos Pavilhões 8 e 9]. São Paulo, Brasil. 13 juni 1952. Fotografia colorida. Disponível em: &lt;link do dataverse&gt;. Acesso em: 28 out. 2025.</v>
      </c>
      <c r="T12" s="44" t="s">
        <v>86</v>
      </c>
    </row>
    <row r="13">
      <c r="A13" s="39" t="str">
        <f t="shared" si="1"/>
        <v>012F</v>
      </c>
      <c r="B13" s="40" t="s">
        <v>101</v>
      </c>
      <c r="C13" s="41" t="s">
        <v>58</v>
      </c>
      <c r="D13" s="48">
        <v>19158.0</v>
      </c>
      <c r="E13" s="43" t="s">
        <v>60</v>
      </c>
      <c r="F13" s="42" t="s">
        <v>61</v>
      </c>
      <c r="G13" s="41" t="s">
        <v>62</v>
      </c>
      <c r="H13" s="44" t="s">
        <v>63</v>
      </c>
      <c r="I13" s="44" t="s">
        <v>64</v>
      </c>
      <c r="J13" s="42" t="s">
        <v>65</v>
      </c>
      <c r="K13" s="45" t="str">
        <f>TEXTJOIN("", TRUE, Geral!B13:U13)</f>
        <v>BR-SPAPESP_CPOS-PLNCARANDIRU_ICO-FOT-FOT-MT0_3350-0001012F</v>
      </c>
      <c r="L13" s="44" t="s">
        <v>66</v>
      </c>
      <c r="M13" s="44" t="s">
        <v>102</v>
      </c>
      <c r="N13" s="46" t="s">
        <v>68</v>
      </c>
      <c r="O13" s="44" t="s">
        <v>89</v>
      </c>
      <c r="P13" s="46" t="s">
        <v>70</v>
      </c>
      <c r="Q13" s="46" t="s">
        <v>71</v>
      </c>
      <c r="R13" s="47" t="str">
        <f t="shared" si="2"/>
        <v>Figura n – [Projeto de Estaqueamento: Detenção de réus primários]
Fonte: Arquivo do Estado de São Paulo, 1952.</v>
      </c>
      <c r="S13" s="47" t="str">
        <f t="shared" si="3"/>
        <v>ARQUIVO PÚBLICO DO ESTADO DE SÃO PAULO (Brasil). [Projeto de Estaqueamento: Detenção de réus primários]. São Paulo, Brasil. 13 juni 1952. Fotografia colorida. Disponível em: &lt;link do dataverse&gt;. Acesso em: 28 out. 2025.</v>
      </c>
      <c r="T13" s="44" t="s">
        <v>86</v>
      </c>
    </row>
    <row r="14">
      <c r="A14" s="39" t="str">
        <f t="shared" si="1"/>
        <v>013F</v>
      </c>
      <c r="B14" s="40" t="s">
        <v>103</v>
      </c>
      <c r="C14" s="41" t="s">
        <v>58</v>
      </c>
      <c r="D14" s="48">
        <v>19158.0</v>
      </c>
      <c r="E14" s="43" t="s">
        <v>60</v>
      </c>
      <c r="F14" s="42" t="s">
        <v>61</v>
      </c>
      <c r="G14" s="41" t="s">
        <v>62</v>
      </c>
      <c r="H14" s="44" t="s">
        <v>63</v>
      </c>
      <c r="I14" s="44" t="s">
        <v>64</v>
      </c>
      <c r="J14" s="42" t="s">
        <v>65</v>
      </c>
      <c r="K14" s="45" t="str">
        <f>TEXTJOIN("", TRUE, Geral!B14:U14)</f>
        <v>BR-SPAPESP_CPOS-PLNCARANDIRU_ICO-FOT-FOT-MT0_3350-0001013F</v>
      </c>
      <c r="L14" s="44" t="s">
        <v>66</v>
      </c>
      <c r="M14" s="44" t="s">
        <v>104</v>
      </c>
      <c r="N14" s="46" t="s">
        <v>68</v>
      </c>
      <c r="O14" s="44" t="s">
        <v>89</v>
      </c>
      <c r="P14" s="46" t="s">
        <v>70</v>
      </c>
      <c r="Q14" s="46" t="s">
        <v>71</v>
      </c>
      <c r="R14" s="47" t="str">
        <f t="shared" si="2"/>
        <v>Figura n – [Projeto de Estaqueamento: Detenção de Reincidentes]
Fonte: Arquivo do Estado de São Paulo, 1952.</v>
      </c>
      <c r="S14" s="47" t="str">
        <f t="shared" si="3"/>
        <v>ARQUIVO PÚBLICO DO ESTADO DE SÃO PAULO (Brasil). [Projeto de Estaqueamento: Detenção de Reincidentes]. São Paulo, Brasil. 13 juni 1952. Fotografia colorida. Disponível em: &lt;link do dataverse&gt;. Acesso em: 28 out. 2025.</v>
      </c>
      <c r="T14" s="44" t="s">
        <v>86</v>
      </c>
    </row>
    <row r="15">
      <c r="B15" s="49"/>
      <c r="G15" s="49"/>
      <c r="H15" s="4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5.13"/>
    <col customWidth="1" min="4" max="4" width="35.75"/>
    <col customWidth="1" min="5" max="5" width="37.75"/>
    <col customWidth="1" min="6" max="6" width="37.63"/>
    <col customWidth="1" min="7" max="7" width="24.13"/>
    <col customWidth="1" min="8" max="8" width="27.63"/>
    <col customWidth="1" min="9" max="9" width="24.75"/>
    <col customWidth="1" min="10" max="10" width="28.63"/>
    <col customWidth="1" min="11" max="11" width="32.38"/>
  </cols>
  <sheetData>
    <row r="1">
      <c r="A1" s="50"/>
      <c r="B1" s="51" t="s">
        <v>0</v>
      </c>
      <c r="C1" s="52" t="s">
        <v>1</v>
      </c>
      <c r="D1" s="52" t="s">
        <v>2</v>
      </c>
      <c r="E1" s="52" t="s">
        <v>105</v>
      </c>
      <c r="F1" s="52" t="s">
        <v>4</v>
      </c>
      <c r="G1" s="52" t="s">
        <v>5</v>
      </c>
      <c r="H1" s="52" t="s">
        <v>6</v>
      </c>
      <c r="I1" s="52" t="s">
        <v>7</v>
      </c>
      <c r="J1" s="52" t="s">
        <v>8</v>
      </c>
      <c r="K1" s="53" t="s">
        <v>9</v>
      </c>
    </row>
    <row r="2">
      <c r="A2" s="54" t="s">
        <v>106</v>
      </c>
      <c r="B2" s="55" t="s">
        <v>107</v>
      </c>
      <c r="C2" s="54" t="s">
        <v>107</v>
      </c>
      <c r="D2" s="54" t="s">
        <v>107</v>
      </c>
      <c r="E2" s="54" t="s">
        <v>107</v>
      </c>
      <c r="F2" s="54" t="s">
        <v>108</v>
      </c>
      <c r="G2" s="54" t="s">
        <v>108</v>
      </c>
      <c r="H2" s="54" t="s">
        <v>108</v>
      </c>
      <c r="I2" s="54" t="s">
        <v>108</v>
      </c>
      <c r="J2" s="54" t="s">
        <v>108</v>
      </c>
      <c r="K2" s="56" t="s">
        <v>107</v>
      </c>
    </row>
    <row r="3">
      <c r="A3" s="57" t="s">
        <v>109</v>
      </c>
      <c r="B3" s="58"/>
      <c r="C3" s="50"/>
      <c r="D3" s="54" t="s">
        <v>110</v>
      </c>
      <c r="E3" s="54" t="s">
        <v>111</v>
      </c>
      <c r="F3" s="54" t="s">
        <v>64</v>
      </c>
      <c r="G3" s="54" t="s">
        <v>112</v>
      </c>
      <c r="H3" s="54" t="s">
        <v>113</v>
      </c>
      <c r="I3" s="54" t="s">
        <v>114</v>
      </c>
      <c r="J3" s="54" t="s">
        <v>115</v>
      </c>
      <c r="K3" s="59" t="s">
        <v>116</v>
      </c>
    </row>
    <row r="4">
      <c r="A4" s="60"/>
      <c r="B4" s="61" t="s">
        <v>10</v>
      </c>
      <c r="C4" s="62" t="s">
        <v>12</v>
      </c>
      <c r="D4" s="62" t="s">
        <v>13</v>
      </c>
      <c r="E4" s="62" t="s">
        <v>15</v>
      </c>
      <c r="F4" s="62" t="s">
        <v>16</v>
      </c>
      <c r="G4" s="62" t="s">
        <v>17</v>
      </c>
      <c r="H4" s="62" t="s">
        <v>25</v>
      </c>
      <c r="I4" s="62" t="s">
        <v>18</v>
      </c>
      <c r="J4" s="62" t="s">
        <v>20</v>
      </c>
      <c r="K4" s="63" t="s">
        <v>21</v>
      </c>
    </row>
  </sheetData>
  <mergeCells count="1">
    <mergeCell ref="A3:A4"/>
  </mergeCells>
  <dataValidations>
    <dataValidation type="list" allowBlank="1" showErrorMessage="1" sqref="B2:K2">
      <formula1>"Obrigatório,Opcional"</formula1>
    </dataValidation>
  </dataValidations>
  <drawing r:id="rId1"/>
</worksheet>
</file>