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Massacre" sheetId="2" r:id="rId5"/>
    <sheet state="visible" name="Classificação" sheetId="3" r:id="rId6"/>
  </sheets>
  <definedNames/>
  <calcPr/>
  <extLst>
    <ext uri="GoogleSheetsCustomDataVersion2">
      <go:sheetsCustomData xmlns:go="http://customooxmlschemas.google.com/" r:id="rId7" roundtripDataChecksum="A/U4L9bIeoB9Cf0eCLYbDR+Vw9mTaKbEcOEcisiU0kU="/>
    </ext>
  </extLst>
</workbook>
</file>

<file path=xl/sharedStrings.xml><?xml version="1.0" encoding="utf-8"?>
<sst xmlns="http://schemas.openxmlformats.org/spreadsheetml/2006/main" count="138" uniqueCount="76">
  <si>
    <t>Local (país)</t>
  </si>
  <si>
    <t>Local (estado)</t>
  </si>
  <si>
    <t>Designação do repositório</t>
  </si>
  <si>
    <t>Designação do conjunto documental</t>
  </si>
  <si>
    <t>Designação do subconjunto documental</t>
  </si>
  <si>
    <t>Gênero documental</t>
  </si>
  <si>
    <t>Espécie/Tipo documental</t>
  </si>
  <si>
    <t>Técnica de registro</t>
  </si>
  <si>
    <t>Forma documental</t>
  </si>
  <si>
    <t>Unidade de descrição</t>
  </si>
  <si>
    <t>BR</t>
  </si>
  <si>
    <t>-</t>
  </si>
  <si>
    <t>SP</t>
  </si>
  <si>
    <t>GPDVE</t>
  </si>
  <si>
    <t>_</t>
  </si>
  <si>
    <t>NOTICIAS</t>
  </si>
  <si>
    <t>MASSACRE-CSDTCARANDIRU</t>
  </si>
  <si>
    <t>AVS</t>
  </si>
  <si>
    <t>NOT</t>
  </si>
  <si>
    <t>NDT</t>
  </si>
  <si>
    <t>DT1</t>
  </si>
  <si>
    <t>0001-</t>
  </si>
  <si>
    <t>001</t>
  </si>
  <si>
    <t>.mp4</t>
  </si>
  <si>
    <t>002</t>
  </si>
  <si>
    <t>Cód.</t>
  </si>
  <si>
    <t>Título descritivo (atribuído)</t>
  </si>
  <si>
    <t>Nível de descrição</t>
  </si>
  <si>
    <t xml:space="preserve">Data </t>
  </si>
  <si>
    <t>Tamanho</t>
  </si>
  <si>
    <t>Suporte</t>
  </si>
  <si>
    <t>Local</t>
  </si>
  <si>
    <t xml:space="preserve">Autor/Responsável </t>
  </si>
  <si>
    <t>Denominação do catálogo temático (GPDVE ARCOENGE)</t>
  </si>
  <si>
    <t>Localização</t>
  </si>
  <si>
    <t xml:space="preserve">Código de referência </t>
  </si>
  <si>
    <t>História arquivística</t>
  </si>
  <si>
    <t>Conteúdo/Assunto</t>
  </si>
  <si>
    <t xml:space="preserve">Condições de acesso e reprodução </t>
  </si>
  <si>
    <t>Palavras-chave</t>
  </si>
  <si>
    <t>Gênero</t>
  </si>
  <si>
    <t>Legenda para publicações</t>
  </si>
  <si>
    <t>Citação ABNT</t>
  </si>
  <si>
    <t>Notas</t>
  </si>
  <si>
    <t>Trecho de reportagem da Globo, veiculada no programa Globo Reporter. Apresentado por Alexandre Garcia.</t>
  </si>
  <si>
    <t>Item</t>
  </si>
  <si>
    <t>Sem data</t>
  </si>
  <si>
    <t>Fotografia digitalizada; colorida; suporte em papel fotográfico</t>
  </si>
  <si>
    <t>São Paulo, Brasil</t>
  </si>
  <si>
    <t>Grupo de Pesquisa em Direito e Violência de Estado</t>
  </si>
  <si>
    <t>Arcoenge - Demolição - Casa de Detenção do Carandiru (Fotografias)</t>
  </si>
  <si>
    <t>Pasta: 0001</t>
  </si>
  <si>
    <t>Trecho de reportagem tratando sobre o Massacre do Carandiru.</t>
  </si>
  <si>
    <t>Sistema prisional; Demolição; Implosão; Casa de Detenção de São Paulo; Carandiru</t>
  </si>
  <si>
    <t>Audiovisual</t>
  </si>
  <si>
    <t>Possivelmente, filmagem digital ou vídeo digital. Optou-se por "não determinado" por incerteza quanto ao processo da técnica.</t>
  </si>
  <si>
    <t>Este item pertencia à pasta intitulada "Carandiru - disco 2".</t>
  </si>
  <si>
    <t>Trecho de reportagem da Globo, veiculada no programa Globo Reporter. Apresentado por Celso de Freitas.</t>
  </si>
  <si>
    <t>Designação do conjunto documental (FUNDO)</t>
  </si>
  <si>
    <t>Conteúdo</t>
  </si>
  <si>
    <t>Obrigatório</t>
  </si>
  <si>
    <t>Opcional</t>
  </si>
  <si>
    <t>Vídeos</t>
  </si>
  <si>
    <t>Brasil</t>
  </si>
  <si>
    <t>São Paulo</t>
  </si>
  <si>
    <t>Noticias</t>
  </si>
  <si>
    <t>Demolição - Casa de Detenção do Carandiru</t>
  </si>
  <si>
    <t>Notícia</t>
  </si>
  <si>
    <t>Técnica não determinada</t>
  </si>
  <si>
    <t>Derivada tratada (tratamento conhecido) 
Derivada tratada (tratamento desconhecido)</t>
  </si>
  <si>
    <t>Pasta</t>
  </si>
  <si>
    <t>Notícias</t>
  </si>
  <si>
    <t>AUD</t>
  </si>
  <si>
    <t xml:space="preserve">DT1
</t>
  </si>
  <si>
    <t>0001
0002</t>
  </si>
  <si>
    <t>Tratamento: conversão do formato .vob para mp4, corte e mesclagem quando necessário.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</si>
</sst>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/>
    <font>
      <color theme="4"/>
      <name val="Roboto Mono"/>
    </font>
    <font>
      <color rgb="FF000000"/>
      <name val="Roboto Mono"/>
    </font>
    <font>
      <color rgb="FFFF0000"/>
      <name val="Roboto Mono"/>
    </font>
    <font>
      <color rgb="FF0000FF"/>
      <name val="Roboto Mono"/>
    </font>
    <font>
      <color rgb="FF34A853"/>
      <name val="Roboto Mono"/>
    </font>
    <font>
      <color rgb="FFEA4335"/>
      <name val="Roboto Mono"/>
    </font>
    <font>
      <color rgb="FF073763"/>
      <name val="Roboto Mono"/>
    </font>
    <font>
      <color theme="5"/>
      <name val="Roboto Mono"/>
    </font>
    <font>
      <sz val="12.0"/>
      <color theme="1"/>
      <name val="Roboto Mono"/>
    </font>
    <font>
      <b/>
      <sz val="12.0"/>
      <color rgb="FFFFFFFF"/>
      <name val="Merriweather"/>
    </font>
    <font>
      <b/>
      <color rgb="FFFFFFFF"/>
      <name val="Merriweather"/>
    </font>
    <font>
      <sz val="12.0"/>
      <color rgb="FF000000"/>
      <name val="Roboto"/>
    </font>
    <font>
      <sz val="12.0"/>
      <color theme="1"/>
      <name val="Roboto"/>
    </font>
    <font>
      <sz val="12.0"/>
      <color rgb="FF028BCD"/>
      <name val="Roboto"/>
    </font>
    <font>
      <sz val="12.0"/>
      <color rgb="FFFF0000"/>
      <name val="Roboto"/>
    </font>
    <font>
      <color theme="1"/>
      <name val="Arial"/>
      <scheme val="minor"/>
    </font>
    <font>
      <sz val="11.0"/>
      <color theme="1"/>
      <name val="Cardo"/>
    </font>
    <font>
      <sz val="10.0"/>
      <color theme="1"/>
      <name val="Cardo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C6DBFF"/>
        <bgColor rgb="FFC6DB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4">
    <border/>
    <border>
      <bottom style="thick">
        <color rgb="FF999999"/>
      </bottom>
    </border>
    <border>
      <right style="thin">
        <color rgb="FF999999"/>
      </right>
    </border>
    <border>
      <left style="thick">
        <color rgb="FF999999"/>
      </left>
      <right style="thick">
        <color rgb="FF999999"/>
      </right>
      <top style="thick">
        <color rgb="FF999999"/>
      </top>
    </border>
    <border>
      <left style="thick">
        <color rgb="FF999999"/>
      </left>
    </border>
    <border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right style="thick">
        <color rgb="FF999999"/>
      </right>
    </border>
    <border>
      <left style="thick">
        <color rgb="FF999999"/>
      </left>
      <top style="thick">
        <color rgb="FF999999"/>
      </top>
    </border>
    <border>
      <left style="thick">
        <color rgb="FF999999"/>
      </left>
      <bottom style="thick">
        <color rgb="FF999999"/>
      </bottom>
    </border>
    <border>
      <right style="thick">
        <color rgb="FF999999"/>
      </right>
      <bottom style="thick">
        <color rgb="FF999999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0" fillId="0" fontId="1" numFmtId="0" xfId="0" applyAlignment="1" applyFont="1">
      <alignment shrinkToFit="0" wrapText="0"/>
    </xf>
    <xf borderId="0" fillId="0" fontId="1" numFmtId="0" xfId="0" applyFont="1"/>
    <xf borderId="0" fillId="2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49" xfId="0" applyAlignment="1" applyFont="1" applyNumberFormat="1">
      <alignment horizontal="center" readingOrder="0"/>
    </xf>
    <xf borderId="0" fillId="0" fontId="11" numFmtId="49" xfId="0" applyAlignment="1" applyFont="1" applyNumberFormat="1">
      <alignment horizontal="center"/>
    </xf>
    <xf borderId="2" fillId="0" fontId="11" numFmtId="49" xfId="0" applyAlignment="1" applyBorder="1" applyFont="1" applyNumberFormat="1">
      <alignment horizontal="center" readingOrder="0"/>
    </xf>
    <xf borderId="0" fillId="3" fontId="5" numFmtId="0" xfId="0" applyAlignment="1" applyFill="1" applyFont="1">
      <alignment horizontal="center"/>
    </xf>
    <xf borderId="0" fillId="3" fontId="6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3" fontId="8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4" fontId="11" numFmtId="49" xfId="0" applyAlignment="1" applyFill="1" applyFont="1" applyNumberFormat="1">
      <alignment horizontal="center" readingOrder="0"/>
    </xf>
    <xf borderId="0" fillId="3" fontId="11" numFmtId="49" xfId="0" applyAlignment="1" applyFont="1" applyNumberFormat="1">
      <alignment horizontal="center"/>
    </xf>
    <xf borderId="2" fillId="3" fontId="11" numFmtId="49" xfId="0" applyAlignment="1" applyBorder="1" applyFont="1" applyNumberFormat="1">
      <alignment horizontal="center" readingOrder="0"/>
    </xf>
    <xf borderId="3" fillId="0" fontId="13" numFmtId="0" xfId="0" applyAlignment="1" applyBorder="1" applyFont="1">
      <alignment horizontal="center" vertical="center"/>
    </xf>
    <xf borderId="0" fillId="5" fontId="14" numFmtId="0" xfId="0" applyAlignment="1" applyFill="1" applyFont="1">
      <alignment horizontal="center" shrinkToFit="0" vertical="center" wrapText="1"/>
    </xf>
    <xf borderId="0" fillId="6" fontId="14" numFmtId="0" xfId="0" applyAlignment="1" applyFill="1" applyFont="1">
      <alignment horizontal="center" vertical="center"/>
    </xf>
    <xf borderId="0" fillId="6" fontId="14" numFmtId="0" xfId="0" applyAlignment="1" applyFont="1">
      <alignment horizontal="center" readingOrder="0" shrinkToFit="0" vertical="center" wrapText="1"/>
    </xf>
    <xf borderId="0" fillId="6" fontId="14" numFmtId="0" xfId="0" applyAlignment="1" applyFont="1">
      <alignment horizontal="center" shrinkToFit="0" vertical="center" wrapText="1"/>
    </xf>
    <xf borderId="0" fillId="5" fontId="14" numFmtId="0" xfId="0" applyAlignment="1" applyFont="1">
      <alignment horizontal="center" vertical="center"/>
    </xf>
    <xf borderId="0" fillId="7" fontId="14" numFmtId="0" xfId="0" applyAlignment="1" applyFill="1" applyFont="1">
      <alignment horizontal="center" shrinkToFit="0" vertical="center" wrapText="1"/>
    </xf>
    <xf borderId="0" fillId="5" fontId="15" numFmtId="0" xfId="0" applyAlignment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5" fillId="0" fontId="16" numFmtId="0" xfId="0" applyAlignment="1" applyBorder="1" applyFont="1">
      <alignment readingOrder="0" shrinkToFit="0" vertical="center" wrapText="1"/>
    </xf>
    <xf borderId="6" fillId="0" fontId="17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readingOrder="0" vertical="center"/>
    </xf>
    <xf borderId="6" fillId="0" fontId="18" numFmtId="164" xfId="0" applyAlignment="1" applyBorder="1" applyFont="1" applyNumberFormat="1">
      <alignment horizontal="center" readingOrder="0" shrinkToFit="0" vertical="center" wrapText="1"/>
    </xf>
    <xf borderId="6" fillId="0" fontId="17" numFmtId="0" xfId="0" applyAlignment="1" applyBorder="1" applyFont="1">
      <alignment horizontal="left" shrinkToFit="0" vertical="center" wrapText="1"/>
    </xf>
    <xf borderId="6" fillId="0" fontId="17" numFmtId="0" xfId="0" applyAlignment="1" applyBorder="1" applyFont="1">
      <alignment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6" fillId="8" fontId="13" numFmtId="0" xfId="0" applyAlignment="1" applyBorder="1" applyFill="1" applyFont="1">
      <alignment horizontal="center" shrinkToFit="0" vertical="center" wrapText="1"/>
    </xf>
    <xf borderId="6" fillId="0" fontId="19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0" fontId="17" numFmtId="0" xfId="0" applyAlignment="1" applyBorder="1" applyFont="1">
      <alignment horizontal="left" readingOrder="0" shrinkToFit="0" vertical="center" wrapText="1"/>
    </xf>
    <xf borderId="6" fillId="8" fontId="17" numFmtId="0" xfId="0" applyAlignment="1" applyBorder="1" applyFont="1">
      <alignment shrinkToFit="0" vertical="center" wrapText="1"/>
    </xf>
    <xf borderId="5" fillId="0" fontId="17" numFmtId="0" xfId="0" applyAlignment="1" applyBorder="1" applyFont="1">
      <alignment horizontal="center" vertical="center"/>
    </xf>
    <xf borderId="5" fillId="0" fontId="18" numFmtId="164" xfId="0" applyAlignment="1" applyBorder="1" applyFont="1" applyNumberFormat="1">
      <alignment horizontal="center" readingOrder="0" shrinkToFit="0" vertical="center" wrapText="1"/>
    </xf>
    <xf borderId="5" fillId="0" fontId="17" numFmtId="0" xfId="0" applyAlignment="1" applyBorder="1" applyFont="1">
      <alignment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/>
    </xf>
    <xf borderId="0" fillId="0" fontId="1" numFmtId="0" xfId="0" applyAlignment="1" applyFont="1">
      <alignment vertical="center"/>
    </xf>
    <xf borderId="7" fillId="2" fontId="21" numFmtId="0" xfId="0" applyAlignment="1" applyBorder="1" applyFont="1">
      <alignment horizontal="center" shrinkToFit="0" vertical="center" wrapText="1"/>
    </xf>
    <xf borderId="8" fillId="2" fontId="21" numFmtId="0" xfId="0" applyAlignment="1" applyBorder="1" applyFont="1">
      <alignment horizontal="center" shrinkToFit="0" vertical="center" wrapText="1"/>
    </xf>
    <xf borderId="9" fillId="2" fontId="21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horizontal="center" shrinkToFit="0" vertical="center" wrapText="1"/>
    </xf>
    <xf borderId="11" fillId="2" fontId="21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12" fillId="0" fontId="4" numFmtId="0" xfId="0" applyBorder="1" applyFont="1"/>
    <xf borderId="12" fillId="9" fontId="21" numFmtId="0" xfId="0" applyAlignment="1" applyBorder="1" applyFill="1" applyFont="1">
      <alignment horizontal="center" shrinkToFit="0" vertical="center" wrapText="1"/>
    </xf>
    <xf borderId="1" fillId="9" fontId="21" numFmtId="0" xfId="0" applyAlignment="1" applyBorder="1" applyFont="1">
      <alignment horizontal="center" shrinkToFit="0" vertical="center" wrapText="1"/>
    </xf>
    <xf borderId="1" fillId="9" fontId="21" numFmtId="0" xfId="0" applyAlignment="1" applyBorder="1" applyFont="1">
      <alignment horizontal="center" readingOrder="0" shrinkToFit="0" vertical="center" wrapText="1"/>
    </xf>
    <xf borderId="13" fillId="9" fontId="21" numFmtId="49" xfId="0" applyAlignment="1" applyBorder="1" applyFont="1" applyNumberFormat="1">
      <alignment horizontal="center" readingOrder="0" shrinkToFit="0" vertical="center" wrapText="1"/>
    </xf>
    <xf borderId="0" fillId="0" fontId="22" numFmtId="0" xfId="0" applyFont="1"/>
    <xf borderId="0" fillId="0" fontId="22" numFmtId="0" xfId="0" applyAlignment="1" applyFont="1">
      <alignment horizontal="center"/>
    </xf>
    <xf borderId="0" fillId="10" fontId="22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.63"/>
    <col customWidth="1" min="3" max="3" width="1.75"/>
    <col customWidth="1" min="4" max="4" width="8.63"/>
    <col customWidth="1" min="6" max="6" width="2.38"/>
    <col customWidth="1" min="8" max="8" width="2.63"/>
    <col customWidth="1" min="9" max="9" width="28.38"/>
    <col customWidth="1" min="10" max="10" width="1.88"/>
    <col customWidth="1" min="12" max="12" width="1.88"/>
    <col customWidth="1" min="14" max="14" width="1.88"/>
    <col customWidth="1" min="15" max="15" width="11.63"/>
    <col customWidth="1" min="16" max="16" width="1.88"/>
    <col customWidth="1" min="17" max="17" width="11.88"/>
    <col customWidth="1" min="18" max="18" width="1.88"/>
    <col customWidth="1" min="19" max="19" width="12.5"/>
    <col customWidth="1" min="20" max="20" width="8.63"/>
    <col customWidth="1" min="21" max="21" width="5.75"/>
    <col customWidth="1" min="22" max="22" width="7.38"/>
  </cols>
  <sheetData>
    <row r="1" ht="50.25" customHeight="1">
      <c r="A1" s="1"/>
      <c r="B1" s="2" t="s">
        <v>0</v>
      </c>
      <c r="C1" s="3"/>
      <c r="D1" s="2" t="s">
        <v>1</v>
      </c>
      <c r="E1" s="2" t="s">
        <v>2</v>
      </c>
      <c r="F1" s="3"/>
      <c r="G1" s="2" t="s">
        <v>3</v>
      </c>
      <c r="H1" s="3"/>
      <c r="I1" s="3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4"/>
      <c r="U1" s="4"/>
      <c r="V1" s="4"/>
      <c r="X1" s="5"/>
      <c r="Y1" s="6"/>
    </row>
    <row r="2" ht="15.75" customHeight="1">
      <c r="A2" s="7">
        <v>1.0</v>
      </c>
      <c r="B2" s="8" t="s">
        <v>10</v>
      </c>
      <c r="C2" s="9" t="s">
        <v>11</v>
      </c>
      <c r="D2" s="8" t="s">
        <v>12</v>
      </c>
      <c r="E2" s="10" t="s">
        <v>13</v>
      </c>
      <c r="F2" s="10" t="s">
        <v>14</v>
      </c>
      <c r="G2" s="11" t="s">
        <v>15</v>
      </c>
      <c r="H2" s="9" t="s">
        <v>11</v>
      </c>
      <c r="I2" s="12" t="s">
        <v>16</v>
      </c>
      <c r="J2" s="9" t="s">
        <v>14</v>
      </c>
      <c r="K2" s="13" t="s">
        <v>17</v>
      </c>
      <c r="L2" s="9" t="s">
        <v>11</v>
      </c>
      <c r="M2" s="13" t="s">
        <v>18</v>
      </c>
      <c r="N2" s="9" t="s">
        <v>11</v>
      </c>
      <c r="O2" s="13" t="s">
        <v>19</v>
      </c>
      <c r="P2" s="9" t="s">
        <v>11</v>
      </c>
      <c r="Q2" s="13" t="s">
        <v>20</v>
      </c>
      <c r="R2" s="9" t="s">
        <v>14</v>
      </c>
      <c r="S2" s="14" t="s">
        <v>21</v>
      </c>
      <c r="T2" s="15" t="s">
        <v>22</v>
      </c>
      <c r="U2" s="15"/>
      <c r="V2" s="16" t="s">
        <v>23</v>
      </c>
    </row>
    <row r="3" ht="15.75" customHeight="1">
      <c r="A3" s="7">
        <v>2.0</v>
      </c>
      <c r="B3" s="17" t="s">
        <v>10</v>
      </c>
      <c r="C3" s="18" t="s">
        <v>11</v>
      </c>
      <c r="D3" s="17" t="s">
        <v>12</v>
      </c>
      <c r="E3" s="19" t="s">
        <v>13</v>
      </c>
      <c r="F3" s="19" t="s">
        <v>14</v>
      </c>
      <c r="G3" s="20" t="s">
        <v>15</v>
      </c>
      <c r="H3" s="18" t="s">
        <v>11</v>
      </c>
      <c r="I3" s="21" t="s">
        <v>16</v>
      </c>
      <c r="J3" s="18" t="s">
        <v>14</v>
      </c>
      <c r="K3" s="22" t="s">
        <v>17</v>
      </c>
      <c r="L3" s="18" t="s">
        <v>11</v>
      </c>
      <c r="M3" s="23" t="s">
        <v>18</v>
      </c>
      <c r="N3" s="18" t="s">
        <v>11</v>
      </c>
      <c r="O3" s="23" t="s">
        <v>19</v>
      </c>
      <c r="P3" s="18" t="s">
        <v>11</v>
      </c>
      <c r="Q3" s="23" t="s">
        <v>20</v>
      </c>
      <c r="R3" s="18" t="s">
        <v>14</v>
      </c>
      <c r="S3" s="24" t="s">
        <v>21</v>
      </c>
      <c r="T3" s="25" t="s">
        <v>24</v>
      </c>
      <c r="U3" s="25"/>
      <c r="V3" s="26" t="s">
        <v>23</v>
      </c>
    </row>
  </sheetData>
  <mergeCells count="1">
    <mergeCell ref="S1:V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4.63"/>
    <col customWidth="1" min="12" max="12" width="82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5.13"/>
  </cols>
  <sheetData>
    <row r="1" ht="44.25" customHeight="1">
      <c r="A1" s="27" t="s">
        <v>25</v>
      </c>
      <c r="B1" s="28" t="s">
        <v>26</v>
      </c>
      <c r="C1" s="29" t="s">
        <v>27</v>
      </c>
      <c r="D1" s="30" t="s">
        <v>28</v>
      </c>
      <c r="E1" s="29" t="s">
        <v>29</v>
      </c>
      <c r="F1" s="31" t="s">
        <v>30</v>
      </c>
      <c r="G1" s="29" t="s">
        <v>31</v>
      </c>
      <c r="H1" s="32" t="s">
        <v>32</v>
      </c>
      <c r="I1" s="29" t="s">
        <v>33</v>
      </c>
      <c r="J1" s="29" t="s">
        <v>34</v>
      </c>
      <c r="K1" s="31" t="s">
        <v>35</v>
      </c>
      <c r="L1" s="29" t="s">
        <v>36</v>
      </c>
      <c r="M1" s="33" t="s">
        <v>37</v>
      </c>
      <c r="N1" s="29" t="s">
        <v>38</v>
      </c>
      <c r="O1" s="31" t="s">
        <v>39</v>
      </c>
      <c r="P1" s="29" t="s">
        <v>40</v>
      </c>
      <c r="Q1" s="29" t="s">
        <v>7</v>
      </c>
      <c r="R1" s="32" t="s">
        <v>41</v>
      </c>
      <c r="S1" s="34" t="s">
        <v>42</v>
      </c>
      <c r="T1" s="31" t="s">
        <v>43</v>
      </c>
    </row>
    <row r="2" ht="126.0" customHeight="1">
      <c r="A2" s="35" t="str">
        <f t="shared" ref="A2:A3" si="1">MID(K2, LEN(K2)-5, 3)</f>
        <v>01.</v>
      </c>
      <c r="B2" s="36" t="s">
        <v>44</v>
      </c>
      <c r="C2" s="37" t="s">
        <v>45</v>
      </c>
      <c r="D2" s="38" t="s">
        <v>46</v>
      </c>
      <c r="E2" s="39">
        <v>0.008969907407407407</v>
      </c>
      <c r="F2" s="40" t="s">
        <v>47</v>
      </c>
      <c r="G2" s="41" t="s">
        <v>48</v>
      </c>
      <c r="H2" s="42" t="s">
        <v>49</v>
      </c>
      <c r="I2" s="43" t="s">
        <v>50</v>
      </c>
      <c r="J2" s="44" t="s">
        <v>51</v>
      </c>
      <c r="K2" s="45" t="str">
        <f>TEXTJOIN("", TRUE, Geral!B2:V2)</f>
        <v>BR-SPGPDVE_NOTICIAS-MASSACRE-CSDTCARANDIRU_AVS-NOT-NDT-DT1_0001-001.mp4</v>
      </c>
      <c r="L2" s="46" t="str">
        <f t="shared" ref="L2:L3" si="2">Demolicao!$L$2</f>
        <v>#REF!</v>
      </c>
      <c r="M2" s="47" t="s">
        <v>52</v>
      </c>
      <c r="N2" s="41" t="str">
        <f t="shared" ref="N2:N3" si="3">Demolicao!$N$2</f>
        <v>#REF!</v>
      </c>
      <c r="O2" s="44" t="s">
        <v>53</v>
      </c>
      <c r="P2" s="48" t="s">
        <v>54</v>
      </c>
      <c r="Q2" s="49" t="s">
        <v>55</v>
      </c>
      <c r="R2" s="50" t="str">
        <f t="shared" ref="R2:R3" si="4">"Figura n – ["&amp;B2&amp;"]"&amp;CHAR(10)&amp;"Fonte: INDICAR NOME DA EMISSORA, "&amp;TEXT(D2,"yyyy")&amp;"."</f>
        <v>Figura n – [Trecho de reportagem da Globo, veiculada no programa Globo Reporter. Apresentado por Alexandre Garcia.]
Fonte: INDICAR NOME DA EMISSORA, Sem data.</v>
      </c>
      <c r="S2" s="50" t="str">
        <f t="shared" ref="S2:S3" si="5">"GRUPO DE PESQUISA EM DIREITO E VIOLÊNCIA DE ESTADO (GPDVE). ["&amp;B2&amp;"]. "&amp;G2&amp;". "&amp;TEXT(D2,"dd")&amp;" "&amp;LOWER(TEXT(D2,"mmm"))&amp;" "&amp;TEXT(D2,"yyyy")&amp;". "&amp;F2&amp;". Disponível em: &lt;link do dataverse&gt;. Acesso em: 21 mai. 2026."</f>
        <v>GRUPO DE PESQUISA EM DIREITO E VIOLÊNCIA DE ESTADO (GPDVE). [Trecho de reportagem da Globo, veiculada no programa Globo Reporter. Apresentado por Alexandre Garcia.]. São Paulo, Brasil. Sem data sem data Sem data. Fotografia digitalizada; colorida; suporte em papel fotográfico. Disponível em: &lt;link do dataverse&gt;. Acesso em: 21 mai. 2026.</v>
      </c>
      <c r="T2" s="48" t="s">
        <v>56</v>
      </c>
    </row>
    <row r="3" ht="126.0" customHeight="1">
      <c r="A3" s="35" t="str">
        <f t="shared" si="1"/>
        <v>02.</v>
      </c>
      <c r="B3" s="36" t="s">
        <v>57</v>
      </c>
      <c r="C3" s="51" t="s">
        <v>45</v>
      </c>
      <c r="D3" s="38" t="s">
        <v>46</v>
      </c>
      <c r="E3" s="52">
        <v>0.008090277777777778</v>
      </c>
      <c r="F3" s="40" t="s">
        <v>47</v>
      </c>
      <c r="G3" s="53" t="s">
        <v>48</v>
      </c>
      <c r="H3" s="42" t="s">
        <v>49</v>
      </c>
      <c r="I3" s="43" t="s">
        <v>50</v>
      </c>
      <c r="J3" s="44" t="s">
        <v>51</v>
      </c>
      <c r="K3" s="45" t="str">
        <f>TEXTJOIN("", TRUE, Geral!B3:V3)</f>
        <v>BR-SPGPDVE_NOTICIAS-MASSACRE-CSDTCARANDIRU_AVS-NOT-NDT-DT1_0001-002.mp4</v>
      </c>
      <c r="L3" s="46" t="str">
        <f t="shared" si="2"/>
        <v>#REF!</v>
      </c>
      <c r="M3" s="47" t="s">
        <v>52</v>
      </c>
      <c r="N3" s="41" t="str">
        <f t="shared" si="3"/>
        <v>#REF!</v>
      </c>
      <c r="O3" s="44" t="s">
        <v>53</v>
      </c>
      <c r="P3" s="48" t="s">
        <v>54</v>
      </c>
      <c r="Q3" s="49" t="s">
        <v>55</v>
      </c>
      <c r="R3" s="50" t="str">
        <f t="shared" si="4"/>
        <v>Figura n – [Trecho de reportagem da Globo, veiculada no programa Globo Reporter. Apresentado por Celso de Freitas.]
Fonte: INDICAR NOME DA EMISSORA, Sem data.</v>
      </c>
      <c r="S3" s="50" t="str">
        <f t="shared" si="5"/>
        <v>GRUPO DE PESQUISA EM DIREITO E VIOLÊNCIA DE ESTADO (GPDVE). [Trecho de reportagem da Globo, veiculada no programa Globo Reporter. Apresentado por Celso de Freitas.]. São Paulo, Brasil. Sem data sem data Sem data. Fotografia digitalizada; colorida; suporte em papel fotográfico. Disponível em: &lt;link do dataverse&gt;. Acesso em: 21 mai. 2026.</v>
      </c>
      <c r="T3" s="54" t="str">
        <f>$T$2</f>
        <v>Este item pertencia à pasta intitulada "Carandiru - disco 2".</v>
      </c>
    </row>
    <row r="4" ht="15.75" customHeight="1">
      <c r="L4" s="55"/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7.13"/>
    <col customWidth="1" min="3" max="3" width="16.5"/>
    <col customWidth="1" min="4" max="4" width="18.75"/>
    <col customWidth="1" min="5" max="5" width="19.0"/>
    <col customWidth="1" min="6" max="6" width="34.0"/>
    <col customWidth="1" min="7" max="7" width="15.25"/>
    <col customWidth="1" min="8" max="8" width="15.38"/>
    <col customWidth="1" min="9" max="9" width="14.88"/>
    <col customWidth="1" min="10" max="10" width="38.88"/>
    <col customWidth="1" min="11" max="11" width="25.5"/>
    <col customWidth="1" min="12" max="12" width="16.5"/>
    <col customWidth="1" min="13" max="13" width="16.13"/>
    <col customWidth="1" min="14" max="14" width="16.25"/>
  </cols>
  <sheetData>
    <row r="1" ht="44.25" customHeight="1">
      <c r="A1" s="56"/>
      <c r="B1" s="57" t="s">
        <v>0</v>
      </c>
      <c r="C1" s="58" t="s">
        <v>1</v>
      </c>
      <c r="D1" s="58" t="s">
        <v>2</v>
      </c>
      <c r="E1" s="58" t="s">
        <v>58</v>
      </c>
      <c r="F1" s="58" t="s">
        <v>4</v>
      </c>
      <c r="G1" s="58" t="s">
        <v>5</v>
      </c>
      <c r="H1" s="58" t="s">
        <v>6</v>
      </c>
      <c r="I1" s="58" t="s">
        <v>7</v>
      </c>
      <c r="J1" s="58" t="s">
        <v>8</v>
      </c>
      <c r="K1" s="59" t="s">
        <v>9</v>
      </c>
      <c r="L1" s="60"/>
      <c r="M1" s="60"/>
      <c r="N1" s="60"/>
    </row>
    <row r="2" ht="34.5" customHeight="1">
      <c r="A2" s="61" t="s">
        <v>59</v>
      </c>
      <c r="B2" s="62" t="s">
        <v>60</v>
      </c>
      <c r="C2" s="61" t="s">
        <v>60</v>
      </c>
      <c r="D2" s="61" t="s">
        <v>60</v>
      </c>
      <c r="E2" s="61" t="s">
        <v>60</v>
      </c>
      <c r="F2" s="61" t="s">
        <v>61</v>
      </c>
      <c r="G2" s="61" t="s">
        <v>61</v>
      </c>
      <c r="H2" s="61" t="s">
        <v>61</v>
      </c>
      <c r="I2" s="61" t="s">
        <v>61</v>
      </c>
      <c r="J2" s="61" t="s">
        <v>61</v>
      </c>
      <c r="K2" s="63" t="s">
        <v>60</v>
      </c>
      <c r="L2" s="60"/>
      <c r="M2" s="60"/>
      <c r="N2" s="60"/>
    </row>
    <row r="3" ht="72.0" customHeight="1">
      <c r="A3" s="64" t="s">
        <v>62</v>
      </c>
      <c r="B3" s="62" t="s">
        <v>63</v>
      </c>
      <c r="C3" s="61" t="s">
        <v>64</v>
      </c>
      <c r="D3" s="61" t="s">
        <v>49</v>
      </c>
      <c r="E3" s="65" t="s">
        <v>65</v>
      </c>
      <c r="F3" s="65" t="s">
        <v>66</v>
      </c>
      <c r="G3" s="65" t="s">
        <v>54</v>
      </c>
      <c r="H3" s="65" t="s">
        <v>67</v>
      </c>
      <c r="I3" s="65" t="s">
        <v>68</v>
      </c>
      <c r="J3" s="66" t="s">
        <v>69</v>
      </c>
      <c r="K3" s="63" t="s">
        <v>70</v>
      </c>
      <c r="L3" s="60"/>
      <c r="M3" s="60"/>
      <c r="N3" s="60"/>
    </row>
    <row r="4" ht="58.5" customHeight="1">
      <c r="A4" s="67"/>
      <c r="B4" s="68" t="s">
        <v>10</v>
      </c>
      <c r="C4" s="69" t="s">
        <v>12</v>
      </c>
      <c r="D4" s="69" t="s">
        <v>13</v>
      </c>
      <c r="E4" s="70" t="s">
        <v>71</v>
      </c>
      <c r="F4" s="70" t="s">
        <v>16</v>
      </c>
      <c r="G4" s="70" t="s">
        <v>72</v>
      </c>
      <c r="H4" s="70" t="s">
        <v>18</v>
      </c>
      <c r="I4" s="70" t="s">
        <v>19</v>
      </c>
      <c r="J4" s="70" t="s">
        <v>73</v>
      </c>
      <c r="K4" s="71" t="s">
        <v>74</v>
      </c>
      <c r="L4" s="60"/>
      <c r="M4" s="60"/>
      <c r="N4" s="60"/>
    </row>
    <row r="5" ht="15.75" customHeight="1">
      <c r="A5" s="72"/>
      <c r="B5" s="72"/>
      <c r="C5" s="73"/>
      <c r="D5" s="73"/>
      <c r="E5" s="72"/>
      <c r="F5" s="72"/>
      <c r="G5" s="72"/>
      <c r="H5" s="72"/>
      <c r="I5" s="72"/>
      <c r="J5" s="72"/>
      <c r="K5" s="72"/>
      <c r="L5" s="72"/>
      <c r="M5" s="72"/>
      <c r="N5" s="72"/>
    </row>
    <row r="6" ht="15.75" customHeight="1">
      <c r="A6" s="72"/>
      <c r="B6" s="72"/>
      <c r="C6" s="73"/>
      <c r="D6" s="73"/>
      <c r="E6" s="72"/>
      <c r="F6" s="72"/>
      <c r="G6" s="72"/>
      <c r="H6" s="72"/>
      <c r="I6" s="72"/>
      <c r="J6" s="74" t="s">
        <v>75</v>
      </c>
      <c r="M6" s="72"/>
      <c r="N6" s="72"/>
    </row>
    <row r="7" ht="15.75" customHeight="1">
      <c r="A7" s="72"/>
      <c r="B7" s="72"/>
      <c r="C7" s="73"/>
      <c r="D7" s="73"/>
      <c r="E7" s="72"/>
      <c r="F7" s="72"/>
      <c r="G7" s="72"/>
      <c r="H7" s="72"/>
      <c r="I7" s="72"/>
      <c r="J7" s="72"/>
      <c r="K7" s="72"/>
      <c r="L7" s="72"/>
      <c r="M7" s="72"/>
      <c r="N7" s="72"/>
    </row>
  </sheetData>
  <mergeCells count="2">
    <mergeCell ref="A3:A4"/>
    <mergeCell ref="J6:L6"/>
  </mergeCells>
  <dataValidations>
    <dataValidation type="list" allowBlank="1" showErrorMessage="1" sqref="B2:K2">
      <formula1>"Obrigatório,Opcional"</formula1>
    </dataValidation>
  </dataValidations>
  <drawing r:id="rId1"/>
</worksheet>
</file>