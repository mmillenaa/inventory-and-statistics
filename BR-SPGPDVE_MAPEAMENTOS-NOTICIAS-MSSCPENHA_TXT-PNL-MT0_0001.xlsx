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5"/>
    <sheet state="visible" name="Notas_e_Legenda" sheetId="2" r:id="rId6"/>
    <sheet state="visible" name="Vocabulário_controlado" sheetId="3" r:id="rId7"/>
    <sheet state="hidden" name="Organização" sheetId="4" r:id="rId8"/>
    <sheet state="hidden" name="Lista de movimentos" sheetId="5" r:id="rId9"/>
    <sheet state="hidden" name="Definições" sheetId="6" r:id="rId10"/>
    <sheet state="hidden" name="Acervo" sheetId="7" r:id="rId11"/>
  </sheets>
  <definedNames>
    <definedName hidden="1" localSheetId="4" name="_xlnm._FilterDatabase">'Lista de movimentos'!$A$2:$A$172</definedName>
    <definedName hidden="1" localSheetId="5" name="_xlnm._FilterDatabase">'Definições'!$A$1:$D$24</definedName>
    <definedName hidden="1" localSheetId="6" name="_xlnm._FilterDatabase">Acervo!$A$1:$E$12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tc={4a3655cf-6918-4236-96ba-5832082dd16f}</author>
    <author>tc={4edb2e92-1cae-4dcb-8b89-d8e4510607af}</author>
    <author>tc={575363b1-1c58-44b9-9f0a-f8c91c2e0645}</author>
    <author>tc={98e70a28-1351-4037-b13e-b974f264b1f8}</author>
    <author>tc={b6996138-a5cb-4064-96a1-01753cedc2cf}</author>
    <author>tc={fd12a1e3-2f86-4d71-9296-a3ec198e88ef}</author>
  </authors>
  <commentList>
    <comment authorId="0" xr:uid="{4a3655cf-6918-4236-96ba-5832082dd16f}" ref="T227">
      <text>
        <t xml:space="preserve">[Threaded comment]
 Your version of Excel allows you to read this threaded comment; however, any edits to it will get removed if the file is opened in a newer version of Excel. Learn more: https://go.microsoft.com/fwlink/?linkid=870924
Comment:
	Parei na pg. 31
</t>
      </text>
    </comment>
    <comment authorId="1" xr:uid="{4edb2e92-1cae-4dcb-8b89-d8e4510607af}" ref="K3">
      <text>
        <t xml:space="preserve">[Threaded comment]
 Your version of Excel allows you to read this threaded comment; however, any edits to it will get removed if the file is opened in a newer version of Excel. Learn more: https://go.microsoft.com/fwlink/?linkid=870924
Comment:
	O parametro de que deixa essas linhas vermelhas se dá pela repetição do texto aqui, porém ainda é muito frágil... como resolver isso?
Reply:
	Explicar no manual que quando há repetição do título e efetivamente o conteúdo é diferente (tratando-se de coincidência) que indique em numeração progressiva após o título (1) (2) (3)
</t>
      </text>
    </comment>
    <comment authorId="2" xr:uid="{575363b1-1c58-44b9-9f0a-f8c91c2e0645}" ref="A1">
      <text>
        <t xml:space="preserve">[Threaded comment]
 Your version of Excel allows you to read this threaded comment; however, any edits to it will get removed if the file is opened in a newer version of Excel. Learn more: https://go.microsoft.com/fwlink/?linkid=870924
Comment:
	O parametro de que deixa essas linhas vermelhas se dá pela repetição do texto aqui, porém ainda é muito frágil... como resolver isso?
no manual que quando há repetição do título e efetivamente o conteúdo é diferente (tratando-se de coincidência) que indique em numeração progressiva após o título (1) (2) (3)
</t>
      </text>
    </comment>
    <comment authorId="3" xr:uid="{98e70a28-1351-4037-b13e-b974f264b1f8}" ref="T192">
      <text>
        <t xml:space="preserve">[Threaded comment]
 Your version of Excel allows you to read this threaded comment; however, any edits to it will get removed if the file is opened in a newer version of Excel. Learn more: https://go.microsoft.com/fwlink/?linkid=870924
Comment:
	Pagina 14
</t>
      </text>
    </comment>
    <comment authorId="4" xr:uid="{b6996138-a5cb-4064-96a1-01753cedc2cf}" ref="K2">
      <text>
        <t xml:space="preserve">[Threaded comment]
 Your version of Excel allows you to read this threaded comment; however, any edits to it will get removed if the file is opened in a newer version of Excel. Learn more: https://go.microsoft.com/fwlink/?linkid=870924
Comment:
	O parametro de que deixa essas linhas vermelhas se dá pela repetição do texto aqui, porém ainda é muito frágil... como resolver isso?
No manual dizer que quando há repetição do título e efetivamente o conteúdo é diferente (tratando-se de coincidência) que indique em numeração progressiva após o título (1) (2) (3)
Obs: difícil encontrar uma coincidência nesse aspecto. Encontrei um plágio da Jovem Pan (copiou tudo e não citou a fonte)
</t>
      </text>
    </comment>
    <comment authorId="5" xr:uid="{fd12a1e3-2f86-4d71-9296-a3ec198e88ef}" ref="J2">
      <text>
        <t xml:space="preserve">[Threaded comment]
 Your version of Excel allows you to read this threaded comment; however, any edits to it will get removed if the file is opened in a newer version of Excel. Learn more: https://go.microsoft.com/fwlink/?linkid=870924
Comment:
	Encontrar uma forma de quantificar notícias e rememorações separadamente.
Reply:
	Criar uma coluna extra ou criar um parâmetro na formula de modo que os dois sejam calculados separadamente
</t>
      </text>
    </comment>
  </commentList>
</comments>
</file>

<file path=xl/sharedStrings.xml><?xml version="1.0" encoding="utf-8"?>
<sst xmlns="http://schemas.openxmlformats.org/spreadsheetml/2006/main" count="3455" uniqueCount="1164">
  <si>
    <t>Dados da iniciativa</t>
  </si>
  <si>
    <t>Características documentais (fonte)</t>
  </si>
  <si>
    <t>Acesso</t>
  </si>
  <si>
    <t>Citação</t>
  </si>
  <si>
    <t>Iniciativa [1]</t>
  </si>
  <si>
    <t>Finalidade primária</t>
  </si>
  <si>
    <t>Intervenção</t>
  </si>
  <si>
    <t>Abrangência</t>
  </si>
  <si>
    <t>Modalidade</t>
  </si>
  <si>
    <t>Data</t>
  </si>
  <si>
    <t>Ano</t>
  </si>
  <si>
    <t>Local do veículo (difusão)
Local da iniciativa (rememoração)</t>
  </si>
  <si>
    <t>Proponente</t>
  </si>
  <si>
    <t>Título
(sem ponto ou espaço no final)</t>
  </si>
  <si>
    <t>Gênero documental</t>
  </si>
  <si>
    <r>
      <rPr>
        <rFont val="DM Sans"/>
        <b/>
        <color rgb="FFFFFFFF"/>
        <sz val="14.0"/>
      </rPr>
      <t xml:space="preserve">Reprodução
</t>
    </r>
    <r>
      <rPr>
        <rFont val="DM Sans"/>
        <b/>
        <color rgb="FFFFFFFF"/>
        <sz val="14.0"/>
      </rPr>
      <t xml:space="preserve">Técnica de registro </t>
    </r>
  </si>
  <si>
    <r>
      <rPr>
        <rFont val="DM Sans"/>
        <b/>
        <color rgb="FFFFFFFF"/>
        <sz val="14.0"/>
      </rPr>
      <t xml:space="preserve">Fonte  
</t>
    </r>
    <r>
      <rPr>
        <rFont val="DM Sans"/>
        <b/>
        <color rgb="FFFFFFFF"/>
        <sz val="14.0"/>
      </rPr>
      <t>Origem</t>
    </r>
  </si>
  <si>
    <t>Idioma</t>
  </si>
  <si>
    <t>Entrada [2][3]
Chave de busca</t>
  </si>
  <si>
    <t>Data de acesso</t>
  </si>
  <si>
    <r>
      <rPr>
        <rFont val="DM Sans"/>
        <b/>
        <color rgb="FFFFFFFF"/>
        <sz val="14.0"/>
      </rPr>
      <t xml:space="preserve">Disponibilidade
</t>
    </r>
    <r>
      <rPr>
        <rFont val="DM Sans"/>
        <b/>
        <color rgb="FFFFFFFF"/>
        <sz val="11.0"/>
      </rPr>
      <t>(última checagem: 12/11/2025)</t>
    </r>
  </si>
  <si>
    <t>Link</t>
  </si>
  <si>
    <r>
      <rPr>
        <rFont val="DM Sans"/>
        <b/>
        <color rgb="FFFFFFFF"/>
        <sz val="14.0"/>
      </rPr>
      <t xml:space="preserve">Associação Brasileira de Normas Técnicas
</t>
    </r>
    <r>
      <rPr>
        <rFont val="DM Sans"/>
        <b/>
        <color rgb="FFFFFFFF"/>
        <sz val="14.0"/>
      </rPr>
      <t>ABNT</t>
    </r>
  </si>
  <si>
    <t>Notícia</t>
  </si>
  <si>
    <t>O Globo</t>
  </si>
  <si>
    <t>Com corpos retirados de mata e levados para praça na Penha, já são mais de 121 mortos na operação mais letal do Rio; vídeos</t>
  </si>
  <si>
    <t>Hemerográfico</t>
  </si>
  <si>
    <t>Texto (digital)</t>
  </si>
  <si>
    <t>Português, Brasil</t>
  </si>
  <si>
    <t>"Massacre da Penha" no Google</t>
  </si>
  <si>
    <t>Aberto</t>
  </si>
  <si>
    <t>ROCHA, Fabiano; COSTA, João Vitor; ASSAD, Paulo; MARTINS, Bruna; GAMA, Rafaela. Moradores levam dezenas de corpos para praça na Penha após operação mais letal da história do Rio. O Globo, Rio de Janeiro, 29 out. 2025. Disponível em: https://oglobo.globo.com/rio/noticia/2025/10/29/moradores-levam-dezenas-de-corpos-para-praca-na-penha-apos-operacao-mais-letal-da-historia-do-rio.ghtml. Acesso em: 31 out. 2025.</t>
  </si>
  <si>
    <t>Agência Brasil</t>
  </si>
  <si>
    <t>Mães de mortos questionam operação no Rio: “Arrancaram o braço dele"</t>
  </si>
  <si>
    <t xml:space="preserve">PIMENTA, Thiago. Mães de mortos questionam operação no Rio: “Arrancaram o braço dele”. Agência Brasil, Brasília, 29 out. 2025. Disponível em: https://agenciabrasil.ebc.com.br/geral/noticia/2025-10/maes-de-mortos-questionam-operacao-no-rio-arrancaram-o-braco-dele. Acesso em: 31 out. 2025.
</t>
  </si>
  <si>
    <t>Carta Capital</t>
  </si>
  <si>
    <t>O massacre da penha obriga o país a escolher</t>
  </si>
  <si>
    <t>Acesso restrito</t>
  </si>
  <si>
    <t xml:space="preserve">COSTA, Amarílis. O massacre na Penha obriga o País a escolher. CartaCapital, São Paulo, 29 out. 2025. Disponível em: https://www.cartacapital.com.br/opiniao/o-massacre-na-penha-obriga-o-pais-a-escolher/. Acesso em: 31 out. 2025.
</t>
  </si>
  <si>
    <t>Le Monde Diplomatique</t>
  </si>
  <si>
    <t>O massacre da Penha e a necropolítica como política oficial do Rio de Janeiro</t>
  </si>
  <si>
    <t>MACEDO, Fernanda. O massacre da Penha e a necropolítica como política oficial do Rio de Janeiro. Le Monde Diplomatique Brasil, São Paulo, 30 out. 2025. Disponível em: https://diplomatique.org.br/o-massacre-da-penha-e-a-necropolitica-como-politica-oficial-do-rio-de-janeiro/. Acesso em: 31 out. 2025.</t>
  </si>
  <si>
    <t>Jornal UNESP</t>
  </si>
  <si>
    <t>Grande número de mortos indica que operação em complexos de favelas do Rio de Janeiro não pode ser chamada de sucesso, avalia docente da Unesp</t>
  </si>
  <si>
    <t>MONTENEGRO, Marianna. Grande número de mortos indica que operação em complexos de favelas do Rio de Janeiro não pode ser chamada de sucesso, avalia docente da Unesp. Jornal da Unesp, São Paulo, 29 out. 2025. Disponível em: https://jornal.unesp.br/2025/10/29/grande-numero-de-mortos-indica-que-operacao-em-complexos-de-favelas-do-rio-de-janeiro-nao-pode-ser-chamada-de-sucesso-avalia-docente-da-unesp/. Acesso em: 31 out. 2025.</t>
  </si>
  <si>
    <t>Ponte Jornalismo</t>
  </si>
  <si>
    <t>Massacre do Alemão e da Penha tem mais dezenas de mortos encontrados e supera Carandiru</t>
  </si>
  <si>
    <t>BATISTELLA, Paulo; DUARTE, Catarina. Massacre do Alemão e da Penha tem mais dezenas de mortos encontrados e supera Carandiru. Ponte Jornalismo, São Paulo, 29 out. 2025. Disponível em: https://ponte.org/massacre-do-alemao-e-da-penha-tem-mais-dezenas-de-mortos-encontrados-e-supera-carandiru/. Acesso em: 31 out. 2025.</t>
  </si>
  <si>
    <t>Folha de S. Paulo</t>
  </si>
  <si>
    <t>Operação do Alemão e na Penha é a mais letal do RJ</t>
  </si>
  <si>
    <t>KRUSE, Tulio. Operação no Alemão e na Penha contra o CV é a 2ª mais letal do RJ. Folha de S. Paulo, São Paulo, 28 out. 2025. Disponível em: https://www1.folha.uol.com.br/cotidiano/2025/10/operacao-no-alemao-e-na-penha-contra-o-cv-e-a-2a-mais-letal-do-rj.shtml. Acesso em: 31 out. 2025.</t>
  </si>
  <si>
    <t>Ativistas denunciam "massacre" em ação policial no Rio</t>
  </si>
  <si>
    <t xml:space="preserve">FREIRE, Tâmara. Ativistas denunciam "massacre" em ação policial no Rio. Agência Brasil, Rio de Janeiro, 29 out. 2025. Disponível em: https://agenciabrasil.ebc.com.br/geral/noticia/2025-10/ativistas-denunciam-massacre-no-rio-0. Acesso em: 31 out. 2025.
</t>
  </si>
  <si>
    <t>Cebes</t>
  </si>
  <si>
    <t>Massacre da Penha tem mais vítimas que o do Carandiru; corpos enfileirados no chão são retrato da barbárie</t>
  </si>
  <si>
    <t>FAGUNDES, Clara. Rio em Luto: Massacre da Penha tem mais vítimas que Carandiru. Cebes, São Paulo, 29 out. 2025. Disponível em: https://cebes.org.br/rio-em-luto-massacre-da-penha-tem-mais-vitimas-que-carandiru/39928/. Acesso em: 31 out. 2025</t>
  </si>
  <si>
    <t>UOL</t>
  </si>
  <si>
    <t>Corpos achados na Penha têm marcas de tiro na nuca e facada, diz testemunha</t>
  </si>
  <si>
    <t>CARVALHO, Eduardo; GUIMARÃES, Saulo Pereira; BARROS, Lorena. Corpos achados na Penha têm marcas de tiro na nuca e facada, diz testemunha. UOL, São Paulo, 29 out. 2025. Disponível em: https://noticias.uol.com.br/cotidiano/ultimas-noticias/2025/10/29/marcas-tiros-relatos-corpos-complexo-da-penha.htm?cmpid=copiaecola. Acesso em: 31 out. 2025.</t>
  </si>
  <si>
    <t>Operação supera massacre do Carandiru em violações, diz deputada</t>
  </si>
  <si>
    <t xml:space="preserve">GANDRA, Alana. Operação supera massacre do Carandiru em violações, diz deputada. Agência Brasil, Rio de Janeiro, 29 out. 2025. Disponível em: https://agenciabrasil.ebc.com.br/direitoshumanos/noticia/2025-10/operacao-supera-massacre-do-carandiru-em-violacoes-diz-deputada. Acesso em: 31 out. 2025.
</t>
  </si>
  <si>
    <t>A Verdade</t>
  </si>
  <si>
    <t>Governo do Rio promove maior chacina policial da história do Brasil</t>
  </si>
  <si>
    <t>MEDEIROS, Arthur; NORMANDE, Lunna. Governo do Rio promove maior chacina policial da história do Brasil. A Verdade, Rio de Janeiro, 29 out. 2025. Disponível em: https://averdade.org.br/2025/10/governo-do-rio-promove-maior-massacre-policial-da-historia-do-brasil/. Acesso em: 31 out. 2025.</t>
  </si>
  <si>
    <t>Governo do RJ proíbe Defensoria Pública de acompanhar perícias do Massacre da Penha</t>
  </si>
  <si>
    <t xml:space="preserve">CAMPELLO, Chantal. Governo do RJ proíbe Defensoria Pública de acompanhar perícias do Massacre da Penha. A Verdade, Rio de Janeiro, 30 out. 2025. Disponível em: https://averdade.org.br/2025/10/governo-do-rj-proibe-defensoria-publica-de-acompanhar-pericias-do-massacre-da-penha/. Acesso em: 31 out. 2025.
</t>
  </si>
  <si>
    <t>Rio em Luto: Massacre da Penha tem mais vítimas que Carandiru</t>
  </si>
  <si>
    <t>FAGUNDES, Clara. Rio em Luto: Massacre da Penha tem mais vítimas que Carandiru. Cebes, São Paulo, 29 out. 2025. Disponível em: https://cebes.org.br/rio-em-luto-massacre-da-penha-tem-mais-vitimas-que-carandiru/39928/. Acesso em: 31 out. 2025.</t>
  </si>
  <si>
    <t>Bahia Já</t>
  </si>
  <si>
    <t>Massacre no Rio: mais 64 corpos são empilhados numa praça da Penha</t>
  </si>
  <si>
    <t xml:space="preserve">FRANCO, Tasso. Massacre no Rio: mais 64 corpos são empilhados numa praça da Penha. Bahia Já, Salvador, 29 out. 2025. Disponível em: https://www.bahiaja.com.br/politica/noticia/2025/10/29/massacre-no-rio-mais-64-corpos-sao-empilhados-numa-praca-da-penha,158512,0.html. Acesso em: 31 out. 2025.
</t>
  </si>
  <si>
    <t>Protesto reúne familiares de jovens mortos pela polícia em São Paulo</t>
  </si>
  <si>
    <t xml:space="preserve">DUARTE, Catarina. Protesto reúne familiares de jovens mortos pela polícia em São Paulo. Ponte Jornalismo, São Paulo, 29 out. 2025. Disponível em: https://ponte.org/protesto-reune-familiares-de-jovens-mortos-pela-policia-em-sp/. Acesso em: 31 out. 2025.
</t>
  </si>
  <si>
    <t>Ato</t>
  </si>
  <si>
    <t>Rio de Janeiro, Brasil</t>
  </si>
  <si>
    <t>Manifestantes em São Paulo pediram o fim da violência policial e lembraram o Massacre da Penha e do Alemão, ocorrido ontem no Rio de Janeiro</t>
  </si>
  <si>
    <t>Iconográfico</t>
  </si>
  <si>
    <t>Imagem (digital)</t>
  </si>
  <si>
    <t>ARROYO, Daniel. Manifestantes em São Paulo pediram o fim da violência policial e lembraram o Massacre da Penha e do Alemão, ocorrido ontem no Rio de Janeiro. Fotografia. Ponte Jornalismo, São Paulo, 29 out. 2025. Disponível em: https://ponte.org/protesto-reune-familiares-de-jovens-mortos-pela-policia-em-sp/. Acesso em: 31 out. 2025.</t>
  </si>
  <si>
    <t>Manifesto</t>
  </si>
  <si>
    <t>Fundação Oswaldo Cruz</t>
  </si>
  <si>
    <t>Fiocruz e instituições divulgam Manifesto por uma Segurança Pública Cidadã para o Rio</t>
  </si>
  <si>
    <t>FUNDAÇÃO OSWALDO CRUZ. Fiocruz e instituições divulgam Manifesto por uma Segurança Pública Cidadã para o Rio. Fiocruz, Rio de Janeiro, 29 out. 2025. Disponível em: https://agencia.fiocruz.br/fiocruz-e-instituicoes-divulgam-manifesto-por-uma-seguranca-publica-cidada-para-o-rio. Acesso em: 31 out. 2025.</t>
  </si>
  <si>
    <t>A chacina fluminense e o estado permanente de guerra</t>
  </si>
  <si>
    <t>PASSOS, Rachel Gouveia. A chacina fluminense e o estado permanente de guerra. Le Monde Diplomatique Brasil, São Paulo, 30 out. 2025. Disponível em: https://diplomatique.org.br/a-chacina-fluminense-e-o-estado-permanente-de-guerra/. Acesso em: 31 out. 2025.</t>
  </si>
  <si>
    <t>A chacina do Rio como clímax das narrativas da extrema-direita</t>
  </si>
  <si>
    <t>LACERDA, Marina Basso. A chacina do Rio como clímax das narrativas da extrema-direita. Le Monde Diplomatique Brasil, São Paulo, 31 out. 2025. Disponível em: https://diplomatique.org.br/a-chacina-do-rio-como-climax-das-narrativas-da-extrema-direita/. Acesso em: 31 out. 2025.</t>
  </si>
  <si>
    <t>A dor da cor: a maior chacina da democracia brasileira e o Rio de Janeiro</t>
  </si>
  <si>
    <t>CAMPOS, Marcelo; CACICEDO, Patrick; RAMOS, Paulo César. A dor da cor: a maior chacina da democracia brasileira e o Rio de Janeiro. Le Monde Diplomatique Brasil, São Paulo, 30 out. 2025. Disponível em: https://diplomatique.org.br/a-dor-da-cor-a-maior-chacina-da-democracia-brasileira-e-o-rio-de-janeiro/. Acesso em: 31 out. 2025.</t>
  </si>
  <si>
    <t>Solidariedade àqueles que atuam na cobertura da operação no Rio de Janeiro</t>
  </si>
  <si>
    <t>ASSOCIAÇÃO DE JORNALISMO DIGITAL (AJOR). Solidariedade àqueles que atuam na cobertura da operação no Rio de Janeiro. Le Monde Diplomatique Brasil, São Paulo, 29 out. 2025. Disponível em: https://diplomatique.org.br/solidariedade-aqueles-que-atuam-na-cobertura-da-operacao-no-rio-de-janeiro-ajor/. Acesso em: 31 out. 2025.</t>
  </si>
  <si>
    <t>Amanhã a babá não trabalha</t>
  </si>
  <si>
    <t>CREMASCO, Thaís. Amanhã a babá não trabalha. Le Monde Diplomatique Brasil, São Paulo, 29 out. 2025. Disponível em: https://diplomatique.org.br/a-baba-a-favela-e-o-centro/. Acesso em: 31 out. 2025.</t>
  </si>
  <si>
    <t>Gazeta do Povo</t>
  </si>
  <si>
    <t xml:space="preserve">ONU diz estar “horrorizada” com operação policial no Rio de Janeir
</t>
  </si>
  <si>
    <t>Hiperlink</t>
  </si>
  <si>
    <t>LUCAS, John. ONU diz estar “horrorizada” com operação policial no Rio de Janeiro. Gazeta do Povo, Curitiba, 28 out. 2025. Disponível em: https://www.gazetadopovo.com.br/mundo/onu-diz-estar-horrorizada-com-operacao-policial-no-rio-de-janeiro/. Acesso em: 31 out. 2025.</t>
  </si>
  <si>
    <t>Manifesto por uma Segurança Pública Cidadã no Rio</t>
  </si>
  <si>
    <t>CEBES. Manifesto por uma Segurança Pública Cidadã no Rio. Cebes, São Paulo, 29 out. 2025. Disponível em: https://cebes.org.br/manifesto-por-uma-seguranca-publica-cidada-no-rio/39944/. Acesso em: 31 out. 2025.</t>
  </si>
  <si>
    <t>Operação no Rio: uma chance para tirar da pauta as questões trabalhistas</t>
  </si>
  <si>
    <t>FAGUNDES, Raphael. Operação no Rio: uma chance para tirar da pauta as questões trabalhistas. Le Monde Diplomatique Brasil, São Paulo, 31 out. 2025. Disponível em: https://diplomatique.org.br/operacao-no-rio-uma-chance-para-tirar-da-pauta-as-questoes-trabalhistas/. Acesso em: 31 out. 2025.</t>
  </si>
  <si>
    <t>O Rio, a Garota de Ipanema e a necropolítica</t>
  </si>
  <si>
    <t>FREITAS, Vinicius Ruiz Albino de. O Rio, a Garota de Ipanema e a necropolítica. Le Monde Diplomatique Brasil, São Paulo, 31 out. 2025. Disponível em: https://diplomatique.org.br/o-rio-a-garota-de-ipanema-e-a-necropolitica/. Acesso em: 31 out. 2025.</t>
  </si>
  <si>
    <t>ICL Notícias</t>
  </si>
  <si>
    <t>119 mortos</t>
  </si>
  <si>
    <t>ICL NOTÍCIAS. 119 mortos: é a maior matança em comunidades do RJ. ICL Notícias, Rio de Janeiro, 29 out. 2025. Disponível em: https://iclnoticias.com.br/megaoperacao-das-policias-do-rj-cv-mortos/. Acesso em: 31 out. 2025.</t>
  </si>
  <si>
    <t>Carta pública</t>
  </si>
  <si>
    <t>Associação de Amigos/as e Familiares de Pessoas Presas e Internos/as da Fundação Casa — Amparar, Anistia Internacional Brasil, Casa Fluminense, Centro de Estudos de Segurança e Cidadania — CESeC, Centro pela Justiça e o Direito Internacional — CEJIL, CIDADES – Núcleo de Pesquisa Urbana da Universidade do Estado do Rio de Janeiro, Conectas Direitos Humanos, Federação de Órgãos para Assistência Social e Educacional — FASE RJ, Fórum Popular de Segurança Pública do Rio de Janeiro, Frente Estadual pelo Desencarceramento — RJ, Gabinete Assessoria Jurídica Organizações Populares — GAJOP, Grupo Tortura Nunca Mais — RJ, Iniciativa Direito Memória e Justiça Racial, Instituto de Defensores de Direitos Humanos — DDH, Instituto de Estudos da Religião — ISER, Instituto Papo Reto do Complexo do Alemão, Instituto Sou da Paz, Instituto Terra Trabalho e Cidadania — ITTC, Justiça Global, Movimento Unidos dos Camelôs, Movimentos, Núcleo de Assessoria Jurídica Universitária Popular (NAJUP) Luiza Mahin, Núcleo de Estudos e Pesquisa Guerreiro Ramos – Negra-UFF, Observatório de Favelas, Plataforma Justa, Rede de Comunidades e Movimentos contra a Violência, Rede Justiça Criminal, Rede Nacional de Advogadas e Advogados Populares — RENAP RJ, Redes da Maré.</t>
  </si>
  <si>
    <t xml:space="preserve">Segurança pública não se faz com sangue 
</t>
  </si>
  <si>
    <t>Justiça Global</t>
  </si>
  <si>
    <t>JUSTIÇA GLOBAL. Operação Contenção: organizações repudiam operação mais letal da história do Rio e denunciam política de guerra nas favelas. Global, Rio de Janeiro, 28 out. 2025. Disponível em: https://www.global.org.br/blog/operacao-contencao-organizacoes-de-direitos-humanos-repudiam-operacao-mais-letal-da-historia-do-rio-e-denunciam-politica-de-guerra-nas-favelas/. Acesso em: 31 out. 2025.</t>
  </si>
  <si>
    <t>Rio Grande do Sul, Brasil</t>
  </si>
  <si>
    <t>GHZ</t>
  </si>
  <si>
    <t>Mais um golpe na imagem do Brasil às vésperas de sediar o maior evento internacional do ano</t>
  </si>
  <si>
    <t>LOPES, Rodrigo. Mais um golpe na imagem do Brasil às vésperas de sediar o maior evento internacional do ano. GaúchaZH, Porto Alegre, 31 out. 2025. Disponível em: https://gauchazh.clicrbs.com.br/colunistas/rodrigo-lopes/noticia/2025/10/mais-um-golpe-na-imagem-do-brasil-as-vesperas-de-sediar-o-maior-evento-internacional-do-ano-cmhcb0qa0014r014u4xlqdrbm.html. Acesso em: 31 out. 2025.</t>
  </si>
  <si>
    <t>Nota de pesar</t>
  </si>
  <si>
    <t>São Paulo, Brasil</t>
  </si>
  <si>
    <t>Pastoral Carcerária CNBB</t>
  </si>
  <si>
    <t>Pastoral Carcerária - CNBB</t>
  </si>
  <si>
    <t>PASTORAL CARCERÁRIA. Do Carandiru ao Rio de Janeiro: a dor que se repete. Pastoral Carcerária, São Paulo, 29 out. 2025. Disponível em: https://carceraria.org.br/noticias/do-carandiru-ao-rio-de-janeiro-a-dor-que-se-repete. Acesso em: 31 out. 2025.</t>
  </si>
  <si>
    <t>Onze de Maio</t>
  </si>
  <si>
    <t>Mortes passam de 130; Castro fala em “sucesso” em meio a possíveis torturas e execuções</t>
  </si>
  <si>
    <t>ONZE DE MAIO. Mortes passam de 130; Castro fala em “sucesso” em meio a possíveis torturas e execuções. Onze de Maio, Rio de Janeiro, 29 out. 2025. Disponível em: https://onzedemaio.com.br/mortes-passam-de-130-castro-fala-em-sucesso-em-meio-a-possiveis-torturas-e-execucoes/. Acesso em: 31 out. 2025.</t>
  </si>
  <si>
    <t>Palestra</t>
  </si>
  <si>
    <t>Bahia, Brasil</t>
  </si>
  <si>
    <t>Universidade Federal da Bahia (UFBA)</t>
  </si>
  <si>
    <t>Em defesa da vida: Encontro Ciência, Saúde e Participação Popular tem início com vozes firmes diante da barbárie no Rio</t>
  </si>
  <si>
    <t>CEBES. Em defesa da vida: Encontro Ciência, Saúde e Participação Popular tem início com vozes firmes diante da barbárie no Rio. Cebes, São Paulo, 31 out. 2025. Disponível em: https://cebes.org.br/em-defesa-da-vida-encontro-ciencia-saude-e-participacao-popular-tem-inicio-com-vozes-firmes-diante-da-barbarie-no-rio/39971/. Acesso em: 31 out. 2025.</t>
  </si>
  <si>
    <t>Artigo de opinião</t>
  </si>
  <si>
    <t>Vio Mundo</t>
  </si>
  <si>
    <t>Marco Brito: Lula não cometeu ato falho na Malásia–os favelados são vítimas do capitalismo</t>
  </si>
  <si>
    <t xml:space="preserve">BRITO, Marco Paulo Valeriano de. Lula não cometeu ato falho na Malásia – os favelados são vítimas do capitalismo. Viomundo, São Paulo, 29 out. 2025. Disponível em: https://www.viomundo.com.br/politica/marco-brito-lula-nao-cometeu-ato-falho-na-malasia-os-favelados-sao-vitimas-do-capitalismo.html. Acesso em: 31 out. 2025.
</t>
  </si>
  <si>
    <t>Rio on Watch</t>
  </si>
  <si>
    <t>Um Massacre! Operação Mais Sangrenta da História do Rio de Janeiro Gera Luto, Pavor e Indignação nas Favelas, na Cidade, no Brasil e no Mundo, É #OQueDizemAsRedes</t>
  </si>
  <si>
    <t>RIOONWATCH. Um massacre! Operação mais sangrenta da história do Rio de Janeiro gera luto, pavor e indignação nas favelas, na cidade, no Brasil e no mundo, é #OQueDizemAsRedes. RioOnWatch, Rio de Janeiro, 29 out. 2025. Disponível em: https://rioonwatch.org.br/?p=79796. Acesso em: 31 out. 2025.</t>
  </si>
  <si>
    <t>Diário Carioca</t>
  </si>
  <si>
    <t>PM do Rio admite perda de imagens por falta de bateria em câmeras corporais durante chacina</t>
  </si>
  <si>
    <t>Iconográfico, Textual</t>
  </si>
  <si>
    <t>Texto (digital), Imagem (digital)</t>
  </si>
  <si>
    <t>DIÁRIO CARIOCA. PM do Rio admite perda de imagens por falta de bateria em câmeras corporais durante chacina. Instagram: @diariocarioca, 31 out. 2025. Disponível em: https://www.instagram.com/p/DQZxp8WkRQJ/. Acesso em: 31 out. 2025.</t>
  </si>
  <si>
    <t>Voz das Comunidades</t>
  </si>
  <si>
    <t>Durante o confronto nos complexos da Penha e do Alemão, moradores saíram às ruas e becos pedindo paz. O ato ocorreu em meio à troca de tiros que marcou a operação policial na região</t>
  </si>
  <si>
    <t>Textual, Audiovisual</t>
  </si>
  <si>
    <t>Vídeo (digital)</t>
  </si>
  <si>
    <t>Instagram (Voz das Comunidades)</t>
  </si>
  <si>
    <t xml:space="preserve">VOZ DAS COMUNIDADES. Durante o confronto nos complexos da Penha e do Alemão, moradores saíram às ruas e becos pedindo paz. O ato ocorreu em meio à troca de tiros que marcou a operação policial na região. Instagram: @vozdascomunidades, 28 out. 2025. Disponível em: https://www.instagram.com/p/DQW76w7Ef-H/. Acesso em: 31 out. 2025.
</t>
  </si>
  <si>
    <t>Conteúdo sensível. Há uma movimentação intensa no Hospital Getúlio Vargas na tarde desta terça-feira (28).</t>
  </si>
  <si>
    <t>VOZ DAS COMUNIDADES. Conteúdo sensível. Há uma movimentação intensa no Hospital Getúlio Vargas na tarde desta terça-feira (28). Instagram: @vozdascomunidades, 28 out. 2025. Disponível em: https://www.instagram.com/p/DQW8m4cEUog/. Acesso em: 31 out. 2025.</t>
  </si>
  <si>
    <t>Clima de tensão no Complexo do Alemão! Circulação de blindados pela comunidade.</t>
  </si>
  <si>
    <t>VOZ DAS COMUNIDADES. Clima de tensão no Complexo do Alemão! Circulação de blindados pela comunidade. Instagram: @vozdascomunidades, 28 out. 2025. Disponível em: https://www.instagram.com/p/DQW_sGOEcSY/. Acesso em: 31 out. 2025.</t>
  </si>
  <si>
    <t>Massacre no Rio</t>
  </si>
  <si>
    <t>VOZ DAS COMUNIDADES. Massacre no Rio. Instagram: @vozdascomunidades, 28 out. 2025. Disponível em: https://www.instagram.com/p/DQXLQ94EbQX/?img_index=1. Acesso em: 31 out. 2025.</t>
  </si>
  <si>
    <t>A Estrada do Itararé, principal via do Complexo do Alemão, segue com comércios fechados nesta tarde</t>
  </si>
  <si>
    <t xml:space="preserve">VOZ DAS COMUNIDADES. A Estrada do Itararé, principal via do Complexo do Alemão, segue com comércios fechados nesta tarde. Instagram: @vozdascomunidades, 28 out. 2025. Disponível em: https://www.instagram.com/p/DQXLbXEEdQA/. Acesso em: 31 out. 2025.
</t>
  </si>
  <si>
    <t>O que ficou após 13 horas de confronto no Complexo da Penha é destruição e medo</t>
  </si>
  <si>
    <t>VOZ DAS COMUNIDADES. O que ficou após 13 horas de confronto no Complexo da Penha é destruição e medo. Instagram: @vozdascomunidades, 28 out. 2025. Disponível em: https://www.instagram.com/p/DQXiRf1Epoo/. Acesso em: 31 out. 2025.</t>
  </si>
  <si>
    <t>Fotografia</t>
  </si>
  <si>
    <t>Bruno Itan</t>
  </si>
  <si>
    <t>Cenário de Guerra no Complexo da Penha</t>
  </si>
  <si>
    <t>ITAN, Bruno. Cenário de Guerra no Complexo da Penha. Fotografia. Publicado por Voz das Comunidades. Instagram: @vozdascomunidades, Rio de Janeiro, 28 out. 2025. Disponível em: https://www.instagram.com/p/DQY_mkSkSDR/. Acesso em: 31 out. 2025.</t>
  </si>
  <si>
    <t>Renato Silva</t>
  </si>
  <si>
    <t>Conteúdo sensível. Corpos encontrados no Complexo da Penha durante a madrugada desta quarta-feira (29)</t>
  </si>
  <si>
    <t>SILVA, Renato. Conteúdo sensível. Corpos encontrados no Complexo da Penha durante a madrugada desta quarta-feira (29). Fotografia. Publicado por Voz das Comunidades. Instagram: @vozdascomunidades, Rio de Janeiro, 29 out. 2025. Disponível em: https://www.instagram.com/p/DQY5_odEZxQ/?img_index=1. Acesso em: 31 out. 2025.</t>
  </si>
  <si>
    <t>Cerca de 60 corpos no chão da Vila Cruzeiro após a maior chacina da história do Estado do Rio de Janeiro</t>
  </si>
  <si>
    <t>VOZ DAS COMUNIDADES. Cerca de 60 corpos no chão da Vila Cruzeiro após a maior chacina da história do Estado do Rio de Janeiro. Vídeo de Rene Silva. Instagram: @vozdascomunidades, 29 out. 2025. Disponível em: https://www.instagram.com/p/DQZC_crDoMs/. Acesso em: 31 out. 2025.</t>
  </si>
  <si>
    <t>VOZ DAS COMUNIDADES. [Vídeo sem título]. Instagram: @vozdascomunidades, 29 out. 2025. Disponível em: https://www.instagram.com/p/DQZFcvVkY5P/. Acesso em: 31 out. 2025.</t>
  </si>
  <si>
    <t>Os corpos estão sendo retirados da praça Inter no Complexo da Penha.</t>
  </si>
  <si>
    <t xml:space="preserve">VOZ DAS COMUNIDADES. Os corpos estão sendo retirados da praça Inter no Complexo da Penha. Vídeo. Instagram: @vozdascomunidades, 29 out. 2025. Disponível em: https://www.instagram.com/p/DQZFfo4EUz7/. Acesso em: 31 out. 2025.
</t>
  </si>
  <si>
    <t>Resultado da política de extermínio contra a favela</t>
  </si>
  <si>
    <t>VOZ DAS COMUNIDADES. Resultado da política de extermínio contra a favela. Instagram: @vozdascomunidades, 29 out. 2025. Disponível em: https://www.instagram.com/p/DQZJ6XTkfAh/?img_index=1. Acesso em: 31 out. 2025.</t>
  </si>
  <si>
    <t>Chacina da Penha</t>
  </si>
  <si>
    <t>VOZ DAS COMUNIDADES. Chacina da Penha. Vídeo de Rene Silva. Instagram: @vozdascomunidades, 29 out. 2025. Disponível em: https://www.instagram.com/p/DQZN7o3Drm_/. Acesso em: 31 out. 2025.</t>
  </si>
  <si>
    <t>Manifestação</t>
  </si>
  <si>
    <t>A favela quer viver</t>
  </si>
  <si>
    <t xml:space="preserve">VOZ DAS COMUNIDADES. A FAVELA QUER VIVER!. Vídeo. Instagram: @vozdascomunidades, Rio de Janeiro, 29 out. 2025. Disponível em: https://www.instagram.com/p/DQZPFLtDYq2/. Acesso em: 31 out. 2025.
</t>
  </si>
  <si>
    <t>Narra</t>
  </si>
  <si>
    <t>128 mortos</t>
  </si>
  <si>
    <t>Instagram (Narra)</t>
  </si>
  <si>
    <t>NARRA. 128 MORTOS. Fotografia. Instagram: @narra.br, Rio de Janeiro, 29 out. 2025. Disponível em: https://www.instagram.com/p/DQZTmfEDeO2/. Acesso em: 31 out. 2025.</t>
  </si>
  <si>
    <t>Ação popular</t>
  </si>
  <si>
    <t>Plano de Ação Popular do CPX!</t>
  </si>
  <si>
    <t>VOZ DAS COMUNIDADES. Plano de Ação Popular do CPX!. Instagram: @vozdascomunidades, Rio de Janeiro, 29 out. 2025. Disponível em: https://www.instagram.com/p/DQZYu8Yje0y/?img_index=1. Acesso em: 31 out. 2025.</t>
  </si>
  <si>
    <t>Mais um relato de quem está ajudando na localização dos corpos no Complexo da Penha</t>
  </si>
  <si>
    <t>VOZ DAS COMUNIDADES. Mais um relato de quem está ajudando na localização dos corpos no Complexo da Penha. Instagram: @vozdascomunidades, Rio de Janeiro, 29 out. 2025. Disponível em: https://www.instagram.com/reel/DQZZAiMDVID/?utm_source=ig_web_button_share_sheet&amp;igsh=MzRlODBiNWFlZA==. Acesso em: 31 out. 2025.</t>
  </si>
  <si>
    <t>A favela não vence enquanto for tratada como inimiga do Estado</t>
  </si>
  <si>
    <t>VOZ DAS COMUNIDADES. A favela não vence enquanto for tratada como inimiga do Estado. Fotografias. Instagram: @vozdascomunidades, Rio de Janeiro, 29 out. 2025. Disponível em: https://www.instagram.com/p/DQZcx_9DUHB/?img_index=1. Acesso em: 31 out. 2025.</t>
  </si>
  <si>
    <t>Especialistas classificam a megaoperação nos complexos do Alemão e da Penha como a maior chacina da história do Rio de Janeiro</t>
  </si>
  <si>
    <t>VOZ DAS COMUNIDADES. Especialistas classificam a megaoperação nos complexos do Alemão e da Penha como a maior chacina da história do Rio de Janeiro. Instagram: @vozdascomunidades, Rio de Janeiro, 29 out. 2025. Disponível em: https://www.instagram.com/p/DQZfTMHDQQb/. Acesso em: 31 out. 2025.</t>
  </si>
  <si>
    <t>A favela não venceu, ela segue sangrando</t>
  </si>
  <si>
    <t>Textual</t>
  </si>
  <si>
    <t>VOZ DAS COMUNIDADES. A favela não venceu, ela segue sangrando.... Publicação de Ana Terra. Instagram: @vozdascomunidades, Rio de Janeiro, 29 out. 2025. Disponível em: https://www.instagram.com/p/DQZg_JQEcKi/?img_index=1. Acesso em: 31 out. 2025.</t>
  </si>
  <si>
    <t>Massacre no Rio de Janeiro! Ação no complexo da Penha e complexo do Alemão deixa mais de 140 mortos, a MAIOR CHACINA DO RIO DE JANEIRO!</t>
  </si>
  <si>
    <t>VOZ DAS COMUNIDADES. Massacre no Rio de Janeiro! Ação no complexo da Penha e complexo do Alemão deixa mais de 140 mortos, a MAIOR CHACINA DO RIO DE JANEIRO!. Instagram: @vozdascomunidades, Rio de Janeiro, 29 out. 2025. Disponível em: https://www.instagram.com/p/DQZv_jXkdhA/?img_index=1. Acesso em: 31 out. 2025.</t>
  </si>
  <si>
    <t>Reportagem</t>
  </si>
  <si>
    <t>Audiovisual</t>
  </si>
  <si>
    <t xml:space="preserve">VOZ DAS COMUNIDADES. [Sem título]. Vídeo. Instagram: @vozdascomunidades, Rio de Janeiro, 29 out. 2025. Disponível em: https://www.instagram.com/p/DQZ42YsEUvY/. Acesso em: 31 out. 2025.
</t>
  </si>
  <si>
    <t>O depoimento de uma mãe que perdeu o filho na operação mais letal da história do Rio de Janeiro</t>
  </si>
  <si>
    <t>VOZ DAS COMUNIDADES. O depoimento de uma mãe que perdeu o filho na operação mais letal da história do Rio de Janeiro. Vídeo. Instagram: @vozdascomunidades, Rio de Janeiro, 29 out. 2025. Disponível em: https://www.instagram.com/p/DQZ5cBnEU4d/. Acesso em: 31 out. 2025.</t>
  </si>
  <si>
    <t>Uendell Vinícius</t>
  </si>
  <si>
    <t>Envolto na bandeira do Brasil, menino pede paz em ato conta a maior operação policial da História do Rio de Janeiro, no Complexo da Penha</t>
  </si>
  <si>
    <t xml:space="preserve">Imagem (digital) </t>
  </si>
  <si>
    <t>VINÍCIUS, Uendell. Envolto na bandeira do Brasil, menino pede paz em ato conta a maior operação policial da História do Rio de Janeiro, no Complexo da Penha. [Fotografia]. Instagram: @u.vinicius_. Publicado por Voz das Comunidades, Rio de Janeiro, 29 out. 2025. Disponível em: https://www.instagram.com/p/DQZ8uzej0YX/?img_index=1. Acesso em: 31 out. 2025.</t>
  </si>
  <si>
    <t>Documentário</t>
  </si>
  <si>
    <t>Bianca Manicongo, Bia Ferreira, OCotta, Caio Prado,  Ágata Pauer,  Raull Santiago,  Uendell Vinícius, Voz das Comunidades</t>
  </si>
  <si>
    <t>Artistas negros, periféricos e favelados se manifestam sobre o massacre da Penha</t>
  </si>
  <si>
    <t>PORTAL LEBÁ. Artistas negros, periféricos e favelados se manifestam sobre o massacre da Penha. Documentário. Publicado por Voz das Comunidades. Instagram: @vozdascomunidades, Rio de Janeiro, 29 out. 2025. Disponível em: https://www.instagram.com/p/DQaR1XdjRZr/. Acesso em: 31 out. 2025.</t>
  </si>
  <si>
    <t>Pedro Bie</t>
  </si>
  <si>
    <t>Vila Cruzeiro, Rio de Janeiro</t>
  </si>
  <si>
    <t>Instagram (Pedro Bie)</t>
  </si>
  <si>
    <t>BIE, Pedro. Vila Cruzeiro, Rio de Janeiro [Fotografias]. Publicado por Voz das Comunidades. Instagram: @vozdascomunidades, Rio de Janeiro, 29 out. 2025. Disponível em: https://www.instagram.com/p/DQaSn8Tj3CY/?img_index=5. Acesso em: 31 out. 2025.</t>
  </si>
  <si>
    <t>No dia 28/10, por volta das 21h, Douglas Christian foi baleado por policiais em frente ao condomínio do Prev, sem qualquer abordagem, perseguição ou resistência</t>
  </si>
  <si>
    <t>VOZ DAS COMUNIDADES. No dia 28/10, por volta das 21h, Douglas Christian foi baleado por policiais em frente ao condomínio do Prev, sem qualquer abordagem, perseguição ou resistência. Instagram: @vozdascomunidades, Rio de Janeiro, 30 out. 2025. Disponível em: https://www.instagram.com/p/DQb0QqujVtm/. Acesso em: 31 out. 2025.</t>
  </si>
  <si>
    <t>Depois do CPX do Alemão e da Penha viverem um dia de puro caos, que marcou profundamente esses territórios, ainda é impossível medir o tamanho dos danos que ficaram</t>
  </si>
  <si>
    <t xml:space="preserve">VOZ DAS COMUNIDADES. Depois do CPX do Alemão e da Penha viverem um dia de puro caos, que marcou profundamente esses territórios, ainda é impossível medir o tamanho dos danos que ficaram. Instagram: @vozdascomunidades, Rio de Janeiro, 30 out. 2025. Disponível em: https://www.instagram.com/p/DQb48d3jpb5/. Acesso em: 31 out. 2025.
</t>
  </si>
  <si>
    <t>Coletiva de imprensa</t>
  </si>
  <si>
    <t>Ministra @macaeevaristo participou de coletiva no Rio após a megaoperação nos Complexos da Penha e do Alemão</t>
  </si>
  <si>
    <t>VOZ DAS COMUNIDADES. Ministra @macaeevaristo participou de coletiva no Rio após a megaoperação nos Complexos da Penha e do Alemão. Vídeo. Instagram: @vozdascomunidades, Rio de Janeiro, 30 out. 2025. Disponível em: https://www.instagram.com/p/DQcUlQ8kfgN/. Acesso em: 31 out. 2025.</t>
  </si>
  <si>
    <t>Coletivo Juntos, Fórum do Plano de Ação Popular CPX, ONG Instituto Papo Reto, CEM Serra da Misericórdia, Comunidade Frente Penha, Voz das Comunidades, ONG Raízes em Movimento, ativistas locais dos Complexos da Penha e Alemão se juntam aos familiares de vítimas</t>
  </si>
  <si>
    <t>ATO CHEGA DE CHACINA!
Fora Cláudio Castro</t>
  </si>
  <si>
    <t>COLETIVO JUNTOS. ATO CHEGA DE CHACINA! Fora Cláudio Castro. Convocação. Instagram: @vozdascomunidades, Rio de Janeiro, 30 out. 2025. Disponível em: https://www.instagram.com/p/DQcWgNhDvVy/. Acesso em: 31 out. 2025.</t>
  </si>
  <si>
    <t>Instituto Marielle Franco</t>
  </si>
  <si>
    <t>Marielle é semente! Quem buscou seu silêncio ainda escuta sua pergunta ecoando: QUANTOS MAIS TEM QUE MORRER PRA ESSA GUERRA ACABAR?</t>
  </si>
  <si>
    <t>INSTITUTO MARIELLE FRANCO. Marielle é semente! Quem buscou seu silêncio ainda escuta sua pergunta ecoando: QUANTOS MAIS TEM QUE MORRER PRA ESSA GUERRA ACABAR?. Vídeo. Publicado por Voz das Comunidades. Instagram: @vozdascomunidades, Rio de Janeiro, 31 out. 2025. Disponível em: https://www.instagram.com/p/DQcUlQ8kfgN/. Acesso em: 31 out. 2025.</t>
  </si>
  <si>
    <t>Mídia Ninja</t>
  </si>
  <si>
    <t>CLÁUDIO CASTRO INIMIGO DO POVO!</t>
  </si>
  <si>
    <t>Imagem (digital), Texto (digital)</t>
  </si>
  <si>
    <t>Instagram (Mídia Ninja)</t>
  </si>
  <si>
    <t>MÍDIA NINJA. CLÁUDIO CASTRO INIMIGO DO POVO!. Fotografia. Publicado por Voz das Comunidades. Instagram: @vozdascomunidades, Rio de Janeiro, 31 out. 2025. Disponível em: https://www.instagram.com/p/DQfRoHoAZon/?img_index=4. Acesso em: 31 out. 2025.</t>
  </si>
  <si>
    <t>O povo pede por dignidade! Chega de extermínio.</t>
  </si>
  <si>
    <t>Instagram (Instituto Marielle Franco)</t>
  </si>
  <si>
    <t xml:space="preserve">MARTINS, Ana Paula; INSTITUTO MARIELLE FRANCO. O povo pede por dignidade! Chega de extermínio. Vídeo. Publicado por Voz das Comunidades. Instagram: @vozdascomunidades, Rio de Janeiro, 31 out. 2025. Disponível em: https://www.instagram.com/p/DQfMi2uksI5/. Acesso em: 31 out. 2025.
</t>
  </si>
  <si>
    <t xml:space="preserve">VINÍCIUS, Uendell. [Fotografia]. Publicado por Voz das Comunidades. Instagram: @vozdascomunidades, Rio de Janeiro, 31 out. 2025. Disponível em: https://www.instagram.com/p/DQfKUPGD073/. Acesso em: 31 out. 2025.
</t>
  </si>
  <si>
    <t>Em protesto pacífico e de paz: A favela quer viver!</t>
  </si>
  <si>
    <t>VINÍCIUS, Uendell. Em protesto pacífico e de paz: A favela quer viver!. Fotografia. Publicado por Voz das Comunidades. Instagram: @vozdascomunidades, Rio de Janeiro, 31 out. 2025. Disponível em: https://www.instagram.com/p/DQfH5EAEtq_/?img_index=4. Acesso em: 31 out. 2025.</t>
  </si>
  <si>
    <t>Ana Paula Martins</t>
  </si>
  <si>
    <t>Não há inocência para quem mora na favela</t>
  </si>
  <si>
    <t>MARTINS, Ana Paula. Não há inocência para quem mora na favela (...). Fotografia. Publicado por Voz das Comunidades. Instagram: @vozdascomunidades, Rio de Janeiro, 31 out. 2025. Disponível em: https://www.instagram.com/p/DQfG635EmiD/?img_index=4. Acesso em: 31 out. 2025.</t>
  </si>
  <si>
    <t>Faixa/Cartaz</t>
  </si>
  <si>
    <t>Renato Silva (Voz das Comunidades)</t>
  </si>
  <si>
    <t>“Fora Cláudio Castro. Chega de matança nas favelas”</t>
  </si>
  <si>
    <t xml:space="preserve">Manuscrito </t>
  </si>
  <si>
    <t xml:space="preserve">SILVA, Renato. No mesmo ponto onde corpos foram deixados na quarta-feira (29), moradores estenderam uma faixa com os dizeres: “Fora Cláudio Castro. Chega de matança nas favelas”. Fotografia. Publicado por Voz das Comunidades. Instagram: @vozdascomunidades, Rio de Janeiro, 31 out. 2025. Disponível em: https://www.instagram.com/p/DQfFyC4EdPO/?img_index=4. Acesso em: 31 out. 2025.
</t>
  </si>
  <si>
    <t>Luiza Arruda</t>
  </si>
  <si>
    <t>Chega de Massacre</t>
  </si>
  <si>
    <t xml:space="preserve">ARRUDA, Luiza. Chega de Massacre. Fotografia. Publicado por Voz das Comunidades. Instagram: @vozdascomunidades, Rio de Janeiro, 31 out. 2025. Disponível em: https://www.instagram.com/p/DQfDE3zjxSK/?img_index=4. Acesso em: 31 out. 2025.
</t>
  </si>
  <si>
    <t>Vídeo</t>
  </si>
  <si>
    <t>VOZ DAS COMUNIDADES. [Vídeo no Instagram], 31 out. 2025. Rio de Janeiro. Disponível em: https://www.instagram.com/p/DQfDCJ7kbbX/. Acesso em: 2 out. 2025.</t>
  </si>
  <si>
    <t>A favela quer viver!</t>
  </si>
  <si>
    <t>NARRA. A favela quer viver! Fotografias. Instagram, Rio de Janeiro, 1 nov. 2025. Disponível em: https://www.instagram.com/p/DQfoRKZDZ9J. Acesso em: 2 nov. 2025</t>
  </si>
  <si>
    <t>Kintê Notícias</t>
  </si>
  <si>
    <t>O massacre da Penha é a velha política da morte que tem endereço certo</t>
  </si>
  <si>
    <t>"Operação contenção" no Google</t>
  </si>
  <si>
    <t>MOTTA, Rebeca. O massacre da Penha é a velha política da morte que tem endereço certo. Kintê Notícias, São Paulo, 29 out. 2025. Disponível em: https://kintenoticias.com.br/cidade/o-massacre-da-penha-e-a-velha-politica-da-morte-que-tem-endereco-certo. Acesso em: 2 nov. 2025.</t>
  </si>
  <si>
    <t>Nota de repúdio</t>
  </si>
  <si>
    <t xml:space="preserve">Associação dos Docentes da Universidade Federal de Uberlândia - ADUFU
</t>
  </si>
  <si>
    <t>Nota de repúdio da ADUFU à operação deflagrada pelo governador Cláudio Castro no Rio de Janeiro</t>
  </si>
  <si>
    <t>ADUFU</t>
  </si>
  <si>
    <t>ASSOCIAÇÃO DOS DOCENTES DA UNIVERSIDADE FEDERAL DE UBERLÂNDIA – ADUFU. Nota de repúdio da ADUFU à operação deflagrada pelo governador Cláudio Castro no Rio de Janeiro. ADUFU, 30 out. 2025. Disponível em: https://adufu.org.br/nota-de-repudio-da-adufu-a-operacao-deflagrada-pelo-governador-claudio-castro-no-rio-de-janeiro. Acesso em: 2 nov. 2025.</t>
  </si>
  <si>
    <t>Verbete</t>
  </si>
  <si>
    <t>Sem local</t>
  </si>
  <si>
    <t>Wikipedia</t>
  </si>
  <si>
    <t>Operação Contenção</t>
  </si>
  <si>
    <t>WIKIPÉDIA. Operação Contenção. Wikipédia: a enciclopédia livre, [s. l.], 2 nov. 2025. Disponível em: https://pt.wikipedia.org/wiki/Opera%C3%A7%C3%A3o_Conten%C3%A7%C3%A3o. Acesso em: 2 nov. 2025.</t>
  </si>
  <si>
    <t xml:space="preserve"> Portal do Governo do Estado do Rio de Janeiro</t>
  </si>
  <si>
    <t>Governo do Estado comanda maior operação de segurança em 15 anos e reforça combate ao narcoterrorismo</t>
  </si>
  <si>
    <t>GOVERNO DO ESTADO. Governo do Estado comanda maior operação de segurança em 15 anos e reforça combate ao narcoterrorismo. Portal do Governo do Estado do Rio de Janeiro, Rio de Janeiro, 28 out. 2025. Disponível em: https://www.rj.gov.br/noticias/governo-do-estado-comanda-maior-operacao-de-seguranca-em-15-anos-e-reforca-combate-ao-narcoterrorismo7327. Acesso em: 2 nov. 2025.</t>
  </si>
  <si>
    <t>Central Única dos Trabalhadores (CUT)</t>
  </si>
  <si>
    <t>CUT repudia Operação Contenção que deixou dezenas de mortos no RJ</t>
  </si>
  <si>
    <t>CENTRAL ÚNICA DOS TRABALHADORES – CUT. CUT repudia Operação Contenção que deixou dezenas de mortos no RJ. CUT, São Paulo, 29 out. 2025. Disponível em: https://www.cut.org.br/noticias/cut-repudia-operacao-contencao-que-deixou-dezenas-de-mortos-no-rj-ce34. Acesso em: 2 nov. 2025.</t>
  </si>
  <si>
    <t>Letalidade da Operação Contenção desrespeita comunidades, dizem ONGs</t>
  </si>
  <si>
    <t>JERÔNYMO, Guilherme. Letalidade da Operação Contenção desrespeita comunidades, dizem ONGs. Agência Brasil, São Paulo, 30 out. 2025. Disponível em: https://agenciabrasil.ebc.com.br/direitos-humanos/noticia/2025-10/letalidade-da-operacao-contencao-desrespeita-comunidades-dizem-ongs. Acesso em: 2 nov. 2025.</t>
  </si>
  <si>
    <t>Operação no Rio é a maior em 15 anos e a mais letal no estado</t>
  </si>
  <si>
    <t>TOKARNIA, Mariana. Operação no Rio é a maior em 15 anos e a mais letal no estado. Agência Brasil, Rio de Janeiro, 28 out. 2025. Disponível em: https://agenciabrasil.ebc.com.br/geral/noticia/2025-10/acao-no-rio-e-maior-em-15-anos-e-mais-letal. Acesso em: 2 nov. 2025.</t>
  </si>
  <si>
    <t>CNN Brasil</t>
  </si>
  <si>
    <t>Entenda como Operação Contenção se tornou a mais letal da história do RJ</t>
  </si>
  <si>
    <t>SOUZA, Beto. Entenda como Operação Contenção se tornou a mais letal da história do RJ. CNN Brasil, São Paulo, 29 out. 2025. Disponível em: https://www.cnnbrasil.com.br/nacional/sudeste/rj/entenda-como-operacao-contencao-se-tornou-a-mais-letal-da-historia-do-rj-2/. Acesso em: 2 nov. 2025.</t>
  </si>
  <si>
    <t>Decisão que embasou Operação Contenção cita rotina de tortura e controle armado no Complexo da Penha</t>
  </si>
  <si>
    <t>SOUSA, Aléxia; PAMPLONA, Nicola. Decisão que embasou Operação Contenção cita rotina de tortura e controle armado no Complexo da Penha. Folha de S. Paulo, São Paulo, 29 out. 2025. Disponível em: https://www1.folha.uol.com.br/cotidiano/2025/10/decisao-que-embasou-operacao-contencao-cita-rotina-de-tortura-e-controle-armado-no-complexo-da-penha.shtml. Acesso em: 2 nov. 2025.</t>
  </si>
  <si>
    <t>Governo do Estado realiza maior operação policial da história e apreende quase 100 fuzis em um único dia nos complexos do Alemão e da Penha</t>
  </si>
  <si>
    <t>GOVERNO DO ESTADO. Governo do Estado realiza maior operação policial da história e apreende quase 100 fuzis em um único dia nos complexos do Alemão e da Penha. Portal do Governo do Estado do Rio de Janeiro, Rio de Janeiro, 29 out. 2025. Disponível em: https://www.rj.gov.br/noticias/governo-do-estado-realiza-maior-operacao-policial-da-historia-e-apreende-quase-100-fuzis-em-um-unico-dia-nos-complexos-do-alemao-e-da-penha4219. Acesso em: 2 nov. 2025.</t>
  </si>
  <si>
    <t xml:space="preserve">DPU pede para acompanhar perícia de mortos após operação no Rio
</t>
  </si>
  <si>
    <t>RICHTER, Andre. DPU pede para acompanhar perícia de mortos após operação no Rio. Agência Brasil, Brasília, 30 out. 2025. Disponível em: https://agenciabrasil.ebc.com.br/justica/noticia/2025-10/dpu-pede-para-acompanhar-pericia-de-mortos-na-operacao-contencao. Acesso em: 2 nov. 2025.</t>
  </si>
  <si>
    <t>Governo do Rio estima 119 mortes; moradores retiram corpos da mata</t>
  </si>
  <si>
    <t>TOKARNIA, Mariana. Governo do Rio estima 119 mortes; moradores retiram corpos da mata. Agência Brasil, Rio de Janeiro, 29 out. 2025. Disponível em: https://agenciabrasil.ebc.com.br/geral/noticia/2025-10/governo-do-rio-contabiliza-119-mortes-moradores-retiram-corpos-da-mata. Acesso em: 2 nov. 2025.</t>
  </si>
  <si>
    <t>Operação Contenção: Ferj adia partidas da Série B1 do Carioca</t>
  </si>
  <si>
    <t>LISBOA, Fábio. Operação Contenção: Ferj adia partidas da Série B1 do Carioca. Agência Brasil, Rio de Janeiro, 28 out. 2025. Disponível em: https://agenciabrasil.ebc.com.br/geral/noticia/2025-10/operacao-contencao-ferj-adia-partidas-da-serie-b1-do-carioca. Acesso em: 2 nov. 2025.</t>
  </si>
  <si>
    <t xml:space="preserve"> Megaoperação no Rio cumpriu 20 dos 100 mandados de prisão pretendidos</t>
  </si>
  <si>
    <t>TOKARNIA, Mariana. Megaoperação no Rio cumpriu 20 dos 100 mandados de prisão pretendidos. Agência Brasil, Rio de Janeiro, 31 out. 2025. Disponível em: https://agenciabrasil.ebc.com.br/direitos-humanos/noticia/2025-10/megaoperacao-no-rio-cumpriu-20-dos-100-mandados-de-prisao-pretendidos. Acesso em: 2 nov. 2025.</t>
  </si>
  <si>
    <t>MPRJ faz perícia independente em vítimas da Operação Contenção</t>
  </si>
  <si>
    <t>AGÊNCIA BRASIL. MPRJ faz perícia independente em vítimas da Operação Contenção. Agência Brasil, Rio de Janeiro, 31 out. 2025. Disponível em: https://agenciabrasil.ebc.com.br/direitos-humanos/noticia/2025-10/mprj-faz-pericia-independente-em-vitimas-da-operacao-contenção. Acesso em: 2 nov. 2025.</t>
  </si>
  <si>
    <t>IML do Rio identifica 100 dos 121 mortos na Operação Contenção</t>
  </si>
  <si>
    <t>FREIRE, Tâmara. IML do Rio identifica 100 dos 121 mortos na Operação Contenção. Agência Brasil, Rio de Janeiro, 30 out. 2025. Disponível em: https://agenciabrasil.ebc.com.br/geral/noticia/2025-10/iml-do-rio-identifica-100-dos-121-mortos-na-operacao-contencao. Acesso em: 2 nov. 2025.</t>
  </si>
  <si>
    <t>MP do Rio pede câmeras usadas por policiais em Operação Contenção</t>
  </si>
  <si>
    <t>CORRÊA, Douglas. MP do Rio pede câmeras usadas por policiais em Operação Contenção. Agência Brasil, Rio de Janeiro, 29 out. 2025. Disponível em: https://agenciabrasil.ebc.com.br/geral/noticia/2025-10/mp-pediu-cameras-corporais-usadas-por-policiais-e-acao-no-rio. Acesso em: 2 nov. 2025.</t>
  </si>
  <si>
    <t>MPRJ envia técnicos periciais independentes ao IML após ação policial</t>
  </si>
  <si>
    <t>GANDRA, Alana. MPRJ envia técnicos periciais independentes ao IML após ação policial. Agência Brasil, Rio de Janeiro, 29 out. 2025. Disponível em: https://agenciabrasil.ebc.com.br/justica/noticia/2025-10/mprj-envia-tecnicos-periciais-independentes-ao-iml-apos-acao-policial. Acesso em: 2 nov. 2025.</t>
  </si>
  <si>
    <t>Lula reúne ministros no Alvorada e discute operação policial no Rio</t>
  </si>
  <si>
    <t>VERDÉLIO, Andreia. Lula reúne ministros no Alvorada e discute operação policial no Rio. Agência Brasil, Brasília, 29 out. 2025. Disponível em: https://agenciabrasil.ebc.com.br/politica/noticia/2025-10/lula-reune-ministros-no-alvorada-e-discute-operacao-contencao. Acesso em: 2 nov. 2025.</t>
  </si>
  <si>
    <t>Paraná, Brasil</t>
  </si>
  <si>
    <t>Da Operação Arcanjo à Operação Contenção: acertos e falhas no enfrentamento ao crime organizado</t>
  </si>
  <si>
    <t>MONTENEGRO, Fernando G. Da Operação Arcanjo à Operação Contenção: acertos e falhas no enfrentamento ao crime organizado. Gazeta do Povo, Curitiba, 31 out. 2025. Disponível em: https://www.gazetadopovo.com.br/opiniao/artigos/operacao-arcanjo-operacao-contencao-acertos-falhas-enfrentamento-crime-organizado/. Acesso em: 2 nov. 2025.</t>
  </si>
  <si>
    <t xml:space="preserve">Pará, Brasil </t>
  </si>
  <si>
    <t>Coordenadoria de Imprensa do Tribunal de Justiça do Estado Pará</t>
  </si>
  <si>
    <t>Vara de Combate ao Crime expede alguns mandados da Operação Contenção, do RJ</t>
  </si>
  <si>
    <t>TRIBUNAL DE JUSTIÇA DO ESTADO DO PARÁ (Coordenadoria de Imprensa). Vara de Combate ao Crime expede alguns mandados da Operação Contenção, do RJ. Tribunal de Justiça do Estado Pará. Belém, 28 out. 2025. Disponível em: https://www.tjpa.jus.br/PortalExterno/imprensa/noticias/Informes/2381185-tjpa-expede-mandados-no-ambito-da-operacao-contencao-deflagrada-no-rj.xhtml. Acesso em: 2 nov. 2025.</t>
  </si>
  <si>
    <t>Moradores de favelas protestam no Rio após megaoperação com 121 mortos</t>
  </si>
  <si>
    <t>FREIRE, Tâmara. Moradores de favelas protestam no Rio após megaoperação com 121 mortos. Agência Brasil, Rio de Janeiro, 31 out. 2025. Disponível em: https://agenciabrasil.ebc.com.br/direitos-humanos/noticia/2025-10/moradores-fazem-protesto-no-rio-apos-megaoperacao-com-121-mortos. Acesso em: 2 nov. 2025.</t>
  </si>
  <si>
    <t xml:space="preserve">Força-tarefa deve identificar mortos na operação até o fim de semana
</t>
  </si>
  <si>
    <t>TOKARNIA, Mariana. Força-tarefa deve identificar mortos na operação até o fim de semana. Agência Brasil, Rio de Janeiro, 30 out. 2025. Disponível em: https://agenciabrasil.ebc.com.br/direitos-humanos/noticia/2025-10/forca-tarefa-deve-identificar-mortos-na-operacao-ate-o-fim-de-semana. Acesso em: 2 nov. 2025.</t>
  </si>
  <si>
    <t>Moradores retiram cerca de 60 corpos em área de mata após operação</t>
  </si>
  <si>
    <t>FREIRE, Tâmara. Moradores retiram cerca de 60 corpos em área de mata após operação. Agência Brasil, Rio de Janeiro, 29 out. 2025. Disponível em: https://agenciabrasil.ebc.com.br/geral/noticia/2025-10/moradores-retiram-cerca-de-50-corpos-em-area-de-mata-apos-operacao. Acesso em: 2 nov. 2025.</t>
  </si>
  <si>
    <t>STF determina preservação de provas da Operação Contenção, no Rio</t>
  </si>
  <si>
    <t>EL GHAOURI, Oussama. STF determina preservação de provas da Operação Contenção, no Rio. Rádio Nacional, Brasília, 2 nov. 2025. Disponível em: https://agenciabrasil.ebc.com.br/radioagencia-nacional/justica/audio/2025-11/stf-determina-preservacao-de-provas-da-operacao-contencao-no-rio. Acesso em: 2 nov. 2025.</t>
  </si>
  <si>
    <t>Cláudio Castro agradece apoio de governadores após Operação Contenção e prega integração para vencer o crime organizado: 'soma ou suma'</t>
  </si>
  <si>
    <t>GOVERNO DO ESTADO. Cláudio Castro agradece apoio de governadores após Operação Contenção e prega integração para vencer o crime organizado: 'soma ou suma'. Portal do Governo do Estado do Rio de Janeiro, Rio de Janeiro, 29 out. 2025. Disponível em: https://www.rj.gov.br/noticias/claudio-castro-agradece-apoio-de-governadores-apos-operacao-contencao-e-prega-integracao-para-vencer-o-crime-organizado-soma-ou-suma4809. Acesso em: 2 nov. 2025.</t>
  </si>
  <si>
    <t>Brasil de Fato</t>
  </si>
  <si>
    <t>STF: Alexandre de Moraes determina preservação de provas relacionadas à Operação Contenção</t>
  </si>
  <si>
    <t>BRASIL DE FATO. STF: Alexandre de Moraes determina preservação de provas relacionadas à Operação Contenção. Brasil de Fato, Rio de Janeiro, 2 nov. 2025. Disponível em: https://www.brasildefato.com.br/2025/11/02/stf-alexandre-de-moraes-determina-preservacao-de-provas-relacionadas-a-operacao-contencao/. Acesso em: 3 nov. 2025.</t>
  </si>
  <si>
    <t>Ordem dos Advogados do Rio de Janeiro</t>
  </si>
  <si>
    <t>OABRJ cria observatório para acompanhar desdobramentos da ‘Operação Contenção’</t>
  </si>
  <si>
    <t>BRANDÃO, Ana Júlia. OABRJ cria observatório para acompanhar desdobramentos da ‘Operação Contenção’. OABRJ, Rio de Janeiro, 31 out. 2025. Disponível em: https://oabrj.org.br/noticias/oabrj-cria-observatorio-acompanhar-desdobramentos-operacao-contencao. Acesso em: 3 nov. 2025.</t>
  </si>
  <si>
    <t>Mãe denuncia execução em operação e cobra políticas para a juventude</t>
  </si>
  <si>
    <t>VIEIRA, Isabela. Mãe denuncia execução em operação e cobra políticas para a juventude. Agência Brasil, Rio de Janeiro, 2 nov. 2025. Disponível em: https://agenciabrasil.ebc.com.br/direitos-humanos/noticia/2025-11/mae-denuncia-execucao-em-operacao-e-cobra-politicas-para-juventude. Acesso em: 3 nov. 2025.</t>
  </si>
  <si>
    <t>O Estado de S. Paulo</t>
  </si>
  <si>
    <t>Operação Contenção: Defensoria questiona perícia oficial e pede ao STF laudos paralelos em corpos</t>
  </si>
  <si>
    <t xml:space="preserve">MOTTA, Rayssa. Operação Contenção: Defensoria questiona perícia oficial e pede ao STF laudos paralelos em corpos. Estadão, São Paulo, 30 out. 2025. Disponível em: https://www.estadao.com.br/politica/blog-do-fausto-macedo/defensoria-publica-rio-stf-imparcialidade-pericia-oficial-corpos-operacao/. Acesso em: 3 nov. 2025.
</t>
  </si>
  <si>
    <t>Operação Contenção e Carbono Oculto expõe projetos distintos de país e a escolha está diante de nós</t>
  </si>
  <si>
    <t>ELIAS, Gabriel. Operação Contenção e Carbono Oculto expõe projetos distintos de país e a escolha está diante de nós. Brasil de Fato, Brasília, 30 out. 2025. Disponível em: https://www.brasildefato.com.br/2025/10/30/operacao-contencao-e-carbono-oculto-expoe-projetos-distintos-de-pais-e-a-escolha-esta-diante-de-nos/. Acesso em: 3 nov. 2025.</t>
  </si>
  <si>
    <t>Parente das vítimas da Operação Contenção chegando ao Instituto Médico Legal (IML) para reconhecimento dos corpos</t>
  </si>
  <si>
    <t>ALVES, Joédson. Parente das vítimas da Operação Contenção chegando ao Instituto Médico Legal (IML) para reconhecimento dos corpos. Agência Brasil, fotografia, Rio de Janeiro, 1 nov. 2025. Disponível em: http://agenciabrasil.ebc.com.br/foto/2025-11/operacao-contencao-1762006040-2. Acesso em: 3 nov. 2025.</t>
  </si>
  <si>
    <t>Últimos corpos de pessoas assassinadas em operação no Rio deixam o IML</t>
  </si>
  <si>
    <t>VIEIRA, Isabela. Últimos corpos de pessoas assassinadas em operação no Rio deixam o IML. Agência Brasil, Rio de Janeiro, 1 nov. 2025. Disponível em: https://agenciabrasil.ebc.com.br/geral/noticia/2025-11/ultimos-corpos-de-pessoas-assassinadas-em-operacao-no-rio-deixam-o-iml. Acesso em: 3 nov. 2025.</t>
  </si>
  <si>
    <t>Sepultamento de Ravel Rios, uma das vítimas da Operação Contenção, no cemitério de Inhaúma</t>
  </si>
  <si>
    <t>ALVES, Joédson. Sepultamento de Ravel Rios, uma das vítimas da Operação Contenção, no cemitério de Inhaúma. Agência Brasil, fotografia, Rio de Janeiro, 31 out. 2025. Disponível em: https://agenciabrasil.ebc.com.br/foto/2025-10/operacao-contencao-1761939306-7. Acesso em: 3 nov. 2025.</t>
  </si>
  <si>
    <t>Operação Contenção chega a 121 mortes e supera Carandiru como a mais letal do país</t>
  </si>
  <si>
    <t>LIMA NETO, Francisco; DIAS, Paulo Eduardo; CAMARGO, Cristina; FANTTI, Bruna; PAMPLONA, Nicola; KRUSE, Tulio. Operação Contenção chega a 121 mortes e supera Carandiru como a mais letal do país. Folha de S. Paulo, São Paulo, 29 out. 2025. Disponível em: https://www1.folha.uol.com.br/cotidiano/2025/10/mortes-na-operacao-contencao-chegam-a-119-afirma-governo-claudio-castro.shtml. Acesso em: 3 nov. 2025.</t>
  </si>
  <si>
    <t>G1</t>
  </si>
  <si>
    <t>Megaoperação no Alemão e na Penha contra o CV tem 64 mortos e 81 presos; vias são fechadas em represália em todo o Grande Rio</t>
  </si>
  <si>
    <t>FREIRE, Felipe; MONTEIRO, Jefferson; LEITÃO, Leslie; MADUREIRA, Lucas; BOM DIA RIO. Megaoperação no Alemão e na Penha contra o CV tem 64 mortos e 81 presos; vias são fechadas em represália em todo o Grande Rio. G1, Rio de Janeiro, 28 out. 2025. Disponível em: https://g1.globo.com/rj/rio-de-janeiro/noticia/2025/10/28/operacao-contencao-forcas-de-seguranca-tentam-cumprir-mandados-de-prisao.ghtml. Acesso em: 3 nov. 2025.</t>
  </si>
  <si>
    <t>Número de mortes em megaoperação no Rio passa de 130, diz defensoria</t>
  </si>
  <si>
    <t>FALCÃO, Tainá; COUTO, Camille. Número de mortes em megaoperação no Rio passa de 130, diz defensoria. CNN Brasil, Rio de Janeiro, 29 out. 2025. Disponível em: https://www.cnnbrasil.com.br/nacional/sudeste/rj/numero-de-mortes-em-megaoperacao-no-rio-passa-de-120-diz-defensoria/. Acesso em: 3 nov. 2025.</t>
  </si>
  <si>
    <t>Exame</t>
  </si>
  <si>
    <t>Operação Contenção: 93 fuzis apreendidos têm valor estimado de R$ 5 milhões</t>
  </si>
  <si>
    <t>REDAÇÃO EXAME. Operação Contenção: 93 fuzis apreendidos têm valor estimado de R$ 5 milhões. Exame, São Paulo, 29 out. 2025. Disponível em: https://exame.com/brasil/operacao-contencao-93-fuzis-apreendidos-tem-valor-estimado-de-r-5-milhoes/. Acesso em: 3 nov. 2025.</t>
  </si>
  <si>
    <t>Nota técnica</t>
  </si>
  <si>
    <t>Ordem dos Advogados de São Paulo</t>
  </si>
  <si>
    <t>Comissão de Direito Internacional da OAB SP emite nota pública sobre Operação Contenção e as regras internacionais sobre uso da força</t>
  </si>
  <si>
    <t>Comissão de Direito Internacional da OAB SP</t>
  </si>
  <si>
    <t>SICA, Leonardo; AMPARO, Thiago de Souza; MANTELLI, Gabriel; ALMEIDA, Julia de Moraes. Comissão de Direito Internacional da OAB SP emite nota pública sobre Operação Contenção e as regras internacionais sobre uso da força. Ordem dos Advogados do Brasil – Seção São Paulo, Comissão de Direito Internacional, São Paulo, 30 out. 2025. Disponível em: https://www.oabsp.org.br/jornaldaadvocacia/25-10-30-1012-comissao-de-direito-internacional-da-oab-emite-nota-publica-sobre-operacao-contencao-e-as-regras-internacionais-sobre-uso-da-forca. Acesso em: 3 nov. 2025.</t>
  </si>
  <si>
    <t>Faixa em manifestação contra a operação policial Contenção no Rio de Janeiro</t>
  </si>
  <si>
    <t xml:space="preserve">CAMPANATO, Valter. Faixa em manifestação contra a operação policial Contenção no Rio de Janeiro. Agência Brasil, fotografia, Brasília, 31 out. 2025. Disponível em: http://agenciabrasil.ebc.com.br/foto/2025-10/manifestacao-conta-operacao-contencao-1761948860-2. Acesso em: 3 nov. 2025.
</t>
  </si>
  <si>
    <t>Ação no RJ é cortina de fumaça e expõe população, dizem especialistas</t>
  </si>
  <si>
    <t>TOKARNIA, Mariana. Ação no RJ é cortina de fumaça e expõe população, dizem especialistas. Agência Brasil, Rio de Janeiro, 28 out. 2025. Disponível em: https://agenciabrasil.ebc.com.br/geral/noticia/2025-10/operacao-no-rio-e-cortina-de-fumaca-e-expoe-populacao-linha-de-tiro-dizem-especialistas. Acesso em: 3 nov. 2025.</t>
  </si>
  <si>
    <t>Famílias de mortos em operação no Rio reclamam de falta de informação</t>
  </si>
  <si>
    <t>FREIRE, Tâmara. Famílias de mortos em operação no Rio reclamam de falta de informação. Agência Brasil, Rio de Janeiro, 30 out. 2025. Disponível em: https://agenciabrasil.ebc.com.br/geral/noticia/2025-10/familias-de-mortos-em-operacao-no-rio-reclamam-de-falta-de-informacao. Acesso em: 3 nov. 2025.</t>
  </si>
  <si>
    <t>Investigação das mortes em operação no RJ tem graves falhas, diz ONG</t>
  </si>
  <si>
    <t>JERONYMO, Guilherme. Investigação das mortes em operação no RJ tem graves falhas, diz ONG. Agência Brasil, São Paulo, 2 nov. 2025. Disponível em: https://agenciabrasil.ebc.com.br/direitos-humanos/noticia/2025-11/investigacao-das-mortes-em-operacao-no-rj-tem-graves-falhas-diz-ong. Acesso em: 3 nov. 2025.</t>
  </si>
  <si>
    <t>Ceará, Brasil</t>
  </si>
  <si>
    <t>Sindicato dos Trabalhadores das Universidades Federais no Estado do Ceará (SINTUFCE)</t>
  </si>
  <si>
    <t>Nota Pública: Operação Contenção</t>
  </si>
  <si>
    <t>SINDICATO DOS TRABALHADORES DAS UNIVERSIDADES FEDERAIS NO ESTADO DO CEARÁ (SINTUFCE). Nota Pública: Operação Contenção. Mas do quê? Fortaleza, 31 out. 2025. Disponível em: https://www.sintufce.org.br/nota-publica-operacao-contencao-mas-do-que/#. Acesso em: 3 nov. 2025.</t>
  </si>
  <si>
    <t>Moradores do Complexo da Penha protestam contra Operação Contenção</t>
  </si>
  <si>
    <t>PESSOA, Carolina. Moradores do Complexo da Penha protestam contra Operação Contenção. Rádio Nacional, Rio de Janeiro, 1 nov. 2025. Disponível em: https://agenciabrasil.ebc.com.br/radioagencia-nacional/direitos-humanos/audio/2025-11/moradores-do-complexo-da-penha-protestam-contra-operacao-contencao. Acesso em: 3 nov. 2025.</t>
  </si>
  <si>
    <t>Observatório da OAB-RJ vai acompanhar apuração sobre operação policial</t>
  </si>
  <si>
    <t>AGÊNCIA BRASIL. Observatório da OAB-RJ vai acompanhar apuração sobre operação policial. Agência Brasil, Rio de Janeiro, 31 out. 2025. Disponível em: https://agenciabrasil.ebc.com.br/direitos-humanos/noticia/2025-10/observatorio-da-oab-rj-vai-acompanhar-apuracao-sobre-operacao-policial. Acesso em: 3 nov. 2025.</t>
  </si>
  <si>
    <t>Bope se manifesta após operação no Rio: “Ninguém vai parar a gente”</t>
  </si>
  <si>
    <t xml:space="preserve">MACIA, Vinicius. Bope se manifesta após operação no Rio: “Ninguém vai parar a gente”. Gazeta do Povo, 30 out. 2025. Disponível em: https://www.gazetadopovo.com.br/brasil/bope-ninguem-vai-parar-a-gente-operacao-contencao/. Acesso em: 3 nov. 2025.
</t>
  </si>
  <si>
    <t>Rotina do CV tem tortura com banheira de gelo, treino com fuzil e ostentação</t>
  </si>
  <si>
    <t xml:space="preserve">FANTTI, Bruna; ZYLBERKAN, Mariana. Rotina do CV tem tortura com banheira de gelo, treino com fuzil e ostentação. Folha de S. Paulo, São Paulo, 30 out. 2025. Disponível em: https://www1.folha.uol.com.br/cotidiano/2025/10/rotina-do-cv-tem-tortura-com-banheira-de-gelo-treino-com-fuzil-e-ostentacao.shtml. Acesso em: 3 nov. 2025.
</t>
  </si>
  <si>
    <t>Polícia do Rio cumpriu 20 dos 100 mandados de prisão da Operação Contenção</t>
  </si>
  <si>
    <t xml:space="preserve">EIRAS, Yuri; BRANDINO, Géssica. Polícia do Rio cumpriu 20 dos 100 mandados de prisão da Operação Contenção. Folha de S. Paulo, São Paulo/Rio de Janeiro, 31 out. 2025. Acesso em: 3 nov. 2025.
</t>
  </si>
  <si>
    <t>Fundo Brasil doa recursos para famílias das vítimas da operação no Rio</t>
  </si>
  <si>
    <t>CARVALHO, Anna Karina de. Fundo Brasil doa recursos para famílias das vítimas da operação no Rio. Agência Brasil, Rio de Janeiro, 31 out. 2025. Disponível em: https://agenciabrasil.ebc.com.br/direitos-humanos/noticia/2025-10/fundo-brasil-doa-recursos-para-familias-das-vitimas-da-operacao-no-rio. Acesso em: 3 nov. 2025.</t>
  </si>
  <si>
    <t>Ministério diz que segurança pública deve “proteger todas as pessoas”</t>
  </si>
  <si>
    <t>AGÊNCIA BRASIL. Ministério diz que segurança pública deve “proteger todas as pessoas”. Agência Brasil, Brasília, 29 out. 2025. Disponível em: https://agenciabrasil.ebc.com.br/geral/noticia/2025-10/ministerio-diz-que-seguranca-publica-deve-proteger-todas-pessoas. Acesso em: 3 nov. 2025.</t>
  </si>
  <si>
    <t>Moraes manda governador do Rio prestar esclarecimentos sobre operação</t>
  </si>
  <si>
    <t>RICHTER, André. Moraes manda governador do Rio prestar esclarecimentos sobre operação. Agência Brasil, Brasília, 29 out. 2025. Disponível em: https://agenciabrasil.ebc.com.br/justica/noticia/2025-10/moraes-manda-governador-do-rio-prestar-esclarecimentos-sobre-operacao. Acesso em: 3 nov. 2025.</t>
  </si>
  <si>
    <t>Sob facções e operações, população de favelas vive traumas e adoece</t>
  </si>
  <si>
    <t>TOKARNIA, Mariana. Sob facções e operações, população de favelas vive traumas e adoece. Agência Brasil, Rio de Janeiro, 1 nov. 2025. Disponível em: https://agenciabrasil.ebc.com.br/direitos-humanos/noticia/2025-10/sob-faccoes-e-operacoes-populacao-de-favelas-vive-traumas-e-adoece. Acesso em: 3 nov. 2025.</t>
  </si>
  <si>
    <t>Megaoperação tenta prender 100 membros do CV no Alemão e Penha (RJ)</t>
  </si>
  <si>
    <t>COUTO, Camille. Megaoperação tenta prender 100 membros do CV no Alemão e Penha (RJ). CNN Brasil, Rio de Janeiro, 28 out. 2025. Disponível em: http://cnnbrasil.com.br/nacional/sudeste/rj/rj-megaoperacao-com-mais-de-2-mil-policiais-toma-alemao-e-penha/. Acesso em: 3 nov. 2025.</t>
  </si>
  <si>
    <t>Defensoria do Rio quer fazer laudos paralelos dos corpos: entidade alega que faltaram ambulâncias e postos estavam fechados</t>
  </si>
  <si>
    <t xml:space="preserve">RICHTER, André; CARDOSO, Rafael. Defensoria do Rio quer fazer laudos paralelos dos corpos: entidade alega que faltaram ambulâncias e postos estavam fechados. Agência Brasil, Brasília/Rio de Janeiro, 30 out. 2025. Disponível em: https://agenciabrasil.ebc.com.br/justica/noticia/2025-10/operacao-defensoria-do-rio-quer-fazer-laudos-paralelos-dos-corpos. Acesso em: 3 nov. 2025.
</t>
  </si>
  <si>
    <t>Assembleia Legislativa do Estado do Rio de Janeiro (ALERJ)</t>
  </si>
  <si>
    <t>ALERJ realiza um minuto de silêncio em homenagem a policiais vitimados na operação no Complexo do Alemão</t>
  </si>
  <si>
    <t>NATARIO, Gustavo; D’AVILA, Vítor. ALERJ realiza um minuto de silêncio em homenagem a policiais vitimados na operação no Complexo do Alemão. Assembleia Legislativa do Estado do Rio de Janeiro, Rio de Janeiro, 29 out. 2025. Disponível em: https://www.alerj.rj.gov.br/Visualizar/Noticia/80320. Acesso em: 3 nov. 2025.</t>
  </si>
  <si>
    <t>Moraes cumpre agenda de audiências no Rio sobre a Operação Contenção</t>
  </si>
  <si>
    <t xml:space="preserve">REPÓRTER BRASIL. Moraes cumpre agenda de audiências no Rio sobre a Operação Contenção. TV Brasil, Rio de Janeiro, 1 nov. 2025. Disponível em: https://tvbrasil.ebc.com.br/reporter-brasil/2025/11/moraes-cumpre-agenda-de-audiencias-no-rio-sobre-operacao-contencao. Acesso em: 3 nov. 2025.
</t>
  </si>
  <si>
    <t>AtlasIntel: 8 em cada 10 moradores de favelas aprovam operação no RJ</t>
  </si>
  <si>
    <t>MACIA, Vinicius. AtlasIntel: 8 em cada 10 moradores de favelas aprovam operação no RJ. Gazeta do Povo, 31 out. 2025. Disponível em: https://www.gazetadopovo.com.br/brasil/oito-em-cada-dez-moradores-aprovam-operacao-no-rj/. Acesso em: 3 nov. 2025.</t>
  </si>
  <si>
    <t>Pesquisas sobre operação contra CV distanciam população do discurso da esquerda</t>
  </si>
  <si>
    <t>GAZETA DO POVO. Pesquisas sobre operação contra CV distanciam população do discurso da esquerda. Gazeta do Povo, 2 nov. 2025. Disponível em: https://www.gazetadopovo.com.br/brasil/pesquisas-operacao-comando-vermelho-distanciam-populacao-esquerda/. Acesso em: 3 nov. 2025.</t>
  </si>
  <si>
    <t>Operação Contenção foi caçada humana</t>
  </si>
  <si>
    <t>HARAZIM, Dorrit. Operação Contenção foi caçada humana. O Globo, Rio de Janeiro, 2 nov. 2025. Disponível em: https://oglobo.globo.com/opiniao/dorrit-harazim/coluna/2025/11/operacao-contencao-foi-cacada-humana.ghtml. Acesso em: 3 nov. 2025.</t>
  </si>
  <si>
    <t>Lewandowski e Castro se reúnem no Rio e falam sobre Operação Contenção</t>
  </si>
  <si>
    <t xml:space="preserve">REPÓRTER BRASIL. Lewandowski e Castro se reúnem no Rio e falam sobre Operação Contenção. TV Brasil, Rio de Janeiro, 29 out. 2025. Disponível em: https://tvbrasil.ebc.com.br/reporter-brasil/2025/10/lewandowski-e-castro-se-reunem-no-rio-e-falam-sobre-operacao-contencao. Acesso em: 3 nov. 2025.
</t>
  </si>
  <si>
    <t xml:space="preserve"> PT, PSOL e PCdoB pedem ao STF acesso de familiares à perícia de corpos: partidos afirmam que a operação policial "matou mais do que prendeu"</t>
  </si>
  <si>
    <t xml:space="preserve">RICHTER, André. PT, PSOL e PCdoB pedem ao STF acesso de familiares à perícia de corpos: partidos afirmam que a operação policial "matou mais do que prendeu". Agência Brasil, Brasília, 31 out. 2025. Disponível em: https://agenciabrasil.ebc.com.br/justica/noticia/2025-10/pt-psol-e-pcdob-pedem-ao-stf-acesso-de-familiares-pericia-de-corpos. Acesso em: 3 nov. 2025.
</t>
  </si>
  <si>
    <t>Denúncia que baseou a Operação Contenção apontava 69 criminosos</t>
  </si>
  <si>
    <t xml:space="preserve">REPÓRTER BRASIL TARDE. Denúncia que baseou a Operação Contenção apontava 69 criminosos. TV Brasil, Rio de Janeiro, 31 out. 2025. Disponível em: https://tvbrasil.ebc.com.br/reporter-brasil-tarde/2025/10/denuncia-que-baseou-operacao-contencao-apontava-69-criminosos. Acesso em: 3 nov. 2025.
</t>
  </si>
  <si>
    <t>Quem eram os policiais civis mortos em megaoperação no RJ</t>
  </si>
  <si>
    <t xml:space="preserve">LOPES, Bruna. Quem eram os policiais civis mortos em megaoperação no RJ. CNN Brasil, 29 out. 2025. Disponível em: https://www.cnnbrasil.com.br/nacional/sudeste/rj/quem-eram-os-policiais-civis-mortos-em-megaoperacao-no-rj/. Acesso em: 3 nov. 2025.
</t>
  </si>
  <si>
    <t>Megaoperação deixou 119 mortos, diz governo do RJ</t>
  </si>
  <si>
    <t xml:space="preserve">LOPES, Bruna. Megaoperação deixou 119 mortos, diz governo do RJ. CNN Brasil, 29 out. 2025. Disponível em: https://www.cnnbrasil.com.br/nacional/sudeste/rj/megaoperacao-deixou-119-mortos-diz-governo-do-rj/. Acesso em: 3 nov. 2025.
</t>
  </si>
  <si>
    <t>ND Mais</t>
  </si>
  <si>
    <t>O que está acontecendo no Rio de Janeiro</t>
  </si>
  <si>
    <t>ND Mais. O que está acontecendo no Rio de Janeiro? Entenda megaoperação contra o CV que deixou 64 mortos. ND Mais, 28 out. 2025. Disponível em: https://ndmais.com.br/politica/o-que-esta-acontecendo-no-rio-de-janeiro-operacao-contencao/. Acesso em: 3 nov. 2025.</t>
  </si>
  <si>
    <t>Rio de Janeiro após operação mais letal da história do Estado: O que acontece agora</t>
  </si>
  <si>
    <t xml:space="preserve">HORA, Geovanna. Rio de Janeiro após operação mais letal da história do Estado: O que acontece agora? Estadão, 29 out. 2025. Disponível em: https://www.estadao.com.br/brasil/o-que-acontece-agora-rj-apos-operacao-mais-letal-npr/. Acesso em: 3 nov. 2025.
</t>
  </si>
  <si>
    <t>Operação Contenção: PGR deve se manifestar em 24 horas</t>
  </si>
  <si>
    <t xml:space="preserve">REPÓRTER BRASIL TARDE. Operação Contenção: PGR deve se manifestar em 24 horas. TV Brasil, 29 out. 2025. Disponível em: https://tvbrasil.ebc.com.br/reporter-brasil-tarde/2025/10/operacao-contencao-pgr-deve-se-manifestar-em-24-horas. Acesso em: 3 nov. 2025.
</t>
  </si>
  <si>
    <t>Em atos, movimento negro pede investigação independente de ação no Rio</t>
  </si>
  <si>
    <t xml:space="preserve">BOCCHINI, Bruno; NASCIMENTO, Luciano. Em atos, movimento negro pede investigação independente de ação no Rio. Agência Brasil, 31 out. 2025. Disponível em: https://agenciabrasil.ebc.com.br/direitos-humanos/noticia/2025-10/em-atos-movimento-negro-pede-investigacao-independente-de-acao-no-rio. Acesso em: 3 nov. 2025.
</t>
  </si>
  <si>
    <t>Corpos de dois policiais mortos na Operação Contenção são sepultados</t>
  </si>
  <si>
    <t xml:space="preserve">REPÓRTER BRASIL TARDE. Corpos de dois policiais mortos na Operação Contenção são sepultados. TV Brasil, 30 out. 2025. Disponível em: https://tvbrasil.ebc.com.br/reporter-brasil-tarde/2025/10/corpos-de-dois-policiais-mortos-na-operacao-contencao-sao-sepultados. Acesso em: 3 nov. 2025.
</t>
  </si>
  <si>
    <t>Organização das Nações Unidas Brasil</t>
  </si>
  <si>
    <t>Especialistas da ONU cobram investigação célere sobre operação policial mortal no Rio de Janeiro</t>
  </si>
  <si>
    <t xml:space="preserve">NAÇÕES UNIDAS BRASIL. Especialistas da ONU cobram investigação célere sobre operação policial mortal no Rio de Janeiro. Brasília: Nações Unidas Brasil, 31 out. 2025. Disponível em: https://brasil.un.org/pt-br/304423-especialistas-da-onu-cobram-investiga%C3%A7%C3%A3o-c%C3%A9lere-sobre-opera%C3%A7%C3%A3o-policial-mortal-no-rio-de. Acesso em: 3 nov. 2025.
</t>
  </si>
  <si>
    <t>Operação no Alemão e na Penha se torna a mais letal da história do Rio; veja ranking</t>
  </si>
  <si>
    <t xml:space="preserve">FREITAS, Hermano; GRANDI, Guilherme. Operação no Alemão e na Penha se torna a mais letal da história do Rio; veja ranking. Gazeta do Povo, 28 out. 2025. Disponível em: https://www.gazetadopovo.com.br/brasil/operacao-policial-no-complexo-do-alemao-e-na-penha-se-torna-a-mais-letal-da-historia-do-rio/. Acesso em: 3 nov. 2025.
</t>
  </si>
  <si>
    <t>Uso político da violência em operação no Rio transforma massacre em ‘triunfo eleitoral’ para a extrema direita</t>
  </si>
  <si>
    <t xml:space="preserve">ROBICHEZ, Adele; CARVALHO, Igor; BERNARDES, José Eduardo; BOHRER, Larissa. Uso político da violência em operação no Rio transforma massacre em ‘triunfo eleitoral’ para a extrema direita. Brasil de Fato, 30 out. 2025. Disponível em: https://www.brasildefato.com.br/2025/10/30/uso-politico-da-violencia-em-operacao-no-rio-transforma-massacre-em-triunfo-eleitoral-para-a-extrema-direita/. Acesso em: 3 nov. 2025.
</t>
  </si>
  <si>
    <t>Jovem Pan</t>
  </si>
  <si>
    <t>Governo do RJ apresenta primeira lista de suspeitos mortos na Operação Contenção</t>
  </si>
  <si>
    <t>TROVÃO, Victor; ROBERT, Nícolas. Governo do RJ apresenta primeira lista de suspeitos mortos na Operação Contenção. Jovem Pan, 31 out. 2025. Disponível em: https://jovempan.com.br/noticias/brasil/governo-do-rj-apresenta-primeira-lista-de-criminosos-mortos-na-operacao-contencao.html. Acesso em: 3 nov. 2025.</t>
  </si>
  <si>
    <t>DPU pede para acompanhar perícia de mortos na Operação Contenção</t>
  </si>
  <si>
    <t xml:space="preserve">JOVEM PAN. DPU pede para acompanhar perícia de mortos na Operação Contenção. Jovem Pan, 30 out. 2025. Disponível em: https://jovempan.com.br/noticias/brasil/dpu-pede-para-acompanhar-pericia-de-mortos-na-operacao-contencao.html. Acesso em: 3 nov. 2025. </t>
  </si>
  <si>
    <t>MP do RJ pede câmeras usadas por policiais em Operação Contenção</t>
  </si>
  <si>
    <t xml:space="preserve">JOVEM PAN. MP do RJ pede câmeras usadas por policiais em Operação Contenção. Jovem Pan, 30 out. 2025. Disponível em: https://jovempan.com.br/seguranca/mp-do-rj-pede-cameras-usadas-por-policiais-em-operacao-contencao.html. Acesso em: 3 nov. 2025. </t>
  </si>
  <si>
    <t>Manifestantes protestam em frente à sede do governo do RJ, onde Castro se reúne com Lewandowski</t>
  </si>
  <si>
    <t xml:space="preserve">JOVEM PAN. Manifestantes protestam em frente à sede do governo do RJ, onde Castro se reúne com Lewandowski. Jovem Pan, 29 out. 2025. Disponível em: https://jovempan.com.br/noticias/brasil/manifestantes-protestam-em-frente-a-sede-do-governo-do-rj-onde-castro-se-reune-com-lewandowski.html. Acesso em: 3 nov. 2025. </t>
  </si>
  <si>
    <t>Lula está ‘estarrecido’ com o número de mortos na megaoperação no Rio</t>
  </si>
  <si>
    <t>JOVEM PAN. Lula está ‘estarrecido’ com o número de mortos na megaoperação no Rio. Jovem Pan, 29 out. 2025. Disponível em: https://jovempan.com.br/noticias/politica/lula-esta-estarrecido-com-o-numero-de-mortos-na-megaoperacao-no-rio.html. Acesso em: 3 nov. 2025.</t>
  </si>
  <si>
    <t>Escolas e universidades voltam ao expediente regular no Rio</t>
  </si>
  <si>
    <t xml:space="preserve">CAMPOS, Ana Cristina. Escolas e universidades voltam ao expediente regular no Rio. Agência Brasil, 30 out. 2025. Disponível em: https://agenciabrasil.ebc.com.br/educacao/noticia/2025-10/escolas-e-universidades-voltam-ao-expediente-regular-no-rio. Acesso em: 3 nov. 2025. </t>
  </si>
  <si>
    <t>Distrito Federal, Brasil</t>
  </si>
  <si>
    <t>Após operação letal</t>
  </si>
  <si>
    <t xml:space="preserve">RIBEIRO, Cristiane. Após operação letal, Rio tem manhã de ruas vazias e tensão. Rádio Nacional, 29 out. 2025. Disponível em: https://agenciabrasil.ebc.com.br/radioagencia-nacional/seguranca/audio/2025-10/apos-operacao-letal-rio-tem-manha-de-ruas-vazias-e-tensão. Acesso em: 3 nov. 2025. </t>
  </si>
  <si>
    <t>RJ: nenhum dos mortos identificados na operação estava na lista de alvos</t>
  </si>
  <si>
    <t>FÉLIX, Thiago; NASPOLINI, Julia. RJ: nenhum dos mortos identificados na operação estava na lista de alvos. CNN Brasil, 31 out. 2025. Disponível em: https://www.cnnbrasil.com.br/nacional/sudeste/rj/rj-nenhum-dos-mortos-identificados-na-operacao-estava-na-lista-de-alvos/. Acesso em: 3 nov. 2025.</t>
  </si>
  <si>
    <t>Operação contenção: famílias ainda aguardam liberação de corpos</t>
  </si>
  <si>
    <t xml:space="preserve">REPÓRTER BRASIL. Operação contenção: famílias ainda aguardam liberação de corpos. TV Brasil, 1 nov. 2025. Disponível em: https://tvbrasil.ebc.com.br/reporter-brasil/2025/11/operacao-contencao-familias-ainda-aguardam-liberacao-de-corpos. Acesso em: 3 nov. 2025. </t>
  </si>
  <si>
    <t>Moraes determina preservação integral de provas sobre megaoperação</t>
  </si>
  <si>
    <t xml:space="preserve">VILELA, Pedro Rafael. Moraes determina preservação integral de provas sobre megaoperação. Agência Brasil, 2 nov. 2025. Disponível em: https://agenciabrasil.ebc.com.br/justica/noticia/2025-11/moraes-determina-preservacao-integral-de-provas-sobre-megaoperacao. Acesso em: 3 nov. 2025. </t>
  </si>
  <si>
    <t>Manifestação contra operação policial Contenção</t>
  </si>
  <si>
    <t xml:space="preserve">RÊGO, Tânia. Manifestação contra operação policial Contenção. Agência Brasil, 31 out. 2025. Disponível em: https://agenciabrasil.ebc.com.br/foto/2025-10/manifestacao-contra-operacao-policial-contencao-1761951232. Acesso em: 3 nov. 2025. </t>
  </si>
  <si>
    <t>Operação Contenção: defensoria diz é impedida de acompanhar necrópsias</t>
  </si>
  <si>
    <t xml:space="preserve">REPÓRTER BRASIL TARDE. Operação Contenção: defensoria diz é impedida de acompanhar necrópsias. TV Brasil, 30 out. 2025. Disponível em: https://tvbrasil.ebc.com.br/reporter-brasil-tarde/2025/10/operacao-contencao-defensoria-diz-e-impedida-de-acompanhar-necropsias. Acesso em: 3 nov. 2025. </t>
  </si>
  <si>
    <t>Associação Nacional dos Docentes do Ensino Superior – Sindicato Nacional</t>
  </si>
  <si>
    <t>ANDES-SN repudia massacre nos Complexos do Alemão e da Penha no Rio de Janeiro. 30 out. 2025</t>
  </si>
  <si>
    <t xml:space="preserve">ANDES-SN. ANDES-SN repudia massacre nos Complexos do Alemão e da Penha no Rio de Janeiro. 30 out. 2025. Disponível em: https://www.andes.org.br/conteudos/noticia/aNDES-sN-repudia-massacre-nos-complexos-do-alemao-e-da-penha-no-rio-de-janeiro1. Acesso em: 3 nov. 2025. </t>
  </si>
  <si>
    <t>Defensoria do Rio é impedida de acompanhar perícia de mortos em massacre e DPU aciona STF</t>
  </si>
  <si>
    <t>BRASIL DE FATO. Defensoria do Rio é impedida de acompanhar perícia de mortos em massacre e DPU aciona STF. Brasil de Fato, 30 out. 2025. Disponível em: https://www.brasildefato.com.br/2025/10/30/dpu-pede-para-acompanhar-pericia-de-mortos-em-massacre-apos-defensoria-do-rio-ter-acesso-negado/. Acesso em: 3 nov. 2025.</t>
  </si>
  <si>
    <t>Chefe da ONU pede investigações sobre chacina no RJ e STF fará audiência sobre o caso</t>
  </si>
  <si>
    <t xml:space="preserve">BRASIL DE FATO. Chefe da ONU pede investigações sobre chacina no RJ e STF fará audiência sobre o caso. Brasil de Fato, 29 out. 2025. Disponível em: https://www.brasildefato.com.br/2025/10/29/chefe-da-onu-pede-investigacoes-sobre-chacina-no-rj-e-stf-fara-audiencia-sobre-o-caso/. Acesso em: 3 nov. 2025. </t>
  </si>
  <si>
    <t>Minas Gerais, Brasil</t>
  </si>
  <si>
    <t>O Tempo</t>
  </si>
  <si>
    <t>Operação Contenção: 280 mil pessoas vivem em áreas que foram alvo da polícia no Rio</t>
  </si>
  <si>
    <t xml:space="preserve">RODRIGUES, Gabriel. Operação Contenção: 280 mil pessoas vivem em áreas que foram alvo da polícia no Rio. O Tempo, 28 out. 2025. Disponível em: https://www.otempo.com.br/brasil/2025/10/28/operacao-contencao-280-mil-pessoas-vivem-em-areas-que-foram-alvo-da-policia-no-rio. Acesso em: 3 nov. 2025. </t>
  </si>
  <si>
    <t>Mortos em megaoperação no RJ: 115 dos 117 suspeitos foram identificados, sendo 97 com histórico de crimes graves. g1 Rio, 31 out. 2025</t>
  </si>
  <si>
    <t>COELHO, Henrique. Mortos em megaoperação no RJ: 115 dos 117 suspeitos foram identificados, sendo 97 com histórico de crimes graves. g1 Rio, 31 out. 2025. Disponível em: https://g1.globo.com/rj/rio-de-janeiro/noticia/2025/10/31/mortos-na-megaoperacao-nos-complexos-da-penha-e-do-alemao.ghtml. Acesso em: 3 nov. 2025.</t>
  </si>
  <si>
    <t>Flávio Bolsonaro cria “vaquinha” para famílias de policiais mortos em operação</t>
  </si>
  <si>
    <t>AMANTÉA, Rose. Flávio Bolsonaro cria “vaquinha” para famílias de policiais mortos em operação. Gazeta do Povo, 2 nov. 2025. Disponível em: https://www.gazetadopovo.com.br/republica/flavio-bolsonaro-cria-vaquinha-para-familias-de-policiais-mortos-em-operacao/. Acesso em: 3 nov. 2025.</t>
  </si>
  <si>
    <t>Complexo da Penha, no RJ, tem ato contra a operação Contenção</t>
  </si>
  <si>
    <t>REPÓRTER BRASIL TARDE. Complexo da Penha, no RJ, tem ato contra a operação Contenção. TV Brasil, 31 out. 2025. Disponível em: http://tvbrasil.ebc.com.br/reporter-brasil-tarde/2025/10/complexo-da-penha-no-rj-tem-ato-contra-operacao-contencao. Acesso em: 3 nov. 2025.</t>
  </si>
  <si>
    <t>Comissão da Câmara quer investigação federal sobre operação no Rio</t>
  </si>
  <si>
    <t>PASSOS, Gésio. Comissão da Câmara quer investigação federal sobre operação no Rio. Agência Brasil, 30 out. 2025. Disponível em: https://agenciabrasil.ebc.com.br/radioagencia-nacional/politica/audio/2025-10/comissao-da-camara-quer-investigacao-federal-sobre-operacao-no-rio. Acesso em: 3 nov. 2025.</t>
  </si>
  <si>
    <t>Movimentos sociais no Maranhão fazem ato contra violência policial</t>
  </si>
  <si>
    <t>NASCIMENTO, Luciano. Movimentos sociais no Maranhão fazem ato contra violência policial. Agência Brasil, 31 out. 2025. Disponível em: https://agenciabrasil.ebc.com.br/geral/noticia/2025-10/movimentos-sociais-fazem-ato-contra-violencia-policial. Acesso em: 3 nov. 2025.</t>
  </si>
  <si>
    <t>Operação Contenção: ministra Macaé Evaristo e deputados visitam o Rio</t>
  </si>
  <si>
    <t>REPÓRTER BRASIL TARDE. Operação Contenção: ministra Macaé Evaristo e deputados visitam o Rio. TV Brasil, 30 out. 2025. Disponível em: https://tvbrasil.ebc.com.br/reporter-brasil-tarde/2025/10/operacao-contencao-ministra-macae-evaristo-e-deputados-visitam-o-rio. Acesso em: 3 nov. 2025.</t>
  </si>
  <si>
    <t>BBC</t>
  </si>
  <si>
    <t>Porsche, ordens de tortura e 'favor' para major da PM: o retrato do CV na denúncia que embasou operação no Rio</t>
  </si>
  <si>
    <t>ALVIM, Mariana. Porsche, ordens de tortura e 'favor' para major da PM: o retrato do CV na denúncia que embasou operação no Rio. BBC News Brasil, 31 out. 2025. Disponível em: https://www.bbc.com/portuguese/articles/c0rp04y7wrxo.amp. Acesso em: 3 nov. 2025.</t>
  </si>
  <si>
    <t>Operação contra Comando Vermelho deixa ao menos 64 mortos e torna-se a mais letal da história do Rio</t>
  </si>
  <si>
    <t>BRASIL DE FATO. Operação contra Comando Vermelho deixa ao menos 64 mortos e torna-se a mais letal da história do Rio. Brasil de Fato, 28 out. 2025. Disponível em: https://www.brasildefato.com.br/2025/10/28/operacao-contra-comando-vermelho-deixa-ao-menos-64-mortos-e-torna-se-a-mais-letal-da-historia-do-rio/. Acesso em: 3 nov. 2025.</t>
  </si>
  <si>
    <t>Valor Econômico</t>
  </si>
  <si>
    <t>Secretário de segurança do Rio refuta ‘vazamento grave’ da Operação Contenção</t>
  </si>
  <si>
    <t>NETTO, Victoria. Secretário de segurança do Rio refuta ‘vazamento grave’ da Operação Contenção. Valor, 30 out. 2025. Disponível em: https://valor.globo.com/brasil/noticia/2025/10/30/secretrio-de-segurana-do-rio-refuta-vazamento-grave-da-operao-conteno.ghtml. Acesso em: 3 nov. 2025.</t>
  </si>
  <si>
    <t>Governo do RJ pede dez vagas em prisões federais após 'Operação Contenção', diz ministério</t>
  </si>
  <si>
    <t>ESCARDOVELLI, Maira. Governo do RJ pede dez vagas em prisões federais após 'Operação Contenção', diz ministério. Valor, 28 out. 2025. Disponível em: https://valor.globo.com/brasil/noticia/2025/10/28/governo-do-rj-pede-dez-vagas-em-prisoes-federais-apos-operacao-contencao-diz-ministerio.ghtml. Acesso em: 3 nov. 2025.</t>
  </si>
  <si>
    <t>Tiroteios constantes afetam desenvolvimento de crianças em comunidades</t>
  </si>
  <si>
    <t>RODRIGUES, Alex. Tiroteios constantes afetam desenvolvimento de crianças em comunidades. Agência Brasil, 31 out. 2025. Disponível em: https://agenciabrasil.ebc.com.br/geral/noticia/2025-10/tiroteios-constantes-afetam-desenvolvimento-de-crian%C3%A7as-em-comunidades. Acesso em: 3 nov. 2025.</t>
  </si>
  <si>
    <t>Defensoria Pública critica aumento da letalidade policial no Rio</t>
  </si>
  <si>
    <t>RODRIGUES, Alex. Defensoria Pública critica aumento da letalidade policial no Rio. Agência Brasil, 29 out. 2025. Disponível em: https://agenciabrasil.ebc.com.br/geral/noticia/2025-10/defensoria-publica-critica-aumento-da-letalidade-policial-no-rio. Acesso em: 3 nov. 2025.</t>
  </si>
  <si>
    <t>Especialistas criticam retórica de governadores sobre combate ao crime</t>
  </si>
  <si>
    <t>CARDOSO, Rafael. Especialistas criticam retórica de governadores sobre combate ao crime. Agência Brasil, 2 nov. 2025. Disponível em: https://agenciabrasil.ebc.com.br/geral/noticia/2025-11/especialistas-criticam-retorica-de-governadores-sobre-combate-ao-crime. Acesso em: 3 nov. 2025.</t>
  </si>
  <si>
    <t>Em igreja na Penha, fiéis rezam por paz e proteção em semana de horror</t>
  </si>
  <si>
    <t>TOKARNIA, Mariana. Em igreja na Penha, fiéis rezam por paz e proteção em semana de horror. Agência Brasil, 2 nov. 2025. Disponível em: https://agenciabrasil.ebc.com.br/direitos-humanos/noticia/2025-11/em-igreja-na-penha-fieis-rezam-por-paz-e-protecao-em-semana-de-horror. Acesso em: 3 nov. 2025.</t>
  </si>
  <si>
    <t>Alerj cobra explicação sobre operação no Rio de Janeiro</t>
  </si>
  <si>
    <t>LUZ, Solimar. Alerj cobra explicação sobre operação no Rio de Janeiro. Rádio Nacional, 29 out. 2025. Disponível em: https://agenciabrasil.ebc.com.br/radioagencia-nacional/seguranca/audio/2025-10/alerj-cobra-explicacao-sobre-operacao-no-rio-de-janeiro. Acesso em: 3 nov. 2025.</t>
  </si>
  <si>
    <t>Poder 360</t>
  </si>
  <si>
    <t>Operação no Rio supera Carandiru e se torna a mais letal do país</t>
  </si>
  <si>
    <t>RANY, Luisa. Operação no Rio supera Carandiru e se torna a mais letal do país. Poder360, 29 out. 2025. Disponível em: https://www.poder360.com.br/poder-seguranca-publica/operacao-no-rio-supera-carandiru-e-se-torna-a-mais-letal-do-pais/. Acesso em: 3 nov. 2025.</t>
  </si>
  <si>
    <t>SBT News</t>
  </si>
  <si>
    <t>Velórios de policiais mortos na Operação Contenção refletem caos e dor no Rio</t>
  </si>
  <si>
    <t>SBT BRASIL. Velórios de policiais mortos na Operação Contenção refletem caos e dor no Rio. SBT News, 29 out. 2025. Disponível em: https://sbtnews.sbt.com.br/noticia/brasil/velorios-de-policiais-mortos-na-operacao-contencao-refletem-caos-e-dor-no-rio. Acesso em: 3 nov. 2025.</t>
  </si>
  <si>
    <t>Governo envia peritos da PF e da Força Nacional ao Rio de Janeiro</t>
  </si>
  <si>
    <t>CARTA CAPITAL. Governo envia peritos da PF e da Força Nacional ao Rio de Janeiro. CartaCapital, 30 out. 2025. Disponível em: https://www.cartacapital.com.br/politica/governo-envia-peritos-da-pf-e-da-foca-nacional-ao-rio-de-janeiro/. Acesso em: 3 nov. 2025.</t>
  </si>
  <si>
    <t>Galeria de imagens: veja fotos da Operação Contenção contra o Comando Vermelho no Rio</t>
  </si>
  <si>
    <t>RODRIGUES, Gabriel. Galeria de imagens: veja fotos da Operação Contenção contra o Comando Vermelho no Rio. O Tempo, 28 out. 2025. Disponível em: https://www.otempo.com.br/brasil/2025/10/28/galeria-de-imagens-veja-fotos-da-operacao-contencao-contra-o-comando-vermelho-no-rio. Acesso em: 3 nov. 2025.</t>
  </si>
  <si>
    <t>Operação Contenção: Quem são os alvos, presos e foragidos em ação no Rio</t>
  </si>
  <si>
    <t xml:space="preserve">MORAES, Vicklin. Operação Contenção: Quem são os alvos, presos e foragidos em ação no Rio. SBT News, 29 out. 2025. Disponível em: https://sbtnews.sbt.com.br/noticia/brasil/operacao-contencao-quem-sao-os-alvos-presos-e-foragidos-em-acao-no-rio. Acesso em: 3 nov. 2025.
</t>
  </si>
  <si>
    <t>Impedimento à Defensoria em perícias de massacre no Rio ‘atenta contra democracia’, diz defensor público</t>
  </si>
  <si>
    <t xml:space="preserve">ROBICHEZ, Adele; KRUPACZ, Lucas. Impedimento à Defensoria em perícias de massacre no Rio ‘atenta contra democracia’, diz defensor público. Brasil de Fato, 31 out. 2025. Disponível em: https://www.brasildefato.com.br/2025/10/31/impedimento-a-defensoria-em-pericias-de-massacre-no-rio-atenta-contra-democracia-diz-defensor-publico/. Acesso em: 3 nov. 2025.
</t>
  </si>
  <si>
    <t>‘É uma violência injustificável’, diz pesquisadora sobre operação mais letal do Rio</t>
  </si>
  <si>
    <t xml:space="preserve">ROBICHEZ, Adele; BERNARDES, José Eduardo; BOHRER, Larissa. ‘É uma violência injustificável’, diz pesquisadora sobre operação mais letal do Rio. Brasil de Fato, 28 out. 2025. Disponível em: https://www.brasildefato.com.br/2025/10/28/e-uma-violencia-injustificavel-diz-pesquisadora-sobre-operacao-mais-letal-do-rio/. Acesso em: 3 nov. 2025.
</t>
  </si>
  <si>
    <t>Partidos da base de Lula pedem no STF acesso de familiares de mortos ao IML</t>
  </si>
  <si>
    <t xml:space="preserve">FREITAS, Hermano. Partidos da base de Lula pedem no STF acesso de familiares de mortos ao IML. Gazeta do Povo, 31 out. 2025. Disponível em: https://www.gazetadopovo.com.br/brasil/partidos-da-base-de-lula-pedem-no-stf-acesso-de-familiares-de-mortos-ao-iml/. Acesso em: 3 nov. 2025.
</t>
  </si>
  <si>
    <t>Como funcionam as torturas do Comando Vermelho, que motivaram a operação no Rio de Janeiro</t>
  </si>
  <si>
    <t xml:space="preserve">SESTREM, Gabriel. Como funcionam as torturas do Comando Vermelho, que motivaram a operação no Rio de Janeiro. Gazeta do Povo, 31 out. 2025. Disponível em: https://www.gazetadopovo.com.br/vida-e-cidadania/comando-vermelho-como-funcionam-torturas-que-motivaram-operacao-rio-de-janeiro/. Acesso em: 3 nov. 2025.
</t>
  </si>
  <si>
    <t>Operação no Rio de Janeiro expõe poderio bélico e organização das facções criminosas</t>
  </si>
  <si>
    <t>MANFRIN, Juliet; KAWAGUTI, Luis Miguel Vieliczko. Operação no Rio de Janeiro expõe poderio bélico e organização das facções criminosas. Gazeta do Povo, 31 out. 2025. Disponível em: https://www.gazetadopovo.com.br/republica/operacao-no-rio-de-janeiro-expoe-poderio-belico-e-organizacao-das-faccoes-criminosas/. Acesso em: 3 nov. 2025.</t>
  </si>
  <si>
    <t>MPF pede informações sobre uso de verbas federais em operação no RJ</t>
  </si>
  <si>
    <t>CORRÊA, Douglas. MPF pede informações sobre uso de verbas federais em operação no RJ. Agência Brasil, Rio de Janeiro, 4 nov. 2025. Disponível em: https://agenciabrasil.ebc.com.br/justica/noticia/2025-11/mpf-pede-informacoes-sobre-uso-de-verbas-federais-na-operacao-RJ. Acesso em: 11 nov. 2025.</t>
  </si>
  <si>
    <t>Proteção de adolescentes desafia conselhos tutelares após megaoperação</t>
  </si>
  <si>
    <t>VIEIRA, Isabela. Proteção de adolescentes desafia conselhos tutelares após megaoperação. Agência Brasil, Rio de Janeiro, 9 nov. 2025. Disponível em: https://agenciabrasil.ebc.com.br/direitos-humanos/noticia/2025-11/protecao-de-adolescentes-desafia-conselhos-tutelares-apos-megaoperacao. Acesso em: 11 nov. 2025.</t>
  </si>
  <si>
    <t>Secretário cita ‘9 milhões de m² de desordem’ na Penha e no Alemão e diz que é preciso que 'estado</t>
  </si>
  <si>
    <t xml:space="preserve">G1. Secretário cita ‘9 milhões de m² de desordem’ na Penha e no Alemão e diz que é preciso que 'estado, União e município se sentem à mesa'. G1, Rio de Janeiro, 28 out. 2025. Disponível em: https://g1.globo.com/rj/rio-de-janeiro/noticia/2025/10/28/victor-santos-seguranca-publica-rj.ghtml. Acesso em: 11 nov. 2025.
</t>
  </si>
  <si>
    <t>ADPF das Favelas: entenda as medidas que foram determinadas pelo STF</t>
  </si>
  <si>
    <t xml:space="preserve">RICHTER, André. ADPF das Favelas: entenda as medidas que foram determinadas pelo STF. Agência Brasil, Brasília, 30 out. 2025. Disponível em: https://agenciabrasil.ebc.com.br/justica/noticia/2025-10/adpf-das-favelas-entenda-medidas-que-foram-determinadas-pelo-stf. Acesso em: 11 nov. 2025.
</t>
  </si>
  <si>
    <t>Polícia Civil e MP do Rio prendem dez e aprendem 240 armas e 43 mil munições em operação contra Comando Vermelho</t>
  </si>
  <si>
    <t>O GLOBO. Polícia Civil e MP do Rio prendem dez e aprendem 240 armas e 43 mil munições em operação contra Comando Vermelho. O Globo, Rio de Janeiro, 13 maio 2025. Disponível em: https://oglobo.globo.com/rio/noticia/2025/05/13/operacao-da-policia-civil-e-do-mprj-mira-esquema-de-faccao-criminosa-que-recrutava-criminosos-com-capacidades-especificas.ghtml. Acesso em: 11 nov. 2025.</t>
  </si>
  <si>
    <t>Nenhuma mulher morreu durante operação no Rio, diz Polícia Civil</t>
  </si>
  <si>
    <t xml:space="preserve">CORRÊA, Douglas. Nenhuma mulher morreu durante operação no Rio, diz Polícia Civil. Agência Brasil, Rio de Janeiro, 4 nov. 2025. Disponível em: https://agenciabrasil.ebc.com.br/geral/noticia/2025-11/nenhuma-mulher-morreu-durante-operacao-no-rio-diz-policia-civil. Acesso em: 11 nov. 2025.
</t>
  </si>
  <si>
    <t>Doca, alvo da Operação Contenção e réu no caso dos médicos mortos na Barra: audiência é marcada</t>
  </si>
  <si>
    <t xml:space="preserve">GOIS, Ancelmo. Doca, alvo da Operação Contenção e réu no caso dos médicos mortos na Barra: audiência é marcada. O Globo, 6 nov. 2025. Disponível em: https://oglobo.globo.com/blogs/ancelmo-gois/post/2025/11/doca-alvo-da-operacao-contencao-e-reu-no-caso-dos-medicos-mortos-na-barra-audiencia-e-marcada.ghtml. Acesso em: 11 nov. 2025.
</t>
  </si>
  <si>
    <t>TV Brasil</t>
  </si>
  <si>
    <t>STF cobra explicações do governo do Rio sobre a Operação Contenção</t>
  </si>
  <si>
    <t xml:space="preserve">TV BRASIL. STF cobra explicações do governo do Rio sobre a Operação Contenção. TV Brasil, Rio de Janeiro, 30 out. 2025. Disponível em: https://tvbrasil.ebc.com.br/reporter-brasil-tarde/2025/10/stf-cobra-explicacoes-do-governo-do-rio-sobre-operacao-contencao. Acesso em: 11 nov. 2025.
</t>
  </si>
  <si>
    <t>Relatos à ouvidoria da Defensoria do RJ citam violações em operação</t>
  </si>
  <si>
    <t xml:space="preserve">TOKARNIA, Mariana. Relatos à ouvidoria da Defensoria do RJ citam violações em operação. Agência Brasil, Rio de Janeiro, 3 nov. 2025. Disponível em: https://agenciabrasil.ebc.com.br/direitos-humanos/noticia/2025-11/relatos-ouvidoria-da-defensoria-do-rj-citam-violacoes-em-operacao. Acesso em: 11 nov. 2025.
</t>
  </si>
  <si>
    <t>Líder do tráfico na região Norte morreu na Operação Contenção</t>
  </si>
  <si>
    <t xml:space="preserve">TV BRASIL. Líder do tráfico na região Norte morreu na Operação Contenção. TV Brasil, Rio de Janeiro, 4 nov. 2025. Disponível em: https://tvbrasil.ebc.com.br/reporter-brasil-tarde/2025/11/lider-do-trafico-na-regiao-norte-morreu-na-operacao-contencao. Acesso em: 11 nov. 2025.
</t>
  </si>
  <si>
    <t>Operação contra o Comando Vermelho na Zona Oeste do Rio tem oito presos, quatro mortos e três adolescentes apreendidos</t>
  </si>
  <si>
    <t>O GLOBO. Operação contra o Comando Vermelho na Zona Oeste do Rio tem oito presos, quatro mortos e três adolescentes apreendidos. O Globo, Rio de Janeiro, 13 ago. 2025. Disponível em: https://oglobo.globo.com/rio/noticia/2025/08/13/operacao-contra-o-comando-vermelho-na-zona-oeste-do-rio-tem-dois-mortos-um-ferido-e-apreensao-de-armas.ghtml. Acesso em: 11 nov. 2025.</t>
  </si>
  <si>
    <t>Vinte peritos da Polícia Federal vão ao Rio após a Operação Contenção</t>
  </si>
  <si>
    <t xml:space="preserve">TV BRASIL. Vinte peritos da Polícia Federal vão ao Rio após a Operação Contenção. TV Brasil, Rio de Janeiro, 31 out. 2025. Disponível em: https://tvbrasil.ebc.com.br/reporter-brasil-tarde/2025/10/vinte-peritos-da-policia-federal-vao-ao-rio-apos-operacao-contencao. Acesso em: 11 nov. 2025.
</t>
  </si>
  <si>
    <t>Moradora obrigada a filmar rendição, 'monte' de fuzis, bombas em drones, cariocas a pé: veja imagens da megaoperação no Rio</t>
  </si>
  <si>
    <t xml:space="preserve">G1. Moradora obrigada a filmar rendição, 'monte' de fuzis, bombas em drones, cariocas a pé: veja imagens da megaoperação no Rio. G1, Rio de Janeiro, 29 out. 2025. Disponível em: https://g1.globo.com/rj/rio-de-janeiro/noticia/2025/10/29/moradora-obrigada-a-filmar-rendicao-monte-de-fuzis-bombas-em-drones-cariocas-a-pe-veja-imagens-da-megaoperacao-no-rio.ghtml. Acesso em: 11 nov. 2025.
</t>
  </si>
  <si>
    <t>Operação Contenção: governo divulga imagens das câmeras corporais</t>
  </si>
  <si>
    <t>TV BRASIL. Operação Contenção: governo divulga imagens das câmeras corporais. TV Brasil, Rio de Janeiro, 3 nov. 2025. Disponível em: https://tvbrasil.ebc.com.br/reporter-brasil-tarde/2025/11/operacao-contencao-governo-divulga-imagens-das-cameras-corporais. Acesso em: 11 nov. 2025.</t>
  </si>
  <si>
    <t>Ministério desmente proposta de auxílio a famílias de mortos em ação no Rio</t>
  </si>
  <si>
    <t xml:space="preserve">FARIAS, Julia. Ministério desmente proposta de auxílio a famílias de mortos em ação no Rio. CNN Brasil, São Paulo, 6 nov. 2025. Disponível em: https://www.cnnbrasil.com.br/nacional/sudeste/rj/ministerio-desmente-proposta-de-auxilio-a-familias-de-mortos-em-acao-no-rio/. Acesso em: 11 nov. 2025.
</t>
  </si>
  <si>
    <t>MPF pede informações ao governo do RJ e à União sobre uso de recursos federais na Operação Contenção</t>
  </si>
  <si>
    <t xml:space="preserve">ESCARDOVELLI, Maira. MPF pede informações ao governo do RJ e à União sobre uso de recursos federais na Operação Contenção. Valor, Brasília, 4 nov. 2025. Disponível em: https://valor.globo.com/politica/noticia/2025/11/04/mpf-pede-informacoes-ao-governo-do-rj-e-a-uniao-sobre-uso-de-recursos-federais-na-operacao-contencao.ghtml. Acesso em: 11 nov. 2025.
</t>
  </si>
  <si>
    <t>Pesquisa: 8 em cada 10 moradores de favelas no Rio aprovam megaoperação</t>
  </si>
  <si>
    <t xml:space="preserve">SOUZA, Beto. Pesquisa: 8 em cada 10 moradores de favelas no Rio aprovam megaoperação. CNN Brasil, São Paulo, 31 out. 2025. Disponível em: https://www.cnnbrasil.com.br/nacional/sudeste/rj/pesquisa-8-em-cada-10-moradores-de-favelas-no-rio-aprovam-megaoperacao/. Acesso em: 11 nov. 2025.
</t>
  </si>
  <si>
    <t>Megaoperação no RJ tinha como alvo 32 paraenses que comandavam crimes à distância, diz polícia do PA</t>
  </si>
  <si>
    <t xml:space="preserve">G1. Megaoperação no RJ tinha como alvo 32 paraenses que comandavam crimes à distância, diz polícia do PA. G1, Belém, 28 out. 2025. Disponível em: https://g1.globo.com/pa/para/noticia/2025/10/28/megaoperacao-no-rj-tinha-como-alvo-32-paraenses-que-comandavam-crimes-a-distancia-diz-policia-do-pa.ghtml. Acesso em: 11 nov. 2025.
</t>
  </si>
  <si>
    <t>Câmara do Rio suspende sessão devido à megaoperação no Alemão e na Penha</t>
  </si>
  <si>
    <t xml:space="preserve">CNN BRASIL. Câmara do Rio suspende sessão devido à megaoperação no Alemão e na Penha. CNN Brasil, São Paulo, 28 out. 2025. Disponível em: https://www.cnnbrasil.com.br/politica/camara-do-rio-suspende-sessao-devido-a-megaoperacao-no-alemao-e-na-penha/. Acesso em: 11 nov. 2025.
</t>
  </si>
  <si>
    <t>Rádio Nacional</t>
  </si>
  <si>
    <t>Moradores do Rio protestam contra mortes na operação Contenção</t>
  </si>
  <si>
    <t xml:space="preserve">RIBEIRO, Cristiane. Moradores do Rio protestam contra mortes na operação Contenção. Rádio Nacional, Rio de Janeiro, 30 out. 2025. Disponível em: https://agenciabrasil.ebc.com.br/radioagencia-nacional/seguranca/audio/2025-10/moradores-do-rio-protestam-contra-mortes-na-operacao-contencao. Acesso em: 11 nov. 2025.
</t>
  </si>
  <si>
    <t>50 fuzis entram na Penha e no Alemão por mês, afirma Polícia Civil do Rio</t>
  </si>
  <si>
    <t xml:space="preserve">NASPOLINI, Julia. 50 fuzis entram na Penha e no Alemão por mês, afirma Polícia Civil do Rio. CNN Brasil, São Paulo, 31 out. 2025. Disponível em: https://www.cnnbrasil.com.br/nacional/sudeste/rj/50-fuzis-entram-na-penha-e-no-alemao-por-mes-afirma-policia-civil-do-rio/. Acesso em: 11 nov. 2025.
</t>
  </si>
  <si>
    <t>"Não era razoável", diz PF sobre planejamento da operação no Rio</t>
  </si>
  <si>
    <t xml:space="preserve">VERDÉLIO, Andreia. "Não era razoável", diz PF sobre planejamento da operação no Rio. Agência Brasil, Brasília, 29 out. 2025. Disponível em: https://agenciabrasil.ebc.com.br/geral/noticia/2025-10/nao-era-razoavel-diz-PF-sobre-planejamento-da-operacao%20no-rio. Acesso em: 11 nov. 2025.
</t>
  </si>
  <si>
    <t>Após 12 horas de confronto, o que se sabe sobre megaoperação com 64 mortes</t>
  </si>
  <si>
    <t xml:space="preserve">PINOTTI, Fernanda. Após 12 horas de confronto, o que se sabe sobre megaoperação com 64 mortes. CNN Brasil, São Paulo, 28 out. 2025. Disponível em: https://www.cnnbrasil.com.br/nacional/sudeste/rj/apos-12-horas-de-confronto-o-que-se-sabe-sobre-megaoperacao-com-64-mortes/. Acesso em: 11 nov. 2025.
</t>
  </si>
  <si>
    <t>Imprensa internacional repercute megaoperação contra facção no Rio</t>
  </si>
  <si>
    <t xml:space="preserve">ROSA, Victoria Nogueira. Imprensa internacional repercute megaoperação contra facção no Rio. Valor, São Paulo, 28 out. 2025. Disponível em: https://valor.globo.com/mundo/noticia/2025/10/28/imprensa-internacional-repercute-megaoperao-contra-faco-no-rio.ghtml. Acesso em: 11 nov. 2025.
</t>
  </si>
  <si>
    <t>Rio: operação prende 23 pessoas nos Complexos da Penha e do Alemão</t>
  </si>
  <si>
    <t xml:space="preserve">AGÊNCIA BRASIL. Rio: operação prende 23 pessoas nos Complexos da Penha e do Alemão. Agência Brasil, Rio de Janeiro, 28 out. 2025. Disponível em: https://agenciabrasil.ebc.com.br/geral/noticia/2025-10/operacao-prende-23-pessoas-nos-complexos-da-penha-e-do-alemao-no-rio. Acesso em: 11 nov. 2025.
</t>
  </si>
  <si>
    <t>Defensoria recebe denúncias de abusos na Operação Contenção</t>
  </si>
  <si>
    <t xml:space="preserve">CORREA, Gabriel. Defensoria recebe denúncias de abusos na Operação Contenção. Rádio Nacional, São Luís, 4 nov. 2025. Disponível em: https://agenciabrasil.ebc.com.br/radioagencia-nacional/direitos-humanos/audio/2025-11/defensoria-recebe-denuncias-de-abusos-na-operacao-contencao. Acesso em: 11 nov. 2025.
</t>
  </si>
  <si>
    <t>Operação no Rio deixa dezenas de mortos e 56 presos</t>
  </si>
  <si>
    <t xml:space="preserve">CAMPOS, Ana Cristina. Operação no Rio deixa dezenas de mortos e 56 presos. Agência Brasil, Rio de Janeiro, 28 out. 2025. Disponível em: https://agenciabrasil.ebc.com.br/geral/noticia/2025-10/operacao-no-rio-deixa-18-suspeitos-mortos-e-56-presos. Acesso em: 11 nov. 2025.
</t>
  </si>
  <si>
    <t>Rádio Roquette Pinto</t>
  </si>
  <si>
    <t>Universidades públicas do Rio retomam atividades após Operação Contenção</t>
  </si>
  <si>
    <t>SANTIAGO, Daniel. Universidades públicas do Rio retomam atividades após Operação Contenção. Rádio Roquette Pinto, Rio de Janeiro, 2025. Disponível em: https://www.rj.gov.br/radioroquettepinto/node/12550. Acesso em: 11 nov. 2025.</t>
  </si>
  <si>
    <t>Correio Fluminense</t>
  </si>
  <si>
    <t>Castro relata a Moraes o planejamento da Operação Contenção</t>
  </si>
  <si>
    <t>CASTRO relata a MORAES o planejamento da Operação Contenção. Correio Fluminense, São Paulo, 4 nov. 2025, p. 9. Disponível em: https://www.rj.gov.br/proderj/sites/default/files/arquivos-andamento/Publicacao%20NOVO%20Aviso%20Certame_CORREIO%20DA%20MANHA.pdf. Acesso em: 11 nov. 2025.</t>
  </si>
  <si>
    <t>Operação no Alemão e na Penha tem 121 mortos e se torna a mais letal da história do Rio de Janeiro</t>
  </si>
  <si>
    <t xml:space="preserve">NASCIMENTO, Rafael; COELHO, Henrique. Operação no Alemão e na Penha tem 121 mortos e se torna a mais letal da história do Rio de Janeiro. G1, Rio de Janeiro, 28 out. 2025. Disponível em: https://g1.globo.com/rj/rio-de-janeiro/noticia/2025/10/28/operacao-historico-da-cidade-do-rio.ghtml. Acesso em: 11 nov. 2025.
</t>
  </si>
  <si>
    <t>Megaoperação: quem são os criminosos mais procurados do Comando Vermelho</t>
  </si>
  <si>
    <t xml:space="preserve">NASPOLINI, Julia; SILVESTRE, Yasmin. Megaoperação: quem são os criminosos mais procurados do Comando Vermelho. CNN Brasil, São Paulo, 31 out. 2025. Disponível em: https://www.cnnbrasil.com.br/nacional/sudeste/rj/megaoperacao-quem-sao-os-criminosos-mais-procurados-do-comando-vermelho/. Acesso em: 11 nov. 2025.
</t>
  </si>
  <si>
    <t>ADPF das favelas estimulou alianças entre facções no Rio, diz associação de delegados</t>
  </si>
  <si>
    <t>MACIA, Vinicius. ADPF das favelas estimulou alianças entre facções no Rio, diz associação de delegados. Gazeta do Povo, 10 nov. 2025. Disponível em: https://www.gazetadopovo.com.br/brasil/adpf-das-favelas-estimulou-aliancas-de-faccoes-diz-associacao/. Acesso em: 11 nov. 2025.</t>
  </si>
  <si>
    <t>O que é o conceito de guerra justa e como ele se aplica ao caso do Rio de Janeiro</t>
  </si>
  <si>
    <t>PEÑALBA, Desirée. O que é o conceito de guerra justa e como ele se aplica ao caso do Rio de Janeiro. Gazeta do Povo, 10 nov. 2025. Artigo de opinião. Disponível em: https://www.gazetadopovo.com.br/ideias/guerra-justa-se-aplica-ao-rio-de-janeiro/. Acesso em: 11 nov. 2025.</t>
  </si>
  <si>
    <t>Guerra no Rio: quando a violência do Estado se torna justa</t>
  </si>
  <si>
    <t>PEÑALBA, Desirée; GAZETA DO POVO LAB. Guerra no Rio: quando a violência do Estado se torna justa? Gazeta do Povo, 10 nov. 2025. Disponível em: https://www.gazetadopovo.com.br/ideias/guerra-no-rio-quando-a-violencia-do-estado-se-torna-justa/. Acesso em: 11 nov. 2025.</t>
  </si>
  <si>
    <t>Congresso terá sessão para homenagear policiais mortos na Operação Contenção</t>
  </si>
  <si>
    <t>MACIA, Vinicius. Congresso terá sessão para homenagear policiais mortos na Operação Contenção. Gazeta do Povo, 10 nov. 2025. Disponível em: https://www.gazetadopovo.com.br/republica/congresso-tera-sessao-solene-para-homenagear-policiais-mortos-no-rio/. Acesso em: 11 nov. 2025.</t>
  </si>
  <si>
    <t>Megaoperação para conter avanço do CV no Alemão e na Penha tem 64 mortos, entre eles quatro policiais; ação é a mais letal da história do Rio</t>
  </si>
  <si>
    <t xml:space="preserve">BUSTAMANTE, Anna; TORRES, Ana Carolina; PAIVA, Gabriel de; ROCHA, Fabiano; SOUZA, Roberta de; NUNES, Marcos. Megaoperação para conter avanço do CV no Alemão e na Penha tem 64 mortos, entre eles quatro policiais; ação é a mais letal da história do Rio. O Globo, Rio de Janeiro, 28 out. 2025. Disponível em: https://oglobo.globo.com/rio/noticia/2025/10/28/complexos-do-alemao-e-da-penha-sao-alvos-de-megaoperacao-acao-tem-dois-mortos-e-homem-em-situacao-de-rua-baleado.ghtml. Acesso em: 11 nov. 2025.
</t>
  </si>
  <si>
    <t>ONG de advogada de Marcinho VP associa Operação Contenção a ações do suposto golpe</t>
  </si>
  <si>
    <t xml:space="preserve">MACIA, Vinicius. ONG de advogada de Marcinho VP associa Operação Contenção a ações do suposto golpe. Gazeta do Povo, 31 out. 2025. Disponível em: https://www.gazetadopovo.com.br/vida-e-cidadania/ong-de-advogada-marcinho-vp-associa-operacao-no-rio-a-golpe/. Acesso em: 11 nov. 2025.
</t>
  </si>
  <si>
    <t>O que está acontecendo no Rio de Janeiro: operação para conter avanço do Comando Vermelho tem 64 mortos</t>
  </si>
  <si>
    <t>BUSTAMANTE, Anna; TORRES, Ana Carolina; PAIVA, Gabriel de; ROCHA, Fabiano; SOUZA, Roberta de; NUNES, Marcos. O que está acontecendo no Rio de Janeiro: operação para conter avanço do Comando Vermelho tem 64 mortos. O Globo, Rio de Janeiro, 28 out. 2025. Disponível em: https://oglobo.globo.com/rio/noticia/2025/10/28/o-que-esta-acontecendo-no-rio-operacao-para-conter-avanco-do-comando-vermelho-tem-64-mortos-entre-eles-quatro-policiais.ghtml. Acesso em: 11 nov. 2025.</t>
  </si>
  <si>
    <t>Cenas de guerra e 64 mortos: o que se sabe sobre megaoperação no Alemão</t>
  </si>
  <si>
    <t xml:space="preserve">SOUZA, Beto; COUTO, Camille; FIGUEIREDO, Carolina; RODRIGUES, Cleber. Cenas de guerra e 64 mortos: o que se sabe sobre megaoperação no Alemão. CNN Brasil, Rio de Janeiro, 28 out. 2025. Disponível em: https://www.cnnbrasil.com.br/nacional/sudeste/rj/cenas-de-guerra-e-mortos-o-que-se-sabe-sobre-operacao-no-alemao/. Acesso em: 11 nov. 2025.
</t>
  </si>
  <si>
    <t>Operação Contenção matou responsável por tráfico na fronteira com a Colômbia</t>
  </si>
  <si>
    <t xml:space="preserve">MACIA, Vinicius. Operação Contenção matou responsável por tráfico na fronteira com a Colômbia. Gazeta do Povo, 4 nov. 2025. Disponível em: https://www.gazetadopovo.com.br/brasil/operacao-contencao-matou-responsavel-por-trafico-na-fronteira-com-colombia/. Acesso em: 11 nov. 2025.
</t>
  </si>
  <si>
    <t>Moradores retiram cerca de 60 corpos em área de mata após operação: comunidade diz que eles não fazem parte da contagem oficial</t>
  </si>
  <si>
    <t xml:space="preserve">FREIRE, Tâmara. Moradores retiram cerca de 60 corpos em área de mata após operação: comunidade diz que eles não fazem parte da contagem oficial. Agência Brasil, Rio de Janeiro, 29 out. 2025. Disponível em: https://agenciabrasil.ebc.com.br/geral/noticia/2025-10/moradores-retiram-cerca-de-60-corpos-em-area-de-mata-apos-operacao. Acesso em: 11 nov. 2025.
</t>
  </si>
  <si>
    <t>BBC News Brasil</t>
  </si>
  <si>
    <t>Megaoperação contra Comando Vermelho no Rio: polícia confirma 121 mortos; moradores recolhem mais de 50 corpos</t>
  </si>
  <si>
    <t>DINIZ, Iara; ALVIM, Mariana. Megaoperação contra Comando Vermelho no Rio: polícia confirma 121 mortos; moradores recolhem mais de 50 corpos. BBC News Brasil, São Paulo, 28 out. 2025. Atualizado em 30 out. 2025. Disponível em: https://www.bbc.com/portuguese/articles/clyg64e15j0o. Acesso em: 11 nov. 2025.</t>
  </si>
  <si>
    <t>Traficantes do Comando Vermelho usam drone para atacar polícia durante operação no Rio</t>
  </si>
  <si>
    <t>BBC NEWS BRASIL. Traficantes do Comando Vermelho usam drone para atacar polícia durante operação no Rio. BBC News Brasil, São Paulo, 28 out. 2025. Disponível em: https://www.bbc.com/portuguese/articles/c1d0xx09qx4o. Acesso em: 11 nov. 2025.</t>
  </si>
  <si>
    <t>Bonn, Alemanha</t>
  </si>
  <si>
    <t>Deutsche Welle</t>
  </si>
  <si>
    <t>Moraes manda Castro preservar provas de megaoperação no Rio</t>
  </si>
  <si>
    <t>DW. Moraes manda Castro preservar provas de megaoperação no Rio. Bonn, Renânia do Norte-Vestfália, Alemanha: Deutsche Welle, 2 nov. 2025. Disponível em: https://www.dw.com/pt-br/moraes-manda-castro-preservar-provas-de-megaopera%C3%A7%C3%A3o-contra-comando-vermelho/a-74591553. Acesso em: 11 nov. 2025.</t>
  </si>
  <si>
    <t>Nenhum dos 115 mortos divulgados em megaoperação consta em decisão judicial</t>
  </si>
  <si>
    <t>SOUZA, Beto. Nenhum dos 115 mortos divulgados em megaoperação consta em decisão judicial. CNN Brasil, São Paulo, 3 nov. 2025. Disponível em: https://www.cnnbrasil.com.br/nacional/sudeste/rj/nenhum-dos-115-mortos-divulgados-em-megaoperacao-consta-em-decisao-judicial/. Acesso em: 11 nov. 2025.</t>
  </si>
  <si>
    <t>O que sabemos e o que falta saber sobre a ação policial mais letal do RJ</t>
  </si>
  <si>
    <t>SOUZA, Beto; FARIAS, Julia; COELHO, Thomaz. O que sabemos e o que falta saber sobre a ação policial mais letal do RJ. CNN Brasil, São Paulo, 31 out. 2025. Disponível em: https://www.cnnbrasil.com.br/nacional/sudeste/rj/o-que-sabemos-e-o-que-falta-saber-sobre-a-acao-policial-mais-letal-do-rj/. Acesso em: 11 nov. 2025.</t>
  </si>
  <si>
    <t>Como Comando Vermelho surgiu e se espalhou pelo Brasil</t>
  </si>
  <si>
    <t xml:space="preserve">CASTRO, Carol. Como Comando Vermelho surgiu e se espalhou pelo Brasil. BBC News Brasil, Rio de Janeiro, 29 out. 2025. Atualizado em 30 out. 2025. Disponível em: https://www.bbc.com/portuguese/articles/cx2p9re07p9oa. Acesso em: 11 nov. 2025.
</t>
  </si>
  <si>
    <t>Megaoperação no Rio: número de presos no Alemão e na Penha enviado ao STF não bate com o que foi divulgado pelo governo</t>
  </si>
  <si>
    <t xml:space="preserve">COSTA, João Vitor; NUNES, Marcos; ARAUJO, Camila. Megaoperação no Rio: número de presos no Alemão e na Penha enviado ao STF não bate com o que foi divulgado pelo governo. O Globo, Rio de Janeiro, 5 nov. 2025. Disponível em: https://oglobo.globo.com/rio/noticia/2025/11/05/megaoperacao-no-rio-numero-de-presos-no-alemao-e-na-penha-enviado-ao-stf-nao-bate-com-o-que-foi-divulgado-pelo-governo.ghtml. Acesso em: 11 nov. 2025.
</t>
  </si>
  <si>
    <t>Lula chama operação policial no Rio de “matança” e quer investigação federal</t>
  </si>
  <si>
    <t xml:space="preserve">FREITAS, Hermano. Lula chama operação policial no Rio de “matança” e quer investigação federal. Gazeta do Povo, Paraná, Brasil, 4 nov. 2025. Disponível em: https://www.gazetadopovo.com.br/republica/lula-chama-operacao-policial-no-rio-de-matanca-e-quer-investigacao-federal/. Acesso em: 11 nov. 2025.
</t>
  </si>
  <si>
    <t>Moradores sofrem tortura do Comando Vermelho, diz decisão que autorizou operação</t>
  </si>
  <si>
    <t xml:space="preserve">MACIA, Vinicius. Moradores sofrem tortura do Comando Vermelho, diz decisão que autorizou operação. Gazeta do Povo, 30 out. 2025. Disponível em: https://www.gazetadopovo.com.br/brasil/moradores-sofrem-tortura-do-comando-vermelho-diz-decisao-que-autorizou-operacao/. Acesso em: 11 nov. 2025.
</t>
  </si>
  <si>
    <t>Doca, o número 2 do CV que driblou a maior e mais letal operação policial da história do Brasil</t>
  </si>
  <si>
    <t xml:space="preserve">CASTRO, Carol. Doca, o número 2 do CV que driblou a maior e mais letal operação policial da história do Brasil. BBC News Brasil, Rio de Janeiro, 30 out. 2025. Atualizado em 31 out. 2025. Disponível em: http://bbc.com/portuguese/articles/cgr4qy9zpjdo. Acesso em: 11 nov. 2025.
</t>
  </si>
  <si>
    <t>"Zona de guerra": entenda como fica o Rio de Janeiro após megaoperação</t>
  </si>
  <si>
    <t xml:space="preserve">BARRA, Helena; LEÃO, Luan; COUTO, Camille. "Zona de guerra": entenda como fica o Rio de Janeiro após megaoperação. CNN Brasil, São Paulo e Rio de Janeiro, 28 out. 2025. Atualizado em 29 out. 2025. Disponível em: https://cnnbrasil.com.br/nacional/sudeste/rj/zona-de-guerra-entenda-como-fica-o-rio-de-janeiro-apos-megaoperacao/. Acesso em: 11 nov. 2025.
</t>
  </si>
  <si>
    <t>Moraes suspende inquérito contra pessoas que retiraram corpos no RJ</t>
  </si>
  <si>
    <t xml:space="preserve">GUIMARÃES, Nino. Moraes suspende inquérito contra pessoas que retiraram corpos no RJ. Poder360, Brasília, 10 nov. 2025. Disponível em: https://www.poder360.com.br/poder-justica/moraes-suspende-inquerito-contra-pessoas-que-retiraram-corpos-no-rj/. Acesso em: 11 nov. 2025.
</t>
  </si>
  <si>
    <t>Em gráficos, o que você precisa saber sobre a megaoperação para conter avanço do CV no Alemão e na Penha</t>
  </si>
  <si>
    <t xml:space="preserve">O GLOBO. Em gráficos, o que você precisa saber sobre a megaoperação para conter avanço do CV no Alemão e na Penha. O Globo, Rio de Janeiro, 28 out. 2025. Disponível em: https://oglobo.globo.com/rio/especial/em-graficos-o-que-voce-precisa-saber-sobre-a-megaoperacao-para-conter-avanco-do-cv-no-alemao-e-na-penha.ghtml. Acesso em: 11 nov. 2025.
</t>
  </si>
  <si>
    <t>Megaoperação: 100 traficantes do CV no Rio de Janeiro</t>
  </si>
  <si>
    <t xml:space="preserve">GAZETA DO POVO. Megaoperação: 100 traficantes do CV no Rio de Janeiro. Gazeta do Povo, 28 out. 2025. Disponível em: https://www.gazetadopovo.com.br/brasil/mega-operacao-100-traficantes-cv-rio-de-janeiro/. Acesso em: 11 nov. 2025.
</t>
  </si>
  <si>
    <t>Lista de mortos em operação no RJ evidencia letalidade de jovens</t>
  </si>
  <si>
    <t xml:space="preserve">VIEIRA, Isabela. Lista de mortos em operação no RJ evidencia letalidade de jovens. Agência Brasil, Rio de Janeiro, 7 nov. 2025. Disponível em: https://agenciabrasil.ebc.com.br/direitos-humanos/noticia/2025-11/lista-de-mortos-em-operacao-no-rj-evidencia-letalidade-de-jovens. Acesso em: 11 nov. 2025.
</t>
  </si>
  <si>
    <t>Moraes manda Castro enviar laudos da operação que deixou 121 mortos</t>
  </si>
  <si>
    <t xml:space="preserve">FONSECA, Fernanda. Moraes manda Castro enviar laudos da operação que deixou 121 mortos. Poder360, Brasília, 10 nov. 2025. Disponível em: https://www.poder360.com.br/poder-seguranca-publica/moraes-manda-castro-enviar-laudos-da-operacao-que-deixou-121-mortos/. Acesso em: 11 nov. 2025.
</t>
  </si>
  <si>
    <t>'Rio virou um abrigo para chefe do tráfico do Brasil inteiro', diz autor de livro sobre crime organizado</t>
  </si>
  <si>
    <t xml:space="preserve">ROSSI, Marina; ALVIM, Mariana. 'Rio virou um abrigo para chefe do tráfico do Brasil inteiro', diz autor de livro sobre crime organizado. BBC News Brasil, São Paulo, 29 out. 2025. Atualizado em 30 out. 2025. Disponível em: https://www.bbc.com/portuguese/articles/cvgknnjgmrxo. Acesso em: 11 nov. 2025.
</t>
  </si>
  <si>
    <t>Suspeitos que morreram horas antes de ação no Rio foram incluídos em lista oficial de mortos da polícia</t>
  </si>
  <si>
    <t>FANTTI, Bruna. Suspeitos que morreram horas antes de ação no Rio foram incluídos em lista oficial de mortos da polícia. Folha de S. Paulo, Rio de Janeiro, 10 nov. 2025. Disponível em: https://www1.folha.uol.com.br/cotidiano/2025/11/suspeito-que-morreu-horas-antes-de-acao-no-rio-foi-incluido-em-lista-oficial-de-mortos-da-policia.shtml. Acesso em: 11 nov. 2025.</t>
  </si>
  <si>
    <t>Veja</t>
  </si>
  <si>
    <t>Moraes manda governo do Rio preservar imagens policiais de operação contra o CV</t>
  </si>
  <si>
    <t xml:space="preserve">MAZZOCO, Heitor. Moraes manda governo do Rio preservar imagens policiais de operação contra o CV. Veja, São Paulo, 10 nov. 2025. Disponível em: https://veja.abril.com.br/brasil/moraes-manda-governo-do-rio-preservar-imagens-policiais-de-operacao-contra-o-cv/. Acesso em: 11 nov. 2025.
</t>
  </si>
  <si>
    <t>Operação mais letal do RJ gera pânico em moradores e tensão entre governos</t>
  </si>
  <si>
    <t xml:space="preserve">UOL. Operação mais letal do RJ gera pânico em moradores e tensão entre governos. UOL, São Paulo e Rio de Janeiro, 28 out. 2025. Atualizado em 29 out. 2025. Disponível em: https://noticias.uol.com.br/cotidiano/ultimas-noticias/2025/10/28/megaoperacao-rj.htm?cmpid=copiaecola. Acesso em: 11 nov. 2025.
</t>
  </si>
  <si>
    <t>Procuradores fazem evento em resort logo após Operação Contenção</t>
  </si>
  <si>
    <t>VASCONCELOS, Frederico. Procuradores fazem evento em resort logo após Operação Contenção. Folha de S. Paulo, Rio de Janeiro, 7 nov. 2025. Disponível em: https://www1.folha.uol.com.br/blogs/frederico-vasconcelos/2025/11/procuradores-fazem-evento-em-resort-logo-apos-operacao-contencao.shtml. Acesso em: 11 nov. 2025.</t>
  </si>
  <si>
    <t>Estado: O que acontece agora</t>
  </si>
  <si>
    <t xml:space="preserve">HORA, Geovanna. Estado: O que acontece agora? Estadão, São Paulo, 29 out. 2025. Atualizado em 29 out. 2025. Disponível em: https://www.estadao.com.br/brasil/o-que-acontece-agora-rj-apos-operacao-mais-letal-npr/. Acesso em: 11 nov. 2025.
</t>
  </si>
  <si>
    <t>InfoMoney</t>
  </si>
  <si>
    <t>Moraes suspende inquérito contra pessoas que retiraram corpos após operação no Rio</t>
  </si>
  <si>
    <t xml:space="preserve">VERENICZ, Marina. Moraes suspende inquérito contra pessoas que retiraram corpos após operação no Rio. InfoMoney, São Paulo, 11 nov. 2025. Disponível em: https://www.infomoney.com.br/politica/moraes-suspende-inquerito-contra-pessoas-que-retiraram-corpos-apos-operacao-no-rio/. Acesso em: 11 nov. 2025.
</t>
  </si>
  <si>
    <t>Lula classifica Operação Contenção, no RJ, como "desastrosa"</t>
  </si>
  <si>
    <t xml:space="preserve">AGÊNCIA BRASIL. Lula classifica Operação Contenção, no RJ, como "desastrosa". Agência Brasil, Brasília, 4 nov. 2025. Disponível em: https://agenciabrasil.ebc.com.br/politica/noticia/2025-11/lula-classifica-operacao-contencao-no-rj-como-desastrosa. Acesso em: 11 nov. 2025.
</t>
  </si>
  <si>
    <t>Moraes suspende inquérito contra famílias que retiraram corpos após megaoperação no Rio</t>
  </si>
  <si>
    <t xml:space="preserve">ND+. Moraes suspende inquérito contra famílias que retiraram corpos após megaoperação no Rio. ND+, Rio de Janeiro, 10 nov. 2025. Disponível em: https://ndmais.com.br/justica/megaoperacao-no-rio-stf-suspende-familiares/#google_vignette. Acesso em: 11 nov. 2025.
</t>
  </si>
  <si>
    <t>Saiba quem são os mortos em megaoperação no Rio</t>
  </si>
  <si>
    <t xml:space="preserve">AMOÊDO, Julia. Saiba quem são os mortos em megaoperação no Rio. Poder360, Brasília, 3 nov. 2025. Disponível em: https://www.poder360.com.br/poder-seguranca-publica/saiba-quem-sao-os-mortos-em-megaoperacao-no-rio/. Acesso em: 11 nov. 2025.
</t>
  </si>
  <si>
    <t>'CV fechou tudo': moradores vivem pânico após toque de recolher de facção</t>
  </si>
  <si>
    <t xml:space="preserve">DURÃES, Uesley; ADORNO, Luís. 'CV fechou tudo': moradores vivem pânico após toque de recolher de facção. UOL, São Paulo e Rio de Janeiro, 28 out. 2025. Disponível em: https://noticias.uol.com.br/cotidiano/ultimas-noticias/2025/10/28/cv-toque-de-recolher-comercios-operacao.htm?cmpid=copiaecola. Acesso em: 11 nov. 2025.
</t>
  </si>
  <si>
    <t>Londres, Reino Unido</t>
  </si>
  <si>
    <t>Mensagens contra operação predominam no WhatsApp no Rio, mas apoio nacional foi maior</t>
  </si>
  <si>
    <t xml:space="preserve">BBC NEWS BRASIL. Mensagens contra operação predominam no WhatsApp no Rio, mas apoio nacional foi maior. Londres, Reino Unido, 30 out. 2025. Disponível em: https://www.bbc.com/portuguese/articles/c3ep7v2xyl0o. Acesso em: 11 nov. 2025.
</t>
  </si>
  <si>
    <t>Agência Pública</t>
  </si>
  <si>
    <t>Secretário de Segurança do Brasil minimiza carta dos EUA sobre Operação Contenção</t>
  </si>
  <si>
    <t xml:space="preserve">CUSTÓDIO, Rafael. Secretário de Segurança do Brasil minimiza carta dos EUA sobre Operação Contenção. Agência Pública, São Paulo, 6 nov. 2025. Disponível em: https://apublica.org/2025/11/secretario-ve-risco-a-soberania-em-pedido-de-castro/. Acesso em: 11 nov. 2025.
</t>
  </si>
  <si>
    <t>Investigação da PF, explicações de Castro e perícias: o que Moraes já decidiu sobre operação no Rio</t>
  </si>
  <si>
    <t xml:space="preserve">GUERRA, Rayanderson. Investigação da PF, explicações de Castro e perícias: o que Moraes já decidiu sobre operação no Rio? Estadão, São Paulo, 10 nov. 2025. Disponível em: https://www.estadao.com.br/brasil/investigacao-da-pf-explicacoes-de-castro-e-pericias-o-que-moraes-ja-decidiu-sobre-operacao-no-rio-npr/. Acesso em: 11 nov. 2025.
</t>
  </si>
  <si>
    <t>As alegações de Castro a Moraes sobre a operação mais letal do Brasil</t>
  </si>
  <si>
    <t xml:space="preserve">CARTA CAPITAL. As alegações de Castro a Moraes sobre a operação mais letal do Brasil. São Paulo, 3 nov. 2025. Disponível em: https://www.cartacapital.com.br/politica/as-alegacoes-de-castro-a-moraes-sobre-a-operacao-mais-letal-do-brasil/. Acesso em: 11 nov. 2025.
</t>
  </si>
  <si>
    <t>Quem são os chefões do Comando Vermelho mortos na megaoperação do Rio</t>
  </si>
  <si>
    <t xml:space="preserve">PRADO, Anita. Quem são os chefões do Comando Vermelho mortos na megaoperação do Rio. Veja, São Paulo, 3 nov. 2025. Disponível em: https://veja.abril.com.br/brasil/saiba-quem-sao-os-chefoes-do-comando-vermelho-mortos-na-megaoperacao/. Acesso em: 11 nov. 2025.
</t>
  </si>
  <si>
    <t>Moraes aponta contradições em informações sobre operação no RJ e pede laudos e dados de prisões</t>
  </si>
  <si>
    <t xml:space="preserve">GRANDI, Guilherme. Moraes aponta contradições em informações sobre operação no RJ e pede laudos e dados de prisões. Gazeta do Povo, Paraná, 10 nov. 2025. Disponível em: https://www.gazetadopovo.com.br/republica/moraes-aponta-contradicoes-informacoes-operacao-rj/. Acesso em: 11 nov. 2025.
</t>
  </si>
  <si>
    <t>Rádio Pampa</t>
  </si>
  <si>
    <t>Câmara de Porto Alegre aprova moção em apoio à Operação Contenção e às forças de segurança do Rio de Janeiro</t>
  </si>
  <si>
    <t xml:space="preserve">REDAÇÃO RÁDIO PAMPA. Câmara de Porto Alegre aprova moção em apoio à Operação Contenção e às forças de segurança do Rio de Janeiro. Rádio Pampa, Porto Alegre, 10 nov. 2025. Disponível em: https://www.radiopampa.com.br/camara-de-porto-alegre-aprova-mocao-em-apoio-a-operacao-contencao-e-as-forcas-de-seguranca-do-rio-de-janeiro/. Acesso em: 11 nov. 2025.
</t>
  </si>
  <si>
    <t>Assista a vídeos da megaoperação no Rio contra o CV</t>
  </si>
  <si>
    <t xml:space="preserve">PODER360. Assista a vídeos da megaoperação no Rio contra o CV. Brasília, 3 nov. 2025. Disponível em: https://www.poder360.com.br/poder-seguranca-publica/assista-a-videos-da-megaoperacao-no-rio-contra-o-cv/. Acesso em: 11 nov. 2025.
</t>
  </si>
  <si>
    <t>Blog do PCO</t>
  </si>
  <si>
    <t>Comunicação do presidente assume tom sóbrio para lidar com Operação Contenção</t>
  </si>
  <si>
    <t xml:space="preserve">OLIVEIRA, Paulo César de. Comunicação do presidente assume tom sóbrio para lidar com Operação Contenção. Blog do PCO, Belo Horizonte, 31 out. 2025. Disponível em: https://blogdopco.com.br/politica/comunicacao-do-presidente-assume-tom-sobrio-para-lidar-com-operacao-contencao/. Acesso em: 11 nov. 2025.
</t>
  </si>
  <si>
    <t>Terra</t>
  </si>
  <si>
    <t>Cláudio Castro homenageia policiais mortos em operação contra o CV no Rio: ‘Não haverá retrocesso’</t>
  </si>
  <si>
    <t>TERRA. Cláudio Castro homenageia policiais mortos em operação contra o CV no Rio: ‘Não haverá retrocesso’. Rio de Janeiro, 3 nov. 2025. Disponível em: https://www.terra.com.br/noticias/videos/claudio-castro-homenageia-policiais-mortos-em-operacao-contra-o-cv-no-rio-nao-havera-retrocesso,49097c9c3daec42f43cb62c4a59c5a42y5rfzhqr.html. Acesso em: 11 nov. 2025.</t>
  </si>
  <si>
    <t>Identificação dos mortos na Operação Contenção avança no IML</t>
  </si>
  <si>
    <t xml:space="preserve">SANTIAGO, Daniel. Identificação dos mortos na Operação Contenção avança no IML. Rádio Roquette Pinto, Rio de Janeiro, 11 nov. 2025. Disponível em: https://www.rj.gov.br/radioroquettepinto/node/12542. Acesso em: 11 nov. 2025.
</t>
  </si>
  <si>
    <t>Revista Afirmativa</t>
  </si>
  <si>
    <t>STF determina preservação das provas da Operação Contenção</t>
  </si>
  <si>
    <t xml:space="preserve">PEREIRA, Catiane. STF determina preservação das provas da Operação Contenção. Revista Afirmativa, Salvador, 5 nov. 2025. Disponível em: https://revistaafirmativa.com.br/stf-determina-preservacao-das-provas-da-operacao-contencao/. Acesso em: 11 nov. 2025.
</t>
  </si>
  <si>
    <t>Moraes determina que governo Castro prove motivos para operação com 121 mortos</t>
  </si>
  <si>
    <t>MELO, Igor. Moraes determina que governo Castro prove motivos para operação com 121 mortos. ICL Notícias, 10 nov. 2025. Disponível em: https://iclnoticias.com.br/moraes-governo-castro-prove-motivos-operacao/. Acesso em: 11 nov. 2025.</t>
  </si>
  <si>
    <t>Correio Brasiliense</t>
  </si>
  <si>
    <t>Cláudio Castro vira ídolo entre políticos no GP de Fórmula 1</t>
  </si>
  <si>
    <t xml:space="preserve">CAMPOS, Ana Maria. Cláudio Castro vira ídolo entre políticos no GP de Fórmula 1. Correio Braziliense, Brasília, 11 nov. 2025. Disponível em: https://blogs.correiobraziliense.com.br/cbpoder/tag/operacao-contencao/. Acesso em: 12 nov. 2025.
</t>
  </si>
  <si>
    <t>Supremo Tribunal Federal</t>
  </si>
  <si>
    <t>STF requer informações adicionais de autoridades do RJ sobre operação nos Complexos do Alemão e da Penha</t>
  </si>
  <si>
    <t>SUPREMO TRIBUNAL FEDERAL. STF requer informações adicionais de autoridades do RJ sobre operação nos Complexos do Alemão e da Penha. Brasília, 10 nov. 2025. Disponível em: https://noticias.stf.jus.br/postsnoticias/stf-requer-informacoes-adicionais-de-autoridades-do-rj-sobre-operacao-nos-complexos-do-alemao-e-da-penha/. Acesso em: 12 nov. 2025.</t>
  </si>
  <si>
    <t>Secretário do Rio promete entregar documentos exigidos por Moraes sobre operação</t>
  </si>
  <si>
    <t xml:space="preserve">VERENICZ, Marina. Secretário do Rio promete entregar documentos exigidos por Moraes sobre operação. InfoMoney, São Paulo, 11 nov. 2025. Disponível em: https://www.infomoney.com.br/politica/secretario-do-rio-promete-entregar-documentos-exigidos-por-moraes-sobre-operacao/. Acesso em: 12 nov. 2025.
</t>
  </si>
  <si>
    <t>Diário do Rio</t>
  </si>
  <si>
    <t>Governo divulga perfil dos mortos na Operação Contenção; 95% ligados ao Comando Vermelho; veja a lista</t>
  </si>
  <si>
    <t>DIÁRIO DO RIO. Governo divulga perfil dos mortos na Operação Contenção; 95% ligados ao Comando Vermelho; veja a lista. Diário do Rio, Rio de Janeiro, 3 nov. 2025. Disponível em: https://diariodorio.com/governo-divulga-perfil-dos-mortos-na-operacao-contencao-95-ligados-ao-comando-vermelho-veja-a-lista/. Acesso em: 12 nov. 2025.</t>
  </si>
  <si>
    <t>Monitor Mercantil</t>
  </si>
  <si>
    <t>Ainda a Operação Contenção: reflexões sobre a cidadania</t>
  </si>
  <si>
    <t xml:space="preserve">MONITOR MERCANTIL. Ainda a Operação Contenção: reflexões sobre a cidadania. Rio de Janeiro, 10 nov. 2025. Disponível em: https://monitormercantil.com.br/ainda-a-operacao-contencao-reflexoes-sobre-a-cidadania/. Acesso em: 12 nov. 2025.
</t>
  </si>
  <si>
    <t>Polícia revela o perfil dos 117 civis mortos em megaoperação no Rio</t>
  </si>
  <si>
    <t xml:space="preserve">MONTEIRO, Flávio. Polícia revela o perfil dos 117 civis mortos em megaoperação no Rio. Veja, São Paulo, 3 nov. 2025. Disponível em: https://veja.abril.com.br/brasil/policia-revela-o-perfil-dos-117-civis-mortos-em-megaoperacao-no-rio/. Acesso em: 12 nov. 2025.
</t>
  </si>
  <si>
    <t>Melbourne, Austrália</t>
  </si>
  <si>
    <t>Terra e The Conversation</t>
  </si>
  <si>
    <t>Análise: 'Operação Contenção' não vai ajudar na luta contra o narcotráfico</t>
  </si>
  <si>
    <t xml:space="preserve">VARSORI, Andrea. Análise: 'Operação Contenção' não vai ajudar na luta contra o narcotráfico. Terra / The Conversation, 6 nov. 2025. Disponível em: https://www.terra.com.br/noticias/analise-operacao-contencao-nao-vai-ajudar-na-luta-contra-o-narcotrafico,71e799e036b5f8cd9a1aa43604774350x0b94qfe.html. Acesso em: 12 nov. 2025.
</t>
  </si>
  <si>
    <t>Corpos dos 117 mortos na operação no Rio são liberados do IML; apoio à ação da polícia é majoritário no Brasil, no Rio e em favelas cariocas, diz pesquisa</t>
  </si>
  <si>
    <t xml:space="preserve">ROSSI, Marina; DINIZ, Iara. Corpos dos 117 mortos na operação no Rio são liberados do IML; apoio à ação da polícia é majoritário no Brasil, no Rio e em favelas cariocas, diz pesquisa. BBC News Brasil, São Paulo, 31 out. 2025. Atualizado em 3 nov. 2025. Disponível em: https://www.bbc.com/portuguese/articles/c625z2n88pxo. Acesso em: 12 nov. 2025.
</t>
  </si>
  <si>
    <t>IML do Rio identifica 99 dos 121 mortos na operação Contenção</t>
  </si>
  <si>
    <t xml:space="preserve">PODER360. IML do Rio identifica 99 dos 121 mortos na operação Contenção. Brasília, 31 out. 2025. Disponível em: https://www.poder360.com.br/poder-seguranca-publica/iml-do-rio-identifica-100-dos-121-mortos-na-operacao-contencao/. Acesso em: 12 nov. 2025.
</t>
  </si>
  <si>
    <t>Rede de Observatórios da Segurança</t>
  </si>
  <si>
    <t>Operação Contenção: organizações de direitos humanos repudiam operação mais letal da história do Rio e denunciam política de guerra nas favelas</t>
  </si>
  <si>
    <t>REDE DE OBSERVATÓRIOS DA SEGURANÇA. Operação Contenção: organizações de direitos humanos repudiam operação mais letal da história do Rio e denunciam política de guerra nas favelas. Observatório da Segurança, Rio de Janeiro, 29 out. 2025. Disponível em: https://observatorioseguranca.com.br/operacao-contencao-organizacoes-de-direitos-humanos-repudiam-operacao-mais-letal-da-historia-do-rio-e-denunciam-politica-de-guerra-nas-favelas/. Acesso em: 12 nov. 2025.</t>
  </si>
  <si>
    <t>Cancelados na Operação Contenção</t>
  </si>
  <si>
    <t>SERRANO, Pedro. Cancelados na Operação Contenção. CartaCapital, São Paulo, 6 nov. 2025. Disponível em: https://www.cartacapital.com.br/opiniao/cancelados-na-operacao-contencao/. Acesso em: 12 nov. 2025.</t>
  </si>
  <si>
    <t>Como é viver sob a lei de ferro do Comando Vermelho (que continua exatamente como antes da megaoperação policial no Rio)</t>
  </si>
  <si>
    <t xml:space="preserve">CASTRO, Carol. Como é viver sob a lei de ferro do Comando Vermelho (que continua exatamente como antes da megaoperação policial no Rio). BBC News Brasil, Rio de Janeiro, 9 nov. 2025. Disponível em: https://www.bbc.com/portuguese/articles/c1k0ger47geo. Acesso em: 12 nov. 2025.
</t>
  </si>
  <si>
    <t>Rádio Senado</t>
  </si>
  <si>
    <t>Operação policial no Rio será investigada pela Comissão de Direitos Humanos</t>
  </si>
  <si>
    <t xml:space="preserve">DINIZ, Marcela. Operação policial no Rio será investigada pela Comissão de Direitos Humanos. Rádio Senado, Brasília, 29 out. 2025. Disponível em: https://www12.senado.leg.br/radio/1/noticia/2025/10/29/operacao-policial-no-rio-com-132-mortos-sera-investigada-pela-comissao-de-direitos-humanos. Acesso em: 12 nov. 2025.
</t>
  </si>
  <si>
    <t>Moraes manda RJ preservar vídeos e enviar laudos e fotos de operação</t>
  </si>
  <si>
    <t xml:space="preserve">PONTES, Felipe. Moraes manda RJ preservar vídeos e enviar laudos e fotos de operação. Agência Brasil, Brasília, 10 nov. 2025. Disponível em: https://agenciabrasil.ebc.com.br/justica/noticia/2025-11/moraes-manda-rj-preservar-videos-e-enviar-laudos-e-fotos-de-operacao. Acesso em: 12 nov. 2025.
</t>
  </si>
  <si>
    <t>Polícia Civil: 95% dos mortos em operação do Rio tinham ligação com o CV</t>
  </si>
  <si>
    <t xml:space="preserve">MACIA, Vinicius. Polícia Civil: 95% dos mortos em operação do Rio tinham ligação com o CV. Gazeta do Povo, Curitiba, 3 nov. 2025. Disponível em: https://www.gazetadopovo.com.br/brasil/policia-civil-identifica-115-mortos-na-operacao-contencao/. Acesso em: 12 nov. 2025.
</t>
  </si>
  <si>
    <t>The Conversation</t>
  </si>
  <si>
    <t>Análise: ‘Operação Contenção’ não vai ajudar na luta contra o narcotráfico</t>
  </si>
  <si>
    <t xml:space="preserve">JULIÃO, Luciana. Análise: ‘Operação Contenção’ não vai ajudar na luta contra o narcotráfico. The Conversation, 6 nov. 2025. Disponível em: https://theconversation.com/analise-operacao-contencao-nao-vai-ajudar-na-luta-contra-o-narcotrafico-269235. Acesso em: 12 nov. 2025.
</t>
  </si>
  <si>
    <t>Metrópoles</t>
  </si>
  <si>
    <t>Operação Contenção apreende arsenal ligado ao Comando Vermelho</t>
  </si>
  <si>
    <t xml:space="preserve">PINHEIRO, Mirelle. Operação Contenção apreende arsenal ligado ao Comando Vermelho. Metrópoles, Brasília, 12 nov. 2025. Disponível em: https://www.metropoles.com/colunas/mirelle-pinheiro/operacao-contencao-apreende-arsenal-ligado-ao-comando-vermelho. Acesso em: 12 nov. 2025.
</t>
  </si>
  <si>
    <t>Leia o balanço sobre a operação contra o Comando Vermelho no Rio</t>
  </si>
  <si>
    <t xml:space="preserve">PODER360. Leia o balanço sobre a operação contra o Comando Vermelho no Rio. Brasília, 1 nov. 2025. Disponível em: https://www.poder360.com.br/poder-seguranca-publica/leia-o-balanco-sobre-a-operacao-contra-o-comando-vermelho-no-rio/. Acesso em: 12 nov. 2025.
</t>
  </si>
  <si>
    <t>Os detalhes da lista que polícia fez para divulgar suspeitos mortos em megaoperação no Rio</t>
  </si>
  <si>
    <t xml:space="preserve">GALLAS, Daniel. Os detalhes da lista que polícia fez para divulgar suspeitos mortos em megaoperação no Rio. BBC News Brasil, Londres, 6 nov. 2025. Disponível em: https://www.bbc.com/portuguese/articles/c7v80pll5mno. Acesso em: 12 nov. 2025.
</t>
  </si>
  <si>
    <t>Congresso homenageia policiais mortos durante a Operação Contenção</t>
  </si>
  <si>
    <t xml:space="preserve">RODRIGUES, Alex. Congresso homenageia policiais mortos durante a Operação Contenção. Agência Brasil, Brasília, 12 nov. 2025. Disponível em: https://agenciabrasil.ebc.com.br/politica/noticia/2025-11/congresso-homenageia-policiais-mortos-durante-operacao-contencao. Acesso em: 12 nov. 2025.
</t>
  </si>
  <si>
    <t>Blog da Boitempo</t>
  </si>
  <si>
    <t>“Operação Contenção”: a chacina como combustível para a extrema direita</t>
  </si>
  <si>
    <t xml:space="preserve">BRITO, Felipe. “Operação Contenção”: a chacina como combustível para a extrema direita. Blog da Boitempo, 29 out. 2025. Disponível em: https://blogdaboitempo.com.br/2025/10/29/operacao-contencao-a-chacina-como-combustivel-para-a-extrema-direita/. Acesso em: 12 nov. 2025.
</t>
  </si>
  <si>
    <t>Operação Contenção intercepta arsenal do Comando Vermelho</t>
  </si>
  <si>
    <t xml:space="preserve">MACIA, Vinicius. Operação Contenção intercepta arsenal do Comando Vermelho. Gazeta do Povo, Curitiba, 12 nov. 2025. Disponível em: https://www.gazetadopovo.com.br/brasil/operacao-contencao-intercepta-arsenal-do-comando-vermelho/. Acesso em: 12 nov. 2025.
</t>
  </si>
  <si>
    <t>Operação Contenção foi desastrosa? 74% do RJ discorda de Lula, segundo Real Time</t>
  </si>
  <si>
    <t xml:space="preserve">MACIA, Vinicius. Operação Contenção foi desastrosa? 74% do RJ discorda de Lula, segundo Real Time. Gazeta do Povo, Curitiba, 6 nov. 2025. Disponível em: https://www.gazetadopovo.com.br/brasil/operacao-contencao-74-discordam-que-foi-desastrosa/. Acesso em: 12 nov. 2025.
</t>
  </si>
  <si>
    <t>Istoé</t>
  </si>
  <si>
    <t>Moraes suspende inquérito contra famílias de mortos na Operação Contenção</t>
  </si>
  <si>
    <t xml:space="preserve">ISTOÉ. Moraes suspende inquérito contra famílias de mortos na Operação Contenção. São Paulo, 11 nov. 2025. Disponível em: https://istoe.com.br/moraes-suspende-familias-mortos. Acesso em: 12 nov. 2025.
</t>
  </si>
  <si>
    <t>Megaoperação no Rio: Moraes aponta contradições e determina envio de laudos e dados de prisões</t>
  </si>
  <si>
    <t>FALCÃO, Márcio; CASTRO, Ana Flávia. Megaoperação no Rio: Moraes aponta contradições e determina envio de laudos e dados de prisões. G1, Brasília, 10 nov. 2025. Disponível em: https://g1.globo.com/politica/noticia/2025/11/10/megaoperacao-no-rio-moraes-aponta-contradicoes-e-determina-envio-de-laudos-e-dados-de-prisoes.ghtml. Acesso em: 12 nov. 2025.</t>
  </si>
  <si>
    <t>Moraes manda Castro preservar imagens das câmeras de policiais envolvidos na Operação Contenção</t>
  </si>
  <si>
    <t>MOTTA, Rayssa. Moraes manda Castro preservar imagens das câmeras de policiais envolvidos na Operação Contenção. Estadão – Blog do Fausto Macedo, São Paulo, 10 nov. 2025. Disponível em: https://www.estadao.com.br/politica/blog-do-fausto-macedo/moraes-stf-claudio-castro-rio-imagens-cameras-policiais-documentos-pericias-operacao-contencao/. Acesso em: 12 nov. 2025.</t>
  </si>
  <si>
    <t>Corpo de homem encontrado decapitado em operação no RJ tem marcas que indicam tiros, aponta perícia</t>
  </si>
  <si>
    <t>EIRAS, Yuri. Corpo de homem encontrado decapitado em operação no RJ tem marcas que indicam tiros, aponta perícia. Folha de S.Paulo, Rio de Janeiro, 11 nov. 2025. Disponível em: https://www1.folha.uol.com.br/cotidiano/2025/11/corpo-de-homem-encontrado-decapitado-em-operacao-no-rj-tem-marcas-que-indicam-tiros-aponta-pericia.shtml. Acesso em: 12 nov. 2025.</t>
  </si>
  <si>
    <t>Podcast- as investigações sobre a operação policial mais letal do Brasil</t>
  </si>
  <si>
    <t>Podcast- as investigações sobre a operação policial mais letal do Brasil. Folha de S. Paulo, São Paulo, 10 nov. 2025. Disponível em: https://www1.folha.uol.com.br/podcasts/2025/11/podcast-as-investigacoes-sobre-a-operacao-policial-mais-letal-do-brasil.shtml. Acesso em: 12 nov. 2025.</t>
  </si>
  <si>
    <t>Polícia divulga perfis dos mortos; 17 não tinham histórico criminal</t>
  </si>
  <si>
    <t>AGÊNCIA BRASIL. Polícia divulga perfis dos mortos; 17 não tinham histórico criminal. Rio de Janeiro, 3 nov. 2025. Disponível em: https://agenciabrasil.ebc.com.br/geral/noticia/2025-11/policia-divulga-perfis-dos-mortos-17-nao-tinham-historico-criminal. Acesso em: 12 nov. 2025.</t>
  </si>
  <si>
    <t>Madri, Espanha</t>
  </si>
  <si>
    <t>El País</t>
  </si>
  <si>
    <t>La operación policial más letal de Brasil siembra de cadáveres Río de Janeiro</t>
  </si>
  <si>
    <t>Espanhol, Espanha</t>
  </si>
  <si>
    <t>GALARRAGA GORTÁZAR, Naiara. La operación policial más letal de Brasil siembra de cadáveres Río de Janeiro. El País, Madri, 29 out. 2025. Disponível em: https://elpais.com/internacional/2025-10-29/los-vecinos-de-rio-de-janeiro-hallan-mas-de-60-cadaveres-tras-la-megaoperacion-contra-el-crimen-organizado.html. Acesso em: 12 nov. 2025.</t>
  </si>
  <si>
    <t>The New York Times</t>
  </si>
  <si>
    <t>At least 64 dead in Rio de Janeiro as authorities crack down on drug gangs</t>
  </si>
  <si>
    <t>Inglês, Estados Unidos</t>
  </si>
  <si>
    <t>IONOVA, Ana. At least 64 dead in Rio de Janeiro as authorities crack down on drug gangs. The New York Times, Nova Iorque, 28 out. 2025. Disponível em: https://www.nytimes.com/2025/10/28/world/brazil-rio-de-janeiro-police-drug-raids-deaths.html. Acesso em: 12 nov. 2025.</t>
  </si>
  <si>
    <t>The Guardian</t>
  </si>
  <si>
    <t>Brazil: at least 64 reported killed in Rio’s worst day of violence amid police favela raids</t>
  </si>
  <si>
    <t>Inglês, Reino Unido</t>
  </si>
  <si>
    <t>PHILLIPS, Tom. Brazil: at least 64 reported killed in Rio’s worst day of violence amid police favela raids. The Guardian, Londres, 28 out. 2025. Disponível em: https://www.theguardian.com/world/2025/oct/28/brazil-rio-at-war-police-drug-raids-favelas. Acesso em: 12 nov. 2025.</t>
  </si>
  <si>
    <t>Paris, França</t>
  </si>
  <si>
    <t>LE FIGARO e AFP</t>
  </si>
  <si>
    <t>Opération antidrogue à Rio : des habitants récupèrent des corps, 132 morts selon un organisme public</t>
  </si>
  <si>
    <t>Francês, França</t>
  </si>
  <si>
    <t>LE FIGARO avec AFP. Opération antidrogue à Rio : des habitants récupèrent des corps, 132 morts selon un organisme public. Le Figaro, 30 out. 2025. Disponível em: https://www.lefigaro.fr/flash-actu/bresil-plus-de-40-corps-alignes-sur-une-place-d-une-favela-de-rio-apres-un-raid-policier-20251029. Acesso em: 12 nov. 2025.</t>
  </si>
  <si>
    <t>Legenda</t>
  </si>
  <si>
    <r>
      <t xml:space="preserve">Porções coloridas em azul claro simbolizam </t>
    </r>
    <r>
      <rPr>
        <rFont val="DM Sans"/>
        <b/>
        <color theme="1"/>
        <sz val="14.0"/>
      </rPr>
      <t>campos com fórmulas</t>
    </r>
    <r>
      <rPr>
        <rFont val="DM Sans"/>
        <color theme="1"/>
        <sz val="14.0"/>
      </rPr>
      <t xml:space="preserve"> e não devem ter texto inserido manualmente.</t>
    </r>
  </si>
  <si>
    <t>Notas</t>
  </si>
  <si>
    <r>
      <rPr>
        <rFont val="DM Sans"/>
        <b/>
        <color theme="1"/>
        <sz val="14.0"/>
      </rPr>
      <t>[1]</t>
    </r>
    <r>
      <rPr>
        <rFont val="DM Sans"/>
        <color theme="1"/>
        <sz val="14.0"/>
      </rPr>
      <t xml:space="preserve"> Expressão exata adotada pelo veículo, especialmente quando da ausência de título.</t>
    </r>
  </si>
  <si>
    <r>
      <rPr>
        <rFont val="DM Sans"/>
        <b/>
        <color theme="1"/>
        <sz val="14.0"/>
      </rPr>
      <t>[2]</t>
    </r>
    <r>
      <rPr>
        <rFont val="DM Sans"/>
        <color theme="1"/>
        <sz val="14.0"/>
      </rPr>
      <t xml:space="preserve"> Adota-se "hiperlink", quando o documento for oriundo de outra fonte já referida.</t>
    </r>
  </si>
  <si>
    <r>
      <rPr>
        <rFont val="DM Sans"/>
        <b/>
        <color theme="1"/>
        <sz val="14.0"/>
      </rPr>
      <t>[3]</t>
    </r>
    <r>
      <rPr>
        <rFont val="DM Sans"/>
        <color theme="1"/>
        <sz val="14.0"/>
      </rPr>
      <t xml:space="preserve"> Entrada textual/númerica aplicada à barra de busca do Google ou da base de dados em específico (como no caso de jornais e redes sociais)</t>
    </r>
  </si>
  <si>
    <t>Vocabulário controlado para o registro de dados da iniciativa</t>
  </si>
  <si>
    <t>Termo preferido</t>
  </si>
  <si>
    <t>Usar para</t>
  </si>
  <si>
    <t>Nota de escopo</t>
  </si>
  <si>
    <t>Rememoração</t>
  </si>
  <si>
    <t>Performance; Instalação; Faixa; Protesto; Álbum; Música; Relatório; Crônica; Abaixo-assinado; Manifesto; Livro; Petição; Exposição; Paralisação; Ato; Poema; Manifestação; Rebelião; Filme; Documentário; Série; Fotografia; Entrevista; Mobilização; Recitação; Espetáculo; Leitura pública; Peça; Curta-metragem; Escracho; Documento; Coletiva de imprensa; Vídeo; Seminário; Charge; Lançamento; Grafite; Marcha; Roda de conversa; Visita mediada; Live; Webinário; Jornada; Debate; Intervenção artística; Fabricação de cachaça artesanal; Roteiro de memória; Roteiro de Memória; Palestra; Ato parlamentar; Festival; Desfile de samba; Podcast; Mesa; Audiotour; Aula; Rádio; Carta pública; Nota de pesar; Nota de repúdio; Ação popular; Nota técnica.</t>
  </si>
  <si>
    <t>Aplicado quando o registro assume caráter de evocação, registro, memória ou preservação simbólica de ações, eventos, vozes ou manifestações.</t>
  </si>
  <si>
    <t>Difusão</t>
  </si>
  <si>
    <t>Notícia; Reportagem; Artigo de opinião; Verbete.</t>
  </si>
  <si>
    <t>Aplicado quando o registro tem função de comunicar, divulgar, explicar ou interpretar informações ao público.</t>
  </si>
  <si>
    <t>Manifestação artístico-cultural</t>
  </si>
  <si>
    <t>Performance; Instalação; Álbum; Música; Poema; Livro; Filme; Documentário; Recitação; Espetáculo; Peça; Intervenção; Desfile; Fotografia; Exposição; Charge; Grafite; Leitura pública; Fabricação de cachaça artesanal; dança; teatral; artístico; musical; artística.</t>
  </si>
  <si>
    <t>Aplicado quando a ação ou o registro possui natureza estética, expressiva ou cultural, independentemente de formato ou suporte.</t>
  </si>
  <si>
    <t>Produção midiática</t>
  </si>
  <si>
    <t>Crônica; Série; Reportagem; Podcast; Audiotour; Entrevista; Vídeo; Rádio; Notícia; Artigo de opinião; Coletiva de imprensa; midiática.</t>
  </si>
  <si>
    <t>Aplicado a materiais ou ações produzidas para circulação em meios de comunicação, plataformas digitais ou formatos jornalísticos.</t>
  </si>
  <si>
    <t>Público Imediato</t>
  </si>
  <si>
    <t>Protesto; Manifestação; Ato; Paralisação; Marcha; Mobilização; Coletiva; Visita; Roda; Debate; Seminário; Palestra; Aula; Mesa; Jornada; Festival; Escracho; Espetáculo; Intervenção; Performance; Instalação; Exposição; Recitação; dança; Peça; Desfile; Roteiro; Grafite; Cartaz; Cartaz/Faixa; Faixa; Rebelião; Fabricação de cachaça artesanal; público; Imediato; artística; teatral; memória; Ação popular.</t>
  </si>
  <si>
    <t>Usado para ações e produções direcionadas a interação direta, no local, com participantes ou espectadores presenciais.</t>
  </si>
  <si>
    <t>Público Mediado</t>
  </si>
  <si>
    <t>Música; Álbum; Filme; Documentário; Série; Podcast; Rádio; Audiotour; Entrevista; Reportagem; Crônica; Relatório; Abaixo-assinado; Manifesto; Petição; Poema; Livro; Fotografia; Curta; Live; Webinário; Charge; Leitura pública; Vídeo; Notícia; Nota de pesar; Carta pública; Artigo de opinião; Nota de repúdio; Verbete; Nota técnica.</t>
  </si>
  <si>
    <t>Usado quando a interação com o público depende de mediação tecnológica, editorial, institucional ou documental.</t>
  </si>
  <si>
    <t>Virtual</t>
  </si>
  <si>
    <t>Live; Webinário; Virtual; Verbete; online.</t>
  </si>
  <si>
    <t>Usado para ações ou registros cuja existência, transmissão ou interação ocorre prioritariamente em ambiente digital.</t>
  </si>
  <si>
    <t>Midiático</t>
  </si>
  <si>
    <t>Música; Álbum; Filme; Documentário; Série; Podcast; Rádio; Audiotour; Episódio; Reportagem; Curta; Charge; Livro; Vídeo; Entrevista; Notícia; Artigo de opinião.</t>
  </si>
  <si>
    <t>Aplicado a materiais produzidos em meios de comunicação, suportes audiovisuais ou formatos editoriais.</t>
  </si>
  <si>
    <t>Presencial/Físico</t>
  </si>
  <si>
    <t>Performance; Instalação; Protesto; Manifestação; Ato; Paralisação; Marcha; Exposição; Mobilização; Recitação; Espetáculo; Coletiva; Visita; Roda; Debate; Seminário; Palestra; Aula; Mesa; Jornada; Festival; Escracho; Peça; Intervenção; Desfile; Poema; Fotografia; Relatório; Abaixo-assinado; Manifesto; Petição; Crônica; Roteiro; Grafite; Cartaz; Cartaz/Faixa; Faixa; Rebelião; Fabricação de cachaça artesanal; Leitura pública; Ação popular.</t>
  </si>
  <si>
    <t>Usado quando a ação, evento ou registro exige presença física ou ocorre materialmente no espaço.</t>
  </si>
  <si>
    <t>Modalidade intervenção</t>
  </si>
  <si>
    <t>Espécie documental</t>
  </si>
  <si>
    <t>Técnica de registro</t>
  </si>
  <si>
    <t>Forma do registro</t>
  </si>
  <si>
    <t>Formato de registro</t>
  </si>
  <si>
    <t>SITE MEMO MASSACRE CARANDIRU</t>
  </si>
  <si>
    <t>Arquitetônico</t>
  </si>
  <si>
    <t>Entrevista</t>
  </si>
  <si>
    <t>Ampliação (fotográfica)</t>
  </si>
  <si>
    <t>Derivada bruta (produção automática)</t>
  </si>
  <si>
    <t xml:space="preserve">CSV (text/csv) </t>
  </si>
  <si>
    <t>MATERIAIS VISUAIS</t>
  </si>
  <si>
    <t>Atuação política</t>
  </si>
  <si>
    <t xml:space="preserve">Folheto </t>
  </si>
  <si>
    <t xml:space="preserve">Apresentação (digital) </t>
  </si>
  <si>
    <t>Derivada bruta (produção manual)</t>
  </si>
  <si>
    <t xml:space="preserve">DOC (application/msword) </t>
  </si>
  <si>
    <t>FOTOGRAFIA</t>
  </si>
  <si>
    <t>Roteiro histórico</t>
  </si>
  <si>
    <t>Bibliográfico</t>
  </si>
  <si>
    <t>Filme</t>
  </si>
  <si>
    <t>Áudio (digital)</t>
  </si>
  <si>
    <t>Derivada tratada (tratamento conhecido)</t>
  </si>
  <si>
    <t>DOCX (application/vnd.openxmlformatsofficedocument.wordprocessingml.document)</t>
  </si>
  <si>
    <t>NOTÍCIAS</t>
  </si>
  <si>
    <t xml:space="preserve">Atividade de </t>
  </si>
  <si>
    <t>Cartográfico</t>
  </si>
  <si>
    <t xml:space="preserve">Exposição (instalação) </t>
  </si>
  <si>
    <t>Contato (fotográfico)</t>
  </si>
  <si>
    <t>Derivada tratada (tratamento desconhecido)</t>
  </si>
  <si>
    <t>GIF (image/gif)</t>
  </si>
  <si>
    <t>ARTIGOS ACADÊMICOS</t>
  </si>
  <si>
    <t>Atividade de  Universitária</t>
  </si>
  <si>
    <t>Cinematográfico</t>
  </si>
  <si>
    <t xml:space="preserve">Dados (digital) </t>
  </si>
  <si>
    <t>Matriz bruta (produção automática)</t>
  </si>
  <si>
    <t>HTML (text/html)</t>
  </si>
  <si>
    <t>DEPOIMENTOS</t>
  </si>
  <si>
    <t>Eletrônico</t>
  </si>
  <si>
    <t xml:space="preserve">Jornal </t>
  </si>
  <si>
    <t>Datilografado</t>
  </si>
  <si>
    <t>Matriz bruta (produção manual)</t>
  </si>
  <si>
    <t>JPEG2000 (image/jp2)</t>
  </si>
  <si>
    <t>Instagram Memorias</t>
  </si>
  <si>
    <t>Documentação institucional</t>
  </si>
  <si>
    <t>Filmográfico</t>
  </si>
  <si>
    <t>Laudo</t>
  </si>
  <si>
    <t>Desenho à mão</t>
  </si>
  <si>
    <t>Matriz tratada (tratamento conhecido)</t>
  </si>
  <si>
    <t>JPEG (image/jpg)</t>
  </si>
  <si>
    <t>Site FGV</t>
  </si>
  <si>
    <t>Fonográfico</t>
  </si>
  <si>
    <t>Livro</t>
  </si>
  <si>
    <t>Digital</t>
  </si>
  <si>
    <t xml:space="preserve">Matriz tratada (tratamento desconhecido) </t>
  </si>
  <si>
    <t>MP3 (audio/mpeg)</t>
  </si>
  <si>
    <t>Posts do whatsapp</t>
  </si>
  <si>
    <t>Música</t>
  </si>
  <si>
    <t>Digitalizado</t>
  </si>
  <si>
    <t>MP4 (video/mp4)</t>
  </si>
  <si>
    <t>Ajustar categorias</t>
  </si>
  <si>
    <t>Exposição fotográfica</t>
  </si>
  <si>
    <t>MOV (video/quicktime)</t>
  </si>
  <si>
    <t>Eliminar o que não serve nesse momento</t>
  </si>
  <si>
    <t>Sonoro</t>
  </si>
  <si>
    <t>Periódico</t>
  </si>
  <si>
    <t>Filmagem (analógico)</t>
  </si>
  <si>
    <t>PDF (application/pdf)</t>
  </si>
  <si>
    <t>Quais os elementos do metadado? (ver se cabe adição de descrição via IA)</t>
  </si>
  <si>
    <t>Táctil</t>
  </si>
  <si>
    <t>Petição</t>
  </si>
  <si>
    <t xml:space="preserve">Filmagem (convencional) </t>
  </si>
  <si>
    <t>PNG (image/png)</t>
  </si>
  <si>
    <t>Poema</t>
  </si>
  <si>
    <t xml:space="preserve">Filmagem (geral) </t>
  </si>
  <si>
    <t xml:space="preserve">(completar...) </t>
  </si>
  <si>
    <t xml:space="preserve">Tridimensional </t>
  </si>
  <si>
    <t xml:space="preserve">Programa (rádio e TV) </t>
  </si>
  <si>
    <t xml:space="preserve">Fotografia (exposição fotográfica) </t>
  </si>
  <si>
    <t>Prontuário</t>
  </si>
  <si>
    <t>Gravação (analógico)</t>
  </si>
  <si>
    <t>Relato</t>
  </si>
  <si>
    <t xml:space="preserve">Gravação (convencional) </t>
  </si>
  <si>
    <t>Relatório</t>
  </si>
  <si>
    <t xml:space="preserve">Gravação (geral) </t>
  </si>
  <si>
    <t xml:space="preserve">Imagem matricial (digital) </t>
  </si>
  <si>
    <t>Imagem vetorial (digital)</t>
  </si>
  <si>
    <t xml:space="preserve">Impresso </t>
  </si>
  <si>
    <t xml:space="preserve">Microfilmagem </t>
  </si>
  <si>
    <t>Nato-digital</t>
  </si>
  <si>
    <t>Técnica não determinada</t>
  </si>
  <si>
    <t xml:space="preserve">Negativo (fotográfico) </t>
  </si>
  <si>
    <t>Técnica varia</t>
  </si>
  <si>
    <r>
      <rPr>
        <rFont val="DM Sans"/>
        <b/>
        <color rgb="FF013395"/>
        <sz val="12.0"/>
      </rPr>
      <t xml:space="preserve">Movimento social
</t>
    </r>
    <r>
      <rPr>
        <rFont val="DM Sans"/>
        <b/>
        <color rgb="FFFFFFFF"/>
        <sz val="12.0"/>
      </rPr>
      <t>Organização [2]</t>
    </r>
  </si>
  <si>
    <t>Classificação</t>
  </si>
  <si>
    <t>individuo</t>
  </si>
  <si>
    <t>artista banda</t>
  </si>
  <si>
    <t>1ª Frente de Sobreviventes do Cárcere</t>
  </si>
  <si>
    <t>Movimento de Familares e Sobreviventes</t>
  </si>
  <si>
    <t>“Entidades ligadas aos direitos humanos”.</t>
  </si>
  <si>
    <t>Ana Luiza Bandeira</t>
  </si>
  <si>
    <t>André du Rap e Bruno Zeni</t>
  </si>
  <si>
    <t>Familiares</t>
  </si>
  <si>
    <t xml:space="preserve">Agência Pavio </t>
  </si>
  <si>
    <t>Agência de comunicação</t>
  </si>
  <si>
    <t>"Movimentos sociais"</t>
  </si>
  <si>
    <t>Bizil (Artista plástico)</t>
  </si>
  <si>
    <t>Sobreviventes do cárcere</t>
  </si>
  <si>
    <t>Americas Watch</t>
  </si>
  <si>
    <t>Observatório de Direitos Humanos</t>
  </si>
  <si>
    <t>https://www.hrw.org/our-history</t>
  </si>
  <si>
    <t>Caetano Veloso</t>
  </si>
  <si>
    <t>Anistia Internacional</t>
  </si>
  <si>
    <t>Organização não governamental</t>
  </si>
  <si>
    <t>https://anistia.org.br/?gad_source=1&amp;gad_campaignid=18900275437&amp;gbraid=0AAAAADmJPwAgusjdUedpFgxhJTAhR0Q2_&amp;gclid=Cj0KCQjwyvfDBhDYARIsAItzbZFWvfrBlG9HO8289bbqiispnlax9gq-LStUkhJc_x0nChotoC_3XcYaAqk-EALw_wcB</t>
  </si>
  <si>
    <t>Associação Brasileira de Antropologia</t>
  </si>
  <si>
    <t>Associação científica</t>
  </si>
  <si>
    <t>https://portal.abant.org.br/quem-somos/</t>
  </si>
  <si>
    <t>Associação de Amigas/os e Familiares de Presas/os (Amparar)</t>
  </si>
  <si>
    <t xml:space="preserve">Associação </t>
  </si>
  <si>
    <t>https://www.fundobrasil.org.br/projeto/amparar-associacao-de-amigosas-e-familiares-de-presosas/</t>
  </si>
  <si>
    <t>Associação dos Sentenciados do Brasil (Asbras)</t>
  </si>
  <si>
    <t>Associação</t>
  </si>
  <si>
    <t>Não identificado</t>
  </si>
  <si>
    <t>Associação Juízes pela Democracia</t>
  </si>
  <si>
    <t>Entidade civil sem fins lucrativos</t>
  </si>
  <si>
    <t>https://www.ajd.org.br/sobre-nos/quem-somos</t>
  </si>
  <si>
    <t>Associação Nacional de Direitos Humanos</t>
  </si>
  <si>
    <t>https://www.dhnet.org.br/educar/academia/andhep/index.htm</t>
  </si>
  <si>
    <t>Cardeal dom Paulo Evaristo Arns</t>
  </si>
  <si>
    <t>Representate da Igreja Católica</t>
  </si>
  <si>
    <t>Casa da F.U.R.I.A</t>
  </si>
  <si>
    <t>Centro cultural</t>
  </si>
  <si>
    <t>https://www.instagram.com/casa_da_f.u.r.i.a/</t>
  </si>
  <si>
    <t>Canal da Ação Negra na TV Fórum</t>
  </si>
  <si>
    <t>Casa Flores</t>
  </si>
  <si>
    <t>https://www.instagram.com/casaflores.org.br/</t>
  </si>
  <si>
    <t>Centro de Justiça Global</t>
  </si>
  <si>
    <t>https://www.global.org.br/quem-somos/</t>
  </si>
  <si>
    <t>Centro pela Justiça e o Direito Internacional (CEJIL)</t>
  </si>
  <si>
    <t>https://cejil.org/pt-br/</t>
  </si>
  <si>
    <t>Centro Santo Dias de Direitos Humanos da Arquidiocese de São Paulo</t>
  </si>
  <si>
    <t>Associação civil sem fins políticos e lucrativos</t>
  </si>
  <si>
    <t>https://ocandeeiro.org/parcerias/csddh-centro-santo-dias-de-direitos-humanos/</t>
  </si>
  <si>
    <t>Cia Dxs Terroristxs</t>
  </si>
  <si>
    <t xml:space="preserve">Organização </t>
  </si>
  <si>
    <t>https://www.ciadxsterroristas.com/cia-dxs-terroristas</t>
  </si>
  <si>
    <t>CIA. DOS PROFANOS</t>
  </si>
  <si>
    <t>Teatro</t>
  </si>
  <si>
    <t>https://www.instagram.com/cia.profanos/</t>
  </si>
  <si>
    <t>Cineblack</t>
  </si>
  <si>
    <t>Mídia</t>
  </si>
  <si>
    <t>https://www.instagram.com/cineblacktv/</t>
  </si>
  <si>
    <t>CLUBE DAS CRIMINALISTAS</t>
  </si>
  <si>
    <t>Coletivo</t>
  </si>
  <si>
    <t>https://www.instagram.com/clubedascriminalistas/</t>
  </si>
  <si>
    <t>Coletivo Independente 'Mães de Maio"</t>
  </si>
  <si>
    <t>https://www.instagram.com/movimentomaesdemaio/</t>
  </si>
  <si>
    <t>Coletivo Juntas SP</t>
  </si>
  <si>
    <t>Coletivo Kriadaki</t>
  </si>
  <si>
    <t xml:space="preserve">Coletivo Por Nós </t>
  </si>
  <si>
    <t>Comissão de Direitos Humanos da Câmara de Vereadores da capital</t>
  </si>
  <si>
    <t>Comissão política</t>
  </si>
  <si>
    <t>Movimentos sociais</t>
  </si>
  <si>
    <t>Comissão de Direitos Humanos da Câmara dos Deputados</t>
  </si>
  <si>
    <t>Comissão de Direitos Humanos da OAB/SP</t>
  </si>
  <si>
    <t>Comissão Interamericana de Direitos Humanos (CIDH)</t>
  </si>
  <si>
    <t>Organismo Internacional</t>
  </si>
  <si>
    <t>Parentes de vítimas</t>
  </si>
  <si>
    <t>Comissão Justiça e Paz</t>
  </si>
  <si>
    <t>https://www.justicapaz.org/portal/</t>
  </si>
  <si>
    <t>Parlamentares</t>
  </si>
  <si>
    <t>Comissão Teotônio Vilela</t>
  </si>
  <si>
    <t>Comissões de Direitos Humanos da Assembléia Legislativa e da Câmara Municipal</t>
  </si>
  <si>
    <t>Comissões de Direitos Humanos da Câmara Municipal e da Assembleia Legislativa</t>
  </si>
  <si>
    <t>Comitê Cidadania</t>
  </si>
  <si>
    <t>Comitê Migrações e Deslocamentos</t>
  </si>
  <si>
    <t>Comunidade carcerária (Kric, WO e FW, formada em 1996)</t>
  </si>
  <si>
    <t>Cooperativa Libertas</t>
  </si>
  <si>
    <t>Entidades de direitos humanos</t>
  </si>
  <si>
    <t>Frente Estadual Pelo Desencarceramento de São Paulo</t>
  </si>
  <si>
    <t>Frente Negra Contra o Genocídio</t>
  </si>
  <si>
    <t>Fundo Brasil</t>
  </si>
  <si>
    <t>GRUPO ANTÔNIA</t>
  </si>
  <si>
    <t>Grupo Comunidade Carcerária</t>
  </si>
  <si>
    <t>Grupo de Mulheres Pão e Rosas</t>
  </si>
  <si>
    <t>Grupo teatral Fuga Coletiva</t>
  </si>
  <si>
    <t>Danny Murillo</t>
  </si>
  <si>
    <t>Detentos do Rap</t>
  </si>
  <si>
    <t>Grupo teatral Kaos Trope</t>
  </si>
  <si>
    <t>Grupo Tortura Nunca Mais</t>
  </si>
  <si>
    <t xml:space="preserve">Instituto Çarê </t>
  </si>
  <si>
    <t>Instituto Resgata Cidadão (IREC)</t>
  </si>
  <si>
    <t xml:space="preserve">Kilombagem </t>
  </si>
  <si>
    <t>Mães do Cárcere</t>
  </si>
  <si>
    <t>Dr. Baz Dreisinger</t>
  </si>
  <si>
    <t>Manas e Manhã Especial</t>
  </si>
  <si>
    <t>Dr. Paulo Rogério</t>
  </si>
  <si>
    <t>Memórias Carandiru</t>
  </si>
  <si>
    <t>Movimento dos Sem Universidade</t>
  </si>
  <si>
    <t>Drauzio Varella</t>
  </si>
  <si>
    <t xml:space="preserve">Instituto de Filosofia e Ciências Humanas da Universidade Estadual de Campinas </t>
  </si>
  <si>
    <t>Movimento Independente Mães de Maio</t>
  </si>
  <si>
    <t>Drauzio Varella, Walter Carvalho e outros.</t>
  </si>
  <si>
    <t xml:space="preserve">Edson Souza (Professor da UFRGS) </t>
  </si>
  <si>
    <t>Movimento Nacional de Direitos Humanos</t>
  </si>
  <si>
    <t>Facção Central</t>
  </si>
  <si>
    <t>Movimento Passe Livre</t>
  </si>
  <si>
    <t>Movimento Revolucionário de Trabalhadores (MRT)</t>
  </si>
  <si>
    <t>ONG Pacto Social e Carcerário</t>
  </si>
  <si>
    <t>Fatos Reais</t>
  </si>
  <si>
    <t>Ordem dos Advogados do Brasil, São Paulo</t>
  </si>
  <si>
    <t>Pastoral Carcerária</t>
  </si>
  <si>
    <t>Projeto Mãos do Quilombo</t>
  </si>
  <si>
    <t xml:space="preserve">Rede 02 de Outubro </t>
  </si>
  <si>
    <t>Rede Amalgamar</t>
  </si>
  <si>
    <t>Rede de Proteção e Resistência ao Genocídio</t>
  </si>
  <si>
    <t xml:space="preserve">Rede Nacional de Feministas Antiproibicionistas </t>
  </si>
  <si>
    <t>Rede Social de Justiça e Direitos Humanos</t>
  </si>
  <si>
    <t>Representantes da Igreja Católica</t>
  </si>
  <si>
    <t xml:space="preserve">Secretaria Municipal de Direitos Humanos </t>
  </si>
  <si>
    <t>Secretaria Municipal de Direitos Humanos e Cidadania (SMDHC)</t>
  </si>
  <si>
    <t>Sindicato dos Procuradores do Estado de São Paulo</t>
  </si>
  <si>
    <t>Sistema Estadual de Museus da Secretaria de Cultura e Economia Criativa do Estado de São Paulo</t>
  </si>
  <si>
    <t>Teatro da Vertigem</t>
  </si>
  <si>
    <t>Guilherme de Almeida</t>
  </si>
  <si>
    <t>Heróis do G.u.e.t.o., Mc Don King e R!CCO</t>
  </si>
  <si>
    <t>Instituto de Estudos Brasileiros da Universidade de São Paulo (IEB-USP)</t>
  </si>
  <si>
    <t>Humberto Rodrigues</t>
  </si>
  <si>
    <t>Invasores de Cérebros</t>
  </si>
  <si>
    <t>Jocenir</t>
  </si>
  <si>
    <t>Jota Carvalho Junior</t>
  </si>
  <si>
    <t>Katherine A. Martins</t>
  </si>
  <si>
    <t>Lygia Pepe</t>
  </si>
  <si>
    <t>Mandando Bronca feat. Igor e Max Cavallera (Sepultura)</t>
  </si>
  <si>
    <t>Maíra Machado - FGV</t>
  </si>
  <si>
    <t>Marta Machado - FGV</t>
  </si>
  <si>
    <t>Maureen Bisiliat</t>
  </si>
  <si>
    <t>Maureen Bisiliiat, Sophia Bisilliat, André Caramante
e João Wainer</t>
  </si>
  <si>
    <t>Maurício Monteiro</t>
  </si>
  <si>
    <t>Núcleo de Estudos da Violência da USP</t>
  </si>
  <si>
    <t>Nuno Ramos</t>
  </si>
  <si>
    <t>Pastor Zé Roberto</t>
  </si>
  <si>
    <t>Pavilhão 9</t>
  </si>
  <si>
    <t>Pedro Tierra</t>
  </si>
  <si>
    <t xml:space="preserve">Pessoas engajadas no tema da segurança pública </t>
  </si>
  <si>
    <t>Pontifícia Universidade Católica de São Paulo</t>
  </si>
  <si>
    <t>Pesquisa e Pós-Graduação (ANDHEP)</t>
  </si>
  <si>
    <t>Professor Cristiano</t>
  </si>
  <si>
    <t>Professor Emerson</t>
  </si>
  <si>
    <t>Racionais MC's</t>
  </si>
  <si>
    <t>Sabotage</t>
  </si>
  <si>
    <t>Sepultura</t>
  </si>
  <si>
    <t>Sérgio de Carvalho</t>
  </si>
  <si>
    <t>Sérgio Salomão Shecaira</t>
  </si>
  <si>
    <t>Walter Luiz (Diretor do IREC).</t>
  </si>
  <si>
    <t>Terminologia</t>
  </si>
  <si>
    <t>Definição</t>
  </si>
  <si>
    <t>Fonte</t>
  </si>
  <si>
    <t>Acervo</t>
  </si>
  <si>
    <t xml:space="preserve">Cada um dos conjuntos documentais de interesse da instituição, de acordo com sua política de aquisição. </t>
  </si>
  <si>
    <t>pada</t>
  </si>
  <si>
    <t>Totalidade de documentos coonservados num arquivo</t>
  </si>
  <si>
    <t>dicio arq fe</t>
  </si>
  <si>
    <t>Arquivo</t>
  </si>
  <si>
    <t>Documentos que independentemente da natureza ou suporte são reunidos por acumulação, edifício, entidade administrativa</t>
  </si>
  <si>
    <t>p.30-31 cronograma de entregas</t>
  </si>
  <si>
    <t>Coleçao</t>
  </si>
  <si>
    <t>Reunião de documentos</t>
  </si>
  <si>
    <t>Documento</t>
  </si>
  <si>
    <r>
      <rPr>
        <rFont val="Arial"/>
        <color theme="1"/>
        <sz val="12.0"/>
      </rPr>
      <t xml:space="preserve">Unidade constituída pela </t>
    </r>
    <r>
      <rPr>
        <rFont val="Arial"/>
        <b/>
        <color theme="1"/>
        <sz val="12.0"/>
      </rPr>
      <t xml:space="preserve">informação </t>
    </r>
    <r>
      <rPr>
        <rFont val="Arial"/>
        <color theme="1"/>
        <sz val="12.0"/>
      </rPr>
      <t xml:space="preserve">e seu </t>
    </r>
    <r>
      <rPr>
        <rFont val="Arial"/>
        <b/>
        <color theme="1"/>
        <sz val="12.0"/>
      </rPr>
      <t>suporte</t>
    </r>
    <r>
      <rPr>
        <rFont val="Arial"/>
        <color theme="1"/>
        <sz val="12.0"/>
      </rPr>
      <t>.</t>
    </r>
  </si>
  <si>
    <t>Entrada</t>
  </si>
  <si>
    <t xml:space="preserve">Termo pelo qual se dá acesso a uma unidade de descrição. Verbete. </t>
  </si>
  <si>
    <t>dicio arqui fe</t>
  </si>
  <si>
    <r>
      <rPr>
        <rFont val="Arial"/>
        <color theme="1"/>
        <sz val="12.0"/>
      </rPr>
      <t xml:space="preserve">Configuração que assume um documento de acordo com </t>
    </r>
    <r>
      <rPr>
        <rFont val="Arial"/>
        <b/>
        <color theme="1"/>
        <sz val="12.0"/>
      </rPr>
      <t>disposição e a natureza das informações nele contidas</t>
    </r>
    <r>
      <rPr>
        <rFont val="Arial"/>
        <color theme="1"/>
        <sz val="12.0"/>
      </rPr>
      <t>.</t>
    </r>
  </si>
  <si>
    <t>Fonte
Veículo</t>
  </si>
  <si>
    <t>-</t>
  </si>
  <si>
    <t>Formato</t>
  </si>
  <si>
    <t>Confiuração física de um suporte, de acordo com sua natureza e o modo como foi confeccionado (caderno, cartão, cartaz, códice, diapositivo, in-fólio, livro, mapa, folha...)</t>
  </si>
  <si>
    <t>Fundo</t>
  </si>
  <si>
    <t xml:space="preserve">Unidade constituída pelo conjunto de documentos acumulados por uma entidade que, no arquivo permanente, passa a conviver com arquivos de outras. </t>
  </si>
  <si>
    <t>Configuração que assume um documento de acordo com o sistema de signos utilizado na comunicação de seu conteúdo (audiovisual, fonográfica, iconográfica, multimeios, textual)</t>
  </si>
  <si>
    <t>Informação</t>
  </si>
  <si>
    <t xml:space="preserve">Todo e qualquer elemento referencial contido num documento. </t>
  </si>
  <si>
    <t>Origem</t>
  </si>
  <si>
    <t>Procedência do documento e, se possível, histórico de sua custódia antes de chegar à instituição 
(vem de acervo, repositório etc).</t>
  </si>
  <si>
    <t>Palavra-chave</t>
  </si>
  <si>
    <t xml:space="preserve">Palavra ou grupo de palavras retiradas diretamente de um ou mais documentos, para indicar seu conteúdo e facilitar sua recuperação. Descritor, tesauro e vocabulário controlado. </t>
  </si>
  <si>
    <t>Produtor</t>
  </si>
  <si>
    <t>Reprodução</t>
  </si>
  <si>
    <t xml:space="preserve">Cópia exata do documento no conteúdo e no aspecto formal, mas não necessariamente em suas domensões. </t>
  </si>
  <si>
    <t>Reprografia</t>
  </si>
  <si>
    <t xml:space="preserve">Conjunto de procedimentos de cópia ou microcópia feitos por energia radiante. </t>
  </si>
  <si>
    <t>Resumo</t>
  </si>
  <si>
    <t>Apresentação concisa do conteúdo de um documento.</t>
  </si>
  <si>
    <t>Suporte</t>
  </si>
  <si>
    <t>Material sobre o qual as informações são registradas (disco, papel, vídeo...)</t>
  </si>
  <si>
    <t>Tipo documental</t>
  </si>
  <si>
    <r>
      <rPr>
        <rFont val="Arial"/>
        <color theme="1"/>
        <sz val="12.0"/>
      </rPr>
      <t xml:space="preserve">Configuração que assume uma </t>
    </r>
    <r>
      <rPr>
        <rFont val="Arial"/>
        <b/>
        <color theme="1"/>
        <sz val="12.0"/>
      </rPr>
      <t>espécie documental</t>
    </r>
    <r>
      <rPr>
        <rFont val="Arial"/>
        <color theme="1"/>
        <sz val="12.0"/>
      </rPr>
      <t xml:space="preserve">, de acordo com a atividade que a gerou. </t>
    </r>
  </si>
  <si>
    <t>Título do documento</t>
  </si>
  <si>
    <t>Série/Documento</t>
  </si>
  <si>
    <t>Espécie</t>
  </si>
  <si>
    <t>Instituição de origem</t>
  </si>
  <si>
    <t>Número total de páginas</t>
  </si>
  <si>
    <t>Procedimentos judiciais e administrativos</t>
  </si>
  <si>
    <t>CPI (1992)</t>
  </si>
  <si>
    <t>?</t>
  </si>
  <si>
    <t>ALESP</t>
  </si>
  <si>
    <t>Processo de tombamento</t>
  </si>
  <si>
    <t>Conselho Municipal de Preservação do Patrimônio Histórico, Cultural e Ambiental da Cidade de São Paulo</t>
  </si>
  <si>
    <t>Relatório final (1992)</t>
  </si>
  <si>
    <t>Textual, Bibliográfico</t>
  </si>
  <si>
    <t>Conselho Nacional de Política Criminal e Penitenciária do Ministério da Justiça</t>
  </si>
  <si>
    <t>Inquérito Civil Público (1992)</t>
  </si>
  <si>
    <t>MPSP</t>
  </si>
  <si>
    <t>Sindicância Justiça Militar (1992)</t>
  </si>
  <si>
    <t>TJMSP</t>
  </si>
  <si>
    <t>Processo criminal contra 120 policiais militares</t>
  </si>
  <si>
    <t>TJSP</t>
  </si>
  <si>
    <t>Sindicância da Corregedoria dos Presídios (1992)</t>
  </si>
  <si>
    <t>Processos cíveis de idenização por danos materiais e morais contra o estado</t>
  </si>
  <si>
    <t xml:space="preserve">Textual </t>
  </si>
  <si>
    <t>TOTAL</t>
  </si>
  <si>
    <t>Relatórios necropiciais</t>
  </si>
  <si>
    <t>Comemorações dos movimentos sociais</t>
  </si>
  <si>
    <t>CPS</t>
  </si>
  <si>
    <t>GPT</t>
  </si>
  <si>
    <t>Ana Maria Camargo</t>
  </si>
  <si>
    <t>https://www.youtube.com/watch?v=oexvgm2cTw8</t>
  </si>
  <si>
    <t xml:space="preserve">Fundo </t>
  </si>
  <si>
    <t>Fundo, coleção, arquivo, acervo</t>
  </si>
  <si>
    <t>Série</t>
  </si>
  <si>
    <t>Genero textual</t>
  </si>
  <si>
    <t>Subserie ou dossie</t>
  </si>
  <si>
    <t>Forma cópia</t>
  </si>
  <si>
    <t>Num doc sub</t>
  </si>
  <si>
    <t>Suporte papel ou eletrônico?</t>
  </si>
  <si>
    <t>Num de pastas ou docs existententes</t>
  </si>
  <si>
    <t>Formato folha</t>
  </si>
  <si>
    <t>Num de pg ou folhas</t>
  </si>
  <si>
    <t>PADA</t>
  </si>
  <si>
    <t>Coleção</t>
  </si>
  <si>
    <t xml:space="preserve">Grupo </t>
  </si>
  <si>
    <t>Subgrupo</t>
  </si>
  <si>
    <t>Subserie</t>
  </si>
  <si>
    <t>Dossie/Processo</t>
  </si>
  <si>
    <t xml:space="preserve">Unidade documental </t>
  </si>
  <si>
    <t>Unidade de armazenamento</t>
  </si>
  <si>
    <t xml:space="preserve">Parte, pg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</si>
</sst>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d/mm/yyyy"/>
  </numFmts>
  <fonts count="45">
    <font>
      <sz val="10.0"/>
      <color rgb="FF000000"/>
      <name val="Arial"/>
      <scheme val="minor"/>
    </font>
    <font>
      <b/>
      <sz val="14.0"/>
      <color rgb="FF999999"/>
      <name val="DM Sans"/>
    </font>
    <font>
      <b/>
      <sz val="14.0"/>
      <color rgb="FFFFFFFF"/>
      <name val="DM Sans"/>
    </font>
    <font/>
    <font>
      <sz val="14.0"/>
      <color rgb="FF999999"/>
      <name val="DM Sans"/>
    </font>
    <font>
      <sz val="14.0"/>
      <color theme="1"/>
      <name val="DM Sans"/>
    </font>
    <font>
      <sz val="14.0"/>
      <color rgb="FF013395"/>
      <name val="DM Sans"/>
    </font>
    <font>
      <u/>
      <sz val="14.0"/>
      <color rgb="FF013395"/>
      <name val="DM Sans"/>
    </font>
    <font>
      <sz val="14.0"/>
      <color rgb="FF000000"/>
      <name val="DM Sans"/>
    </font>
    <font>
      <b/>
      <sz val="20.0"/>
      <color theme="1"/>
      <name val="Patrick Hand"/>
    </font>
    <font>
      <b/>
      <sz val="12.0"/>
      <color rgb="FFFFFFFF"/>
      <name val="Merriweather"/>
    </font>
    <font>
      <sz val="12.0"/>
      <color theme="1"/>
      <name val="Roboto"/>
    </font>
    <font>
      <sz val="12.0"/>
      <color theme="1"/>
      <name val="Arial"/>
      <scheme val="minor"/>
    </font>
    <font>
      <sz val="10.0"/>
      <color theme="1"/>
      <name val="Georgia"/>
    </font>
    <font>
      <color theme="1"/>
      <name val="Georgia"/>
    </font>
    <font>
      <sz val="11.0"/>
      <color theme="1"/>
      <name val="Georgia"/>
    </font>
    <font>
      <b/>
      <color theme="1"/>
      <name val="Georgia"/>
    </font>
    <font>
      <color theme="8"/>
      <name val="Georgia"/>
    </font>
    <font>
      <color theme="7"/>
      <name val="Georgia"/>
    </font>
    <font>
      <color rgb="FFFF0000"/>
      <name val="Georgia"/>
    </font>
    <font>
      <b/>
      <color rgb="FFFFFFFF"/>
      <name val="Georgia"/>
    </font>
    <font>
      <b/>
      <color rgb="FFFFFFFF"/>
      <name val="Arial"/>
      <scheme val="minor"/>
    </font>
    <font>
      <color rgb="FF000000"/>
      <name val="Georgia"/>
    </font>
    <font>
      <strike/>
      <color theme="7"/>
      <name val="Georgia"/>
    </font>
    <font>
      <color rgb="FF000000"/>
      <name val="Arial"/>
      <scheme val="minor"/>
    </font>
    <font>
      <color theme="7"/>
      <name val="Arial"/>
      <scheme val="minor"/>
    </font>
    <font>
      <color theme="5"/>
      <name val="Georgia"/>
    </font>
    <font>
      <strike/>
      <color rgb="FF999999"/>
      <name val="Georgia"/>
    </font>
    <font>
      <b/>
      <sz val="12.0"/>
      <color rgb="FF013395"/>
      <name val="DM Sans"/>
    </font>
    <font>
      <sz val="12.0"/>
      <color rgb="FF000000"/>
      <name val="DM Sans"/>
    </font>
    <font>
      <sz val="12.0"/>
      <color theme="1"/>
      <name val="DM Sans"/>
    </font>
    <font>
      <u/>
      <sz val="12.0"/>
      <color rgb="FF0000FF"/>
      <name val="DM Sans"/>
    </font>
    <font>
      <u/>
      <sz val="12.0"/>
      <color rgb="FF000000"/>
      <name val="DM Sans"/>
    </font>
    <font>
      <u/>
      <sz val="12.0"/>
      <color rgb="FF0000FF"/>
      <name val="DM Sans"/>
    </font>
    <font>
      <color theme="1"/>
      <name val="Arial"/>
      <scheme val="minor"/>
    </font>
    <font>
      <b/>
      <sz val="12.0"/>
      <color rgb="FFFFFFFF"/>
      <name val="Arial"/>
    </font>
    <font>
      <sz val="12.0"/>
      <color rgb="FFFF0000"/>
      <name val="Arial"/>
      <scheme val="minor"/>
    </font>
    <font>
      <b/>
      <sz val="12.0"/>
      <color rgb="FFFFFFFF"/>
      <name val="Arial"/>
      <scheme val="minor"/>
    </font>
    <font>
      <b/>
      <sz val="12.0"/>
      <color rgb="FF05B2FC"/>
      <name val="Arial"/>
    </font>
    <font>
      <b/>
      <color theme="1"/>
      <name val="Arial"/>
      <scheme val="minor"/>
    </font>
    <font>
      <color rgb="FFFF9900"/>
      <name val="Arial"/>
      <scheme val="minor"/>
    </font>
    <font>
      <color rgb="FFFF0000"/>
      <name val="Arial"/>
      <scheme val="minor"/>
    </font>
    <font>
      <b/>
      <sz val="11.0"/>
      <color theme="1"/>
      <name val="Arial"/>
      <scheme val="minor"/>
    </font>
    <font>
      <u/>
      <color rgb="FF0000FF"/>
    </font>
    <font>
      <sz val="11.0"/>
      <color theme="1"/>
      <name val="Arial"/>
      <scheme val="minor"/>
    </font>
  </fonts>
  <fills count="20">
    <fill>
      <patternFill patternType="none"/>
    </fill>
    <fill>
      <patternFill patternType="lightGray"/>
    </fill>
    <fill>
      <patternFill patternType="solid">
        <fgColor rgb="FF013395"/>
        <bgColor rgb="FF013395"/>
      </patternFill>
    </fill>
    <fill>
      <patternFill patternType="solid">
        <fgColor rgb="FF4285F4"/>
        <bgColor rgb="FF4285F4"/>
      </patternFill>
    </fill>
    <fill>
      <patternFill patternType="solid">
        <fgColor rgb="FFFBBC04"/>
        <bgColor rgb="FFFBBC04"/>
      </patternFill>
    </fill>
    <fill>
      <patternFill patternType="solid">
        <fgColor rgb="FFEEFAFF"/>
        <bgColor rgb="FFEEFAFF"/>
      </patternFill>
    </fill>
    <fill>
      <patternFill patternType="solid">
        <fgColor rgb="FFD9D9D9"/>
        <bgColor rgb="FFD9D9D9"/>
      </patternFill>
    </fill>
    <fill>
      <patternFill patternType="solid">
        <fgColor rgb="FFCBEFFF"/>
        <bgColor rgb="FFCBEFFF"/>
      </patternFill>
    </fill>
    <fill>
      <patternFill patternType="solid">
        <fgColor theme="6"/>
        <bgColor theme="6"/>
      </patternFill>
    </fill>
    <fill>
      <patternFill patternType="solid">
        <fgColor rgb="FFF3F3F3"/>
        <bgColor rgb="FFF3F3F3"/>
      </patternFill>
    </fill>
    <fill>
      <patternFill patternType="solid">
        <fgColor rgb="FFEFEFEF"/>
        <bgColor rgb="FFEFEFEF"/>
      </patternFill>
    </fill>
    <fill>
      <patternFill patternType="solid">
        <fgColor theme="5"/>
        <bgColor theme="5"/>
      </patternFill>
    </fill>
    <fill>
      <patternFill patternType="solid">
        <fgColor theme="8"/>
        <bgColor theme="8"/>
      </patternFill>
    </fill>
    <fill>
      <patternFill patternType="solid">
        <fgColor rgb="FFFF9900"/>
        <bgColor rgb="FFFF9900"/>
      </patternFill>
    </fill>
    <fill>
      <patternFill patternType="solid">
        <fgColor rgb="FFFFFF00"/>
        <bgColor rgb="FFFFFF00"/>
      </patternFill>
    </fill>
    <fill>
      <patternFill patternType="solid">
        <fgColor rgb="FFFFE599"/>
        <bgColor rgb="FFFFE599"/>
      </patternFill>
    </fill>
    <fill>
      <patternFill patternType="solid">
        <fgColor rgb="FF05B2FC"/>
        <bgColor rgb="FF05B2FC"/>
      </patternFill>
    </fill>
    <fill>
      <patternFill patternType="solid">
        <fgColor rgb="FFFFF1C6"/>
        <bgColor rgb="FFFFF1C6"/>
      </patternFill>
    </fill>
    <fill>
      <patternFill patternType="solid">
        <fgColor rgb="FF000000"/>
        <bgColor rgb="FF000000"/>
      </patternFill>
    </fill>
    <fill>
      <patternFill patternType="solid">
        <fgColor rgb="FF081336"/>
        <bgColor rgb="FF081336"/>
      </patternFill>
    </fill>
  </fills>
  <borders count="61">
    <border/>
    <border>
      <bottom style="thin">
        <color rgb="FF999999"/>
      </bottom>
    </border>
    <border>
      <left style="thick">
        <color rgb="FF999999"/>
      </left>
    </border>
    <border>
      <bottom style="thick">
        <color rgb="FF999999"/>
      </bottom>
    </border>
    <border>
      <left style="thin">
        <color rgb="FFCCCCCC"/>
      </left>
      <bottom style="thick">
        <color rgb="FF999999"/>
      </bottom>
    </border>
    <border>
      <left style="thin">
        <color rgb="FFCCCCCC"/>
      </left>
      <right style="thin">
        <color rgb="FFCCCCCC"/>
      </right>
      <bottom style="thick">
        <color rgb="FF999999"/>
      </bottom>
    </border>
    <border>
      <left style="thin">
        <color rgb="FFCCCCCC"/>
      </left>
      <right style="thick">
        <color rgb="FF999999"/>
      </right>
      <bottom style="thick">
        <color rgb="FF999999"/>
      </bottom>
    </border>
    <border>
      <left style="thick">
        <color rgb="FF999999"/>
      </left>
      <right style="thin">
        <color rgb="FFCCCCCC"/>
      </right>
      <bottom style="thick">
        <color rgb="FF999999"/>
      </bottom>
    </border>
    <border>
      <right style="thin">
        <color rgb="FFCCCCCC"/>
      </right>
      <bottom style="thick">
        <color rgb="FF999999"/>
      </bottom>
    </border>
    <border>
      <left style="thick">
        <color rgb="FF999999"/>
      </left>
      <bottom style="thick">
        <color rgb="FF999999"/>
      </bottom>
    </border>
    <border>
      <right style="thick">
        <color rgb="FF999999"/>
      </right>
    </border>
    <border>
      <left style="thin">
        <color rgb="FF666666"/>
      </left>
      <top style="thin">
        <color rgb="FF666666"/>
      </top>
      <bottom style="dotted">
        <color rgb="FF000000"/>
      </bottom>
    </border>
    <border>
      <top style="thin">
        <color rgb="FF666666"/>
      </top>
      <bottom style="dotted">
        <color rgb="FF000000"/>
      </bottom>
    </border>
    <border>
      <right style="thick">
        <color rgb="FF999999"/>
      </right>
      <top style="thin">
        <color rgb="FF666666"/>
      </top>
      <bottom style="dotted">
        <color rgb="FF000000"/>
      </bottom>
    </border>
    <border>
      <left style="thin">
        <color rgb="FF666666"/>
      </left>
      <top style="dotted">
        <color rgb="FF000000"/>
      </top>
      <bottom style="thick">
        <color rgb="FF999999"/>
      </bottom>
    </border>
    <border>
      <top style="dotted">
        <color rgb="FF000000"/>
      </top>
      <bottom style="thick">
        <color rgb="FF999999"/>
      </bottom>
    </border>
    <border>
      <right style="thick">
        <color rgb="FF999999"/>
      </right>
      <top style="dotted">
        <color rgb="FF000000"/>
      </top>
      <bottom style="thick">
        <color rgb="FF999999"/>
      </bottom>
    </border>
    <border>
      <left style="thick">
        <color rgb="FF999999"/>
      </left>
      <top style="thick">
        <color rgb="FF999999"/>
      </top>
      <bottom style="dotted">
        <color rgb="FFFBBC04"/>
      </bottom>
    </border>
    <border>
      <top style="thick">
        <color rgb="FF999999"/>
      </top>
      <bottom style="dotted">
        <color rgb="FFFBBC04"/>
      </bottom>
    </border>
    <border>
      <right style="thick">
        <color rgb="FF999999"/>
      </right>
      <top style="thick">
        <color rgb="FF999999"/>
      </top>
      <bottom style="dotted">
        <color rgb="FFFBBC04"/>
      </bottom>
    </border>
    <border>
      <left style="thick">
        <color rgb="FF999999"/>
      </left>
      <top style="dotted">
        <color rgb="FFFBBC04"/>
      </top>
      <bottom style="dotted">
        <color rgb="FFFBBC04"/>
      </bottom>
    </border>
    <border>
      <top style="dotted">
        <color rgb="FFFBBC04"/>
      </top>
      <bottom style="dotted">
        <color rgb="FFFBBC04"/>
      </bottom>
    </border>
    <border>
      <right style="thick">
        <color rgb="FF999999"/>
      </right>
      <top style="dotted">
        <color rgb="FFFBBC04"/>
      </top>
      <bottom style="dotted">
        <color rgb="FFFBBC04"/>
      </bottom>
    </border>
    <border>
      <left style="thick">
        <color rgb="FF999999"/>
      </left>
      <top style="dotted">
        <color rgb="FFFBBC04"/>
      </top>
      <bottom style="thick">
        <color rgb="FF999999"/>
      </bottom>
    </border>
    <border>
      <top style="dotted">
        <color rgb="FFFBBC04"/>
      </top>
      <bottom style="thick">
        <color rgb="FF999999"/>
      </bottom>
    </border>
    <border>
      <right style="thick">
        <color rgb="FF999999"/>
      </right>
      <top style="dotted">
        <color rgb="FFFBBC04"/>
      </top>
      <bottom style="thick">
        <color rgb="FF999999"/>
      </bottom>
    </border>
    <border>
      <left style="thick">
        <color rgb="FF999999"/>
      </left>
      <top style="thick">
        <color rgb="FF999999"/>
      </top>
    </border>
    <border>
      <top style="thick">
        <color rgb="FF999999"/>
      </top>
    </border>
    <border>
      <right style="thick">
        <color rgb="FF999999"/>
      </right>
      <top style="thick">
        <color rgb="FF999999"/>
      </top>
    </border>
    <border>
      <left style="thick">
        <color rgb="FF999999"/>
      </left>
      <top style="medium">
        <color rgb="FF999999"/>
      </top>
    </border>
    <border>
      <top style="medium">
        <color rgb="FF999999"/>
      </top>
      <bottom style="dotted">
        <color rgb="FF999999"/>
      </bottom>
    </border>
    <border>
      <right style="thick">
        <color rgb="FF999999"/>
      </right>
      <top style="medium">
        <color rgb="FF999999"/>
      </top>
      <bottom style="dotted">
        <color rgb="FF999999"/>
      </bottom>
    </border>
    <border>
      <left style="thick">
        <color rgb="FF999999"/>
      </left>
      <bottom style="medium">
        <color rgb="FF999999"/>
      </bottom>
    </border>
    <border>
      <top style="dotted">
        <color rgb="FF999999"/>
      </top>
      <bottom style="medium">
        <color rgb="FF999999"/>
      </bottom>
    </border>
    <border>
      <right style="thick">
        <color rgb="FF999999"/>
      </right>
      <top style="dotted">
        <color rgb="FF999999"/>
      </top>
      <bottom style="medium">
        <color rgb="FF999999"/>
      </bottom>
    </border>
    <border>
      <bottom style="dotted">
        <color rgb="FF999999"/>
      </bottom>
    </border>
    <border>
      <right style="thick">
        <color rgb="FF999999"/>
      </right>
      <bottom style="dotted">
        <color rgb="FF999999"/>
      </bottom>
    </border>
    <border>
      <top style="dotted">
        <color rgb="FF999999"/>
      </top>
      <bottom style="dotted">
        <color rgb="FF999999"/>
      </bottom>
    </border>
    <border>
      <right style="thick">
        <color rgb="FF999999"/>
      </right>
      <top style="dotted">
        <color rgb="FF999999"/>
      </top>
      <bottom style="dotted">
        <color rgb="FF999999"/>
      </bottom>
    </border>
    <border>
      <top style="dotted">
        <color rgb="FF999999"/>
      </top>
      <bottom style="thick">
        <color rgb="FF999999"/>
      </bottom>
    </border>
    <border>
      <right style="thick">
        <color rgb="FF999999"/>
      </right>
      <top style="dotted">
        <color rgb="FF999999"/>
      </top>
      <bottom style="thick">
        <color rgb="FF99999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right style="thick">
        <color rgb="FF999999"/>
      </right>
      <bottom style="thick">
        <color rgb="FF999999"/>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CCCCCC"/>
      </left>
      <right style="thick">
        <color rgb="FF999999"/>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left style="thin">
        <color rgb="FFD9D9D9"/>
      </left>
      <right style="thick">
        <color rgb="FFD9D9D9"/>
      </right>
      <top style="thin">
        <color rgb="FFD9D9D9"/>
      </top>
    </border>
    <border>
      <right style="thin">
        <color rgb="FFD9D9D9"/>
      </right>
      <top style="thin">
        <color rgb="FFD9D9D9"/>
      </top>
      <bottom style="thick">
        <color rgb="FF999999"/>
      </bottom>
    </border>
    <border>
      <left style="thin">
        <color rgb="FFD9D9D9"/>
      </left>
      <right style="thin">
        <color rgb="FFD9D9D9"/>
      </right>
      <top style="thin">
        <color rgb="FFD9D9D9"/>
      </top>
      <bottom style="thick">
        <color rgb="FF999999"/>
      </bottom>
    </border>
    <border>
      <left style="thick">
        <color rgb="FF434343"/>
      </left>
      <right style="thick">
        <color rgb="FF434343"/>
      </right>
      <top style="thick">
        <color rgb="FF434343"/>
      </top>
      <bottom style="thick">
        <color rgb="FF434343"/>
      </bottom>
    </border>
    <border>
      <right style="thin">
        <color rgb="FFD9D9D9"/>
      </right>
      <bottom style="thin">
        <color rgb="FFD9D9D9"/>
      </bottom>
    </border>
    <border>
      <left style="thin">
        <color rgb="FFD9D9D9"/>
      </left>
      <right style="thin">
        <color rgb="FFD9D9D9"/>
      </right>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0" fontId="3" numFmtId="0" xfId="0" applyBorder="1" applyFont="1"/>
    <xf borderId="2" fillId="2" fontId="2"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3" fillId="3" fontId="1" numFmtId="0" xfId="0" applyAlignment="1" applyBorder="1" applyFill="1" applyFont="1">
      <alignment horizontal="center" readingOrder="0" shrinkToFit="0" vertical="center" wrapText="1"/>
    </xf>
    <xf borderId="4" fillId="3" fontId="2" numFmtId="0" xfId="0" applyAlignment="1" applyBorder="1" applyFont="1">
      <alignment horizontal="center" readingOrder="0" shrinkToFit="0" vertical="center" wrapText="1"/>
    </xf>
    <xf borderId="3" fillId="3" fontId="2" numFmtId="0" xfId="0" applyAlignment="1" applyBorder="1" applyFont="1">
      <alignment horizontal="center" readingOrder="0" shrinkToFit="0" vertical="center" wrapText="1"/>
    </xf>
    <xf borderId="5" fillId="3" fontId="2" numFmtId="164" xfId="0" applyAlignment="1" applyBorder="1" applyFont="1" applyNumberFormat="1">
      <alignment horizontal="center" readingOrder="0" shrinkToFit="0" vertical="center" wrapText="1"/>
    </xf>
    <xf borderId="5" fillId="3" fontId="2" numFmtId="0" xfId="0" applyAlignment="1" applyBorder="1" applyFont="1">
      <alignment horizontal="center" readingOrder="0" shrinkToFit="0" vertical="center" wrapText="1"/>
    </xf>
    <xf borderId="6" fillId="4" fontId="2" numFmtId="0" xfId="0" applyAlignment="1" applyBorder="1" applyFill="1" applyFont="1">
      <alignment horizontal="center" readingOrder="0" shrinkToFit="0" vertical="center" wrapText="1"/>
    </xf>
    <xf borderId="7" fillId="3" fontId="2" numFmtId="0" xfId="0" applyAlignment="1" applyBorder="1" applyFont="1">
      <alignment horizontal="center" readingOrder="0" shrinkToFit="0" vertical="center" wrapText="1"/>
    </xf>
    <xf borderId="6" fillId="3" fontId="2" numFmtId="0" xfId="0" applyAlignment="1" applyBorder="1" applyFont="1">
      <alignment horizontal="center" readingOrder="0" shrinkToFit="0" vertical="center" wrapText="1"/>
    </xf>
    <xf borderId="8" fillId="3" fontId="2" numFmtId="0" xfId="0" applyAlignment="1" applyBorder="1" applyFont="1">
      <alignment horizontal="center" readingOrder="0" shrinkToFit="0" vertical="center" wrapText="1"/>
    </xf>
    <xf borderId="9" fillId="3" fontId="2"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5" fontId="6" numFmtId="0" xfId="0" applyAlignment="1" applyFill="1" applyFont="1">
      <alignment horizontal="center" readingOrder="0" shrinkToFit="0" vertical="center" wrapText="1"/>
    </xf>
    <xf borderId="0" fillId="5" fontId="6" numFmtId="0" xfId="0" applyAlignment="1" applyFont="1">
      <alignment horizontal="center" vertical="center"/>
    </xf>
    <xf borderId="0" fillId="5" fontId="6" numFmtId="0" xfId="0" applyAlignment="1" applyFont="1">
      <alignment horizontal="center" shrinkToFit="0" vertical="center" wrapText="1"/>
    </xf>
    <xf borderId="0" fillId="5" fontId="6" numFmtId="164" xfId="0" applyAlignment="1" applyFont="1" applyNumberFormat="1">
      <alignment horizontal="center" readingOrder="0" shrinkToFit="0" vertical="center" wrapText="1"/>
    </xf>
    <xf borderId="0" fillId="5" fontId="5" numFmtId="0" xfId="0" applyAlignment="1" applyFont="1">
      <alignment horizontal="center" readingOrder="0" shrinkToFit="0" vertical="center" wrapText="1"/>
    </xf>
    <xf borderId="2" fillId="0" fontId="5" numFmtId="0" xfId="0" applyAlignment="1" applyBorder="1" applyFont="1">
      <alignment horizontal="left" readingOrder="0" shrinkToFit="0" vertical="center" wrapText="1"/>
    </xf>
    <xf borderId="0" fillId="0" fontId="5" numFmtId="0" xfId="0" applyAlignment="1" applyFont="1">
      <alignment horizontal="left" readingOrder="0" shrinkToFit="0" vertical="center" wrapText="1"/>
    </xf>
    <xf borderId="10" fillId="0" fontId="5" numFmtId="0" xfId="0" applyAlignment="1" applyBorder="1" applyFont="1">
      <alignment horizontal="left" readingOrder="0" shrinkToFit="0" vertical="center" wrapText="1"/>
    </xf>
    <xf borderId="0" fillId="0" fontId="5" numFmtId="164" xfId="0" applyAlignment="1" applyFont="1" applyNumberFormat="1">
      <alignment horizontal="center" readingOrder="0" shrinkToFit="0" vertical="center" wrapText="1"/>
    </xf>
    <xf borderId="0" fillId="5" fontId="7" numFmtId="0" xfId="0" applyAlignment="1" applyFont="1">
      <alignment horizontal="center" readingOrder="0" shrinkToFit="0" vertical="center" wrapText="1"/>
    </xf>
    <xf borderId="2" fillId="0" fontId="5" numFmtId="0" xfId="0" applyAlignment="1" applyBorder="1" applyFont="1">
      <alignment horizontal="left" readingOrder="0" shrinkToFit="0" vertical="center" wrapText="1"/>
    </xf>
    <xf borderId="0" fillId="0" fontId="5" numFmtId="0" xfId="0" applyAlignment="1" applyFont="1">
      <alignment horizontal="left" readingOrder="0" shrinkToFit="0" vertical="center" wrapText="1"/>
    </xf>
    <xf borderId="10" fillId="0" fontId="5" numFmtId="0" xfId="0" applyAlignment="1" applyBorder="1" applyFont="1">
      <alignment horizontal="center" readingOrder="0" shrinkToFit="0" vertical="center" wrapText="1"/>
    </xf>
    <xf borderId="10" fillId="0" fontId="5" numFmtId="0" xfId="0" applyAlignment="1" applyBorder="1" applyFont="1">
      <alignment horizontal="left" readingOrder="0" shrinkToFit="0" vertical="center" wrapText="0"/>
    </xf>
    <xf borderId="0" fillId="0" fontId="5" numFmtId="0" xfId="0" applyAlignment="1" applyFont="1">
      <alignment horizontal="center" shrinkToFit="0" vertical="center" wrapText="1"/>
    </xf>
    <xf borderId="10" fillId="0" fontId="5" numFmtId="0" xfId="0" applyAlignment="1" applyBorder="1" applyFont="1">
      <alignment horizontal="center" shrinkToFit="0" vertical="center" wrapText="1"/>
    </xf>
    <xf borderId="0" fillId="0" fontId="5" numFmtId="0" xfId="0" applyAlignment="1" applyFont="1">
      <alignment horizontal="left" readingOrder="0" shrinkToFit="0" vertical="center" wrapText="1"/>
    </xf>
    <xf borderId="0" fillId="5" fontId="6" numFmtId="165" xfId="0" applyAlignment="1" applyFont="1" applyNumberFormat="1">
      <alignment horizontal="center" readingOrder="0" shrinkToFit="0" vertical="center" wrapText="1"/>
    </xf>
    <xf borderId="0" fillId="5" fontId="6"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11" fillId="6" fontId="9" numFmtId="0" xfId="0" applyAlignment="1" applyBorder="1" applyFill="1" applyFont="1">
      <alignment horizontal="left" readingOrder="0" shrinkToFit="0" vertical="center" wrapText="1"/>
    </xf>
    <xf borderId="12" fillId="0" fontId="3" numFmtId="0" xfId="0" applyBorder="1" applyFont="1"/>
    <xf borderId="13" fillId="0" fontId="3" numFmtId="0" xfId="0" applyBorder="1" applyFont="1"/>
    <xf borderId="0" fillId="0" fontId="9" numFmtId="0" xfId="0" applyAlignment="1" applyFont="1">
      <alignment horizontal="left" readingOrder="0" shrinkToFit="0" vertical="center" wrapText="1"/>
    </xf>
    <xf borderId="14" fillId="7" fontId="5" numFmtId="0" xfId="0" applyAlignment="1" applyBorder="1" applyFill="1" applyFont="1">
      <alignment horizontal="left" readingOrder="0" shrinkToFit="0" vertical="center" wrapText="1"/>
    </xf>
    <xf borderId="15" fillId="0" fontId="3" numFmtId="0" xfId="0" applyBorder="1" applyFont="1"/>
    <xf borderId="16" fillId="0" fontId="3" numFmtId="0" xfId="0" applyBorder="1" applyFont="1"/>
    <xf borderId="17" fillId="8" fontId="9" numFmtId="0" xfId="0" applyAlignment="1" applyBorder="1" applyFill="1" applyFont="1">
      <alignment horizontal="left" readingOrder="0" shrinkToFit="0" vertical="center" wrapText="1"/>
    </xf>
    <xf borderId="18" fillId="0" fontId="3" numFmtId="0" xfId="0" applyBorder="1" applyFont="1"/>
    <xf borderId="19" fillId="0" fontId="3" numFmtId="0" xfId="0" applyBorder="1" applyFont="1"/>
    <xf borderId="20" fillId="8" fontId="5" numFmtId="0" xfId="0" applyAlignment="1" applyBorder="1" applyFont="1">
      <alignment horizontal="left" readingOrder="0" shrinkToFit="0" vertical="center" wrapText="1"/>
    </xf>
    <xf borderId="21" fillId="0" fontId="3" numFmtId="0" xfId="0" applyBorder="1" applyFont="1"/>
    <xf borderId="22" fillId="0" fontId="3" numFmtId="0" xfId="0" applyBorder="1" applyFont="1"/>
    <xf borderId="23" fillId="8" fontId="5" numFmtId="0" xfId="0" applyAlignment="1" applyBorder="1" applyFont="1">
      <alignment horizontal="left" readingOrder="0" shrinkToFit="0" vertical="center" wrapText="1"/>
    </xf>
    <xf borderId="24" fillId="0" fontId="3" numFmtId="0" xfId="0" applyBorder="1" applyFont="1"/>
    <xf borderId="25" fillId="0" fontId="3" numFmtId="0" xfId="0" applyBorder="1" applyFont="1"/>
    <xf borderId="26" fillId="3" fontId="10" numFmtId="0" xfId="0" applyAlignment="1" applyBorder="1" applyFont="1">
      <alignment horizontal="center" readingOrder="0" shrinkToFit="0" vertical="center" wrapText="1"/>
    </xf>
    <xf borderId="27" fillId="0" fontId="3" numFmtId="0" xfId="0" applyBorder="1" applyFont="1"/>
    <xf borderId="28" fillId="0" fontId="3" numFmtId="0" xfId="0" applyBorder="1" applyFont="1"/>
    <xf borderId="2" fillId="7" fontId="11" numFmtId="0" xfId="0" applyAlignment="1" applyBorder="1" applyFont="1">
      <alignment readingOrder="0" shrinkToFit="0" vertical="center" wrapText="1"/>
    </xf>
    <xf borderId="0" fillId="7" fontId="11" numFmtId="0" xfId="0" applyAlignment="1" applyFont="1">
      <alignment horizontal="center" readingOrder="0" shrinkToFit="0" vertical="center" wrapText="1"/>
    </xf>
    <xf borderId="10" fillId="7" fontId="11" numFmtId="0" xfId="0" applyAlignment="1" applyBorder="1" applyFont="1">
      <alignment horizontal="center" readingOrder="0" shrinkToFit="0" vertical="center" wrapText="1"/>
    </xf>
    <xf borderId="29" fillId="9" fontId="11" numFmtId="0" xfId="0" applyAlignment="1" applyBorder="1" applyFill="1" applyFont="1">
      <alignment readingOrder="0" shrinkToFit="0" vertical="center" wrapText="1"/>
    </xf>
    <xf borderId="30" fillId="0" fontId="11" numFmtId="0" xfId="0" applyAlignment="1" applyBorder="1" applyFont="1">
      <alignment horizontal="center" readingOrder="0" shrinkToFit="0" vertical="center" wrapText="1"/>
    </xf>
    <xf borderId="30" fillId="0" fontId="11" numFmtId="0" xfId="0" applyAlignment="1" applyBorder="1" applyFont="1">
      <alignment readingOrder="0" shrinkToFit="0" vertical="center" wrapText="1"/>
    </xf>
    <xf borderId="31" fillId="0" fontId="11" numFmtId="0" xfId="0" applyAlignment="1" applyBorder="1" applyFont="1">
      <alignment readingOrder="0" shrinkToFit="0" vertical="center" wrapText="1"/>
    </xf>
    <xf borderId="32" fillId="0" fontId="3" numFmtId="0" xfId="0" applyBorder="1" applyFont="1"/>
    <xf borderId="33" fillId="0" fontId="11" numFmtId="0" xfId="0" applyAlignment="1" applyBorder="1" applyFont="1">
      <alignment horizontal="center" readingOrder="0" shrinkToFit="0" vertical="center" wrapText="1"/>
    </xf>
    <xf borderId="33" fillId="0" fontId="11" numFmtId="0" xfId="0" applyAlignment="1" applyBorder="1" applyFont="1">
      <alignment readingOrder="0" shrinkToFit="0" vertical="center" wrapText="1"/>
    </xf>
    <xf borderId="34" fillId="0" fontId="11" numFmtId="0" xfId="0" applyAlignment="1" applyBorder="1" applyFont="1">
      <alignment readingOrder="0" shrinkToFit="0" vertical="center" wrapText="1"/>
    </xf>
    <xf borderId="2" fillId="10" fontId="11" numFmtId="0" xfId="0" applyAlignment="1" applyBorder="1" applyFill="1" applyFont="1">
      <alignment readingOrder="0" shrinkToFit="0" vertical="center" wrapText="1"/>
    </xf>
    <xf borderId="35" fillId="0" fontId="11" numFmtId="0" xfId="0" applyAlignment="1" applyBorder="1" applyFont="1">
      <alignment horizontal="center" readingOrder="0" shrinkToFit="0" vertical="center" wrapText="1"/>
    </xf>
    <xf borderId="35" fillId="0" fontId="11" numFmtId="0" xfId="0" applyAlignment="1" applyBorder="1" applyFont="1">
      <alignment readingOrder="0" shrinkToFit="0" vertical="center" wrapText="1"/>
    </xf>
    <xf borderId="36" fillId="0" fontId="11" numFmtId="0" xfId="0" applyAlignment="1" applyBorder="1" applyFont="1">
      <alignment readingOrder="0" shrinkToFit="0" vertical="center" wrapText="1"/>
    </xf>
    <xf borderId="2" fillId="9" fontId="11" numFmtId="0" xfId="0" applyAlignment="1" applyBorder="1" applyFont="1">
      <alignment readingOrder="0" shrinkToFit="0" vertical="center" wrapText="1"/>
    </xf>
    <xf borderId="2" fillId="0" fontId="3" numFmtId="0" xfId="0" applyBorder="1" applyFont="1"/>
    <xf borderId="37" fillId="0" fontId="11" numFmtId="0" xfId="0" applyAlignment="1" applyBorder="1" applyFont="1">
      <alignment horizontal="center" readingOrder="0" shrinkToFit="0" vertical="center" wrapText="1"/>
    </xf>
    <xf borderId="37" fillId="0" fontId="11" numFmtId="0" xfId="0" applyAlignment="1" applyBorder="1" applyFont="1">
      <alignment readingOrder="0" shrinkToFit="0" vertical="center" wrapText="1"/>
    </xf>
    <xf borderId="38" fillId="0" fontId="11" numFmtId="0" xfId="0" applyAlignment="1" applyBorder="1" applyFont="1">
      <alignment readingOrder="0" shrinkToFit="0" vertical="center" wrapText="1"/>
    </xf>
    <xf borderId="9" fillId="0" fontId="3" numFmtId="0" xfId="0" applyBorder="1" applyFont="1"/>
    <xf borderId="39" fillId="0" fontId="11" numFmtId="0" xfId="0" applyAlignment="1" applyBorder="1" applyFont="1">
      <alignment horizontal="center" readingOrder="0" shrinkToFit="0" vertical="center" wrapText="1"/>
    </xf>
    <xf borderId="39" fillId="0" fontId="11" numFmtId="0" xfId="0" applyAlignment="1" applyBorder="1" applyFont="1">
      <alignment readingOrder="0" shrinkToFit="0" vertical="center" wrapText="1"/>
    </xf>
    <xf borderId="40" fillId="0" fontId="11" numFmtId="0" xfId="0" applyAlignment="1" applyBorder="1" applyFont="1">
      <alignment readingOrder="0" shrinkToFit="0" vertical="center" wrapText="1"/>
    </xf>
    <xf borderId="0" fillId="0" fontId="12" numFmtId="0" xfId="0" applyAlignment="1" applyFont="1">
      <alignment shrinkToFit="0" vertical="center" wrapText="1"/>
    </xf>
    <xf borderId="0" fillId="11" fontId="13" numFmtId="0" xfId="0" applyAlignment="1" applyFill="1" applyFont="1">
      <alignment readingOrder="0"/>
    </xf>
    <xf borderId="0" fillId="12" fontId="14" numFmtId="0" xfId="0" applyAlignment="1" applyFill="1" applyFont="1">
      <alignment readingOrder="0"/>
    </xf>
    <xf borderId="0" fillId="13" fontId="14" numFmtId="0" xfId="0" applyAlignment="1" applyFill="1" applyFont="1">
      <alignment readingOrder="0"/>
    </xf>
    <xf borderId="0" fillId="8" fontId="14" numFmtId="0" xfId="0" applyAlignment="1" applyFont="1">
      <alignment readingOrder="0"/>
    </xf>
    <xf borderId="0" fillId="14" fontId="14" numFmtId="0" xfId="0" applyAlignment="1" applyFill="1" applyFont="1">
      <alignment readingOrder="0"/>
    </xf>
    <xf borderId="0" fillId="11" fontId="15" numFmtId="0" xfId="0" applyAlignment="1" applyFont="1">
      <alignment readingOrder="0"/>
    </xf>
    <xf borderId="0" fillId="0" fontId="14" numFmtId="0" xfId="0" applyFont="1"/>
    <xf borderId="41" fillId="15" fontId="16" numFmtId="0" xfId="0" applyAlignment="1" applyBorder="1" applyFill="1" applyFont="1">
      <alignment horizontal="center" readingOrder="0"/>
    </xf>
    <xf borderId="42" fillId="0" fontId="3" numFmtId="0" xfId="0" applyBorder="1" applyFont="1"/>
    <xf borderId="43" fillId="0" fontId="3" numFmtId="0" xfId="0" applyBorder="1" applyFont="1"/>
    <xf borderId="0" fillId="0" fontId="15" numFmtId="0" xfId="0" applyAlignment="1" applyFont="1">
      <alignment readingOrder="0"/>
    </xf>
    <xf borderId="41" fillId="15" fontId="13" numFmtId="0" xfId="0" applyAlignment="1" applyBorder="1" applyFont="1">
      <alignment readingOrder="0"/>
    </xf>
    <xf borderId="42" fillId="15" fontId="14" numFmtId="0" xfId="0" applyAlignment="1" applyBorder="1" applyFont="1">
      <alignment readingOrder="0"/>
    </xf>
    <xf borderId="43" fillId="15" fontId="14" numFmtId="0" xfId="0" applyAlignment="1" applyBorder="1" applyFont="1">
      <alignment readingOrder="0"/>
    </xf>
    <xf borderId="44" fillId="0" fontId="14" numFmtId="0" xfId="0" applyAlignment="1" applyBorder="1" applyFont="1">
      <alignment readingOrder="0"/>
    </xf>
    <xf borderId="0" fillId="0" fontId="14" numFmtId="0" xfId="0" applyAlignment="1" applyFont="1">
      <alignment horizontal="center" readingOrder="0"/>
    </xf>
    <xf borderId="0" fillId="0" fontId="17" numFmtId="0" xfId="0" applyAlignment="1" applyFont="1">
      <alignment readingOrder="0"/>
    </xf>
    <xf borderId="45" fillId="0" fontId="18" numFmtId="0" xfId="0" applyAlignment="1" applyBorder="1" applyFont="1">
      <alignment readingOrder="0"/>
    </xf>
    <xf borderId="0" fillId="0" fontId="14" numFmtId="166" xfId="0" applyAlignment="1" applyFont="1" applyNumberFormat="1">
      <alignment readingOrder="0"/>
    </xf>
    <xf borderId="0" fillId="0" fontId="14" numFmtId="165" xfId="0" applyAlignment="1" applyFont="1" applyNumberFormat="1">
      <alignment readingOrder="0"/>
    </xf>
    <xf borderId="44" fillId="15" fontId="13" numFmtId="0" xfId="0" applyAlignment="1" applyBorder="1" applyFont="1">
      <alignment readingOrder="0"/>
    </xf>
    <xf borderId="0" fillId="15" fontId="14" numFmtId="0" xfId="0" applyAlignment="1" applyFont="1">
      <alignment readingOrder="0"/>
    </xf>
    <xf borderId="45" fillId="15" fontId="14" numFmtId="0" xfId="0" applyAlignment="1" applyBorder="1" applyFont="1">
      <alignment readingOrder="0"/>
    </xf>
    <xf borderId="45" fillId="15" fontId="14" numFmtId="0" xfId="0" applyAlignment="1" applyBorder="1" applyFont="1">
      <alignment readingOrder="0" shrinkToFit="0" wrapText="0"/>
    </xf>
    <xf borderId="44" fillId="0" fontId="19" numFmtId="0" xfId="0" applyAlignment="1" applyBorder="1" applyFont="1">
      <alignment readingOrder="0"/>
    </xf>
    <xf borderId="0" fillId="0" fontId="19" numFmtId="0" xfId="0" applyAlignment="1" applyFont="1">
      <alignment horizontal="center" readingOrder="0"/>
    </xf>
    <xf borderId="45" fillId="0" fontId="18" numFmtId="0" xfId="0" applyBorder="1" applyFont="1"/>
    <xf borderId="26" fillId="13" fontId="20" numFmtId="0" xfId="0" applyAlignment="1" applyBorder="1" applyFont="1">
      <alignment readingOrder="0"/>
    </xf>
    <xf borderId="28" fillId="0" fontId="18" numFmtId="0" xfId="0" applyAlignment="1" applyBorder="1" applyFont="1">
      <alignment readingOrder="0"/>
    </xf>
    <xf borderId="2" fillId="13" fontId="20" numFmtId="0" xfId="0" applyAlignment="1" applyBorder="1" applyFont="1">
      <alignment readingOrder="0"/>
    </xf>
    <xf borderId="10" fillId="0" fontId="18" numFmtId="0" xfId="0" applyAlignment="1" applyBorder="1" applyFont="1">
      <alignment readingOrder="0"/>
    </xf>
    <xf borderId="44" fillId="15" fontId="14" numFmtId="0" xfId="0" applyBorder="1" applyFont="1"/>
    <xf borderId="9" fillId="13" fontId="21" numFmtId="0" xfId="0" applyAlignment="1" applyBorder="1" applyFont="1">
      <alignment readingOrder="0"/>
    </xf>
    <xf borderId="3" fillId="0" fontId="3" numFmtId="0" xfId="0" applyBorder="1" applyFont="1"/>
    <xf borderId="46" fillId="0" fontId="18" numFmtId="0" xfId="0" applyAlignment="1" applyBorder="1" applyFont="1">
      <alignment readingOrder="0"/>
    </xf>
    <xf borderId="0" fillId="15" fontId="14" numFmtId="0" xfId="0" applyFont="1"/>
    <xf borderId="44" fillId="0" fontId="22" numFmtId="0" xfId="0" applyAlignment="1" applyBorder="1" applyFont="1">
      <alignment readingOrder="0"/>
    </xf>
    <xf borderId="45" fillId="0" fontId="23" numFmtId="0" xfId="0" applyAlignment="1" applyBorder="1" applyFont="1">
      <alignment readingOrder="0"/>
    </xf>
    <xf borderId="47" fillId="0" fontId="24" numFmtId="0" xfId="0" applyAlignment="1" applyBorder="1" applyFont="1">
      <alignment readingOrder="0"/>
    </xf>
    <xf borderId="48" fillId="0" fontId="3" numFmtId="0" xfId="0" applyBorder="1" applyFont="1"/>
    <xf borderId="49" fillId="0" fontId="25" numFmtId="0" xfId="0" applyBorder="1" applyFont="1"/>
    <xf borderId="45" fillId="15" fontId="26" numFmtId="0" xfId="0" applyAlignment="1" applyBorder="1" applyFont="1">
      <alignment readingOrder="0"/>
    </xf>
    <xf borderId="0" fillId="0" fontId="27" numFmtId="0" xfId="0" applyAlignment="1" applyFont="1">
      <alignment readingOrder="0"/>
    </xf>
    <xf borderId="0" fillId="0" fontId="27" numFmtId="0" xfId="0" applyAlignment="1" applyFont="1">
      <alignment horizontal="center" readingOrder="0"/>
    </xf>
    <xf borderId="0" fillId="0" fontId="27" numFmtId="0" xfId="0" applyFont="1"/>
    <xf borderId="45" fillId="15" fontId="14" numFmtId="0" xfId="0" applyBorder="1" applyFont="1"/>
    <xf borderId="0" fillId="0" fontId="14" numFmtId="0" xfId="0" applyAlignment="1" applyFont="1">
      <alignment readingOrder="0"/>
    </xf>
    <xf borderId="47" fillId="15" fontId="14" numFmtId="0" xfId="0" applyBorder="1" applyFont="1"/>
    <xf borderId="48" fillId="15" fontId="14" numFmtId="0" xfId="0" applyBorder="1" applyFont="1"/>
    <xf borderId="48" fillId="15" fontId="14" numFmtId="0" xfId="0" applyAlignment="1" applyBorder="1" applyFont="1">
      <alignment readingOrder="0"/>
    </xf>
    <xf borderId="49" fillId="15" fontId="14" numFmtId="0" xfId="0" applyBorder="1" applyFont="1"/>
    <xf borderId="0" fillId="0" fontId="12" numFmtId="0" xfId="0" applyAlignment="1" applyFont="1">
      <alignment vertical="center"/>
    </xf>
    <xf borderId="50" fillId="16" fontId="28" numFmtId="0" xfId="0" applyAlignment="1" applyBorder="1" applyFill="1" applyFont="1">
      <alignment horizontal="center" readingOrder="0" shrinkToFit="0" vertical="center" wrapText="1"/>
    </xf>
    <xf borderId="0" fillId="16" fontId="28" numFmtId="0" xfId="0" applyAlignment="1" applyFont="1">
      <alignment horizontal="center" readingOrder="0" shrinkToFit="0" vertical="center" wrapText="1"/>
    </xf>
    <xf borderId="0" fillId="0" fontId="12" numFmtId="0" xfId="0" applyAlignment="1" applyFont="1">
      <alignment readingOrder="0" vertical="center"/>
    </xf>
    <xf borderId="50" fillId="0" fontId="29" numFmtId="0" xfId="0" applyAlignment="1" applyBorder="1" applyFont="1">
      <alignment horizontal="left" readingOrder="0" shrinkToFit="0" vertical="center" wrapText="1"/>
    </xf>
    <xf borderId="0" fillId="0" fontId="29" numFmtId="0" xfId="0" applyAlignment="1" applyFont="1">
      <alignment horizontal="left" readingOrder="0" shrinkToFit="0" vertical="center" wrapText="1"/>
    </xf>
    <xf borderId="50" fillId="0" fontId="12" numFmtId="0" xfId="0" applyAlignment="1" applyBorder="1" applyFont="1">
      <alignment readingOrder="0" vertical="center"/>
    </xf>
    <xf borderId="50" fillId="0" fontId="30" numFmtId="0" xfId="0" applyAlignment="1" applyBorder="1" applyFont="1">
      <alignment horizontal="left" readingOrder="0" shrinkToFit="0" vertical="center" wrapText="1"/>
    </xf>
    <xf borderId="51" fillId="0" fontId="30" numFmtId="0" xfId="0" applyAlignment="1" applyBorder="1" applyFont="1">
      <alignment horizontal="left" readingOrder="0" shrinkToFit="0" vertical="center" wrapText="1"/>
    </xf>
    <xf borderId="0" fillId="0" fontId="30" numFmtId="0" xfId="0" applyAlignment="1" applyFont="1">
      <alignment horizontal="left" readingOrder="0" shrinkToFit="0" vertical="center" wrapText="1"/>
    </xf>
    <xf borderId="0" fillId="0" fontId="30" numFmtId="0" xfId="0" applyAlignment="1" applyFont="1">
      <alignment horizontal="left" readingOrder="0" shrinkToFit="0" vertical="center" wrapText="1"/>
    </xf>
    <xf borderId="0" fillId="0" fontId="31" numFmtId="0" xfId="0" applyAlignment="1" applyFont="1">
      <alignment horizontal="left" readingOrder="0" shrinkToFit="0" vertical="center" wrapText="1"/>
    </xf>
    <xf borderId="0" fillId="17" fontId="30" numFmtId="0" xfId="0" applyAlignment="1" applyFill="1" applyFont="1">
      <alignment horizontal="left" readingOrder="0" shrinkToFit="0" vertical="center" wrapText="1"/>
    </xf>
    <xf borderId="0" fillId="0" fontId="32" numFmtId="0" xfId="0" applyAlignment="1" applyFont="1">
      <alignment horizontal="left" readingOrder="0" shrinkToFit="0" vertical="center" wrapText="1"/>
    </xf>
    <xf borderId="0" fillId="0" fontId="33" numFmtId="0" xfId="0" applyAlignment="1" applyFont="1">
      <alignment horizontal="left" readingOrder="0" shrinkToFit="0" vertical="center" wrapText="1"/>
    </xf>
    <xf borderId="51" fillId="0" fontId="12" numFmtId="0" xfId="0" applyAlignment="1" applyBorder="1" applyFont="1">
      <alignment readingOrder="0" vertical="center"/>
    </xf>
    <xf borderId="51" fillId="0" fontId="29" numFmtId="0" xfId="0" applyAlignment="1" applyBorder="1" applyFont="1">
      <alignment horizontal="left" readingOrder="0" shrinkToFit="0" vertical="center" wrapText="1"/>
    </xf>
    <xf borderId="52" fillId="0" fontId="30" numFmtId="0" xfId="0" applyAlignment="1" applyBorder="1" applyFont="1">
      <alignment horizontal="left" readingOrder="0" shrinkToFit="0" vertical="center" wrapText="1"/>
    </xf>
    <xf borderId="0" fillId="0" fontId="30" numFmtId="0" xfId="0" applyAlignment="1" applyFont="1">
      <alignment horizontal="left" readingOrder="0" shrinkToFit="0" vertical="center" wrapText="1"/>
    </xf>
    <xf borderId="51" fillId="0" fontId="34" numFmtId="0" xfId="0" applyBorder="1" applyFont="1"/>
    <xf borderId="53" fillId="18" fontId="35" numFmtId="0" xfId="0" applyAlignment="1" applyBorder="1" applyFill="1" applyFont="1">
      <alignment horizontal="center" readingOrder="0" shrinkToFit="0" vertical="center" wrapText="1"/>
    </xf>
    <xf borderId="54" fillId="18" fontId="35" numFmtId="0" xfId="0" applyAlignment="1" applyBorder="1" applyFont="1">
      <alignment horizontal="center" readingOrder="0" shrinkToFit="0" vertical="center" wrapText="1"/>
    </xf>
    <xf borderId="55" fillId="18" fontId="35" numFmtId="0" xfId="0" applyAlignment="1" applyBorder="1" applyFont="1">
      <alignment horizontal="center" readingOrder="0" shrinkToFit="0" vertical="center" wrapText="1"/>
    </xf>
    <xf borderId="56" fillId="19" fontId="35" numFmtId="0" xfId="0" applyAlignment="1" applyBorder="1" applyFill="1" applyFont="1">
      <alignment horizontal="left" readingOrder="0" shrinkToFit="0" vertical="center" wrapText="1"/>
    </xf>
    <xf borderId="57" fillId="0" fontId="36" numFmtId="0" xfId="0" applyAlignment="1" applyBorder="1" applyFont="1">
      <alignment horizontal="left" readingOrder="0" shrinkToFit="0" vertical="top" wrapText="1"/>
    </xf>
    <xf borderId="58" fillId="0" fontId="12" numFmtId="0" xfId="0" applyAlignment="1" applyBorder="1" applyFont="1">
      <alignment horizontal="left" readingOrder="0" shrinkToFit="0" vertical="top" wrapText="1"/>
    </xf>
    <xf borderId="58" fillId="0" fontId="12" numFmtId="0" xfId="0" applyAlignment="1" applyBorder="1" applyFont="1">
      <alignment horizontal="left" shrinkToFit="0" vertical="top" wrapText="1"/>
    </xf>
    <xf borderId="56" fillId="19" fontId="37" numFmtId="0" xfId="0" applyAlignment="1" applyBorder="1" applyFont="1">
      <alignment horizontal="left" readingOrder="0" shrinkToFit="0" vertical="top" wrapText="1"/>
    </xf>
    <xf borderId="59" fillId="0" fontId="12" numFmtId="0" xfId="0" applyAlignment="1" applyBorder="1" applyFont="1">
      <alignment horizontal="left" readingOrder="0" shrinkToFit="0" vertical="top" wrapText="1"/>
    </xf>
    <xf borderId="60" fillId="0" fontId="12" numFmtId="0" xfId="0" applyAlignment="1" applyBorder="1" applyFont="1">
      <alignment horizontal="left" readingOrder="0" shrinkToFit="0" vertical="top" wrapText="1"/>
    </xf>
    <xf borderId="60" fillId="0" fontId="12" numFmtId="0" xfId="0" applyAlignment="1" applyBorder="1" applyFont="1">
      <alignment horizontal="left" shrinkToFit="0" vertical="top" wrapText="1"/>
    </xf>
    <xf borderId="60" fillId="0" fontId="34" numFmtId="0" xfId="0" applyBorder="1" applyFont="1"/>
    <xf borderId="59" fillId="8" fontId="12" numFmtId="0" xfId="0" applyAlignment="1" applyBorder="1" applyFont="1">
      <alignment horizontal="left" readingOrder="0" shrinkToFit="0" vertical="top" wrapText="1"/>
    </xf>
    <xf borderId="56" fillId="19" fontId="38" numFmtId="0" xfId="0" applyAlignment="1" applyBorder="1" applyFont="1">
      <alignment horizontal="left" readingOrder="0" shrinkToFit="0" vertical="center" wrapText="1"/>
    </xf>
    <xf borderId="59" fillId="0" fontId="36" numFmtId="0" xfId="0" applyAlignment="1" applyBorder="1" applyFont="1">
      <alignment horizontal="left" readingOrder="0" shrinkToFit="0" vertical="top" wrapText="1"/>
    </xf>
    <xf borderId="56" fillId="19" fontId="12" numFmtId="0" xfId="0" applyAlignment="1" applyBorder="1" applyFont="1">
      <alignment horizontal="left" readingOrder="0" shrinkToFit="0" vertical="top" wrapText="1"/>
    </xf>
    <xf borderId="0" fillId="0" fontId="12" numFmtId="0" xfId="0" applyAlignment="1" applyFont="1">
      <alignment horizontal="left" readingOrder="0" shrinkToFit="0" vertical="top" wrapText="1"/>
    </xf>
    <xf borderId="0" fillId="0" fontId="12" numFmtId="0" xfId="0" applyAlignment="1" applyFont="1">
      <alignment horizontal="left" shrinkToFit="0" vertical="top" wrapText="1"/>
    </xf>
    <xf borderId="0" fillId="0" fontId="34" numFmtId="0" xfId="0" applyAlignment="1" applyFont="1">
      <alignment readingOrder="0"/>
    </xf>
    <xf borderId="0" fillId="0" fontId="39" numFmtId="0" xfId="0" applyAlignment="1" applyFont="1">
      <alignment readingOrder="0"/>
    </xf>
    <xf borderId="0" fillId="0" fontId="39" numFmtId="0" xfId="0" applyAlignment="1" applyFont="1">
      <alignment readingOrder="0" vertical="center"/>
    </xf>
    <xf borderId="0" fillId="0" fontId="24" numFmtId="0" xfId="0" applyAlignment="1" applyFont="1">
      <alignment readingOrder="0"/>
    </xf>
    <xf borderId="0" fillId="0" fontId="40" numFmtId="0" xfId="0" applyAlignment="1" applyFont="1">
      <alignment readingOrder="0"/>
    </xf>
    <xf borderId="0" fillId="0" fontId="41" numFmtId="0" xfId="0" applyAlignment="1" applyFont="1">
      <alignment readingOrder="0"/>
    </xf>
    <xf borderId="0" fillId="0" fontId="34" numFmtId="0" xfId="0" applyAlignment="1" applyFont="1">
      <alignment readingOrder="0" shrinkToFit="0" wrapText="1"/>
    </xf>
    <xf borderId="0" fillId="0" fontId="24" numFmtId="0" xfId="0" applyAlignment="1" applyFont="1">
      <alignment readingOrder="0" shrinkToFit="0" wrapText="1"/>
    </xf>
    <xf borderId="0" fillId="0" fontId="39" numFmtId="0" xfId="0" applyAlignment="1" applyFont="1">
      <alignment horizontal="right" readingOrder="0"/>
    </xf>
    <xf borderId="0" fillId="0" fontId="39" numFmtId="0" xfId="0" applyFont="1"/>
    <xf borderId="0" fillId="14" fontId="39" numFmtId="0" xfId="0" applyAlignment="1" applyFont="1">
      <alignment readingOrder="0"/>
    </xf>
    <xf borderId="0" fillId="0" fontId="42" numFmtId="0" xfId="0" applyAlignment="1" applyFont="1">
      <alignment readingOrder="0"/>
    </xf>
    <xf borderId="0" fillId="0" fontId="43" numFmtId="0" xfId="0" applyAlignment="1" applyFont="1">
      <alignment readingOrder="0"/>
    </xf>
    <xf borderId="0" fillId="0" fontId="44" numFmtId="0" xfId="0" applyAlignment="1" applyFont="1">
      <alignment readingOrder="0"/>
    </xf>
  </cellXfs>
  <cellStyles count="1">
    <cellStyle xfId="0" name="Normal" builtinId="0"/>
  </cellStyles>
  <dxfs count="2">
    <dxf>
      <font/>
      <fill>
        <patternFill patternType="solid">
          <fgColor rgb="FFE06666"/>
          <bgColor rgb="FFE06666"/>
        </patternFill>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llena Miranda Franco" id="{0b8e81de-b60f-478b-8525-3bc9f1f19e2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192" dT="2025-11-03T05:05:04.00" personId="{0b8e81de-b60f-478b-8525-3bc9f1f19e29}" id="{98e70a28-1351-4037-b13e-b974f264b1f8}" done="1">
    <x18tc:text xml:space="preserve">Pagina 14</x18tc:text>
  </x18tc:threadedComment>
  <x18tc:threadedComment ref="T227" dT="2025-11-11T20:33:47.00" personId="{0b8e81de-b60f-478b-8525-3bc9f1f19e29}" id="{4a3655cf-6918-4236-96ba-5832082dd16f}" done="1">
    <x18tc:text xml:space="preserve">Parei na pg. 31</x18tc:text>
  </x18tc:threadedComment>
  <x18tc:threadedComment ref="K3" dT="2025-11-11T19:44:41.00" personId="{0b8e81de-b60f-478b-8525-3bc9f1f19e29}" id="{4edb2e92-1cae-4dcb-8b89-d8e4510607af}" done="1">
    <x18tc:text xml:space="preserve">O parametro de que deixa essas linhas vermelhas se dá pela repetição do texto aqui, porém ainda é muito frágil... como resolver isso?</x18tc:text>
  </x18tc:threadedComment>
  <x18tc:threadedComment ref="K3" dT="2025-11-12T18:15:26.00" personId="{0b8e81de-b60f-478b-8525-3bc9f1f19e29}" id="{1d8e7341-bba7-4dfd-a609-74ba650326d5}" parentId="{4edb2e92-1cae-4dcb-8b89-d8e4510607af}">
    <x18tc:text xml:space="preserve">Explicar no manual que quando há repetição do título e efetivamente o conteúdo é diferente (tratando-se de coincidência) que indique em numeração progressiva após o título (1) (2) (3)</x18tc:text>
  </x18tc:threadedComment>
  <x18tc:threadedComment ref="A1" dT="2025-11-12T19:06:17.00" personId="{0b8e81de-b60f-478b-8525-3bc9f1f19e29}" id="{575363b1-1c58-44b9-9f0a-f8c91c2e0645}" done="0">
    <x18tc:text xml:space="preserve">O parametro de que deixa essas linhas vermelhas se dá pela repetição do texto aqui, porém ainda é muito frágil... como resolver isso?
no manual que quando há repetição do título e efetivamente o conteúdo é diferente (tratando-se de coincidência) que indique em numeração progressiva após o título (1) (2) (3)</x18tc:text>
  </x18tc:threadedComment>
  <x18tc:threadedComment ref="K2" dT="2025-11-12T19:10:52.00" personId="{0b8e81de-b60f-478b-8525-3bc9f1f19e29}" id="{b6996138-a5cb-4064-96a1-01753cedc2cf}" done="1">
    <x18tc:text xml:space="preserve">O parametro de que deixa essas linhas vermelhas se dá pela repetição do texto aqui, porém ainda é muito frágil... como resolver isso?
No manual dizer que quando há repetição do título e efetivamente o conteúdo é diferente (tratando-se de coincidência) que indique em numeração progressiva após o título (1) (2) (3)
Obs: difícil encontrar uma coincidência nesse aspecto. Encontrei um plágio da Jovem Pan (copiou tudo e não citou a fonte)</x18tc:text>
  </x18tc:threadedComment>
  <x18tc:threadedComment ref="J2" dT="2025-11-11T19:42:09.00" personId="{0b8e81de-b60f-478b-8525-3bc9f1f19e29}" id="{fd12a1e3-2f86-4d71-9296-a3ec198e88ef}" done="0">
    <x18tc:text xml:space="preserve">Encontrar uma forma de quantificar notícias e rememorações separadamente.</x18tc:text>
  </x18tc:threadedComment>
  <x18tc:threadedComment ref="J2" dT="2025-11-11T19:42:38.00" personId="{0b8e81de-b60f-478b-8525-3bc9f1f19e29}" id="{fb576f34-f9be-4964-aa57-858d2111ae28}" parentId="{fd12a1e3-2f86-4d71-9296-a3ec198e88ef}">
    <x18tc:text xml:space="preserve">Criar uma coluna extra ou criar um parâmetro na formula de modo que os dois sejam calculados separadamente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ocandeeiro.org/parcerias/csddh-centro-santo-dias-de-direitos-humanos/" TargetMode="External"/><Relationship Id="rId10" Type="http://schemas.openxmlformats.org/officeDocument/2006/relationships/hyperlink" Target="https://cejil.org/pt-br/" TargetMode="External"/><Relationship Id="rId13" Type="http://schemas.openxmlformats.org/officeDocument/2006/relationships/hyperlink" Target="https://www.instagram.com/cia.profanos/" TargetMode="External"/><Relationship Id="rId12" Type="http://schemas.openxmlformats.org/officeDocument/2006/relationships/hyperlink" Target="https://www.ciadxsterroristas.com/cia-dxs-terroristas" TargetMode="External"/><Relationship Id="rId1" Type="http://schemas.openxmlformats.org/officeDocument/2006/relationships/hyperlink" Target="https://www.hrw.org/our-history" TargetMode="External"/><Relationship Id="rId2" Type="http://schemas.openxmlformats.org/officeDocument/2006/relationships/hyperlink" Target="https://anistia.org.br/?gad_source=1&amp;gad_campaignid=18900275437&amp;gbraid=0AAAAADmJPwAgusjdUedpFgxhJTAhR0Q2_&amp;gclid=Cj0KCQjwyvfDBhDYARIsAItzbZFWvfrBlG9HO8289bbqiispnlax9gq-LStUkhJc_x0nChotoC_3XcYaAqk-EALw_wcB" TargetMode="External"/><Relationship Id="rId3" Type="http://schemas.openxmlformats.org/officeDocument/2006/relationships/hyperlink" Target="https://portal.abant.org.br/quem-somos/" TargetMode="External"/><Relationship Id="rId4" Type="http://schemas.openxmlformats.org/officeDocument/2006/relationships/hyperlink" Target="https://www.fundobrasil.org.br/projeto/amparar-associacao-de-amigosas-e-familiares-de-presosas/" TargetMode="External"/><Relationship Id="rId9" Type="http://schemas.openxmlformats.org/officeDocument/2006/relationships/hyperlink" Target="https://www.global.org.br/quem-somos/" TargetMode="External"/><Relationship Id="rId15" Type="http://schemas.openxmlformats.org/officeDocument/2006/relationships/hyperlink" Target="https://www.instagram.com/clubedascriminalistas/" TargetMode="External"/><Relationship Id="rId14" Type="http://schemas.openxmlformats.org/officeDocument/2006/relationships/hyperlink" Target="https://www.instagram.com/cineblacktv/" TargetMode="External"/><Relationship Id="rId17" Type="http://schemas.openxmlformats.org/officeDocument/2006/relationships/hyperlink" Target="https://www.justicapaz.org/portal/" TargetMode="External"/><Relationship Id="rId16" Type="http://schemas.openxmlformats.org/officeDocument/2006/relationships/hyperlink" Target="https://www.instagram.com/movimentomaesdemaio/" TargetMode="External"/><Relationship Id="rId5" Type="http://schemas.openxmlformats.org/officeDocument/2006/relationships/hyperlink" Target="https://www.ajd.org.br/sobre-nos/quem-somos" TargetMode="External"/><Relationship Id="rId19" Type="http://schemas.openxmlformats.org/officeDocument/2006/relationships/drawing" Target="../drawings/drawing5.xml"/><Relationship Id="rId6" Type="http://schemas.openxmlformats.org/officeDocument/2006/relationships/hyperlink" Target="https://www.dhnet.org.br/educar/academia/andhep/index.htm" TargetMode="External"/><Relationship Id="rId18" Type="http://schemas.openxmlformats.org/officeDocument/2006/relationships/hyperlink" Target="https://www.instagram.com/teatrodavertigem_/" TargetMode="External"/><Relationship Id="rId7" Type="http://schemas.openxmlformats.org/officeDocument/2006/relationships/hyperlink" Target="https://www.instagram.com/casa_da_f.u.r.i.a/" TargetMode="External"/><Relationship Id="rId8" Type="http://schemas.openxmlformats.org/officeDocument/2006/relationships/hyperlink" Target="https://www.instagram.com/casaflores.org.b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oexvgm2cTw8"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min="2" max="2" width="30.88"/>
    <col customWidth="1" min="3" max="3" width="26.88"/>
    <col customWidth="1" min="4" max="4" width="37.38"/>
    <col customWidth="1" min="5" max="5" width="20.63"/>
    <col customWidth="1" min="6" max="6" width="21.38"/>
    <col customWidth="1" min="7" max="7" width="19.13"/>
    <col customWidth="1" min="8" max="8" width="14.63"/>
    <col customWidth="1" min="9" max="9" width="41.88"/>
    <col customWidth="1" min="10" max="10" width="56.13"/>
    <col customWidth="1" min="11" max="11" width="39.38"/>
    <col customWidth="1" min="12" max="12" width="23.63"/>
    <col customWidth="1" min="13" max="13" width="25.38"/>
    <col customWidth="1" min="14" max="14" width="30.88"/>
    <col customWidth="1" min="15" max="15" width="27.63"/>
    <col customWidth="1" min="16" max="16" width="44.13"/>
    <col customWidth="1" min="17" max="17" width="16.25"/>
    <col customWidth="1" min="18" max="18" width="30.88"/>
    <col customWidth="1" min="20" max="20" width="77.13"/>
    <col customWidth="1" min="21" max="21" width="10.38"/>
  </cols>
  <sheetData>
    <row r="1" ht="24.0" customHeight="1">
      <c r="A1" s="1"/>
      <c r="B1" s="2" t="s">
        <v>0</v>
      </c>
      <c r="C1" s="3"/>
      <c r="D1" s="3"/>
      <c r="E1" s="3"/>
      <c r="F1" s="3"/>
      <c r="G1" s="3"/>
      <c r="H1" s="3"/>
      <c r="I1" s="3"/>
      <c r="J1" s="3"/>
      <c r="K1" s="2" t="s">
        <v>1</v>
      </c>
      <c r="L1" s="3"/>
      <c r="M1" s="3"/>
      <c r="N1" s="2" t="s">
        <v>2</v>
      </c>
      <c r="O1" s="3"/>
      <c r="P1" s="3"/>
      <c r="Q1" s="3"/>
      <c r="R1" s="3"/>
      <c r="S1" s="3"/>
      <c r="T1" s="4" t="s">
        <v>3</v>
      </c>
      <c r="U1" s="5"/>
    </row>
    <row r="2" ht="78.0" customHeight="1">
      <c r="A2" s="6"/>
      <c r="B2" s="7" t="s">
        <v>4</v>
      </c>
      <c r="C2" s="8" t="s">
        <v>5</v>
      </c>
      <c r="D2" s="8" t="s">
        <v>6</v>
      </c>
      <c r="E2" s="8" t="s">
        <v>7</v>
      </c>
      <c r="F2" s="8" t="s">
        <v>8</v>
      </c>
      <c r="G2" s="9" t="s">
        <v>9</v>
      </c>
      <c r="H2" s="10" t="s">
        <v>10</v>
      </c>
      <c r="I2" s="10" t="s">
        <v>11</v>
      </c>
      <c r="J2" s="11" t="s">
        <v>12</v>
      </c>
      <c r="K2" s="12" t="s">
        <v>13</v>
      </c>
      <c r="L2" s="10" t="s">
        <v>14</v>
      </c>
      <c r="M2" s="13" t="s">
        <v>15</v>
      </c>
      <c r="N2" s="14" t="s">
        <v>16</v>
      </c>
      <c r="O2" s="14" t="s">
        <v>17</v>
      </c>
      <c r="P2" s="10" t="s">
        <v>18</v>
      </c>
      <c r="Q2" s="10" t="s">
        <v>19</v>
      </c>
      <c r="R2" s="7" t="s">
        <v>20</v>
      </c>
      <c r="S2" s="7" t="s">
        <v>21</v>
      </c>
      <c r="T2" s="15" t="s">
        <v>22</v>
      </c>
      <c r="U2" s="8"/>
    </row>
    <row r="3">
      <c r="A3" s="16">
        <v>1.0</v>
      </c>
      <c r="B3" s="17" t="s">
        <v>23</v>
      </c>
      <c r="C3" s="18" t="str">
        <f>IFERROR(__xludf.DUMMYFUNCTION("IF(B3="""","""",IF(OR(
  REGEXMATCH(B3,""Performance|\bInstalação|\bFaixa|\bProtesto|\bÁlbum|\bMúsica|\bRelatório|\bCrônica|\bAbaixo-assinado|\bManifesto|\bLivro|\bPetição|\bExposição|\bParalisação|\bAto|\bPoema|\bManifestação|\bRebelião|\bFilme|\bDocumen"&amp;"tário|\bSérie|\bFotografia|\bEntrevista|\bMobilização|\bRecitação|\bEspetáculo|\bLeitura pública|\bPeça|\bCurta-metragem|\bEscracho|\bDocumento|\bColetiva de imprensa|\bVídeo|\bSeminário|\bCharge|\bLançamento|\bGrafite|\bMarcha|\bRoda de conversa|\bVisita"&amp;" mediada|\bLive|\bWebinário|\bJornada|\bDebate|\bIntervenção artística|\bFabricação de cachaça artesanal|\bRoteiro de memória|\bRoteiro de Memória|\bPalestra|\bAto parlamentar|\bFestival|\bDesfile de samba|\bPodcast|\bMesa|\bAudiotour|\bAula|\bRádio|\bCar"&amp;"ta pública|\bNota de pesar|\bNota de repúdio|Ação popular|\bNota técnica"")
),""Rememoração"",
IF(OR(
  REGEXMATCH(B3,""Notícia|Reportagem|Artigo de opinião|Verbete"")
),""Difusão"","""")))
"),"Difusão")</f>
        <v>Difusão</v>
      </c>
      <c r="D3" s="19" t="str">
        <f>IFERROR(__xludf.DUMMYFUNCTION("IF(B3="""","""",IF(OR(
  REGEXMATCH(B3,""Performance|Instalação|Álbum|Música|Poema|Livro|Filme|Documentário|Recitação|Espetáculo|Peça|Intervenção|Desfile|Fotografia|Exposição|Charge|Grafite|Leitura pública|Fabricação de cachaça artesanal""),
  REGEXMATCH("&amp;"B3,""dança|teatral|artístico|musical|artística"")
),""Manifestação artístico-cultural"",
IF(OR(
  REGEXMATCH(B3,""Crônica|Série|Reportagem|Podcast|Audiotour|Entrevista|Vídeo|Rádio|Notícia|Artigo de opinião|Coletiva de imprensa""),
  REGEXMATCH(B3,""midiát"&amp;"ica"")
),""Produção midiática"","""")))
"),"Produção midiática")</f>
        <v>Produção midiática</v>
      </c>
      <c r="E3" s="20" t="str">
        <f>IFERROR(__xludf.DUMMYFUNCTION("IF(B3="""","""",IF(OR(
  REGEXMATCH(B3,""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REGEXMATCH(B3,""público|Imediato|artística|teatral|memória|Ação popular"")
),""Público Imediato"",
IF(REGEXMATCH(B3,""Música|Álbum|Filme|Documentário|Série"&amp;"|Podcast|Rádio|Audiotour|Entrevista|Reportagem|Crônica|Relatório|Abaixo-assinado|Manifesto|Petição|Poema|Livro|Fotografia|Curta|Live|Webinário|Charge|Leitura pública|Vídeo|Notícia|Nota de pesar|Carta pública|Artigo de opinião|Nota de repúdio|Verbete|Nota "&amp;"técnica""),
""Público Mediado"","""")))
"),"Público Mediado")</f>
        <v>Público Mediado</v>
      </c>
      <c r="F3" s="20" t="str">
        <f>IFERROR(__xludf.DUMMYFUNCTION("IF(B3="""","""",IF(OR(
  REGEXMATCH(B3,""Live|Webinário|Virtual|Verbete""),
  REGEXMATCH(B3,""online"")
),""Virtual"",
IF(REGEXMATCH(B3,""Música|Álbum|Filme|Documentário|Série|Podcast|Rádio|Audiotour|Episódio|Reportagem|Curta|Charge|Vídeo|Entrevista|Notíc"&amp;"ia|Artigo de opinião""),
""Midiático"",
IF(REGEXMATCH(B3,""Performance|Instalação|Protesto|Manifestação|Ato|Paralisação|Marcha|Exposição|Mobilização|Recitação|Espetáculo|Coletiva|Visita|Roda|Debate|Seminário|Palestra|Aula|Mesa|Jornada|Festival|Escracho|Pe"&amp;"ça|Intervenção|Desfile|Livro|Poema|Fotografia|Relatório|Abaixo-assinado|Manifesto|Petição|Crônica|Roteiro|Grafite|Cartaz|Cartaz/Faixa|Faixa|Rebelião|Fabricação de cachaça artesanal|Leitura pública|Ação popular""),
""Presencial/Físico"",""""))))
"),"Midiático")</f>
        <v>Midiático</v>
      </c>
      <c r="G3" s="21" t="str">
        <f>IFERROR(__xludf.DUMMYFUNCTION("IF(C3=""rememoração"", ""Insira a data manualmente"", IF(C3=""difusão"", 
 IF(NOT(ISERROR(REGEXEXTRACT(T3, ""(\d{1,2}) jan\. 2025""))), 
  TEXT(DATE(2025,1,REGEXEXTRACT(T3, ""(\d{1,2}) jan\. 2025"")), ""dd/mm/yyyy""),
 IF(NOT(ISERROR(REGEXEXTRACT(T3, ""(\"&amp;"d{1,2}) fev\. 2025""))), 
  TEXT(DATE(2025,2,REGEXEXTRACT(T3, ""(\d{1,2}) fev\. 2025"")), ""dd/mm/yyyy""),
 IF(NOT(ISERROR(REGEXEXTRACT(T3, ""(\d{1,2}) mar\. 2025""))), 
  TEXT(DATE(2025,3,REGEXEXTRACT(T3, ""(\d{1,2}) mar\. 2025"")), ""dd/mm/yyyy""),
 IF("&amp;"NOT(ISERROR(REGEXEXTRACT(T3, ""(\d{1,2}) abr\. 2025""))), 
  TEXT(DATE(2025,4,REGEXEXTRACT(T3, ""(\d{1,2}) abr\. 2025"")), ""dd/mm/yyyy""),
 IF(NOT(ISERROR(REGEXEXTRACT(T3, ""(\d{1,2}) (mai|maio)\. 2025""))), 
  TEXT(DATE(2025,5,REGEXEXTRACT(T3, ""(\d{1,2"&amp;"}) (mai|maio)\. 2025"")), ""dd/mm/yyyy""),
 IF(NOT(ISERROR(REGEXEXTRACT(T3, ""(\d{1,2}) jun\. 2025""))), 
  TEXT(DATE(2025,6,REGEXEXTRACT(T3, ""(\d{1,2}) jun\. 2025"")), ""dd/mm/yyyy""),
 IF(NOT(ISERROR(REGEXEXTRACT(T3, ""(\d{1,2}) jul\. 2025""))), 
  TEX"&amp;"T(DATE(2025,7,REGEXEXTRACT(T3, ""(\d{1,2}) jul\. 2025"")), ""dd/mm/yyyy""),
 IF(NOT(ISERROR(REGEXEXTRACT(T3, ""(\d{1,2}) ago\. 2025""))), 
  TEXT(DATE(2025,8,REGEXEXTRACT(T3, ""(\d{1,2}) ago\. 2025"")), ""dd/mm/yyyy""),
 IF(NOT(ISERROR(REGEXEXTRACT(T3, """&amp;"(\d{1,2}) set\. 2025""))), 
  TEXT(DATE(2025,9,REGEXEXTRACT(T3, ""(\d{1,2}) set\. 2025"")), ""dd/mm/yyyy""),
 IF(NOT(ISERROR(REGEXEXTRACT(T3, ""(\d{1,2}) out\. 2025""))), 
  TEXT(DATE(2025,10,REGEXEXTRACT(T3, ""(\d{1,2}) out\. 2025"")), ""dd/mm/yyyy""),
 "&amp;"IF(NOT(ISERROR(REGEXEXTRACT(T3, ""(\d{1,2}) nov\. 2025""))), 
  TEXT(DATE(2025,11,REGEXEXTRACT(T3, ""(\d{1,2}) nov\. 2025"")), ""dd/mm/yyyy""),
 IF(NOT(ISERROR(REGEXEXTRACT(T3, ""(\d{1,2}) dez\. 2025""))), 
  TEXT(DATE(2025,12,REGEXEXTRACT(T3, ""(\d{1,2})"&amp;" dez\. 2025"")), ""dd/mm/yyyy""),
 ""Insira a data manualmente"")))))))))))), """"))"),"29/10/2025")</f>
        <v>29/10/2025</v>
      </c>
      <c r="H3" s="22">
        <f t="shared" ref="H3:H361" si="1">IF(ISNUMBER(G3), IF(AND(G3&gt;10000, G3&lt;50000), YEAR(G3), G3), RIGHT(G3,4)*1)</f>
        <v>2025</v>
      </c>
      <c r="I3" s="18" t="str">
        <f>IFERROR(__xludf.DUMMYFUNCTION("IF(REGEXMATCH(T3, ""(?i)\b(Brasília|Acre|Alagoas|Amapá|Amazonas|Bahia|Ceará|Distrito Federal|Espírito Santo|Goiás|Maranhão|Mato Grosso|Mato Grosso do Sul|Minas Gerais|Pará|Paraíba|Paraná|Pernambuco|Piauí|Rio de Janeiro|Rio Grande do Norte|Rio Grande do Su"&amp;"l|Rondônia|Roraima|Santa Catarina|São Paulo|Sergipe|Tocantins)\b""),
IF(REGEXMATCH(T3, ""(?i)\bBrasília\b""), ""Distrito Federal, Brasil"",
REGEXEXTRACT(T3, ""(?i)\b(Acre|Alagoas|Amapá|Amazonas|Bahia|Ceará|Distrito Federal|Espírito Santo|Goiás|Maranhão|Ma"&amp;"to Grosso|Mato Grosso do Sul|Minas Gerais|Pará|Paraíba|Paraná|Pernambuco|Piauí|Rio de Janeiro|Rio Grande do Norte|Rio Grande do Sul|Rondônia|Roraima|Santa Catarina|São Paulo|Sergipe|Tocantins)\b"")&amp; "", Brasil""),
""Inserir local manualmente"")"),"Rio de Janeiro, Brasil")</f>
        <v>Rio de Janeiro, Brasil</v>
      </c>
      <c r="J3" s="17" t="s">
        <v>24</v>
      </c>
      <c r="K3" s="23" t="s">
        <v>25</v>
      </c>
      <c r="L3" s="24" t="s">
        <v>26</v>
      </c>
      <c r="M3" s="25" t="s">
        <v>27</v>
      </c>
      <c r="N3" s="18" t="str">
        <f t="shared" ref="N3:N18" si="2">IF(C3="difusão", J3, IF(C3="rememoração", "Inserir fonte manualmente", ""))</f>
        <v>O Globo</v>
      </c>
      <c r="O3" s="17" t="s">
        <v>28</v>
      </c>
      <c r="P3" s="17" t="s">
        <v>29</v>
      </c>
      <c r="Q3" s="26">
        <v>45961.0</v>
      </c>
      <c r="R3" s="17" t="s">
        <v>30</v>
      </c>
      <c r="S3" s="27" t="str">
        <f t="shared" ref="S3:S361" si="3">HYPERLINK(
   SUBSTITUTE(
     SUBSTITUTE(
       SUBSTITUTE(
         SUBSTITUTE(
           SUBSTITUTE(
             SUBSTITUTE(
               MID(T3,FIND("https://",T3),FIND(". Acesso em",T3)-FIND("https://",T3)),
               "ç","c"
             ),
             "Ç","C"
           ),
           "ã","a"
         ),
         "á","a"
       ),
       "é","e"
     ),
     "í","i"
   ),
   "Aqui"
)</f>
        <v>Aqui</v>
      </c>
      <c r="T3" s="28" t="s">
        <v>31</v>
      </c>
      <c r="U3" s="29"/>
    </row>
    <row r="4">
      <c r="A4" s="16">
        <v>2.0</v>
      </c>
      <c r="B4" s="17" t="s">
        <v>23</v>
      </c>
      <c r="C4" s="18" t="str">
        <f>IFERROR(__xludf.DUMMYFUNCTION("IF(B4="""","""",IF(OR(
  REGEXMATCH(B4,""Performance|\bInstalação|\bFaixa|\bProtesto|\bÁlbum|\bMúsica|\bRelatório|\bCrônica|\bAbaixo-assinado|\bManifesto|\bLivro|\bPetição|\bExposição|\bParalisação|\bAto|\bPoema|\bManifestação|\bRebelião|\bFilme|\bDocumen"&amp;"tário|\bSérie|\bFotografia|\bEntrevista|\bMobilização|\bRecitação|\bEspetáculo|\bLeitura pública|\bPeça|\bCurta-metragem|\bEscracho|\bDocumento|\bColetiva de imprensa|\bVídeo|\bSeminário|\bCharge|\bLançamento|\bGrafite|\bMarcha|\bRoda de conversa|\bVisita"&amp;" mediada|\bLive|\bWebinário|\bJornada|\bDebate|\bIntervenção artística|\bFabricação de cachaça artesanal|\bRoteiro de memória|\bRoteiro de Memória|\bPalestra|\bAto parlamentar|\bFestival|\bDesfile de samba|\bPodcast|\bMesa|\bAudiotour|\bAula|\bRádio|\bCar"&amp;"ta pública|\bNota de pesar|\bNota de repúdio|Ação popular|\bNota técnica"")
),""Rememoração"",
IF(OR(
  REGEXMATCH(B4,""Notícia|Reportagem|Artigo de opinião|Verbete"")
),""Difusão"","""")))
"),"Difusão")</f>
        <v>Difusão</v>
      </c>
      <c r="D4" s="19" t="str">
        <f>IFERROR(__xludf.DUMMYFUNCTION("IF(B4="""","""",IF(OR(
  REGEXMATCH(B4,""Performance|Instalação|Álbum|Música|Poema|Livro|Filme|Documentário|Recitação|Espetáculo|Peça|Intervenção|Desfile|Fotografia|Exposição|Charge|Grafite|Leitura pública|Fabricação de cachaça artesanal""),
  REGEXMATCH("&amp;"B4,""dança|teatral|artístico|musical|artística"")
),""Manifestação artístico-cultural"",
IF(OR(
  REGEXMATCH(B4,""Crônica|Série|Reportagem|Podcast|Audiotour|Entrevista|Vídeo|Rádio|Notícia|Artigo de opinião|Coletiva de imprensa""),
  REGEXMATCH(B4,""midiát"&amp;"ica"")
),""Produção midiática"","""")))
"),"Produção midiática")</f>
        <v>Produção midiática</v>
      </c>
      <c r="E4" s="20" t="str">
        <f>IFERROR(__xludf.DUMMYFUNCTION("IF(B4="""","""",IF(OR(
  REGEXMATCH(B4,""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REGEXMATCH(B4,""público|Imediato|artística|teatral|memória|Ação popular"")
),""Público Imediato"",
IF(REGEXMATCH(B4,""Música|Álbum|Filme|Documentário|Série"&amp;"|Podcast|Rádio|Audiotour|Entrevista|Reportagem|Crônica|Relatório|Abaixo-assinado|Manifesto|Petição|Poema|Livro|Fotografia|Curta|Live|Webinário|Charge|Leitura pública|Vídeo|Notícia|Nota de pesar|Carta pública|Artigo de opinião|Nota de repúdio|Verbete|Nota "&amp;"técnica""),
""Público Mediado"","""")))
"),"Público Mediado")</f>
        <v>Público Mediado</v>
      </c>
      <c r="F4" s="20" t="str">
        <f>IFERROR(__xludf.DUMMYFUNCTION("IF(B4="""","""",IF(OR(
  REGEXMATCH(B4,""Live|Webinário|Virtual|Verbete""),
  REGEXMATCH(B4,""online"")
),""Virtual"",
IF(REGEXMATCH(B4,""Música|Álbum|Filme|Documentário|Série|Podcast|Rádio|Audiotour|Episódio|Reportagem|Curta|Charge|Vídeo|Entrevista|Notíc"&amp;"ia|Artigo de opinião""),
""Midiático"",
IF(REGEXMATCH(B4,""Performance|Instalação|Protesto|Manifestação|Ato|Paralisação|Marcha|Exposição|Mobilização|Recitação|Espetáculo|Coletiva|Visita|Roda|Debate|Seminário|Palestra|Aula|Mesa|Jornada|Festival|Escracho|Pe"&amp;"ça|Intervenção|Desfile|Livro|Poema|Fotografia|Relatório|Abaixo-assinado|Manifesto|Petição|Crônica|Roteiro|Grafite|Cartaz|Cartaz/Faixa|Faixa|Rebelião|Fabricação de cachaça artesanal|Leitura pública|Ação popular""),
""Presencial/Físico"",""""))))
"),"Midiático")</f>
        <v>Midiático</v>
      </c>
      <c r="G4" s="21" t="str">
        <f>IFERROR(__xludf.DUMMYFUNCTION("IF(C4=""rememoração"", ""Insira a data manualmente"", IF(C4=""difusão"", 
 IF(NOT(ISERROR(REGEXEXTRACT(T4, ""(\d{1,2}) jan\. 2025""))), 
  TEXT(DATE(2025,1,REGEXEXTRACT(T4, ""(\d{1,2}) jan\. 2025"")), ""dd/mm/yyyy""),
 IF(NOT(ISERROR(REGEXEXTRACT(T4, ""(\"&amp;"d{1,2}) fev\. 2025""))), 
  TEXT(DATE(2025,2,REGEXEXTRACT(T4, ""(\d{1,2}) fev\. 2025"")), ""dd/mm/yyyy""),
 IF(NOT(ISERROR(REGEXEXTRACT(T4, ""(\d{1,2}) mar\. 2025""))), 
  TEXT(DATE(2025,3,REGEXEXTRACT(T4, ""(\d{1,2}) mar\. 2025"")), ""dd/mm/yyyy""),
 IF("&amp;"NOT(ISERROR(REGEXEXTRACT(T4, ""(\d{1,2}) abr\. 2025""))), 
  TEXT(DATE(2025,4,REGEXEXTRACT(T4, ""(\d{1,2}) abr\. 2025"")), ""dd/mm/yyyy""),
 IF(NOT(ISERROR(REGEXEXTRACT(T4, ""(\d{1,2}) (mai|maio)\. 2025""))), 
  TEXT(DATE(2025,5,REGEXEXTRACT(T4, ""(\d{1,2"&amp;"}) (mai|maio)\. 2025"")), ""dd/mm/yyyy""),
 IF(NOT(ISERROR(REGEXEXTRACT(T4, ""(\d{1,2}) jun\. 2025""))), 
  TEXT(DATE(2025,6,REGEXEXTRACT(T4, ""(\d{1,2}) jun\. 2025"")), ""dd/mm/yyyy""),
 IF(NOT(ISERROR(REGEXEXTRACT(T4, ""(\d{1,2}) jul\. 2025""))), 
  TEX"&amp;"T(DATE(2025,7,REGEXEXTRACT(T4, ""(\d{1,2}) jul\. 2025"")), ""dd/mm/yyyy""),
 IF(NOT(ISERROR(REGEXEXTRACT(T4, ""(\d{1,2}) ago\. 2025""))), 
  TEXT(DATE(2025,8,REGEXEXTRACT(T4, ""(\d{1,2}) ago\. 2025"")), ""dd/mm/yyyy""),
 IF(NOT(ISERROR(REGEXEXTRACT(T4, """&amp;"(\d{1,2}) set\. 2025""))), 
  TEXT(DATE(2025,9,REGEXEXTRACT(T4, ""(\d{1,2}) set\. 2025"")), ""dd/mm/yyyy""),
 IF(NOT(ISERROR(REGEXEXTRACT(T4, ""(\d{1,2}) out\. 2025""))), 
  TEXT(DATE(2025,10,REGEXEXTRACT(T4, ""(\d{1,2}) out\. 2025"")), ""dd/mm/yyyy""),
 "&amp;"IF(NOT(ISERROR(REGEXEXTRACT(T4, ""(\d{1,2}) nov\. 2025""))), 
  TEXT(DATE(2025,11,REGEXEXTRACT(T4, ""(\d{1,2}) nov\. 2025"")), ""dd/mm/yyyy""),
 IF(NOT(ISERROR(REGEXEXTRACT(T4, ""(\d{1,2}) dez\. 2025""))), 
  TEXT(DATE(2025,12,REGEXEXTRACT(T4, ""(\d{1,2})"&amp;" dez\. 2025"")), ""dd/mm/yyyy""),
 ""Insira a data manualmente"")))))))))))), """"))"),"29/10/2025")</f>
        <v>29/10/2025</v>
      </c>
      <c r="H4" s="22">
        <f t="shared" si="1"/>
        <v>2025</v>
      </c>
      <c r="I4" s="18" t="str">
        <f>IFERROR(__xludf.DUMMYFUNCTION("IF(REGEXMATCH(T4, ""(?i)\b(Brasília|Acre|Alagoas|Amapá|Amazonas|Bahia|Ceará|Distrito Federal|Espírito Santo|Goiás|Maranhão|Mato Grosso|Mato Grosso do Sul|Minas Gerais|Pará|Paraíba|Paraná|Pernambuco|Piauí|Rio de Janeiro|Rio Grande do Norte|Rio Grande do Su"&amp;"l|Rondônia|Roraima|Santa Catarina|São Paulo|Sergipe|Tocantins)\b""),
IF(REGEXMATCH(T4, ""(?i)\bBrasília\b""), ""Distrito Federal, Brasil"",
REGEXEXTRACT(T4, ""(?i)\b(Acre|Alagoas|Amapá|Amazonas|Bahia|Ceará|Distrito Federal|Espírito Santo|Goiás|Maranhão|Ma"&amp;"to Grosso|Mato Grosso do Sul|Minas Gerais|Pará|Paraíba|Paraná|Pernambuco|Piauí|Rio de Janeiro|Rio Grande do Norte|Rio Grande do Sul|Rondônia|Roraima|Santa Catarina|São Paulo|Sergipe|Tocantins)\b"")&amp; "", Brasil""),
""Inserir local manualmente"")"),"Distrito Federal, Brasil")</f>
        <v>Distrito Federal, Brasil</v>
      </c>
      <c r="J4" s="17" t="s">
        <v>32</v>
      </c>
      <c r="K4" s="23" t="s">
        <v>33</v>
      </c>
      <c r="L4" s="24" t="s">
        <v>26</v>
      </c>
      <c r="M4" s="25" t="s">
        <v>27</v>
      </c>
      <c r="N4" s="18" t="str">
        <f t="shared" si="2"/>
        <v>Agência Brasil</v>
      </c>
      <c r="O4" s="17" t="s">
        <v>28</v>
      </c>
      <c r="P4" s="17" t="s">
        <v>29</v>
      </c>
      <c r="Q4" s="26">
        <v>45961.0</v>
      </c>
      <c r="R4" s="17" t="s">
        <v>30</v>
      </c>
      <c r="S4" s="27" t="str">
        <f t="shared" si="3"/>
        <v>Aqui</v>
      </c>
      <c r="T4" s="28" t="s">
        <v>34</v>
      </c>
      <c r="U4" s="29"/>
    </row>
    <row r="5">
      <c r="A5" s="16">
        <v>3.0</v>
      </c>
      <c r="B5" s="17" t="s">
        <v>23</v>
      </c>
      <c r="C5" s="18" t="str">
        <f>IFERROR(__xludf.DUMMYFUNCTION("IF(B5="""","""",IF(OR(
  REGEXMATCH(B5,""Performance|\bInstalação|\bFaixa|\bProtesto|\bÁlbum|\bMúsica|\bRelatório|\bCrônica|\bAbaixo-assinado|\bManifesto|\bLivro|\bPetição|\bExposição|\bParalisação|\bAto|\bPoema|\bManifestação|\bRebelião|\bFilme|\bDocumen"&amp;"tário|\bSérie|\bFotografia|\bEntrevista|\bMobilização|\bRecitação|\bEspetáculo|\bLeitura pública|\bPeça|\bCurta-metragem|\bEscracho|\bDocumento|\bColetiva de imprensa|\bVídeo|\bSeminário|\bCharge|\bLançamento|\bGrafite|\bMarcha|\bRoda de conversa|\bVisita"&amp;" mediada|\bLive|\bWebinário|\bJornada|\bDebate|\bIntervenção artística|\bFabricação de cachaça artesanal|\bRoteiro de memória|\bRoteiro de Memória|\bPalestra|\bAto parlamentar|\bFestival|\bDesfile de samba|\bPodcast|\bMesa|\bAudiotour|\bAula|\bRádio|\bCar"&amp;"ta pública|\bNota de pesar|\bNota de repúdio|Ação popular|\bNota técnica"")
),""Rememoração"",
IF(OR(
  REGEXMATCH(B5,""Notícia|Reportagem|Artigo de opinião|Verbete"")
),""Difusão"","""")))
"),"Difusão")</f>
        <v>Difusão</v>
      </c>
      <c r="D5" s="19" t="str">
        <f>IFERROR(__xludf.DUMMYFUNCTION("IF(B5="""","""",IF(OR(
  REGEXMATCH(B5,""Performance|Instalação|Álbum|Música|Poema|Livro|Filme|Documentário|Recitação|Espetáculo|Peça|Intervenção|Desfile|Fotografia|Exposição|Charge|Grafite|Leitura pública|Fabricação de cachaça artesanal""),
  REGEXMATCH("&amp;"B5,""dança|teatral|artístico|musical|artística"")
),""Manifestação artístico-cultural"",
IF(OR(
  REGEXMATCH(B5,""Crônica|Série|Reportagem|Podcast|Audiotour|Entrevista|Vídeo|Rádio|Notícia|Artigo de opinião|Coletiva de imprensa""),
  REGEXMATCH(B5,""midiát"&amp;"ica"")
),""Produção midiática"","""")))
"),"Produção midiática")</f>
        <v>Produção midiática</v>
      </c>
      <c r="E5" s="20" t="str">
        <f>IFERROR(__xludf.DUMMYFUNCTION("IF(B5="""","""",IF(OR(
  REGEXMATCH(B5,""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REGEXMATCH(B5,""público|Imediato|artística|teatral|memória|Ação popular"")
),""Público Imediato"",
IF(REGEXMATCH(B5,""Música|Álbum|Filme|Documentário|Série"&amp;"|Podcast|Rádio|Audiotour|Entrevista|Reportagem|Crônica|Relatório|Abaixo-assinado|Manifesto|Petição|Poema|Livro|Fotografia|Curta|Live|Webinário|Charge|Leitura pública|Vídeo|Notícia|Nota de pesar|Carta pública|Artigo de opinião|Nota de repúdio|Verbete|Nota "&amp;"técnica""),
""Público Mediado"","""")))
"),"Público Mediado")</f>
        <v>Público Mediado</v>
      </c>
      <c r="F5" s="20" t="str">
        <f>IFERROR(__xludf.DUMMYFUNCTION("IF(B5="""","""",IF(OR(
  REGEXMATCH(B5,""Live|Webinário|Virtual|Verbete""),
  REGEXMATCH(B5,""online"")
),""Virtual"",
IF(REGEXMATCH(B5,""Música|Álbum|Filme|Documentário|Série|Podcast|Rádio|Audiotour|Episódio|Reportagem|Curta|Charge|Vídeo|Entrevista|Notíc"&amp;"ia|Artigo de opinião""),
""Midiático"",
IF(REGEXMATCH(B5,""Performance|Instalação|Protesto|Manifestação|Ato|Paralisação|Marcha|Exposição|Mobilização|Recitação|Espetáculo|Coletiva|Visita|Roda|Debate|Seminário|Palestra|Aula|Mesa|Jornada|Festival|Escracho|Pe"&amp;"ça|Intervenção|Desfile|Livro|Poema|Fotografia|Relatório|Abaixo-assinado|Manifesto|Petição|Crônica|Roteiro|Grafite|Cartaz|Cartaz/Faixa|Faixa|Rebelião|Fabricação de cachaça artesanal|Leitura pública|Ação popular""),
""Presencial/Físico"",""""))))
"),"Midiático")</f>
        <v>Midiático</v>
      </c>
      <c r="G5" s="21" t="str">
        <f>IFERROR(__xludf.DUMMYFUNCTION("IF(C5=""rememoração"", ""Insira a data manualmente"", IF(C5=""difusão"", 
 IF(NOT(ISERROR(REGEXEXTRACT(T5, ""(\d{1,2}) jan\. 2025""))), 
  TEXT(DATE(2025,1,REGEXEXTRACT(T5, ""(\d{1,2}) jan\. 2025"")), ""dd/mm/yyyy""),
 IF(NOT(ISERROR(REGEXEXTRACT(T5, ""(\"&amp;"d{1,2}) fev\. 2025""))), 
  TEXT(DATE(2025,2,REGEXEXTRACT(T5, ""(\d{1,2}) fev\. 2025"")), ""dd/mm/yyyy""),
 IF(NOT(ISERROR(REGEXEXTRACT(T5, ""(\d{1,2}) mar\. 2025""))), 
  TEXT(DATE(2025,3,REGEXEXTRACT(T5, ""(\d{1,2}) mar\. 2025"")), ""dd/mm/yyyy""),
 IF("&amp;"NOT(ISERROR(REGEXEXTRACT(T5, ""(\d{1,2}) abr\. 2025""))), 
  TEXT(DATE(2025,4,REGEXEXTRACT(T5, ""(\d{1,2}) abr\. 2025"")), ""dd/mm/yyyy""),
 IF(NOT(ISERROR(REGEXEXTRACT(T5, ""(\d{1,2}) (mai|maio)\. 2025""))), 
  TEXT(DATE(2025,5,REGEXEXTRACT(T5, ""(\d{1,2"&amp;"}) (mai|maio)\. 2025"")), ""dd/mm/yyyy""),
 IF(NOT(ISERROR(REGEXEXTRACT(T5, ""(\d{1,2}) jun\. 2025""))), 
  TEXT(DATE(2025,6,REGEXEXTRACT(T5, ""(\d{1,2}) jun\. 2025"")), ""dd/mm/yyyy""),
 IF(NOT(ISERROR(REGEXEXTRACT(T5, ""(\d{1,2}) jul\. 2025""))), 
  TEX"&amp;"T(DATE(2025,7,REGEXEXTRACT(T5, ""(\d{1,2}) jul\. 2025"")), ""dd/mm/yyyy""),
 IF(NOT(ISERROR(REGEXEXTRACT(T5, ""(\d{1,2}) ago\. 2025""))), 
  TEXT(DATE(2025,8,REGEXEXTRACT(T5, ""(\d{1,2}) ago\. 2025"")), ""dd/mm/yyyy""),
 IF(NOT(ISERROR(REGEXEXTRACT(T5, """&amp;"(\d{1,2}) set\. 2025""))), 
  TEXT(DATE(2025,9,REGEXEXTRACT(T5, ""(\d{1,2}) set\. 2025"")), ""dd/mm/yyyy""),
 IF(NOT(ISERROR(REGEXEXTRACT(T5, ""(\d{1,2}) out\. 2025""))), 
  TEXT(DATE(2025,10,REGEXEXTRACT(T5, ""(\d{1,2}) out\. 2025"")), ""dd/mm/yyyy""),
 "&amp;"IF(NOT(ISERROR(REGEXEXTRACT(T5, ""(\d{1,2}) nov\. 2025""))), 
  TEXT(DATE(2025,11,REGEXEXTRACT(T5, ""(\d{1,2}) nov\. 2025"")), ""dd/mm/yyyy""),
 IF(NOT(ISERROR(REGEXEXTRACT(T5, ""(\d{1,2}) dez\. 2025""))), 
  TEXT(DATE(2025,12,REGEXEXTRACT(T5, ""(\d{1,2})"&amp;" dez\. 2025"")), ""dd/mm/yyyy""),
 ""Insira a data manualmente"")))))))))))), """"))"),"29/10/2025")</f>
        <v>29/10/2025</v>
      </c>
      <c r="H5" s="22">
        <f t="shared" si="1"/>
        <v>2025</v>
      </c>
      <c r="I5" s="18" t="str">
        <f>IFERROR(__xludf.DUMMYFUNCTION("IF(REGEXMATCH(T5, ""(?i)\b(Brasília|Acre|Alagoas|Amapá|Amazonas|Bahia|Ceará|Distrito Federal|Espírito Santo|Goiás|Maranhão|Mato Grosso|Mato Grosso do Sul|Minas Gerais|Pará|Paraíba|Paraná|Pernambuco|Piauí|Rio de Janeiro|Rio Grande do Norte|Rio Grande do Su"&amp;"l|Rondônia|Roraima|Santa Catarina|São Paulo|Sergipe|Tocantins)\b""),
IF(REGEXMATCH(T5, ""(?i)\bBrasília\b""), ""Distrito Federal, Brasil"",
REGEXEXTRACT(T5, ""(?i)\b(Acre|Alagoas|Amapá|Amazonas|Bahia|Ceará|Distrito Federal|Espírito Santo|Goiás|Maranhão|Ma"&amp;"to Grosso|Mato Grosso do Sul|Minas Gerais|Pará|Paraíba|Paraná|Pernambuco|Piauí|Rio de Janeiro|Rio Grande do Norte|Rio Grande do Sul|Rondônia|Roraima|Santa Catarina|São Paulo|Sergipe|Tocantins)\b"")&amp; "", Brasil""),
""Inserir local manualmente"")"),"São Paulo, Brasil")</f>
        <v>São Paulo, Brasil</v>
      </c>
      <c r="J5" s="17" t="s">
        <v>35</v>
      </c>
      <c r="K5" s="23" t="s">
        <v>36</v>
      </c>
      <c r="L5" s="24" t="s">
        <v>26</v>
      </c>
      <c r="M5" s="25" t="s">
        <v>27</v>
      </c>
      <c r="N5" s="18" t="str">
        <f t="shared" si="2"/>
        <v>Carta Capital</v>
      </c>
      <c r="O5" s="17" t="s">
        <v>28</v>
      </c>
      <c r="P5" s="17" t="s">
        <v>29</v>
      </c>
      <c r="Q5" s="26">
        <v>45961.0</v>
      </c>
      <c r="R5" s="17" t="s">
        <v>37</v>
      </c>
      <c r="S5" s="27" t="str">
        <f t="shared" si="3"/>
        <v>Aqui</v>
      </c>
      <c r="T5" s="28" t="s">
        <v>38</v>
      </c>
      <c r="U5" s="29"/>
    </row>
    <row r="6">
      <c r="A6" s="16">
        <v>4.0</v>
      </c>
      <c r="B6" s="17" t="s">
        <v>23</v>
      </c>
      <c r="C6" s="18" t="str">
        <f>IFERROR(__xludf.DUMMYFUNCTION("IF(B6="""","""",IF(OR(
  REGEXMATCH(B6,""Performance|\bInstalação|\bFaixa|\bProtesto|\bÁlbum|\bMúsica|\bRelatório|\bCrônica|\bAbaixo-assinado|\bManifesto|\bLivro|\bPetição|\bExposição|\bParalisação|\bAto|\bPoema|\bManifestação|\bRebelião|\bFilme|\bDocumen"&amp;"tário|\bSérie|\bFotografia|\bEntrevista|\bMobilização|\bRecitação|\bEspetáculo|\bLeitura pública|\bPeça|\bCurta-metragem|\bEscracho|\bDocumento|\bColetiva de imprensa|\bVídeo|\bSeminário|\bCharge|\bLançamento|\bGrafite|\bMarcha|\bRoda de conversa|\bVisita"&amp;" mediada|\bLive|\bWebinário|\bJornada|\bDebate|\bIntervenção artística|\bFabricação de cachaça artesanal|\bRoteiro de memória|\bRoteiro de Memória|\bPalestra|\bAto parlamentar|\bFestival|\bDesfile de samba|\bPodcast|\bMesa|\bAudiotour|\bAula|\bRádio|\bCar"&amp;"ta pública|\bNota de pesar|\bNota de repúdio|Ação popular|\bNota técnica"")
),""Rememoração"",
IF(OR(
  REGEXMATCH(B6,""Notícia|Reportagem|Artigo de opinião|Verbete"")
),""Difusão"","""")))
"),"Difusão")</f>
        <v>Difusão</v>
      </c>
      <c r="D6" s="19" t="str">
        <f>IFERROR(__xludf.DUMMYFUNCTION("IF(B6="""","""",IF(OR(
  REGEXMATCH(B6,""Performance|Instalação|Álbum|Música|Poema|Livro|Filme|Documentário|Recitação|Espetáculo|Peça|Intervenção|Desfile|Fotografia|Exposição|Charge|Grafite|Leitura pública|Fabricação de cachaça artesanal""),
  REGEXMATCH("&amp;"B6,""dança|teatral|artístico|musical|artística"")
),""Manifestação artístico-cultural"",
IF(OR(
  REGEXMATCH(B6,""Crônica|Série|Reportagem|Podcast|Audiotour|Entrevista|Vídeo|Rádio|Notícia|Artigo de opinião|Coletiva de imprensa""),
  REGEXMATCH(B6,""midiát"&amp;"ica"")
),""Produção midiática"","""")))
"),"Produção midiática")</f>
        <v>Produção midiática</v>
      </c>
      <c r="E6" s="20" t="str">
        <f>IFERROR(__xludf.DUMMYFUNCTION("IF(B6="""","""",IF(OR(
  REGEXMATCH(B6,""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REGEXMATCH(B6,""público|Imediato|artística|teatral|memória|Ação popular"")
),""Público Imediato"",
IF(REGEXMATCH(B6,""Música|Álbum|Filme|Documentário|Série"&amp;"|Podcast|Rádio|Audiotour|Entrevista|Reportagem|Crônica|Relatório|Abaixo-assinado|Manifesto|Petição|Poema|Livro|Fotografia|Curta|Live|Webinário|Charge|Leitura pública|Vídeo|Notícia|Nota de pesar|Carta pública|Artigo de opinião|Nota de repúdio|Verbete|Nota "&amp;"técnica""),
""Público Mediado"","""")))
"),"Público Mediado")</f>
        <v>Público Mediado</v>
      </c>
      <c r="F6" s="20" t="str">
        <f>IFERROR(__xludf.DUMMYFUNCTION("IF(B6="""","""",IF(OR(
  REGEXMATCH(B6,""Live|Webinário|Virtual|Verbete""),
  REGEXMATCH(B6,""online"")
),""Virtual"",
IF(REGEXMATCH(B6,""Música|Álbum|Filme|Documentário|Série|Podcast|Rádio|Audiotour|Episódio|Reportagem|Curta|Charge|Vídeo|Entrevista|Notíc"&amp;"ia|Artigo de opinião""),
""Midiático"",
IF(REGEXMATCH(B6,""Performance|Instalação|Protesto|Manifestação|Ato|Paralisação|Marcha|Exposição|Mobilização|Recitação|Espetáculo|Coletiva|Visita|Roda|Debate|Seminário|Palestra|Aula|Mesa|Jornada|Festival|Escracho|Pe"&amp;"ça|Intervenção|Desfile|Livro|Poema|Fotografia|Relatório|Abaixo-assinado|Manifesto|Petição|Crônica|Roteiro|Grafite|Cartaz|Cartaz/Faixa|Faixa|Rebelião|Fabricação de cachaça artesanal|Leitura pública|Ação popular""),
""Presencial/Físico"",""""))))
"),"Midiático")</f>
        <v>Midiático</v>
      </c>
      <c r="G6" s="21" t="str">
        <f>IFERROR(__xludf.DUMMYFUNCTION("IF(C6=""rememoração"", ""Insira a data manualmente"", IF(C6=""difusão"", 
 IF(NOT(ISERROR(REGEXEXTRACT(T6, ""(\d{1,2}) jan\. 2025""))), 
  TEXT(DATE(2025,1,REGEXEXTRACT(T6, ""(\d{1,2}) jan\. 2025"")), ""dd/mm/yyyy""),
 IF(NOT(ISERROR(REGEXEXTRACT(T6, ""(\"&amp;"d{1,2}) fev\. 2025""))), 
  TEXT(DATE(2025,2,REGEXEXTRACT(T6, ""(\d{1,2}) fev\. 2025"")), ""dd/mm/yyyy""),
 IF(NOT(ISERROR(REGEXEXTRACT(T6, ""(\d{1,2}) mar\. 2025""))), 
  TEXT(DATE(2025,3,REGEXEXTRACT(T6, ""(\d{1,2}) mar\. 2025"")), ""dd/mm/yyyy""),
 IF("&amp;"NOT(ISERROR(REGEXEXTRACT(T6, ""(\d{1,2}) abr\. 2025""))), 
  TEXT(DATE(2025,4,REGEXEXTRACT(T6, ""(\d{1,2}) abr\. 2025"")), ""dd/mm/yyyy""),
 IF(NOT(ISERROR(REGEXEXTRACT(T6, ""(\d{1,2}) (mai|maio)\. 2025""))), 
  TEXT(DATE(2025,5,REGEXEXTRACT(T6, ""(\d{1,2"&amp;"}) (mai|maio)\. 2025"")), ""dd/mm/yyyy""),
 IF(NOT(ISERROR(REGEXEXTRACT(T6, ""(\d{1,2}) jun\. 2025""))), 
  TEXT(DATE(2025,6,REGEXEXTRACT(T6, ""(\d{1,2}) jun\. 2025"")), ""dd/mm/yyyy""),
 IF(NOT(ISERROR(REGEXEXTRACT(T6, ""(\d{1,2}) jul\. 2025""))), 
  TEX"&amp;"T(DATE(2025,7,REGEXEXTRACT(T6, ""(\d{1,2}) jul\. 2025"")), ""dd/mm/yyyy""),
 IF(NOT(ISERROR(REGEXEXTRACT(T6, ""(\d{1,2}) ago\. 2025""))), 
  TEXT(DATE(2025,8,REGEXEXTRACT(T6, ""(\d{1,2}) ago\. 2025"")), ""dd/mm/yyyy""),
 IF(NOT(ISERROR(REGEXEXTRACT(T6, """&amp;"(\d{1,2}) set\. 2025""))), 
  TEXT(DATE(2025,9,REGEXEXTRACT(T6, ""(\d{1,2}) set\. 2025"")), ""dd/mm/yyyy""),
 IF(NOT(ISERROR(REGEXEXTRACT(T6, ""(\d{1,2}) out\. 2025""))), 
  TEXT(DATE(2025,10,REGEXEXTRACT(T6, ""(\d{1,2}) out\. 2025"")), ""dd/mm/yyyy""),
 "&amp;"IF(NOT(ISERROR(REGEXEXTRACT(T6, ""(\d{1,2}) nov\. 2025""))), 
  TEXT(DATE(2025,11,REGEXEXTRACT(T6, ""(\d{1,2}) nov\. 2025"")), ""dd/mm/yyyy""),
 IF(NOT(ISERROR(REGEXEXTRACT(T6, ""(\d{1,2}) dez\. 2025""))), 
  TEXT(DATE(2025,12,REGEXEXTRACT(T6, ""(\d{1,2})"&amp;" dez\. 2025"")), ""dd/mm/yyyy""),
 ""Insira a data manualmente"")))))))))))), """"))"),"30/10/2025")</f>
        <v>30/10/2025</v>
      </c>
      <c r="H6" s="22">
        <f t="shared" si="1"/>
        <v>2025</v>
      </c>
      <c r="I6" s="18" t="str">
        <f>IFERROR(__xludf.DUMMYFUNCTION("IF(REGEXMATCH(T6, ""(?i)\b(Brasília|Acre|Alagoas|Amapá|Amazonas|Bahia|Ceará|Distrito Federal|Espírito Santo|Goiás|Maranhão|Mato Grosso|Mato Grosso do Sul|Minas Gerais|Pará|Paraíba|Paraná|Pernambuco|Piauí|Rio de Janeiro|Rio Grande do Norte|Rio Grande do Su"&amp;"l|Rondônia|Roraima|Santa Catarina|São Paulo|Sergipe|Tocantins)\b""),
IF(REGEXMATCH(T6, ""(?i)\bBrasília\b""), ""Distrito Federal, Brasil"",
REGEXEXTRACT(T6, ""(?i)\b(Acre|Alagoas|Amapá|Amazonas|Bahia|Ceará|Distrito Federal|Espírito Santo|Goiás|Maranhão|Ma"&amp;"to Grosso|Mato Grosso do Sul|Minas Gerais|Pará|Paraíba|Paraná|Pernambuco|Piauí|Rio de Janeiro|Rio Grande do Norte|Rio Grande do Sul|Rondônia|Roraima|Santa Catarina|São Paulo|Sergipe|Tocantins)\b"")&amp; "", Brasil""),
""Inserir local manualmente"")"),"Rio de Janeiro, Brasil")</f>
        <v>Rio de Janeiro, Brasil</v>
      </c>
      <c r="J6" s="17" t="s">
        <v>39</v>
      </c>
      <c r="K6" s="23" t="s">
        <v>40</v>
      </c>
      <c r="L6" s="24" t="s">
        <v>26</v>
      </c>
      <c r="M6" s="25" t="s">
        <v>27</v>
      </c>
      <c r="N6" s="18" t="str">
        <f t="shared" si="2"/>
        <v>Le Monde Diplomatique</v>
      </c>
      <c r="O6" s="17" t="s">
        <v>28</v>
      </c>
      <c r="P6" s="17" t="s">
        <v>29</v>
      </c>
      <c r="Q6" s="26">
        <v>45961.0</v>
      </c>
      <c r="R6" s="17" t="s">
        <v>30</v>
      </c>
      <c r="S6" s="27" t="str">
        <f t="shared" si="3"/>
        <v>Aqui</v>
      </c>
      <c r="T6" s="28" t="s">
        <v>41</v>
      </c>
      <c r="U6" s="29"/>
    </row>
    <row r="7">
      <c r="A7" s="16">
        <v>5.0</v>
      </c>
      <c r="B7" s="17" t="s">
        <v>23</v>
      </c>
      <c r="C7" s="18" t="str">
        <f>IFERROR(__xludf.DUMMYFUNCTION("IF(B7="""","""",IF(OR(
  REGEXMATCH(B7,""Performance|\bInstalação|\bFaixa|\bProtesto|\bÁlbum|\bMúsica|\bRelatório|\bCrônica|\bAbaixo-assinado|\bManifesto|\bLivro|\bPetição|\bExposição|\bParalisação|\bAto|\bPoema|\bManifestação|\bRebelião|\bFilme|\bDocumen"&amp;"tário|\bSérie|\bFotografia|\bEntrevista|\bMobilização|\bRecitação|\bEspetáculo|\bLeitura pública|\bPeça|\bCurta-metragem|\bEscracho|\bDocumento|\bColetiva de imprensa|\bVídeo|\bSeminário|\bCharge|\bLançamento|\bGrafite|\bMarcha|\bRoda de conversa|\bVisita"&amp;" mediada|\bLive|\bWebinário|\bJornada|\bDebate|\bIntervenção artística|\bFabricação de cachaça artesanal|\bRoteiro de memória|\bRoteiro de Memória|\bPalestra|\bAto parlamentar|\bFestival|\bDesfile de samba|\bPodcast|\bMesa|\bAudiotour|\bAula|\bRádio|\bCar"&amp;"ta pública|\bNota de pesar|\bNota de repúdio|Ação popular|\bNota técnica"")
),""Rememoração"",
IF(OR(
  REGEXMATCH(B7,""Notícia|Reportagem|Artigo de opinião|Verbete"")
),""Difusão"","""")))
"),"Difusão")</f>
        <v>Difusão</v>
      </c>
      <c r="D7" s="19" t="str">
        <f>IFERROR(__xludf.DUMMYFUNCTION("IF(B7="""","""",IF(OR(
  REGEXMATCH(B7,""Performance|Instalação|Álbum|Música|Poema|Livro|Filme|Documentário|Recitação|Espetáculo|Peça|Intervenção|Desfile|Fotografia|Exposição|Charge|Grafite|Leitura pública|Fabricação de cachaça artesanal""),
  REGEXMATCH("&amp;"B7,""dança|teatral|artístico|musical|artística"")
),""Manifestação artístico-cultural"",
IF(OR(
  REGEXMATCH(B7,""Crônica|Série|Reportagem|Podcast|Audiotour|Entrevista|Vídeo|Rádio|Notícia|Artigo de opinião|Coletiva de imprensa""),
  REGEXMATCH(B7,""midiát"&amp;"ica"")
),""Produção midiática"","""")))
"),"Produção midiática")</f>
        <v>Produção midiática</v>
      </c>
      <c r="E7" s="20" t="str">
        <f>IFERROR(__xludf.DUMMYFUNCTION("IF(B7="""","""",IF(OR(
  REGEXMATCH(B7,""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REGEXMATCH(B7,""público|Imediato|artística|teatral|memória|Ação popular"")
),""Público Imediato"",
IF(REGEXMATCH(B7,""Música|Álbum|Filme|Documentário|Série"&amp;"|Podcast|Rádio|Audiotour|Entrevista|Reportagem|Crônica|Relatório|Abaixo-assinado|Manifesto|Petição|Poema|Livro|Fotografia|Curta|Live|Webinário|Charge|Leitura pública|Vídeo|Notícia|Nota de pesar|Carta pública|Artigo de opinião|Nota de repúdio|Verbete|Nota "&amp;"técnica""),
""Público Mediado"","""")))
"),"Público Mediado")</f>
        <v>Público Mediado</v>
      </c>
      <c r="F7" s="20" t="str">
        <f>IFERROR(__xludf.DUMMYFUNCTION("IF(B7="""","""",IF(OR(
  REGEXMATCH(B7,""Live|Webinário|Virtual|Verbete""),
  REGEXMATCH(B7,""online"")
),""Virtual"",
IF(REGEXMATCH(B7,""Música|Álbum|Filme|Documentário|Série|Podcast|Rádio|Audiotour|Episódio|Reportagem|Curta|Charge|Vídeo|Entrevista|Notíc"&amp;"ia|Artigo de opinião""),
""Midiático"",
IF(REGEXMATCH(B7,""Performance|Instalação|Protesto|Manifestação|Ato|Paralisação|Marcha|Exposição|Mobilização|Recitação|Espetáculo|Coletiva|Visita|Roda|Debate|Seminário|Palestra|Aula|Mesa|Jornada|Festival|Escracho|Pe"&amp;"ça|Intervenção|Desfile|Livro|Poema|Fotografia|Relatório|Abaixo-assinado|Manifesto|Petição|Crônica|Roteiro|Grafite|Cartaz|Cartaz/Faixa|Faixa|Rebelião|Fabricação de cachaça artesanal|Leitura pública|Ação popular""),
""Presencial/Físico"",""""))))
"),"Midiático")</f>
        <v>Midiático</v>
      </c>
      <c r="G7" s="21" t="str">
        <f>IFERROR(__xludf.DUMMYFUNCTION("IF(C7=""rememoração"", ""Insira a data manualmente"", IF(C7=""difusão"", 
 IF(NOT(ISERROR(REGEXEXTRACT(T7, ""(\d{1,2}) jan\. 2025""))), 
  TEXT(DATE(2025,1,REGEXEXTRACT(T7, ""(\d{1,2}) jan\. 2025"")), ""dd/mm/yyyy""),
 IF(NOT(ISERROR(REGEXEXTRACT(T7, ""(\"&amp;"d{1,2}) fev\. 2025""))), 
  TEXT(DATE(2025,2,REGEXEXTRACT(T7, ""(\d{1,2}) fev\. 2025"")), ""dd/mm/yyyy""),
 IF(NOT(ISERROR(REGEXEXTRACT(T7, ""(\d{1,2}) mar\. 2025""))), 
  TEXT(DATE(2025,3,REGEXEXTRACT(T7, ""(\d{1,2}) mar\. 2025"")), ""dd/mm/yyyy""),
 IF("&amp;"NOT(ISERROR(REGEXEXTRACT(T7, ""(\d{1,2}) abr\. 2025""))), 
  TEXT(DATE(2025,4,REGEXEXTRACT(T7, ""(\d{1,2}) abr\. 2025"")), ""dd/mm/yyyy""),
 IF(NOT(ISERROR(REGEXEXTRACT(T7, ""(\d{1,2}) (mai|maio)\. 2025""))), 
  TEXT(DATE(2025,5,REGEXEXTRACT(T7, ""(\d{1,2"&amp;"}) (mai|maio)\. 2025"")), ""dd/mm/yyyy""),
 IF(NOT(ISERROR(REGEXEXTRACT(T7, ""(\d{1,2}) jun\. 2025""))), 
  TEXT(DATE(2025,6,REGEXEXTRACT(T7, ""(\d{1,2}) jun\. 2025"")), ""dd/mm/yyyy""),
 IF(NOT(ISERROR(REGEXEXTRACT(T7, ""(\d{1,2}) jul\. 2025""))), 
  TEX"&amp;"T(DATE(2025,7,REGEXEXTRACT(T7, ""(\d{1,2}) jul\. 2025"")), ""dd/mm/yyyy""),
 IF(NOT(ISERROR(REGEXEXTRACT(T7, ""(\d{1,2}) ago\. 2025""))), 
  TEXT(DATE(2025,8,REGEXEXTRACT(T7, ""(\d{1,2}) ago\. 2025"")), ""dd/mm/yyyy""),
 IF(NOT(ISERROR(REGEXEXTRACT(T7, """&amp;"(\d{1,2}) set\. 2025""))), 
  TEXT(DATE(2025,9,REGEXEXTRACT(T7, ""(\d{1,2}) set\. 2025"")), ""dd/mm/yyyy""),
 IF(NOT(ISERROR(REGEXEXTRACT(T7, ""(\d{1,2}) out\. 2025""))), 
  TEXT(DATE(2025,10,REGEXEXTRACT(T7, ""(\d{1,2}) out\. 2025"")), ""dd/mm/yyyy""),
 "&amp;"IF(NOT(ISERROR(REGEXEXTRACT(T7, ""(\d{1,2}) nov\. 2025""))), 
  TEXT(DATE(2025,11,REGEXEXTRACT(T7, ""(\d{1,2}) nov\. 2025"")), ""dd/mm/yyyy""),
 IF(NOT(ISERROR(REGEXEXTRACT(T7, ""(\d{1,2}) dez\. 2025""))), 
  TEXT(DATE(2025,12,REGEXEXTRACT(T7, ""(\d{1,2})"&amp;" dez\. 2025"")), ""dd/mm/yyyy""),
 ""Insira a data manualmente"")))))))))))), """"))"),"29/10/2025")</f>
        <v>29/10/2025</v>
      </c>
      <c r="H7" s="22">
        <f t="shared" si="1"/>
        <v>2025</v>
      </c>
      <c r="I7" s="18" t="str">
        <f>IFERROR(__xludf.DUMMYFUNCTION("IF(REGEXMATCH(T7, ""(?i)\b(Brasília|Acre|Alagoas|Amapá|Amazonas|Bahia|Ceará|Distrito Federal|Espírito Santo|Goiás|Maranhão|Mato Grosso|Mato Grosso do Sul|Minas Gerais|Pará|Paraíba|Paraná|Pernambuco|Piauí|Rio de Janeiro|Rio Grande do Norte|Rio Grande do Su"&amp;"l|Rondônia|Roraima|Santa Catarina|São Paulo|Sergipe|Tocantins)\b""),
IF(REGEXMATCH(T7, ""(?i)\bBrasília\b""), ""Distrito Federal, Brasil"",
REGEXEXTRACT(T7, ""(?i)\b(Acre|Alagoas|Amapá|Amazonas|Bahia|Ceará|Distrito Federal|Espírito Santo|Goiás|Maranhão|Ma"&amp;"to Grosso|Mato Grosso do Sul|Minas Gerais|Pará|Paraíba|Paraná|Pernambuco|Piauí|Rio de Janeiro|Rio Grande do Norte|Rio Grande do Sul|Rondônia|Roraima|Santa Catarina|São Paulo|Sergipe|Tocantins)\b"")&amp; "", Brasil""),
""Inserir local manualmente"")"),"Rio de Janeiro, Brasil")</f>
        <v>Rio de Janeiro, Brasil</v>
      </c>
      <c r="J7" s="17" t="s">
        <v>42</v>
      </c>
      <c r="K7" s="23" t="s">
        <v>43</v>
      </c>
      <c r="L7" s="24" t="s">
        <v>26</v>
      </c>
      <c r="M7" s="25" t="s">
        <v>27</v>
      </c>
      <c r="N7" s="18" t="str">
        <f t="shared" si="2"/>
        <v>Jornal UNESP</v>
      </c>
      <c r="O7" s="17" t="s">
        <v>28</v>
      </c>
      <c r="P7" s="17" t="s">
        <v>29</v>
      </c>
      <c r="Q7" s="26">
        <v>45961.0</v>
      </c>
      <c r="R7" s="17" t="s">
        <v>30</v>
      </c>
      <c r="S7" s="27" t="str">
        <f t="shared" si="3"/>
        <v>Aqui</v>
      </c>
      <c r="T7" s="28" t="s">
        <v>44</v>
      </c>
      <c r="U7" s="29"/>
    </row>
    <row r="8">
      <c r="A8" s="16">
        <v>6.0</v>
      </c>
      <c r="B8" s="17" t="s">
        <v>23</v>
      </c>
      <c r="C8" s="18" t="str">
        <f>IFERROR(__xludf.DUMMYFUNCTION("IF(B8="""","""",IF(OR(
  REGEXMATCH(B8,""Performance|\bInstalação|\bFaixa|\bProtesto|\bÁlbum|\bMúsica|\bRelatório|\bCrônica|\bAbaixo-assinado|\bManifesto|\bLivro|\bPetição|\bExposição|\bParalisação|\bAto|\bPoema|\bManifestação|\bRebelião|\bFilme|\bDocumen"&amp;"tário|\bSérie|\bFotografia|\bEntrevista|\bMobilização|\bRecitação|\bEspetáculo|\bLeitura pública|\bPeça|\bCurta-metragem|\bEscracho|\bDocumento|\bColetiva de imprensa|\bVídeo|\bSeminário|\bCharge|\bLançamento|\bGrafite|\bMarcha|\bRoda de conversa|\bVisita"&amp;" mediada|\bLive|\bWebinário|\bJornada|\bDebate|\bIntervenção artística|\bFabricação de cachaça artesanal|\bRoteiro de memória|\bRoteiro de Memória|\bPalestra|\bAto parlamentar|\bFestival|\bDesfile de samba|\bPodcast|\bMesa|\bAudiotour|\bAula|\bRádio|\bCar"&amp;"ta pública|\bNota de pesar|\bNota de repúdio|Ação popular|\bNota técnica"")
),""Rememoração"",
IF(OR(
  REGEXMATCH(B8,""Notícia|Reportagem|Artigo de opinião|Verbete"")
),""Difusão"","""")))
"),"Difusão")</f>
        <v>Difusão</v>
      </c>
      <c r="D8" s="19" t="str">
        <f>IFERROR(__xludf.DUMMYFUNCTION("IF(B8="""","""",IF(OR(
  REGEXMATCH(B8,""Performance|Instalação|Álbum|Música|Poema|Livro|Filme|Documentário|Recitação|Espetáculo|Peça|Intervenção|Desfile|Fotografia|Exposição|Charge|Grafite|Leitura pública|Fabricação de cachaça artesanal""),
  REGEXMATCH("&amp;"B8,""dança|teatral|artístico|musical|artística"")
),""Manifestação artístico-cultural"",
IF(OR(
  REGEXMATCH(B8,""Crônica|Série|Reportagem|Podcast|Audiotour|Entrevista|Vídeo|Rádio|Notícia|Artigo de opinião|Coletiva de imprensa""),
  REGEXMATCH(B8,""midiát"&amp;"ica"")
),""Produção midiática"","""")))
"),"Produção midiática")</f>
        <v>Produção midiática</v>
      </c>
      <c r="E8" s="20" t="str">
        <f>IFERROR(__xludf.DUMMYFUNCTION("IF(B8="""","""",IF(OR(
  REGEXMATCH(B8,""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REGEXMATCH(B8,""público|Imediato|artística|teatral|memória|Ação popular"")
),""Público Imediato"",
IF(REGEXMATCH(B8,""Música|Álbum|Filme|Documentário|Série"&amp;"|Podcast|Rádio|Audiotour|Entrevista|Reportagem|Crônica|Relatório|Abaixo-assinado|Manifesto|Petição|Poema|Livro|Fotografia|Curta|Live|Webinário|Charge|Leitura pública|Vídeo|Notícia|Nota de pesar|Carta pública|Artigo de opinião|Nota de repúdio|Verbete|Nota "&amp;"técnica""),
""Público Mediado"","""")))
"),"Público Mediado")</f>
        <v>Público Mediado</v>
      </c>
      <c r="F8" s="20" t="str">
        <f>IFERROR(__xludf.DUMMYFUNCTION("IF(B8="""","""",IF(OR(
  REGEXMATCH(B8,""Live|Webinário|Virtual|Verbete""),
  REGEXMATCH(B8,""online"")
),""Virtual"",
IF(REGEXMATCH(B8,""Música|Álbum|Filme|Documentário|Série|Podcast|Rádio|Audiotour|Episódio|Reportagem|Curta|Charge|Vídeo|Entrevista|Notíc"&amp;"ia|Artigo de opinião""),
""Midiático"",
IF(REGEXMATCH(B8,""Performance|Instalação|Protesto|Manifestação|Ato|Paralisação|Marcha|Exposição|Mobilização|Recitação|Espetáculo|Coletiva|Visita|Roda|Debate|Seminário|Palestra|Aula|Mesa|Jornada|Festival|Escracho|Pe"&amp;"ça|Intervenção|Desfile|Livro|Poema|Fotografia|Relatório|Abaixo-assinado|Manifesto|Petição|Crônica|Roteiro|Grafite|Cartaz|Cartaz/Faixa|Faixa|Rebelião|Fabricação de cachaça artesanal|Leitura pública|Ação popular""),
""Presencial/Físico"",""""))))
"),"Midiático")</f>
        <v>Midiático</v>
      </c>
      <c r="G8" s="21" t="str">
        <f>IFERROR(__xludf.DUMMYFUNCTION("IF(C8=""rememoração"", ""Insira a data manualmente"", IF(C8=""difusão"", 
 IF(NOT(ISERROR(REGEXEXTRACT(T8, ""(\d{1,2}) jan\. 2025""))), 
  TEXT(DATE(2025,1,REGEXEXTRACT(T8, ""(\d{1,2}) jan\. 2025"")), ""dd/mm/yyyy""),
 IF(NOT(ISERROR(REGEXEXTRACT(T8, ""(\"&amp;"d{1,2}) fev\. 2025""))), 
  TEXT(DATE(2025,2,REGEXEXTRACT(T8, ""(\d{1,2}) fev\. 2025"")), ""dd/mm/yyyy""),
 IF(NOT(ISERROR(REGEXEXTRACT(T8, ""(\d{1,2}) mar\. 2025""))), 
  TEXT(DATE(2025,3,REGEXEXTRACT(T8, ""(\d{1,2}) mar\. 2025"")), ""dd/mm/yyyy""),
 IF("&amp;"NOT(ISERROR(REGEXEXTRACT(T8, ""(\d{1,2}) abr\. 2025""))), 
  TEXT(DATE(2025,4,REGEXEXTRACT(T8, ""(\d{1,2}) abr\. 2025"")), ""dd/mm/yyyy""),
 IF(NOT(ISERROR(REGEXEXTRACT(T8, ""(\d{1,2}) (mai|maio)\. 2025""))), 
  TEXT(DATE(2025,5,REGEXEXTRACT(T8, ""(\d{1,2"&amp;"}) (mai|maio)\. 2025"")), ""dd/mm/yyyy""),
 IF(NOT(ISERROR(REGEXEXTRACT(T8, ""(\d{1,2}) jun\. 2025""))), 
  TEXT(DATE(2025,6,REGEXEXTRACT(T8, ""(\d{1,2}) jun\. 2025"")), ""dd/mm/yyyy""),
 IF(NOT(ISERROR(REGEXEXTRACT(T8, ""(\d{1,2}) jul\. 2025""))), 
  TEX"&amp;"T(DATE(2025,7,REGEXEXTRACT(T8, ""(\d{1,2}) jul\. 2025"")), ""dd/mm/yyyy""),
 IF(NOT(ISERROR(REGEXEXTRACT(T8, ""(\d{1,2}) ago\. 2025""))), 
  TEXT(DATE(2025,8,REGEXEXTRACT(T8, ""(\d{1,2}) ago\. 2025"")), ""dd/mm/yyyy""),
 IF(NOT(ISERROR(REGEXEXTRACT(T8, """&amp;"(\d{1,2}) set\. 2025""))), 
  TEXT(DATE(2025,9,REGEXEXTRACT(T8, ""(\d{1,2}) set\. 2025"")), ""dd/mm/yyyy""),
 IF(NOT(ISERROR(REGEXEXTRACT(T8, ""(\d{1,2}) out\. 2025""))), 
  TEXT(DATE(2025,10,REGEXEXTRACT(T8, ""(\d{1,2}) out\. 2025"")), ""dd/mm/yyyy""),
 "&amp;"IF(NOT(ISERROR(REGEXEXTRACT(T8, ""(\d{1,2}) nov\. 2025""))), 
  TEXT(DATE(2025,11,REGEXEXTRACT(T8, ""(\d{1,2}) nov\. 2025"")), ""dd/mm/yyyy""),
 IF(NOT(ISERROR(REGEXEXTRACT(T8, ""(\d{1,2}) dez\. 2025""))), 
  TEXT(DATE(2025,12,REGEXEXTRACT(T8, ""(\d{1,2})"&amp;" dez\. 2025"")), ""dd/mm/yyyy""),
 ""Insira a data manualmente"")))))))))))), """"))"),"29/10/2025")</f>
        <v>29/10/2025</v>
      </c>
      <c r="H8" s="22">
        <f t="shared" si="1"/>
        <v>2025</v>
      </c>
      <c r="I8" s="18" t="str">
        <f>IFERROR(__xludf.DUMMYFUNCTION("IF(REGEXMATCH(T8, ""(?i)\b(Brasília|Acre|Alagoas|Amapá|Amazonas|Bahia|Ceará|Distrito Federal|Espírito Santo|Goiás|Maranhão|Mato Grosso|Mato Grosso do Sul|Minas Gerais|Pará|Paraíba|Paraná|Pernambuco|Piauí|Rio de Janeiro|Rio Grande do Norte|Rio Grande do Su"&amp;"l|Rondônia|Roraima|Santa Catarina|São Paulo|Sergipe|Tocantins)\b""),
IF(REGEXMATCH(T8, ""(?i)\bBrasília\b""), ""Distrito Federal, Brasil"",
REGEXEXTRACT(T8, ""(?i)\b(Acre|Alagoas|Amapá|Amazonas|Bahia|Ceará|Distrito Federal|Espírito Santo|Goiás|Maranhão|Ma"&amp;"to Grosso|Mato Grosso do Sul|Minas Gerais|Pará|Paraíba|Paraná|Pernambuco|Piauí|Rio de Janeiro|Rio Grande do Norte|Rio Grande do Sul|Rondônia|Roraima|Santa Catarina|São Paulo|Sergipe|Tocantins)\b"")&amp; "", Brasil""),
""Inserir local manualmente"")"),"São Paulo, Brasil")</f>
        <v>São Paulo, Brasil</v>
      </c>
      <c r="J8" s="17" t="s">
        <v>45</v>
      </c>
      <c r="K8" s="23" t="s">
        <v>46</v>
      </c>
      <c r="L8" s="24" t="s">
        <v>26</v>
      </c>
      <c r="M8" s="25" t="s">
        <v>27</v>
      </c>
      <c r="N8" s="18" t="str">
        <f t="shared" si="2"/>
        <v>Ponte Jornalismo</v>
      </c>
      <c r="O8" s="17" t="s">
        <v>28</v>
      </c>
      <c r="P8" s="17" t="s">
        <v>29</v>
      </c>
      <c r="Q8" s="26">
        <v>45961.0</v>
      </c>
      <c r="R8" s="17" t="s">
        <v>30</v>
      </c>
      <c r="S8" s="27" t="str">
        <f t="shared" si="3"/>
        <v>Aqui</v>
      </c>
      <c r="T8" s="28" t="s">
        <v>47</v>
      </c>
      <c r="U8" s="29"/>
    </row>
    <row r="9">
      <c r="A9" s="16">
        <v>7.0</v>
      </c>
      <c r="B9" s="17" t="s">
        <v>23</v>
      </c>
      <c r="C9" s="18" t="str">
        <f>IFERROR(__xludf.DUMMYFUNCTION("IF(B9="""","""",IF(OR(
  REGEXMATCH(B9,""Performance|\bInstalação|\bFaixa|\bProtesto|\bÁlbum|\bMúsica|\bRelatório|\bCrônica|\bAbaixo-assinado|\bManifesto|\bLivro|\bPetição|\bExposição|\bParalisação|\bAto|\bPoema|\bManifestação|\bRebelião|\bFilme|\bDocumen"&amp;"tário|\bSérie|\bFotografia|\bEntrevista|\bMobilização|\bRecitação|\bEspetáculo|\bLeitura pública|\bPeça|\bCurta-metragem|\bEscracho|\bDocumento|\bColetiva de imprensa|\bVídeo|\bSeminário|\bCharge|\bLançamento|\bGrafite|\bMarcha|\bRoda de conversa|\bVisita"&amp;" mediada|\bLive|\bWebinário|\bJornada|\bDebate|\bIntervenção artística|\bFabricação de cachaça artesanal|\bRoteiro de memória|\bRoteiro de Memória|\bPalestra|\bAto parlamentar|\bFestival|\bDesfile de samba|\bPodcast|\bMesa|\bAudiotour|\bAula|\bRádio|\bCar"&amp;"ta pública|\bNota de pesar|\bNota de repúdio|Ação popular|\bNota técnica"")
),""Rememoração"",
IF(OR(
  REGEXMATCH(B9,""Notícia|Reportagem|Artigo de opinião|Verbete"")
),""Difusão"","""")))
"),"Difusão")</f>
        <v>Difusão</v>
      </c>
      <c r="D9" s="19" t="str">
        <f>IFERROR(__xludf.DUMMYFUNCTION("IF(B9="""","""",IF(OR(
  REGEXMATCH(B9,""Performance|Instalação|Álbum|Música|Poema|Livro|Filme|Documentário|Recitação|Espetáculo|Peça|Intervenção|Desfile|Fotografia|Exposição|Charge|Grafite|Leitura pública|Fabricação de cachaça artesanal""),
  REGEXMATCH("&amp;"B9,""dança|teatral|artístico|musical|artística"")
),""Manifestação artístico-cultural"",
IF(OR(
  REGEXMATCH(B9,""Crônica|Série|Reportagem|Podcast|Audiotour|Entrevista|Vídeo|Rádio|Notícia|Artigo de opinião|Coletiva de imprensa""),
  REGEXMATCH(B9,""midiát"&amp;"ica"")
),""Produção midiática"","""")))
"),"Produção midiática")</f>
        <v>Produção midiática</v>
      </c>
      <c r="E9" s="20" t="str">
        <f>IFERROR(__xludf.DUMMYFUNCTION("IF(B9="""","""",IF(OR(
  REGEXMATCH(B9,""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REGEXMATCH(B9,""público|Imediato|artística|teatral|memória|Ação popular"")
),""Público Imediato"",
IF(REGEXMATCH(B9,""Música|Álbum|Filme|Documentário|Série"&amp;"|Podcast|Rádio|Audiotour|Entrevista|Reportagem|Crônica|Relatório|Abaixo-assinado|Manifesto|Petição|Poema|Livro|Fotografia|Curta|Live|Webinário|Charge|Leitura pública|Vídeo|Notícia|Nota de pesar|Carta pública|Artigo de opinião|Nota de repúdio|Verbete|Nota "&amp;"técnica""),
""Público Mediado"","""")))
"),"Público Mediado")</f>
        <v>Público Mediado</v>
      </c>
      <c r="F9" s="20" t="str">
        <f>IFERROR(__xludf.DUMMYFUNCTION("IF(B9="""","""",IF(OR(
  REGEXMATCH(B9,""Live|Webinário|Virtual|Verbete""),
  REGEXMATCH(B9,""online"")
),""Virtual"",
IF(REGEXMATCH(B9,""Música|Álbum|Filme|Documentário|Série|Podcast|Rádio|Audiotour|Episódio|Reportagem|Curta|Charge|Vídeo|Entrevista|Notíc"&amp;"ia|Artigo de opinião""),
""Midiático"",
IF(REGEXMATCH(B9,""Performance|Instalação|Protesto|Manifestação|Ato|Paralisação|Marcha|Exposição|Mobilização|Recitação|Espetáculo|Coletiva|Visita|Roda|Debate|Seminário|Palestra|Aula|Mesa|Jornada|Festival|Escracho|Pe"&amp;"ça|Intervenção|Desfile|Livro|Poema|Fotografia|Relatório|Abaixo-assinado|Manifesto|Petição|Crônica|Roteiro|Grafite|Cartaz|Cartaz/Faixa|Faixa|Rebelião|Fabricação de cachaça artesanal|Leitura pública|Ação popular""),
""Presencial/Físico"",""""))))
"),"Midiático")</f>
        <v>Midiático</v>
      </c>
      <c r="G9" s="21" t="str">
        <f>IFERROR(__xludf.DUMMYFUNCTION("IF(C9=""rememoração"", ""Insira a data manualmente"", IF(C9=""difusão"", 
 IF(NOT(ISERROR(REGEXEXTRACT(T9, ""(\d{1,2}) jan\. 2025""))), 
  TEXT(DATE(2025,1,REGEXEXTRACT(T9, ""(\d{1,2}) jan\. 2025"")), ""dd/mm/yyyy""),
 IF(NOT(ISERROR(REGEXEXTRACT(T9, ""(\"&amp;"d{1,2}) fev\. 2025""))), 
  TEXT(DATE(2025,2,REGEXEXTRACT(T9, ""(\d{1,2}) fev\. 2025"")), ""dd/mm/yyyy""),
 IF(NOT(ISERROR(REGEXEXTRACT(T9, ""(\d{1,2}) mar\. 2025""))), 
  TEXT(DATE(2025,3,REGEXEXTRACT(T9, ""(\d{1,2}) mar\. 2025"")), ""dd/mm/yyyy""),
 IF("&amp;"NOT(ISERROR(REGEXEXTRACT(T9, ""(\d{1,2}) abr\. 2025""))), 
  TEXT(DATE(2025,4,REGEXEXTRACT(T9, ""(\d{1,2}) abr\. 2025"")), ""dd/mm/yyyy""),
 IF(NOT(ISERROR(REGEXEXTRACT(T9, ""(\d{1,2}) (mai|maio)\. 2025""))), 
  TEXT(DATE(2025,5,REGEXEXTRACT(T9, ""(\d{1,2"&amp;"}) (mai|maio)\. 2025"")), ""dd/mm/yyyy""),
 IF(NOT(ISERROR(REGEXEXTRACT(T9, ""(\d{1,2}) jun\. 2025""))), 
  TEXT(DATE(2025,6,REGEXEXTRACT(T9, ""(\d{1,2}) jun\. 2025"")), ""dd/mm/yyyy""),
 IF(NOT(ISERROR(REGEXEXTRACT(T9, ""(\d{1,2}) jul\. 2025""))), 
  TEX"&amp;"T(DATE(2025,7,REGEXEXTRACT(T9, ""(\d{1,2}) jul\. 2025"")), ""dd/mm/yyyy""),
 IF(NOT(ISERROR(REGEXEXTRACT(T9, ""(\d{1,2}) ago\. 2025""))), 
  TEXT(DATE(2025,8,REGEXEXTRACT(T9, ""(\d{1,2}) ago\. 2025"")), ""dd/mm/yyyy""),
 IF(NOT(ISERROR(REGEXEXTRACT(T9, """&amp;"(\d{1,2}) set\. 2025""))), 
  TEXT(DATE(2025,9,REGEXEXTRACT(T9, ""(\d{1,2}) set\. 2025"")), ""dd/mm/yyyy""),
 IF(NOT(ISERROR(REGEXEXTRACT(T9, ""(\d{1,2}) out\. 2025""))), 
  TEXT(DATE(2025,10,REGEXEXTRACT(T9, ""(\d{1,2}) out\. 2025"")), ""dd/mm/yyyy""),
 "&amp;"IF(NOT(ISERROR(REGEXEXTRACT(T9, ""(\d{1,2}) nov\. 2025""))), 
  TEXT(DATE(2025,11,REGEXEXTRACT(T9, ""(\d{1,2}) nov\. 2025"")), ""dd/mm/yyyy""),
 IF(NOT(ISERROR(REGEXEXTRACT(T9, ""(\d{1,2}) dez\. 2025""))), 
  TEXT(DATE(2025,12,REGEXEXTRACT(T9, ""(\d{1,2})"&amp;" dez\. 2025"")), ""dd/mm/yyyy""),
 ""Insira a data manualmente"")))))))))))), """"))"),"28/10/2025")</f>
        <v>28/10/2025</v>
      </c>
      <c r="H9" s="22">
        <f t="shared" si="1"/>
        <v>2025</v>
      </c>
      <c r="I9" s="18" t="str">
        <f>IFERROR(__xludf.DUMMYFUNCTION("IF(REGEXMATCH(T9, ""(?i)\b(Brasília|Acre|Alagoas|Amapá|Amazonas|Bahia|Ceará|Distrito Federal|Espírito Santo|Goiás|Maranhão|Mato Grosso|Mato Grosso do Sul|Minas Gerais|Pará|Paraíba|Paraná|Pernambuco|Piauí|Rio de Janeiro|Rio Grande do Norte|Rio Grande do Su"&amp;"l|Rondônia|Roraima|Santa Catarina|São Paulo|Sergipe|Tocantins)\b""),
IF(REGEXMATCH(T9, ""(?i)\bBrasília\b""), ""Distrito Federal, Brasil"",
REGEXEXTRACT(T9, ""(?i)\b(Acre|Alagoas|Amapá|Amazonas|Bahia|Ceará|Distrito Federal|Espírito Santo|Goiás|Maranhão|Ma"&amp;"to Grosso|Mato Grosso do Sul|Minas Gerais|Pará|Paraíba|Paraná|Pernambuco|Piauí|Rio de Janeiro|Rio Grande do Norte|Rio Grande do Sul|Rondônia|Roraima|Santa Catarina|São Paulo|Sergipe|Tocantins)\b"")&amp; "", Brasil""),
""Inserir local manualmente"")"),"São Paulo, Brasil")</f>
        <v>São Paulo, Brasil</v>
      </c>
      <c r="J9" s="17" t="s">
        <v>48</v>
      </c>
      <c r="K9" s="23" t="s">
        <v>49</v>
      </c>
      <c r="L9" s="24" t="s">
        <v>26</v>
      </c>
      <c r="M9" s="25" t="s">
        <v>27</v>
      </c>
      <c r="N9" s="18" t="str">
        <f t="shared" si="2"/>
        <v>Folha de S. Paulo</v>
      </c>
      <c r="O9" s="17" t="s">
        <v>28</v>
      </c>
      <c r="P9" s="17" t="s">
        <v>29</v>
      </c>
      <c r="Q9" s="26">
        <v>45961.0</v>
      </c>
      <c r="R9" s="17" t="s">
        <v>37</v>
      </c>
      <c r="S9" s="27" t="str">
        <f t="shared" si="3"/>
        <v>Aqui</v>
      </c>
      <c r="T9" s="28" t="s">
        <v>50</v>
      </c>
      <c r="U9" s="29"/>
    </row>
    <row r="10">
      <c r="A10" s="16">
        <v>8.0</v>
      </c>
      <c r="B10" s="17" t="s">
        <v>23</v>
      </c>
      <c r="C10" s="18" t="str">
        <f>IFERROR(__xludf.DUMMYFUNCTION("IF(B10="""","""",IF(OR(
  REGEXMATCH(B10,""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REGEXMATCH(B10,""Notícia|Reportagem|Artigo de opinião|Verbete"")
),""Difusão"","""")))
"),"Difusão")</f>
        <v>Difusão</v>
      </c>
      <c r="D10" s="19" t="str">
        <f>IFERROR(__xludf.DUMMYFUNCTION("IF(B10="""","""",IF(OR(
  REGEXMATCH(B10,""Performance|Instalação|Álbum|Música|Poema|Livro|Filme|Documentário|Recitação|Espetáculo|Peça|Intervenção|Desfile|Fotografia|Exposição|Charge|Grafite|Leitura pública|Fabricação de cachaça artesanal""),
  REGEXMATC"&amp;"H(B10,""dança|teatral|artístico|musical|artística"")
),""Manifestação artístico-cultural"",
IF(OR(
  REGEXMATCH(B10,""Crônica|Série|Reportagem|Podcast|Audiotour|Entrevista|Vídeo|Rádio|Notícia|Artigo de opinião|Coletiva de imprensa""),
  REGEXMATCH(B10,""m"&amp;"idiática"")
),""Produção midiática"","""")))
"),"Produção midiática")</f>
        <v>Produção midiática</v>
      </c>
      <c r="E10" s="20" t="str">
        <f>IFERROR(__xludf.DUMMYFUNCTION("IF(B10="""","""",IF(OR(
  REGEXMATCH(B10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REGEXMATCH(B10,""público|Imediato|artística|teatral|memória|Ação popular"")
),""Público Imediato"",
IF(REGEXMATCH(B10,""Música|Álbum|Filme|Documentário|S"&amp;"érie|Podcast|Rádio|Audiotour|Entrevista|Reportagem|Crônica|Relatório|Abaixo-assinado|Manifesto|Petição|Poema|Livro|Fotografia|Curta|Live|Webinário|Charge|Leitura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10" s="20" t="str">
        <f>IFERROR(__xludf.DUMMYFUNCTION("IF(B10="""","""",IF(OR(
  REGEXMATCH(B10,""Live|Webinário|Virtual|Verbete""),
  REGEXMATCH(B10,""online"")
),""Virtual"",
IF(REGEXMATCH(B10,""Música|Álbum|Filme|Documentário|Série|Podcast|Rádio|Audiotour|Episódio|Reportagem|Curta|Charge|Vídeo|Entrevista|N"&amp;"otícia|Artigo de opinião""),
""Midiático"",
IF(REGEXMATCH(B10,""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10" s="21" t="str">
        <f>IFERROR(__xludf.DUMMYFUNCTION("IF(C10=""rememoração"", ""Insira a data manualmente"", IF(C10=""difusão"", 
 IF(NOT(ISERROR(REGEXEXTRACT(T10, ""(\d{1,2}) jan\. 2025""))), 
  TEXT(DATE(2025,1,REGEXEXTRACT(T10, ""(\d{1,2}) jan\. 2025"")), ""dd/mm/yyyy""),
 IF(NOT(ISERROR(REGEXEXTRACT(T10,"&amp;" ""(\d{1,2}) fev\. 2025""))), 
  TEXT(DATE(2025,2,REGEXEXTRACT(T10, ""(\d{1,2}) fev\. 2025"")), ""dd/mm/yyyy""),
 IF(NOT(ISERROR(REGEXEXTRACT(T10, ""(\d{1,2}) mar\. 2025""))), 
  TEXT(DATE(2025,3,REGEXEXTRACT(T10, ""(\d{1,2}) mar\. 2025"")), ""dd/mm/yyyy"&amp;"""),
 IF(NOT(ISERROR(REGEXEXTRACT(T10, ""(\d{1,2}) abr\. 2025""))), 
  TEXT(DATE(2025,4,REGEXEXTRACT(T10, ""(\d{1,2}) abr\. 2025"")), ""dd/mm/yyyy""),
 IF(NOT(ISERROR(REGEXEXTRACT(T10, ""(\d{1,2}) (mai|maio)\. 2025""))), 
  TEXT(DATE(2025,5,REGEXEXTRACT(T"&amp;"10, ""(\d{1,2}) (mai|maio)\. 2025"")), ""dd/mm/yyyy""),
 IF(NOT(ISERROR(REGEXEXTRACT(T10, ""(\d{1,2}) jun\. 2025""))), 
  TEXT(DATE(2025,6,REGEXEXTRACT(T10, ""(\d{1,2}) jun\. 2025"")), ""dd/mm/yyyy""),
 IF(NOT(ISERROR(REGEXEXTRACT(T10, ""(\d{1,2}) jul\. 2"&amp;"025""))), 
  TEXT(DATE(2025,7,REGEXEXTRACT(T10, ""(\d{1,2}) jul\. 2025"")), ""dd/mm/yyyy""),
 IF(NOT(ISERROR(REGEXEXTRACT(T10, ""(\d{1,2}) ago\. 2025""))), 
  TEXT(DATE(2025,8,REGEXEXTRACT(T10, ""(\d{1,2}) ago\. 2025"")), ""dd/mm/yyyy""),
 IF(NOT(ISERROR("&amp;"REGEXEXTRACT(T10, ""(\d{1,2}) set\. 2025""))), 
  TEXT(DATE(2025,9,REGEXEXTRACT(T10, ""(\d{1,2}) set\. 2025"")), ""dd/mm/yyyy""),
 IF(NOT(ISERROR(REGEXEXTRACT(T10, ""(\d{1,2}) out\. 2025""))), 
  TEXT(DATE(2025,10,REGEXEXTRACT(T10, ""(\d{1,2}) out\. 2025"&amp;""")), ""dd/mm/yyyy""),
 IF(NOT(ISERROR(REGEXEXTRACT(T10, ""(\d{1,2}) nov\. 2025""))), 
  TEXT(DATE(2025,11,REGEXEXTRACT(T10, ""(\d{1,2}) nov\. 2025"")), ""dd/mm/yyyy""),
 IF(NOT(ISERROR(REGEXEXTRACT(T10, ""(\d{1,2}) dez\. 2025""))), 
  TEXT(DATE(2025,12,R"&amp;"EGEXEXTRACT(T10, ""(\d{1,2}) dez\. 2025"")), ""dd/mm/yyyy""),
 ""Insira a data manualmente"")))))))))))), """"))"),"29/10/2025")</f>
        <v>29/10/2025</v>
      </c>
      <c r="H10" s="22">
        <f t="shared" si="1"/>
        <v>2025</v>
      </c>
      <c r="I10" s="18" t="str">
        <f>IFERROR(__xludf.DUMMYFUNCTION("IF(REGEXMATCH(T10,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IF(REGEXMATCH(T10, ""(?i)\bBrasília\b""), ""Distrito Federal, Brasil"",
REGEXEXTRACT(T10,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10" s="17" t="s">
        <v>32</v>
      </c>
      <c r="K10" s="23" t="s">
        <v>51</v>
      </c>
      <c r="L10" s="24" t="s">
        <v>26</v>
      </c>
      <c r="M10" s="25" t="s">
        <v>27</v>
      </c>
      <c r="N10" s="18" t="str">
        <f t="shared" si="2"/>
        <v>Agência Brasil</v>
      </c>
      <c r="O10" s="17" t="s">
        <v>28</v>
      </c>
      <c r="P10" s="17" t="s">
        <v>29</v>
      </c>
      <c r="Q10" s="26">
        <v>45961.0</v>
      </c>
      <c r="R10" s="17" t="s">
        <v>30</v>
      </c>
      <c r="S10" s="27" t="str">
        <f t="shared" si="3"/>
        <v>Aqui</v>
      </c>
      <c r="T10" s="28" t="s">
        <v>52</v>
      </c>
      <c r="U10" s="29"/>
    </row>
    <row r="11">
      <c r="A11" s="16">
        <v>9.0</v>
      </c>
      <c r="B11" s="17" t="s">
        <v>23</v>
      </c>
      <c r="C11" s="18" t="str">
        <f>IFERROR(__xludf.DUMMYFUNCTION("IF(B11="""","""",IF(OR(
  REGEXMATCH(B11,""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REGEXMATCH(B11,""Notícia|Reportagem|Artigo de opinião|Verbete"")
),""Difusão"","""")))
"),"Difusão")</f>
        <v>Difusão</v>
      </c>
      <c r="D11" s="19" t="str">
        <f>IFERROR(__xludf.DUMMYFUNCTION("IF(B11="""","""",IF(OR(
  REGEXMATCH(B11,""Performance|Instalação|Álbum|Música|Poema|Livro|Filme|Documentário|Recitação|Espetáculo|Peça|Intervenção|Desfile|Fotografia|Exposição|Charge|Grafite|Leitura pública|Fabricação de cachaça artesanal""),
  REGEXMATC"&amp;"H(B11,""dança|teatral|artístico|musical|artística"")
),""Manifestação artístico-cultural"",
IF(OR(
  REGEXMATCH(B11,""Crônica|Série|Reportagem|Podcast|Audiotour|Entrevista|Vídeo|Rádio|Notícia|Artigo de opinião|Coletiva de imprensa""),
  REGEXMATCH(B11,""m"&amp;"idiática"")
),""Produção midiática"","""")))
"),"Produção midiática")</f>
        <v>Produção midiática</v>
      </c>
      <c r="E11" s="20" t="str">
        <f>IFERROR(__xludf.DUMMYFUNCTION("IF(B11="""","""",IF(OR(
  REGEXMATCH(B11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REGEXMATCH(B11,""público|Imediato|artística|teatral|memória|Ação popular"")
),""Público Imediato"",
IF(REGEXMATCH(B11,""Música|Álbum|Filme|Documentário|S"&amp;"érie|Podcast|Rádio|Audiotour|Entrevista|Reportagem|Crônica|Relatório|Abaixo-assinado|Manifesto|Petição|Poema|Livro|Fotografia|Curta|Live|Webinário|Charge|Leitura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11" s="20" t="str">
        <f>IFERROR(__xludf.DUMMYFUNCTION("IF(B11="""","""",IF(OR(
  REGEXMATCH(B11,""Live|Webinário|Virtual|Verbete""),
  REGEXMATCH(B11,""online"")
),""Virtual"",
IF(REGEXMATCH(B11,""Música|Álbum|Filme|Documentário|Série|Podcast|Rádio|Audiotour|Episódio|Reportagem|Curta|Charge|Vídeo|Entrevista|N"&amp;"otícia|Artigo de opinião""),
""Midiático"",
IF(REGEXMATCH(B11,""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11" s="21" t="str">
        <f>IFERROR(__xludf.DUMMYFUNCTION("IF(C11=""rememoração"", ""Insira a data manualmente"", IF(C11=""difusão"", 
 IF(NOT(ISERROR(REGEXEXTRACT(T11, ""(\d{1,2}) jan\. 2025""))), 
  TEXT(DATE(2025,1,REGEXEXTRACT(T11, ""(\d{1,2}) jan\. 2025"")), ""dd/mm/yyyy""),
 IF(NOT(ISERROR(REGEXEXTRACT(T11,"&amp;" ""(\d{1,2}) fev\. 2025""))), 
  TEXT(DATE(2025,2,REGEXEXTRACT(T11, ""(\d{1,2}) fev\. 2025"")), ""dd/mm/yyyy""),
 IF(NOT(ISERROR(REGEXEXTRACT(T11, ""(\d{1,2}) mar\. 2025""))), 
  TEXT(DATE(2025,3,REGEXEXTRACT(T11, ""(\d{1,2}) mar\. 2025"")), ""dd/mm/yyyy"&amp;"""),
 IF(NOT(ISERROR(REGEXEXTRACT(T11, ""(\d{1,2}) abr\. 2025""))), 
  TEXT(DATE(2025,4,REGEXEXTRACT(T11, ""(\d{1,2}) abr\. 2025"")), ""dd/mm/yyyy""),
 IF(NOT(ISERROR(REGEXEXTRACT(T11, ""(\d{1,2}) (mai|maio)\. 2025""))), 
  TEXT(DATE(2025,5,REGEXEXTRACT(T"&amp;"11, ""(\d{1,2}) (mai|maio)\. 2025"")), ""dd/mm/yyyy""),
 IF(NOT(ISERROR(REGEXEXTRACT(T11, ""(\d{1,2}) jun\. 2025""))), 
  TEXT(DATE(2025,6,REGEXEXTRACT(T11, ""(\d{1,2}) jun\. 2025"")), ""dd/mm/yyyy""),
 IF(NOT(ISERROR(REGEXEXTRACT(T11, ""(\d{1,2}) jul\. 2"&amp;"025""))), 
  TEXT(DATE(2025,7,REGEXEXTRACT(T11, ""(\d{1,2}) jul\. 2025"")), ""dd/mm/yyyy""),
 IF(NOT(ISERROR(REGEXEXTRACT(T11, ""(\d{1,2}) ago\. 2025""))), 
  TEXT(DATE(2025,8,REGEXEXTRACT(T11, ""(\d{1,2}) ago\. 2025"")), ""dd/mm/yyyy""),
 IF(NOT(ISERROR("&amp;"REGEXEXTRACT(T11, ""(\d{1,2}) set\. 2025""))), 
  TEXT(DATE(2025,9,REGEXEXTRACT(T11, ""(\d{1,2}) set\. 2025"")), ""dd/mm/yyyy""),
 IF(NOT(ISERROR(REGEXEXTRACT(T11, ""(\d{1,2}) out\. 2025""))), 
  TEXT(DATE(2025,10,REGEXEXTRACT(T11, ""(\d{1,2}) out\. 2025"&amp;""")), ""dd/mm/yyyy""),
 IF(NOT(ISERROR(REGEXEXTRACT(T11, ""(\d{1,2}) nov\. 2025""))), 
  TEXT(DATE(2025,11,REGEXEXTRACT(T11, ""(\d{1,2}) nov\. 2025"")), ""dd/mm/yyyy""),
 IF(NOT(ISERROR(REGEXEXTRACT(T11, ""(\d{1,2}) dez\. 2025""))), 
  TEXT(DATE(2025,12,R"&amp;"EGEXEXTRACT(T11, ""(\d{1,2}) dez\. 2025"")), ""dd/mm/yyyy""),
 ""Insira a data manualmente"")))))))))))), """"))"),"29/10/2025")</f>
        <v>29/10/2025</v>
      </c>
      <c r="H11" s="22">
        <f t="shared" si="1"/>
        <v>2025</v>
      </c>
      <c r="I11" s="18" t="str">
        <f>IFERROR(__xludf.DUMMYFUNCTION("IF(REGEXMATCH(T11,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IF(REGEXMATCH(T11, ""(?i)\bBrasília\b""), ""Distrito Federal, Brasil"",
REGEXEXTRACT(T11,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11" s="17" t="s">
        <v>53</v>
      </c>
      <c r="K11" s="23" t="s">
        <v>54</v>
      </c>
      <c r="L11" s="24" t="s">
        <v>26</v>
      </c>
      <c r="M11" s="25" t="s">
        <v>27</v>
      </c>
      <c r="N11" s="18" t="str">
        <f t="shared" si="2"/>
        <v>Cebes</v>
      </c>
      <c r="O11" s="17" t="s">
        <v>28</v>
      </c>
      <c r="P11" s="17" t="s">
        <v>29</v>
      </c>
      <c r="Q11" s="26">
        <v>45961.0</v>
      </c>
      <c r="R11" s="17" t="s">
        <v>30</v>
      </c>
      <c r="S11" s="27" t="str">
        <f t="shared" si="3"/>
        <v>Aqui</v>
      </c>
      <c r="T11" s="28" t="s">
        <v>55</v>
      </c>
      <c r="U11" s="29"/>
    </row>
    <row r="12">
      <c r="A12" s="16">
        <v>10.0</v>
      </c>
      <c r="B12" s="17" t="s">
        <v>23</v>
      </c>
      <c r="C12" s="18" t="str">
        <f>IFERROR(__xludf.DUMMYFUNCTION("IF(B12="""","""",IF(OR(
  REGEXMATCH(B12,""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REGEXMATCH(B12,""Notícia|Reportagem|Artigo de opinião|Verbete"")
),""Difusão"","""")))
"),"Difusão")</f>
        <v>Difusão</v>
      </c>
      <c r="D12" s="19" t="str">
        <f>IFERROR(__xludf.DUMMYFUNCTION("IF(B12="""","""",IF(OR(
  REGEXMATCH(B12,""Performance|Instalação|Álbum|Música|Poema|Livro|Filme|Documentário|Recitação|Espetáculo|Peça|Intervenção|Desfile|Fotografia|Exposição|Charge|Grafite|Leitura pública|Fabricação de cachaça artesanal""),
  REGEXMATC"&amp;"H(B12,""dança|teatral|artístico|musical|artística"")
),""Manifestação artístico-cultural"",
IF(OR(
  REGEXMATCH(B12,""Crônica|Série|Reportagem|Podcast|Audiotour|Entrevista|Vídeo|Rádio|Notícia|Artigo de opinião|Coletiva de imprensa""),
  REGEXMATCH(B12,""m"&amp;"idiática"")
),""Produção midiática"","""")))
"),"Produção midiática")</f>
        <v>Produção midiática</v>
      </c>
      <c r="E12" s="20" t="str">
        <f>IFERROR(__xludf.DUMMYFUNCTION("IF(B12="""","""",IF(OR(
  REGEXMATCH(B12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REGEXMATCH(B12,""público|Imediato|artística|teatral|memória|Ação popular"")
),""Público Imediato"",
IF(REGEXMATCH(B12,""Música|Álbum|Filme|Documentário|S"&amp;"érie|Podcast|Rádio|Audiotour|Entrevista|Reportagem|Crônica|Relatório|Abaixo-assinado|Manifesto|Petição|Poema|Livro|Fotografia|Curta|Live|Webinário|Charge|Leitura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12" s="20" t="str">
        <f>IFERROR(__xludf.DUMMYFUNCTION("IF(B12="""","""",IF(OR(
  REGEXMATCH(B12,""Live|Webinário|Virtual|Verbete""),
  REGEXMATCH(B12,""online"")
),""Virtual"",
IF(REGEXMATCH(B12,""Música|Álbum|Filme|Documentário|Série|Podcast|Rádio|Audiotour|Episódio|Reportagem|Curta|Charge|Vídeo|Entrevista|N"&amp;"otícia|Artigo de opinião""),
""Midiático"",
IF(REGEXMATCH(B12,""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12" s="21" t="str">
        <f>IFERROR(__xludf.DUMMYFUNCTION("IF(C12=""rememoração"", ""Insira a data manualmente"", IF(C12=""difusão"", 
 IF(NOT(ISERROR(REGEXEXTRACT(T12, ""(\d{1,2}) jan\. 2025""))), 
  TEXT(DATE(2025,1,REGEXEXTRACT(T12, ""(\d{1,2}) jan\. 2025"")), ""dd/mm/yyyy""),
 IF(NOT(ISERROR(REGEXEXTRACT(T12,"&amp;" ""(\d{1,2}) fev\. 2025""))), 
  TEXT(DATE(2025,2,REGEXEXTRACT(T12, ""(\d{1,2}) fev\. 2025"")), ""dd/mm/yyyy""),
 IF(NOT(ISERROR(REGEXEXTRACT(T12, ""(\d{1,2}) mar\. 2025""))), 
  TEXT(DATE(2025,3,REGEXEXTRACT(T12, ""(\d{1,2}) mar\. 2025"")), ""dd/mm/yyyy"&amp;"""),
 IF(NOT(ISERROR(REGEXEXTRACT(T12, ""(\d{1,2}) abr\. 2025""))), 
  TEXT(DATE(2025,4,REGEXEXTRACT(T12, ""(\d{1,2}) abr\. 2025"")), ""dd/mm/yyyy""),
 IF(NOT(ISERROR(REGEXEXTRACT(T12, ""(\d{1,2}) (mai|maio)\. 2025""))), 
  TEXT(DATE(2025,5,REGEXEXTRACT(T"&amp;"12, ""(\d{1,2}) (mai|maio)\. 2025"")), ""dd/mm/yyyy""),
 IF(NOT(ISERROR(REGEXEXTRACT(T12, ""(\d{1,2}) jun\. 2025""))), 
  TEXT(DATE(2025,6,REGEXEXTRACT(T12, ""(\d{1,2}) jun\. 2025"")), ""dd/mm/yyyy""),
 IF(NOT(ISERROR(REGEXEXTRACT(T12, ""(\d{1,2}) jul\. 2"&amp;"025""))), 
  TEXT(DATE(2025,7,REGEXEXTRACT(T12, ""(\d{1,2}) jul\. 2025"")), ""dd/mm/yyyy""),
 IF(NOT(ISERROR(REGEXEXTRACT(T12, ""(\d{1,2}) ago\. 2025""))), 
  TEXT(DATE(2025,8,REGEXEXTRACT(T12, ""(\d{1,2}) ago\. 2025"")), ""dd/mm/yyyy""),
 IF(NOT(ISERROR("&amp;"REGEXEXTRACT(T12, ""(\d{1,2}) set\. 2025""))), 
  TEXT(DATE(2025,9,REGEXEXTRACT(T12, ""(\d{1,2}) set\. 2025"")), ""dd/mm/yyyy""),
 IF(NOT(ISERROR(REGEXEXTRACT(T12, ""(\d{1,2}) out\. 2025""))), 
  TEXT(DATE(2025,10,REGEXEXTRACT(T12, ""(\d{1,2}) out\. 2025"&amp;""")), ""dd/mm/yyyy""),
 IF(NOT(ISERROR(REGEXEXTRACT(T12, ""(\d{1,2}) nov\. 2025""))), 
  TEXT(DATE(2025,11,REGEXEXTRACT(T12, ""(\d{1,2}) nov\. 2025"")), ""dd/mm/yyyy""),
 IF(NOT(ISERROR(REGEXEXTRACT(T12, ""(\d{1,2}) dez\. 2025""))), 
  TEXT(DATE(2025,12,R"&amp;"EGEXEXTRACT(T12, ""(\d{1,2}) dez\. 2025"")), ""dd/mm/yyyy""),
 ""Insira a data manualmente"")))))))))))), """"))"),"29/10/2025")</f>
        <v>29/10/2025</v>
      </c>
      <c r="H12" s="22">
        <f t="shared" si="1"/>
        <v>2025</v>
      </c>
      <c r="I12" s="18" t="str">
        <f>IFERROR(__xludf.DUMMYFUNCTION("IF(REGEXMATCH(T12,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IF(REGEXMATCH(T12, ""(?i)\bBrasília\b""), ""Distrito Federal, Brasil"",
REGEXEXTRACT(T12,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12" s="17" t="s">
        <v>56</v>
      </c>
      <c r="K12" s="28" t="s">
        <v>57</v>
      </c>
      <c r="L12" s="24" t="s">
        <v>26</v>
      </c>
      <c r="M12" s="25" t="s">
        <v>27</v>
      </c>
      <c r="N12" s="18" t="str">
        <f t="shared" si="2"/>
        <v>UOL</v>
      </c>
      <c r="O12" s="17" t="s">
        <v>28</v>
      </c>
      <c r="P12" s="17" t="s">
        <v>29</v>
      </c>
      <c r="Q12" s="26">
        <v>45961.0</v>
      </c>
      <c r="R12" s="17" t="s">
        <v>30</v>
      </c>
      <c r="S12" s="27" t="str">
        <f t="shared" si="3"/>
        <v>Aqui</v>
      </c>
      <c r="T12" s="28" t="s">
        <v>58</v>
      </c>
      <c r="U12" s="29"/>
    </row>
    <row r="13">
      <c r="A13" s="16">
        <v>11.0</v>
      </c>
      <c r="B13" s="17" t="s">
        <v>23</v>
      </c>
      <c r="C13" s="18" t="str">
        <f>IFERROR(__xludf.DUMMYFUNCTION("IF(B13="""","""",IF(OR(
  REGEXMATCH(B13,""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REGEXMATCH(B13,""Notícia|Reportagem|Artigo de opinião|Verbete"")
),""Difusão"","""")))
"),"Difusão")</f>
        <v>Difusão</v>
      </c>
      <c r="D13" s="19" t="str">
        <f>IFERROR(__xludf.DUMMYFUNCTION("IF(B13="""","""",IF(OR(
  REGEXMATCH(B13,""Performance|Instalação|Álbum|Música|Poema|Livro|Filme|Documentário|Recitação|Espetáculo|Peça|Intervenção|Desfile|Fotografia|Exposição|Charge|Grafite|Leitura pública|Fabricação de cachaça artesanal""),
  REGEXMATC"&amp;"H(B13,""dança|teatral|artístico|musical|artística"")
),""Manifestação artístico-cultural"",
IF(OR(
  REGEXMATCH(B13,""Crônica|Série|Reportagem|Podcast|Audiotour|Entrevista|Vídeo|Rádio|Notícia|Artigo de opinião|Coletiva de imprensa""),
  REGEXMATCH(B13,""m"&amp;"idiática"")
),""Produção midiática"","""")))
"),"Produção midiática")</f>
        <v>Produção midiática</v>
      </c>
      <c r="E13" s="20" t="str">
        <f>IFERROR(__xludf.DUMMYFUNCTION("IF(B13="""","""",IF(OR(
  REGEXMATCH(B13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REGEXMATCH(B13,""público|Imediato|artística|teatral|memória|Ação popular"")
),""Público Imediato"",
IF(REGEXMATCH(B13,""Música|Álbum|Filme|Documentário|S"&amp;"érie|Podcast|Rádio|Audiotour|Entrevista|Reportagem|Crônica|Relatório|Abaixo-assinado|Manifesto|Petição|Poema|Livro|Fotografia|Curta|Live|Webinário|Charge|Leitura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13" s="20" t="str">
        <f>IFERROR(__xludf.DUMMYFUNCTION("IF(B13="""","""",IF(OR(
  REGEXMATCH(B13,""Live|Webinário|Virtual|Verbete""),
  REGEXMATCH(B13,""online"")
),""Virtual"",
IF(REGEXMATCH(B13,""Música|Álbum|Filme|Documentário|Série|Podcast|Rádio|Audiotour|Episódio|Reportagem|Curta|Charge|Vídeo|Entrevista|N"&amp;"otícia|Artigo de opinião""),
""Midiático"",
IF(REGEXMATCH(B13,""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13" s="21" t="str">
        <f>IFERROR(__xludf.DUMMYFUNCTION("IF(C13=""rememoração"", ""Insira a data manualmente"", IF(C13=""difusão"", 
 IF(NOT(ISERROR(REGEXEXTRACT(T13, ""(\d{1,2}) jan\. 2025""))), 
  TEXT(DATE(2025,1,REGEXEXTRACT(T13, ""(\d{1,2}) jan\. 2025"")), ""dd/mm/yyyy""),
 IF(NOT(ISERROR(REGEXEXTRACT(T13,"&amp;" ""(\d{1,2}) fev\. 2025""))), 
  TEXT(DATE(2025,2,REGEXEXTRACT(T13, ""(\d{1,2}) fev\. 2025"")), ""dd/mm/yyyy""),
 IF(NOT(ISERROR(REGEXEXTRACT(T13, ""(\d{1,2}) mar\. 2025""))), 
  TEXT(DATE(2025,3,REGEXEXTRACT(T13, ""(\d{1,2}) mar\. 2025"")), ""dd/mm/yyyy"&amp;"""),
 IF(NOT(ISERROR(REGEXEXTRACT(T13, ""(\d{1,2}) abr\. 2025""))), 
  TEXT(DATE(2025,4,REGEXEXTRACT(T13, ""(\d{1,2}) abr\. 2025"")), ""dd/mm/yyyy""),
 IF(NOT(ISERROR(REGEXEXTRACT(T13, ""(\d{1,2}) (mai|maio)\. 2025""))), 
  TEXT(DATE(2025,5,REGEXEXTRACT(T"&amp;"13, ""(\d{1,2}) (mai|maio)\. 2025"")), ""dd/mm/yyyy""),
 IF(NOT(ISERROR(REGEXEXTRACT(T13, ""(\d{1,2}) jun\. 2025""))), 
  TEXT(DATE(2025,6,REGEXEXTRACT(T13, ""(\d{1,2}) jun\. 2025"")), ""dd/mm/yyyy""),
 IF(NOT(ISERROR(REGEXEXTRACT(T13, ""(\d{1,2}) jul\. 2"&amp;"025""))), 
  TEXT(DATE(2025,7,REGEXEXTRACT(T13, ""(\d{1,2}) jul\. 2025"")), ""dd/mm/yyyy""),
 IF(NOT(ISERROR(REGEXEXTRACT(T13, ""(\d{1,2}) ago\. 2025""))), 
  TEXT(DATE(2025,8,REGEXEXTRACT(T13, ""(\d{1,2}) ago\. 2025"")), ""dd/mm/yyyy""),
 IF(NOT(ISERROR("&amp;"REGEXEXTRACT(T13, ""(\d{1,2}) set\. 2025""))), 
  TEXT(DATE(2025,9,REGEXEXTRACT(T13, ""(\d{1,2}) set\. 2025"")), ""dd/mm/yyyy""),
 IF(NOT(ISERROR(REGEXEXTRACT(T13, ""(\d{1,2}) out\. 2025""))), 
  TEXT(DATE(2025,10,REGEXEXTRACT(T13, ""(\d{1,2}) out\. 2025"&amp;""")), ""dd/mm/yyyy""),
 IF(NOT(ISERROR(REGEXEXTRACT(T13, ""(\d{1,2}) nov\. 2025""))), 
  TEXT(DATE(2025,11,REGEXEXTRACT(T13, ""(\d{1,2}) nov\. 2025"")), ""dd/mm/yyyy""),
 IF(NOT(ISERROR(REGEXEXTRACT(T13, ""(\d{1,2}) dez\. 2025""))), 
  TEXT(DATE(2025,12,R"&amp;"EGEXEXTRACT(T13, ""(\d{1,2}) dez\. 2025"")), ""dd/mm/yyyy""),
 ""Insira a data manualmente"")))))))))))), """"))"),"29/10/2025")</f>
        <v>29/10/2025</v>
      </c>
      <c r="H13" s="22">
        <f t="shared" si="1"/>
        <v>2025</v>
      </c>
      <c r="I13" s="18" t="str">
        <f>IFERROR(__xludf.DUMMYFUNCTION("IF(REGEXMATCH(T13,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IF(REGEXMATCH(T13, ""(?i)\bBrasília\b""), ""Distrito Federal, Brasil"",
REGEXEXTRACT(T13,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13" s="17" t="s">
        <v>32</v>
      </c>
      <c r="K13" s="23" t="s">
        <v>59</v>
      </c>
      <c r="L13" s="24" t="s">
        <v>26</v>
      </c>
      <c r="M13" s="25" t="s">
        <v>27</v>
      </c>
      <c r="N13" s="18" t="str">
        <f t="shared" si="2"/>
        <v>Agência Brasil</v>
      </c>
      <c r="O13" s="17" t="s">
        <v>28</v>
      </c>
      <c r="P13" s="17" t="s">
        <v>29</v>
      </c>
      <c r="Q13" s="26">
        <v>45961.0</v>
      </c>
      <c r="R13" s="17" t="s">
        <v>30</v>
      </c>
      <c r="S13" s="27" t="str">
        <f t="shared" si="3"/>
        <v>Aqui</v>
      </c>
      <c r="T13" s="28" t="s">
        <v>60</v>
      </c>
      <c r="U13" s="29"/>
    </row>
    <row r="14">
      <c r="A14" s="16">
        <v>12.0</v>
      </c>
      <c r="B14" s="17" t="s">
        <v>23</v>
      </c>
      <c r="C14" s="18" t="str">
        <f>IFERROR(__xludf.DUMMYFUNCTION("IF(B14="""","""",IF(OR(
  REGEXMATCH(B14,""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REGEXMATCH(B14,""Notícia|Reportagem|Artigo de opinião|Verbete"")
),""Difusão"","""")))
"),"Difusão")</f>
        <v>Difusão</v>
      </c>
      <c r="D14" s="19" t="str">
        <f>IFERROR(__xludf.DUMMYFUNCTION("IF(B14="""","""",IF(OR(
  REGEXMATCH(B14,""Performance|Instalação|Álbum|Música|Poema|Livro|Filme|Documentário|Recitação|Espetáculo|Peça|Intervenção|Desfile|Fotografia|Exposição|Charge|Grafite|Leitura pública|Fabricação de cachaça artesanal""),
  REGEXMATC"&amp;"H(B14,""dança|teatral|artístico|musical|artística"")
),""Manifestação artístico-cultural"",
IF(OR(
  REGEXMATCH(B14,""Crônica|Série|Reportagem|Podcast|Audiotour|Entrevista|Vídeo|Rádio|Notícia|Artigo de opinião|Coletiva de imprensa""),
  REGEXMATCH(B14,""m"&amp;"idiática"")
),""Produção midiática"","""")))
"),"Produção midiática")</f>
        <v>Produção midiática</v>
      </c>
      <c r="E14" s="20" t="str">
        <f>IFERROR(__xludf.DUMMYFUNCTION("IF(B14="""","""",IF(OR(
  REGEXMATCH(B14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REGEXMATCH(B14,""público|Imediato|artística|teatral|memória|Ação popular"")
),""Público Imediato"",
IF(REGEXMATCH(B14,""Música|Álbum|Filme|Documentário|S"&amp;"érie|Podcast|Rádio|Audiotour|Entrevista|Reportagem|Crônica|Relatório|Abaixo-assinado|Manifesto|Petição|Poema|Livro|Fotografia|Curta|Live|Webinário|Charge|Leitura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14" s="20" t="str">
        <f>IFERROR(__xludf.DUMMYFUNCTION("IF(B14="""","""",IF(OR(
  REGEXMATCH(B14,""Live|Webinário|Virtual|Verbete""),
  REGEXMATCH(B14,""online"")
),""Virtual"",
IF(REGEXMATCH(B14,""Música|Álbum|Filme|Documentário|Série|Podcast|Rádio|Audiotour|Episódio|Reportagem|Curta|Charge|Vídeo|Entrevista|N"&amp;"otícia|Artigo de opinião""),
""Midiático"",
IF(REGEXMATCH(B14,""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14" s="21" t="str">
        <f>IFERROR(__xludf.DUMMYFUNCTION("IF(C14=""rememoração"", ""Insira a data manualmente"", IF(C14=""difusão"", 
 IF(NOT(ISERROR(REGEXEXTRACT(T14, ""(\d{1,2}) jan\. 2025""))), 
  TEXT(DATE(2025,1,REGEXEXTRACT(T14, ""(\d{1,2}) jan\. 2025"")), ""dd/mm/yyyy""),
 IF(NOT(ISERROR(REGEXEXTRACT(T14,"&amp;" ""(\d{1,2}) fev\. 2025""))), 
  TEXT(DATE(2025,2,REGEXEXTRACT(T14, ""(\d{1,2}) fev\. 2025"")), ""dd/mm/yyyy""),
 IF(NOT(ISERROR(REGEXEXTRACT(T14, ""(\d{1,2}) mar\. 2025""))), 
  TEXT(DATE(2025,3,REGEXEXTRACT(T14, ""(\d{1,2}) mar\. 2025"")), ""dd/mm/yyyy"&amp;"""),
 IF(NOT(ISERROR(REGEXEXTRACT(T14, ""(\d{1,2}) abr\. 2025""))), 
  TEXT(DATE(2025,4,REGEXEXTRACT(T14, ""(\d{1,2}) abr\. 2025"")), ""dd/mm/yyyy""),
 IF(NOT(ISERROR(REGEXEXTRACT(T14, ""(\d{1,2}) (mai|maio)\. 2025""))), 
  TEXT(DATE(2025,5,REGEXEXTRACT(T"&amp;"14, ""(\d{1,2}) (mai|maio)\. 2025"")), ""dd/mm/yyyy""),
 IF(NOT(ISERROR(REGEXEXTRACT(T14, ""(\d{1,2}) jun\. 2025""))), 
  TEXT(DATE(2025,6,REGEXEXTRACT(T14, ""(\d{1,2}) jun\. 2025"")), ""dd/mm/yyyy""),
 IF(NOT(ISERROR(REGEXEXTRACT(T14, ""(\d{1,2}) jul\. 2"&amp;"025""))), 
  TEXT(DATE(2025,7,REGEXEXTRACT(T14, ""(\d{1,2}) jul\. 2025"")), ""dd/mm/yyyy""),
 IF(NOT(ISERROR(REGEXEXTRACT(T14, ""(\d{1,2}) ago\. 2025""))), 
  TEXT(DATE(2025,8,REGEXEXTRACT(T14, ""(\d{1,2}) ago\. 2025"")), ""dd/mm/yyyy""),
 IF(NOT(ISERROR("&amp;"REGEXEXTRACT(T14, ""(\d{1,2}) set\. 2025""))), 
  TEXT(DATE(2025,9,REGEXEXTRACT(T14, ""(\d{1,2}) set\. 2025"")), ""dd/mm/yyyy""),
 IF(NOT(ISERROR(REGEXEXTRACT(T14, ""(\d{1,2}) out\. 2025""))), 
  TEXT(DATE(2025,10,REGEXEXTRACT(T14, ""(\d{1,2}) out\. 2025"&amp;""")), ""dd/mm/yyyy""),
 IF(NOT(ISERROR(REGEXEXTRACT(T14, ""(\d{1,2}) nov\. 2025""))), 
  TEXT(DATE(2025,11,REGEXEXTRACT(T14, ""(\d{1,2}) nov\. 2025"")), ""dd/mm/yyyy""),
 IF(NOT(ISERROR(REGEXEXTRACT(T14, ""(\d{1,2}) dez\. 2025""))), 
  TEXT(DATE(2025,12,R"&amp;"EGEXEXTRACT(T14, ""(\d{1,2}) dez\. 2025"")), ""dd/mm/yyyy""),
 ""Insira a data manualmente"")))))))))))), """"))"),"29/10/2025")</f>
        <v>29/10/2025</v>
      </c>
      <c r="H14" s="22">
        <f t="shared" si="1"/>
        <v>2025</v>
      </c>
      <c r="I14" s="18" t="str">
        <f>IFERROR(__xludf.DUMMYFUNCTION("IF(REGEXMATCH(T14,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IF(REGEXMATCH(T14, ""(?i)\bBrasília\b""), ""Distrito Federal, Brasil"",
REGEXEXTRACT(T14,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14" s="30" t="s">
        <v>61</v>
      </c>
      <c r="K14" s="23" t="s">
        <v>62</v>
      </c>
      <c r="L14" s="24" t="s">
        <v>26</v>
      </c>
      <c r="M14" s="25" t="s">
        <v>27</v>
      </c>
      <c r="N14" s="18" t="str">
        <f t="shared" si="2"/>
        <v>A Verdade</v>
      </c>
      <c r="O14" s="17" t="s">
        <v>28</v>
      </c>
      <c r="P14" s="17" t="s">
        <v>29</v>
      </c>
      <c r="Q14" s="26">
        <v>45961.0</v>
      </c>
      <c r="R14" s="17" t="s">
        <v>30</v>
      </c>
      <c r="S14" s="27" t="str">
        <f t="shared" si="3"/>
        <v>Aqui</v>
      </c>
      <c r="T14" s="28" t="s">
        <v>63</v>
      </c>
      <c r="U14" s="29"/>
    </row>
    <row r="15">
      <c r="A15" s="16">
        <v>13.0</v>
      </c>
      <c r="B15" s="17" t="s">
        <v>23</v>
      </c>
      <c r="C15" s="18" t="str">
        <f>IFERROR(__xludf.DUMMYFUNCTION("IF(B15="""","""",IF(OR(
  REGEXMATCH(B15,""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REGEXMATCH(B15,""Notícia|Reportagem|Artigo de opinião|Verbete"")
),""Difusão"","""")))
"),"Difusão")</f>
        <v>Difusão</v>
      </c>
      <c r="D15" s="19" t="str">
        <f>IFERROR(__xludf.DUMMYFUNCTION("IF(B15="""","""",IF(OR(
  REGEXMATCH(B15,""Performance|Instalação|Álbum|Música|Poema|Livro|Filme|Documentário|Recitação|Espetáculo|Peça|Intervenção|Desfile|Fotografia|Exposição|Charge|Grafite|Leitura pública|Fabricação de cachaça artesanal""),
  REGEXMATC"&amp;"H(B15,""dança|teatral|artístico|musical|artística"")
),""Manifestação artístico-cultural"",
IF(OR(
  REGEXMATCH(B15,""Crônica|Série|Reportagem|Podcast|Audiotour|Entrevista|Vídeo|Rádio|Notícia|Artigo de opinião|Coletiva de imprensa""),
  REGEXMATCH(B15,""m"&amp;"idiática"")
),""Produção midiática"","""")))
"),"Produção midiática")</f>
        <v>Produção midiática</v>
      </c>
      <c r="E15" s="20" t="str">
        <f>IFERROR(__xludf.DUMMYFUNCTION("IF(B15="""","""",IF(OR(
  REGEXMATCH(B15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REGEXMATCH(B15,""público|Imediato|artística|teatral|memória|Ação popular"")
),""Público Imediato"",
IF(REGEXMATCH(B15,""Música|Álbum|Filme|Documentário|S"&amp;"érie|Podcast|Rádio|Audiotour|Entrevista|Reportagem|Crônica|Relatório|Abaixo-assinado|Manifesto|Petição|Poema|Livro|Fotografia|Curta|Live|Webinário|Charge|Leitura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15" s="20" t="str">
        <f>IFERROR(__xludf.DUMMYFUNCTION("IF(B15="""","""",IF(OR(
  REGEXMATCH(B15,""Live|Webinário|Virtual|Verbete""),
  REGEXMATCH(B15,""online"")
),""Virtual"",
IF(REGEXMATCH(B15,""Música|Álbum|Filme|Documentário|Série|Podcast|Rádio|Audiotour|Episódio|Reportagem|Curta|Charge|Vídeo|Entrevista|N"&amp;"otícia|Artigo de opinião""),
""Midiático"",
IF(REGEXMATCH(B15,""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15" s="21" t="str">
        <f>IFERROR(__xludf.DUMMYFUNCTION("IF(C15=""rememoração"", ""Insira a data manualmente"", IF(C15=""difusão"", 
 IF(NOT(ISERROR(REGEXEXTRACT(T15, ""(\d{1,2}) jan\. 2025""))), 
  TEXT(DATE(2025,1,REGEXEXTRACT(T15, ""(\d{1,2}) jan\. 2025"")), ""dd/mm/yyyy""),
 IF(NOT(ISERROR(REGEXEXTRACT(T15,"&amp;" ""(\d{1,2}) fev\. 2025""))), 
  TEXT(DATE(2025,2,REGEXEXTRACT(T15, ""(\d{1,2}) fev\. 2025"")), ""dd/mm/yyyy""),
 IF(NOT(ISERROR(REGEXEXTRACT(T15, ""(\d{1,2}) mar\. 2025""))), 
  TEXT(DATE(2025,3,REGEXEXTRACT(T15, ""(\d{1,2}) mar\. 2025"")), ""dd/mm/yyyy"&amp;"""),
 IF(NOT(ISERROR(REGEXEXTRACT(T15, ""(\d{1,2}) abr\. 2025""))), 
  TEXT(DATE(2025,4,REGEXEXTRACT(T15, ""(\d{1,2}) abr\. 2025"")), ""dd/mm/yyyy""),
 IF(NOT(ISERROR(REGEXEXTRACT(T15, ""(\d{1,2}) (mai|maio)\. 2025""))), 
  TEXT(DATE(2025,5,REGEXEXTRACT(T"&amp;"15, ""(\d{1,2}) (mai|maio)\. 2025"")), ""dd/mm/yyyy""),
 IF(NOT(ISERROR(REGEXEXTRACT(T15, ""(\d{1,2}) jun\. 2025""))), 
  TEXT(DATE(2025,6,REGEXEXTRACT(T15, ""(\d{1,2}) jun\. 2025"")), ""dd/mm/yyyy""),
 IF(NOT(ISERROR(REGEXEXTRACT(T15, ""(\d{1,2}) jul\. 2"&amp;"025""))), 
  TEXT(DATE(2025,7,REGEXEXTRACT(T15, ""(\d{1,2}) jul\. 2025"")), ""dd/mm/yyyy""),
 IF(NOT(ISERROR(REGEXEXTRACT(T15, ""(\d{1,2}) ago\. 2025""))), 
  TEXT(DATE(2025,8,REGEXEXTRACT(T15, ""(\d{1,2}) ago\. 2025"")), ""dd/mm/yyyy""),
 IF(NOT(ISERROR("&amp;"REGEXEXTRACT(T15, ""(\d{1,2}) set\. 2025""))), 
  TEXT(DATE(2025,9,REGEXEXTRACT(T15, ""(\d{1,2}) set\. 2025"")), ""dd/mm/yyyy""),
 IF(NOT(ISERROR(REGEXEXTRACT(T15, ""(\d{1,2}) out\. 2025""))), 
  TEXT(DATE(2025,10,REGEXEXTRACT(T15, ""(\d{1,2}) out\. 2025"&amp;""")), ""dd/mm/yyyy""),
 IF(NOT(ISERROR(REGEXEXTRACT(T15, ""(\d{1,2}) nov\. 2025""))), 
  TEXT(DATE(2025,11,REGEXEXTRACT(T15, ""(\d{1,2}) nov\. 2025"")), ""dd/mm/yyyy""),
 IF(NOT(ISERROR(REGEXEXTRACT(T15, ""(\d{1,2}) dez\. 2025""))), 
  TEXT(DATE(2025,12,R"&amp;"EGEXEXTRACT(T15, ""(\d{1,2}) dez\. 2025"")), ""dd/mm/yyyy""),
 ""Insira a data manualmente"")))))))))))), """"))"),"30/10/2025")</f>
        <v>30/10/2025</v>
      </c>
      <c r="H15" s="22">
        <f t="shared" si="1"/>
        <v>2025</v>
      </c>
      <c r="I15" s="18" t="str">
        <f>IFERROR(__xludf.DUMMYFUNCTION("IF(REGEXMATCH(T15,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IF(REGEXMATCH(T15, ""(?i)\bBrasília\b""), ""Distrito Federal, Brasil"",
REGEXEXTRACT(T15,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15" s="30" t="s">
        <v>61</v>
      </c>
      <c r="K15" s="24" t="s">
        <v>64</v>
      </c>
      <c r="L15" s="24" t="s">
        <v>26</v>
      </c>
      <c r="M15" s="25" t="s">
        <v>27</v>
      </c>
      <c r="N15" s="18" t="str">
        <f t="shared" si="2"/>
        <v>A Verdade</v>
      </c>
      <c r="O15" s="17" t="s">
        <v>28</v>
      </c>
      <c r="P15" s="17" t="s">
        <v>29</v>
      </c>
      <c r="Q15" s="26">
        <v>45961.0</v>
      </c>
      <c r="R15" s="17" t="s">
        <v>30</v>
      </c>
      <c r="S15" s="27" t="str">
        <f t="shared" si="3"/>
        <v>Aqui</v>
      </c>
      <c r="T15" s="29" t="s">
        <v>65</v>
      </c>
      <c r="U15" s="29"/>
    </row>
    <row r="16">
      <c r="A16" s="16">
        <v>14.0</v>
      </c>
      <c r="B16" s="17" t="s">
        <v>23</v>
      </c>
      <c r="C16" s="18" t="str">
        <f>IFERROR(__xludf.DUMMYFUNCTION("IF(B16="""","""",IF(OR(
  REGEXMATCH(B16,""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REGEXMATCH(B16,""Notícia|Reportagem|Artigo de opinião|Verbete"")
),""Difusão"","""")))
"),"Difusão")</f>
        <v>Difusão</v>
      </c>
      <c r="D16" s="19" t="str">
        <f>IFERROR(__xludf.DUMMYFUNCTION("IF(B16="""","""",IF(OR(
  REGEXMATCH(B16,""Performance|Instalação|Álbum|Música|Poema|Livro|Filme|Documentário|Recitação|Espetáculo|Peça|Intervenção|Desfile|Fotografia|Exposição|Charge|Grafite|Leitura pública|Fabricação de cachaça artesanal""),
  REGEXMATC"&amp;"H(B16,""dança|teatral|artístico|musical|artística"")
),""Manifestação artístico-cultural"",
IF(OR(
  REGEXMATCH(B16,""Crônica|Série|Reportagem|Podcast|Audiotour|Entrevista|Vídeo|Rádio|Notícia|Artigo de opinião|Coletiva de imprensa""),
  REGEXMATCH(B16,""m"&amp;"idiática"")
),""Produção midiática"","""")))
"),"Produção midiática")</f>
        <v>Produção midiática</v>
      </c>
      <c r="E16" s="20" t="str">
        <f>IFERROR(__xludf.DUMMYFUNCTION("IF(B16="""","""",IF(OR(
  REGEXMATCH(B16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REGEXMATCH(B16,""público|Imediato|artística|teatral|memória|Ação popular"")
),""Público Imediato"",
IF(REGEXMATCH(B16,""Música|Álbum|Filme|Documentário|S"&amp;"érie|Podcast|Rádio|Audiotour|Entrevista|Reportagem|Crônica|Relatório|Abaixo-assinado|Manifesto|Petição|Poema|Livro|Fotografia|Curta|Live|Webinário|Charge|Leitura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16" s="20" t="str">
        <f>IFERROR(__xludf.DUMMYFUNCTION("IF(B16="""","""",IF(OR(
  REGEXMATCH(B16,""Live|Webinário|Virtual|Verbete""),
  REGEXMATCH(B16,""online"")
),""Virtual"",
IF(REGEXMATCH(B16,""Música|Álbum|Filme|Documentário|Série|Podcast|Rádio|Audiotour|Episódio|Reportagem|Curta|Charge|Vídeo|Entrevista|N"&amp;"otícia|Artigo de opinião""),
""Midiático"",
IF(REGEXMATCH(B16,""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16" s="21" t="str">
        <f>IFERROR(__xludf.DUMMYFUNCTION("IF(C16=""rememoração"", ""Insira a data manualmente"", IF(C16=""difusão"", 
 IF(NOT(ISERROR(REGEXEXTRACT(T16, ""(\d{1,2}) jan\. 2025""))), 
  TEXT(DATE(2025,1,REGEXEXTRACT(T16, ""(\d{1,2}) jan\. 2025"")), ""dd/mm/yyyy""),
 IF(NOT(ISERROR(REGEXEXTRACT(T16,"&amp;" ""(\d{1,2}) fev\. 2025""))), 
  TEXT(DATE(2025,2,REGEXEXTRACT(T16, ""(\d{1,2}) fev\. 2025"")), ""dd/mm/yyyy""),
 IF(NOT(ISERROR(REGEXEXTRACT(T16, ""(\d{1,2}) mar\. 2025""))), 
  TEXT(DATE(2025,3,REGEXEXTRACT(T16, ""(\d{1,2}) mar\. 2025"")), ""dd/mm/yyyy"&amp;"""),
 IF(NOT(ISERROR(REGEXEXTRACT(T16, ""(\d{1,2}) abr\. 2025""))), 
  TEXT(DATE(2025,4,REGEXEXTRACT(T16, ""(\d{1,2}) abr\. 2025"")), ""dd/mm/yyyy""),
 IF(NOT(ISERROR(REGEXEXTRACT(T16, ""(\d{1,2}) (mai|maio)\. 2025""))), 
  TEXT(DATE(2025,5,REGEXEXTRACT(T"&amp;"16, ""(\d{1,2}) (mai|maio)\. 2025"")), ""dd/mm/yyyy""),
 IF(NOT(ISERROR(REGEXEXTRACT(T16, ""(\d{1,2}) jun\. 2025""))), 
  TEXT(DATE(2025,6,REGEXEXTRACT(T16, ""(\d{1,2}) jun\. 2025"")), ""dd/mm/yyyy""),
 IF(NOT(ISERROR(REGEXEXTRACT(T16, ""(\d{1,2}) jul\. 2"&amp;"025""))), 
  TEXT(DATE(2025,7,REGEXEXTRACT(T16, ""(\d{1,2}) jul\. 2025"")), ""dd/mm/yyyy""),
 IF(NOT(ISERROR(REGEXEXTRACT(T16, ""(\d{1,2}) ago\. 2025""))), 
  TEXT(DATE(2025,8,REGEXEXTRACT(T16, ""(\d{1,2}) ago\. 2025"")), ""dd/mm/yyyy""),
 IF(NOT(ISERROR("&amp;"REGEXEXTRACT(T16, ""(\d{1,2}) set\. 2025""))), 
  TEXT(DATE(2025,9,REGEXEXTRACT(T16, ""(\d{1,2}) set\. 2025"")), ""dd/mm/yyyy""),
 IF(NOT(ISERROR(REGEXEXTRACT(T16, ""(\d{1,2}) out\. 2025""))), 
  TEXT(DATE(2025,10,REGEXEXTRACT(T16, ""(\d{1,2}) out\. 2025"&amp;""")), ""dd/mm/yyyy""),
 IF(NOT(ISERROR(REGEXEXTRACT(T16, ""(\d{1,2}) nov\. 2025""))), 
  TEXT(DATE(2025,11,REGEXEXTRACT(T16, ""(\d{1,2}) nov\. 2025"")), ""dd/mm/yyyy""),
 IF(NOT(ISERROR(REGEXEXTRACT(T16, ""(\d{1,2}) dez\. 2025""))), 
  TEXT(DATE(2025,12,R"&amp;"EGEXEXTRACT(T16, ""(\d{1,2}) dez\. 2025"")), ""dd/mm/yyyy""),
 ""Insira a data manualmente"")))))))))))), """"))"),"29/10/2025")</f>
        <v>29/10/2025</v>
      </c>
      <c r="H16" s="22">
        <f t="shared" si="1"/>
        <v>2025</v>
      </c>
      <c r="I16" s="18" t="str">
        <f>IFERROR(__xludf.DUMMYFUNCTION("IF(REGEXMATCH(T16,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IF(REGEXMATCH(T16, ""(?i)\bBrasília\b""), ""Distrito Federal, Brasil"",
REGEXEXTRACT(T16,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16" s="30" t="s">
        <v>53</v>
      </c>
      <c r="K16" s="24" t="s">
        <v>66</v>
      </c>
      <c r="L16" s="24" t="s">
        <v>26</v>
      </c>
      <c r="M16" s="25" t="s">
        <v>27</v>
      </c>
      <c r="N16" s="18" t="str">
        <f t="shared" si="2"/>
        <v>Cebes</v>
      </c>
      <c r="O16" s="17" t="s">
        <v>28</v>
      </c>
      <c r="P16" s="17" t="s">
        <v>29</v>
      </c>
      <c r="Q16" s="26">
        <v>45961.0</v>
      </c>
      <c r="R16" s="17" t="s">
        <v>30</v>
      </c>
      <c r="S16" s="27" t="str">
        <f t="shared" si="3"/>
        <v>Aqui</v>
      </c>
      <c r="T16" s="29" t="s">
        <v>67</v>
      </c>
      <c r="U16" s="29"/>
    </row>
    <row r="17">
      <c r="A17" s="16">
        <v>15.0</v>
      </c>
      <c r="B17" s="17" t="s">
        <v>23</v>
      </c>
      <c r="C17" s="18" t="str">
        <f>IFERROR(__xludf.DUMMYFUNCTION("IF(B17="""","""",IF(OR(
  REGEXMATCH(B17,""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REGEXMATCH(B17,""Notícia|Reportagem|Artigo de opinião|Verbete"")
),""Difusão"","""")))
"),"Difusão")</f>
        <v>Difusão</v>
      </c>
      <c r="D17" s="19" t="str">
        <f>IFERROR(__xludf.DUMMYFUNCTION("IF(B17="""","""",IF(OR(
  REGEXMATCH(B17,""Performance|Instalação|Álbum|Música|Poema|Livro|Filme|Documentário|Recitação|Espetáculo|Peça|Intervenção|Desfile|Fotografia|Exposição|Charge|Grafite|Leitura pública|Fabricação de cachaça artesanal""),
  REGEXMATC"&amp;"H(B17,""dança|teatral|artístico|musical|artística"")
),""Manifestação artístico-cultural"",
IF(OR(
  REGEXMATCH(B17,""Crônica|Série|Reportagem|Podcast|Audiotour|Entrevista|Vídeo|Rádio|Notícia|Artigo de opinião|Coletiva de imprensa""),
  REGEXMATCH(B17,""m"&amp;"idiática"")
),""Produção midiática"","""")))
"),"Produção midiática")</f>
        <v>Produção midiática</v>
      </c>
      <c r="E17" s="20" t="str">
        <f>IFERROR(__xludf.DUMMYFUNCTION("IF(B17="""","""",IF(OR(
  REGEXMATCH(B17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REGEXMATCH(B17,""público|Imediato|artística|teatral|memória|Ação popular"")
),""Público Imediato"",
IF(REGEXMATCH(B17,""Música|Álbum|Filme|Documentário|S"&amp;"érie|Podcast|Rádio|Audiotour|Entrevista|Reportagem|Crônica|Relatório|Abaixo-assinado|Manifesto|Petição|Poema|Livro|Fotografia|Curta|Live|Webinário|Charge|Leitura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17" s="20" t="str">
        <f>IFERROR(__xludf.DUMMYFUNCTION("IF(B17="""","""",IF(OR(
  REGEXMATCH(B17,""Live|Webinário|Virtual|Verbete""),
  REGEXMATCH(B17,""online"")
),""Virtual"",
IF(REGEXMATCH(B17,""Música|Álbum|Filme|Documentário|Série|Podcast|Rádio|Audiotour|Episódio|Reportagem|Curta|Charge|Vídeo|Entrevista|N"&amp;"otícia|Artigo de opinião""),
""Midiático"",
IF(REGEXMATCH(B17,""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17" s="21" t="str">
        <f>IFERROR(__xludf.DUMMYFUNCTION("IF(C17=""rememoração"", ""Insira a data manualmente"", IF(C17=""difusão"", 
 IF(NOT(ISERROR(REGEXEXTRACT(T17, ""(\d{1,2}) jan\. 2025""))), 
  TEXT(DATE(2025,1,REGEXEXTRACT(T17, ""(\d{1,2}) jan\. 2025"")), ""dd/mm/yyyy""),
 IF(NOT(ISERROR(REGEXEXTRACT(T17,"&amp;" ""(\d{1,2}) fev\. 2025""))), 
  TEXT(DATE(2025,2,REGEXEXTRACT(T17, ""(\d{1,2}) fev\. 2025"")), ""dd/mm/yyyy""),
 IF(NOT(ISERROR(REGEXEXTRACT(T17, ""(\d{1,2}) mar\. 2025""))), 
  TEXT(DATE(2025,3,REGEXEXTRACT(T17, ""(\d{1,2}) mar\. 2025"")), ""dd/mm/yyyy"&amp;"""),
 IF(NOT(ISERROR(REGEXEXTRACT(T17, ""(\d{1,2}) abr\. 2025""))), 
  TEXT(DATE(2025,4,REGEXEXTRACT(T17, ""(\d{1,2}) abr\. 2025"")), ""dd/mm/yyyy""),
 IF(NOT(ISERROR(REGEXEXTRACT(T17, ""(\d{1,2}) (mai|maio)\. 2025""))), 
  TEXT(DATE(2025,5,REGEXEXTRACT(T"&amp;"17, ""(\d{1,2}) (mai|maio)\. 2025"")), ""dd/mm/yyyy""),
 IF(NOT(ISERROR(REGEXEXTRACT(T17, ""(\d{1,2}) jun\. 2025""))), 
  TEXT(DATE(2025,6,REGEXEXTRACT(T17, ""(\d{1,2}) jun\. 2025"")), ""dd/mm/yyyy""),
 IF(NOT(ISERROR(REGEXEXTRACT(T17, ""(\d{1,2}) jul\. 2"&amp;"025""))), 
  TEXT(DATE(2025,7,REGEXEXTRACT(T17, ""(\d{1,2}) jul\. 2025"")), ""dd/mm/yyyy""),
 IF(NOT(ISERROR(REGEXEXTRACT(T17, ""(\d{1,2}) ago\. 2025""))), 
  TEXT(DATE(2025,8,REGEXEXTRACT(T17, ""(\d{1,2}) ago\. 2025"")), ""dd/mm/yyyy""),
 IF(NOT(ISERROR("&amp;"REGEXEXTRACT(T17, ""(\d{1,2}) set\. 2025""))), 
  TEXT(DATE(2025,9,REGEXEXTRACT(T17, ""(\d{1,2}) set\. 2025"")), ""dd/mm/yyyy""),
 IF(NOT(ISERROR(REGEXEXTRACT(T17, ""(\d{1,2}) out\. 2025""))), 
  TEXT(DATE(2025,10,REGEXEXTRACT(T17, ""(\d{1,2}) out\. 2025"&amp;""")), ""dd/mm/yyyy""),
 IF(NOT(ISERROR(REGEXEXTRACT(T17, ""(\d{1,2}) nov\. 2025""))), 
  TEXT(DATE(2025,11,REGEXEXTRACT(T17, ""(\d{1,2}) nov\. 2025"")), ""dd/mm/yyyy""),
 IF(NOT(ISERROR(REGEXEXTRACT(T17, ""(\d{1,2}) dez\. 2025""))), 
  TEXT(DATE(2025,12,R"&amp;"EGEXEXTRACT(T17, ""(\d{1,2}) dez\. 2025"")), ""dd/mm/yyyy""),
 ""Insira a data manualmente"")))))))))))), """"))"),"29/10/2025")</f>
        <v>29/10/2025</v>
      </c>
      <c r="H17" s="22">
        <f t="shared" si="1"/>
        <v>2025</v>
      </c>
      <c r="I17" s="18" t="str">
        <f>IFERROR(__xludf.DUMMYFUNCTION("IF(REGEXMATCH(T17,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IF(REGEXMATCH(T17, ""(?i)\bBrasília\b""), ""Distrito Federal, Brasil"",
REGEXEXTRACT(T17,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manualmente"")"),"Bahia, Brasil")</f>
        <v>Bahia, Brasil</v>
      </c>
      <c r="J17" s="30" t="s">
        <v>68</v>
      </c>
      <c r="K17" s="24" t="s">
        <v>69</v>
      </c>
      <c r="L17" s="24" t="s">
        <v>26</v>
      </c>
      <c r="M17" s="25" t="s">
        <v>27</v>
      </c>
      <c r="N17" s="18" t="str">
        <f t="shared" si="2"/>
        <v>Bahia Já</v>
      </c>
      <c r="O17" s="17" t="s">
        <v>28</v>
      </c>
      <c r="P17" s="17" t="s">
        <v>29</v>
      </c>
      <c r="Q17" s="26">
        <v>45961.0</v>
      </c>
      <c r="R17" s="17" t="s">
        <v>30</v>
      </c>
      <c r="S17" s="27" t="str">
        <f t="shared" si="3"/>
        <v>Aqui</v>
      </c>
      <c r="T17" s="29" t="s">
        <v>70</v>
      </c>
      <c r="U17" s="29"/>
    </row>
    <row r="18">
      <c r="A18" s="16">
        <v>16.0</v>
      </c>
      <c r="B18" s="17" t="s">
        <v>23</v>
      </c>
      <c r="C18" s="18" t="str">
        <f>IFERROR(__xludf.DUMMYFUNCTION("IF(B18="""","""",IF(OR(
  REGEXMATCH(B18,""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REGEXMATCH(B18,""Notícia|Reportagem|Artigo de opinião|Verbete"")
),""Difusão"","""")))
"),"Difusão")</f>
        <v>Difusão</v>
      </c>
      <c r="D18" s="19" t="str">
        <f>IFERROR(__xludf.DUMMYFUNCTION("IF(B18="""","""",IF(OR(
  REGEXMATCH(B18,""Performance|Instalação|Álbum|Música|Poema|Livro|Filme|Documentário|Recitação|Espetáculo|Peça|Intervenção|Desfile|Fotografia|Exposição|Charge|Grafite|Leitura pública|Fabricação de cachaça artesanal""),
  REGEXMATC"&amp;"H(B18,""dança|teatral|artístico|musical|artística"")
),""Manifestação artístico-cultural"",
IF(OR(
  REGEXMATCH(B18,""Crônica|Série|Reportagem|Podcast|Audiotour|Entrevista|Vídeo|Rádio|Notícia|Artigo de opinião|Coletiva de imprensa""),
  REGEXMATCH(B18,""m"&amp;"idiática"")
),""Produção midiática"","""")))
"),"Produção midiática")</f>
        <v>Produção midiática</v>
      </c>
      <c r="E18" s="20" t="str">
        <f>IFERROR(__xludf.DUMMYFUNCTION("IF(B18="""","""",IF(OR(
  REGEXMATCH(B18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REGEXMATCH(B18,""público|Imediato|artística|teatral|memória|Ação popular"")
),""Público Imediato"",
IF(REGEXMATCH(B18,""Música|Álbum|Filme|Documentário|S"&amp;"érie|Podcast|Rádio|Audiotour|Entrevista|Reportagem|Crônica|Relatório|Abaixo-assinado|Manifesto|Petição|Poema|Livro|Fotografia|Curta|Live|Webinário|Charge|Leitura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18" s="20" t="str">
        <f>IFERROR(__xludf.DUMMYFUNCTION("IF(B18="""","""",IF(OR(
  REGEXMATCH(B18,""Live|Webinário|Virtual|Verbete""),
  REGEXMATCH(B18,""online"")
),""Virtual"",
IF(REGEXMATCH(B18,""Música|Álbum|Filme|Documentário|Série|Podcast|Rádio|Audiotour|Episódio|Reportagem|Curta|Charge|Vídeo|Entrevista|N"&amp;"otícia|Artigo de opinião""),
""Midiático"",
IF(REGEXMATCH(B18,""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18" s="21" t="str">
        <f>IFERROR(__xludf.DUMMYFUNCTION("IF(C18=""rememoração"", ""Insira a data manualmente"", IF(C18=""difusão"", 
 IF(NOT(ISERROR(REGEXEXTRACT(T18, ""(\d{1,2}) jan\. 2025""))), 
  TEXT(DATE(2025,1,REGEXEXTRACT(T18, ""(\d{1,2}) jan\. 2025"")), ""dd/mm/yyyy""),
 IF(NOT(ISERROR(REGEXEXTRACT(T18,"&amp;" ""(\d{1,2}) fev\. 2025""))), 
  TEXT(DATE(2025,2,REGEXEXTRACT(T18, ""(\d{1,2}) fev\. 2025"")), ""dd/mm/yyyy""),
 IF(NOT(ISERROR(REGEXEXTRACT(T18, ""(\d{1,2}) mar\. 2025""))), 
  TEXT(DATE(2025,3,REGEXEXTRACT(T18, ""(\d{1,2}) mar\. 2025"")), ""dd/mm/yyyy"&amp;"""),
 IF(NOT(ISERROR(REGEXEXTRACT(T18, ""(\d{1,2}) abr\. 2025""))), 
  TEXT(DATE(2025,4,REGEXEXTRACT(T18, ""(\d{1,2}) abr\. 2025"")), ""dd/mm/yyyy""),
 IF(NOT(ISERROR(REGEXEXTRACT(T18, ""(\d{1,2}) (mai|maio)\. 2025""))), 
  TEXT(DATE(2025,5,REGEXEXTRACT(T"&amp;"18, ""(\d{1,2}) (mai|maio)\. 2025"")), ""dd/mm/yyyy""),
 IF(NOT(ISERROR(REGEXEXTRACT(T18, ""(\d{1,2}) jun\. 2025""))), 
  TEXT(DATE(2025,6,REGEXEXTRACT(T18, ""(\d{1,2}) jun\. 2025"")), ""dd/mm/yyyy""),
 IF(NOT(ISERROR(REGEXEXTRACT(T18, ""(\d{1,2}) jul\. 2"&amp;"025""))), 
  TEXT(DATE(2025,7,REGEXEXTRACT(T18, ""(\d{1,2}) jul\. 2025"")), ""dd/mm/yyyy""),
 IF(NOT(ISERROR(REGEXEXTRACT(T18, ""(\d{1,2}) ago\. 2025""))), 
  TEXT(DATE(2025,8,REGEXEXTRACT(T18, ""(\d{1,2}) ago\. 2025"")), ""dd/mm/yyyy""),
 IF(NOT(ISERROR("&amp;"REGEXEXTRACT(T18, ""(\d{1,2}) set\. 2025""))), 
  TEXT(DATE(2025,9,REGEXEXTRACT(T18, ""(\d{1,2}) set\. 2025"")), ""dd/mm/yyyy""),
 IF(NOT(ISERROR(REGEXEXTRACT(T18, ""(\d{1,2}) out\. 2025""))), 
  TEXT(DATE(2025,10,REGEXEXTRACT(T18, ""(\d{1,2}) out\. 2025"&amp;""")), ""dd/mm/yyyy""),
 IF(NOT(ISERROR(REGEXEXTRACT(T18, ""(\d{1,2}) nov\. 2025""))), 
  TEXT(DATE(2025,11,REGEXEXTRACT(T18, ""(\d{1,2}) nov\. 2025"")), ""dd/mm/yyyy""),
 IF(NOT(ISERROR(REGEXEXTRACT(T18, ""(\d{1,2}) dez\. 2025""))), 
  TEXT(DATE(2025,12,R"&amp;"EGEXEXTRACT(T18, ""(\d{1,2}) dez\. 2025"")), ""dd/mm/yyyy""),
 ""Insira a data manualmente"")))))))))))), """"))"),"29/10/2025")</f>
        <v>29/10/2025</v>
      </c>
      <c r="H18" s="22">
        <f t="shared" si="1"/>
        <v>2025</v>
      </c>
      <c r="I18" s="18" t="str">
        <f>IFERROR(__xludf.DUMMYFUNCTION("IF(REGEXMATCH(T18,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IF(REGEXMATCH(T18, ""(?i)\bBrasília\b""), ""Distrito Federal, Brasil"",
REGEXEXTRACT(T18,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18" s="30" t="s">
        <v>45</v>
      </c>
      <c r="K18" s="24" t="s">
        <v>71</v>
      </c>
      <c r="L18" s="24" t="s">
        <v>26</v>
      </c>
      <c r="M18" s="25" t="s">
        <v>27</v>
      </c>
      <c r="N18" s="18" t="str">
        <f t="shared" si="2"/>
        <v>Ponte Jornalismo</v>
      </c>
      <c r="O18" s="17" t="s">
        <v>28</v>
      </c>
      <c r="P18" s="17" t="s">
        <v>29</v>
      </c>
      <c r="Q18" s="26">
        <v>45961.0</v>
      </c>
      <c r="R18" s="17" t="s">
        <v>30</v>
      </c>
      <c r="S18" s="27" t="str">
        <f t="shared" si="3"/>
        <v>Aqui</v>
      </c>
      <c r="T18" s="29" t="s">
        <v>72</v>
      </c>
      <c r="U18" s="29"/>
    </row>
    <row r="19">
      <c r="A19" s="16">
        <v>17.0</v>
      </c>
      <c r="B19" s="17" t="s">
        <v>73</v>
      </c>
      <c r="C19" s="18" t="str">
        <f>IFERROR(__xludf.DUMMYFUNCTION("IF(B19="""","""",IF(OR(
  REGEXMATCH(B19,""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REGEXMATCH(B19,""Notícia|Reportagem|Artigo de opinião|Verbete"")
),""Difusão"","""")))
"),"Rememoração")</f>
        <v>Rememoração</v>
      </c>
      <c r="D19" s="19" t="str">
        <f>IFERROR(__xludf.DUMMYFUNCTION("IF(B19="""","""",IF(OR(
  REGEXMATCH(B19,""Performance|Instalação|Álbum|Música|Poema|Livro|Filme|Documentário|Recitação|Espetáculo|Peça|Intervenção|Desfile|Fotografia|Exposição|Charge|Grafite|Leitura pública|Fabricação de cachaça artesanal""),
  REGEXMATC"&amp;"H(B19,""dança|teatral|artístico|musical|artística"")
),""Manifestação artístico-cultural"",
IF(OR(
  REGEXMATCH(B19,""Crônica|Série|Reportagem|Podcast|Audiotour|Entrevista|Vídeo|Rádio|Notícia|Artigo de opinião|Coletiva de imprensa""),
  REGEXMATCH(B19,""m"&amp;"idiática"")
),""Produção midiática"","""")))
"),"")</f>
        <v/>
      </c>
      <c r="E19" s="20" t="str">
        <f>IFERROR(__xludf.DUMMYFUNCTION("IF(B19="""","""",IF(OR(
  REGEXMATCH(B19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REGEXMATCH(B19,""público|Imediato|artística|teatral|memória|Ação popular"")
),""Público Imediato"",
IF(REGEXMATCH(B19,""Música|Álbum|Filme|Documentário|S"&amp;"érie|Podcast|Rádio|Audiotour|Entrevista|Reportagem|Crônica|Relatório|Abaixo-assinado|Manifesto|Petição|Poema|Livro|Fotografia|Curta|Live|Webinário|Charge|Leitura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Imediato")</f>
        <v>Público Imediato</v>
      </c>
      <c r="F19" s="20" t="str">
        <f>IFERROR(__xludf.DUMMYFUNCTION("IF(B19="""","""",IF(OR(
  REGEXMATCH(B19,""Live|Webinário|Virtual|Verbete""),
  REGEXMATCH(B19,""online"")
),""Virtual"",
IF(REGEXMATCH(B19,""Música|Álbum|Filme|Documentário|Série|Podcast|Rádio|Audiotour|Episódio|Reportagem|Curta|Charge|Vídeo|Entrevista|N"&amp;"otícia|Artigo de opinião""),
""Midiático"",
IF(REGEXMATCH(B19,""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19" s="21">
        <v>45959.0</v>
      </c>
      <c r="H19" s="22">
        <f t="shared" si="1"/>
        <v>2025</v>
      </c>
      <c r="I19" s="18" t="s">
        <v>74</v>
      </c>
      <c r="J19" s="30" t="s">
        <v>45</v>
      </c>
      <c r="K19" s="24" t="s">
        <v>75</v>
      </c>
      <c r="L19" s="24" t="s">
        <v>76</v>
      </c>
      <c r="M19" s="25" t="s">
        <v>77</v>
      </c>
      <c r="N19" s="18" t="s">
        <v>45</v>
      </c>
      <c r="O19" s="17" t="s">
        <v>28</v>
      </c>
      <c r="P19" s="17" t="s">
        <v>29</v>
      </c>
      <c r="Q19" s="26">
        <v>45961.0</v>
      </c>
      <c r="R19" s="17" t="s">
        <v>30</v>
      </c>
      <c r="S19" s="27" t="str">
        <f t="shared" si="3"/>
        <v>Aqui</v>
      </c>
      <c r="T19" s="29" t="s">
        <v>78</v>
      </c>
      <c r="U19" s="29"/>
    </row>
    <row r="20">
      <c r="A20" s="16">
        <v>18.0</v>
      </c>
      <c r="B20" s="17" t="s">
        <v>79</v>
      </c>
      <c r="C20" s="18" t="str">
        <f>IFERROR(__xludf.DUMMYFUNCTION("IF(B20="""","""",IF(OR(
  REGEXMATCH(B20,""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REGEXMATCH(B20,""Notícia|Reportagem|Artigo de opinião|Verbete"")
),""Difusão"","""")))
"),"Rememoração")</f>
        <v>Rememoração</v>
      </c>
      <c r="D20" s="19" t="str">
        <f>IFERROR(__xludf.DUMMYFUNCTION("IF(B20="""","""",IF(OR(
  REGEXMATCH(B20,""Performance|Instalação|Álbum|Música|Poema|Livro|Filme|Documentário|Recitação|Espetáculo|Peça|Intervenção|Desfile|Fotografia|Exposição|Charge|Grafite|Leitura pública|Fabricação de cachaça artesanal""),
  REGEXMATC"&amp;"H(B20,""dança|teatral|artístico|musical|artística"")
),""Manifestação artístico-cultural"",
IF(OR(
  REGEXMATCH(B20,""Crônica|Série|Reportagem|Podcast|Audiotour|Entrevista|Vídeo|Rádio|Notícia|Artigo de opinião|Coletiva de imprensa""),
  REGEXMATCH(B20,""m"&amp;"idiática"")
),""Produção midiática"","""")))
"),"")</f>
        <v/>
      </c>
      <c r="E20" s="20" t="str">
        <f>IFERROR(__xludf.DUMMYFUNCTION("IF(B20="""","""",IF(OR(
  REGEXMATCH(B20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REGEXMATCH(B20,""público|Imediato|artística|teatral|memória|Ação popular"")
),""Público Imediato"",
IF(REGEXMATCH(B20,""Música|Álbum|Filme|Documentário|S"&amp;"érie|Podcast|Rádio|Audiotour|Entrevista|Reportagem|Crônica|Relatório|Abaixo-assinado|Manifesto|Petição|Poema|Livro|Fotografia|Curta|Live|Webinário|Charge|Leitura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20" s="20" t="str">
        <f>IFERROR(__xludf.DUMMYFUNCTION("IF(B20="""","""",IF(OR(
  REGEXMATCH(B20,""Live|Webinário|Virtual|Verbete""),
  REGEXMATCH(B20,""online"")
),""Virtual"",
IF(REGEXMATCH(B20,""Música|Álbum|Filme|Documentário|Série|Podcast|Rádio|Audiotour|Episódio|Reportagem|Curta|Charge|Vídeo|Entrevista|N"&amp;"otícia|Artigo de opinião""),
""Midiático"",
IF(REGEXMATCH(B20,""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20" s="21">
        <v>45959.0</v>
      </c>
      <c r="H20" s="22">
        <f t="shared" si="1"/>
        <v>2025</v>
      </c>
      <c r="I20" s="18" t="str">
        <f>IFERROR(__xludf.DUMMYFUNCTION("IF(REGEXMATCH(T20,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IF(REGEXMATCH(T20, ""(?i)\bBrasília\b""), ""Distrito Federal, Brasil"",
REGEXEXTRACT(T20,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20" s="30" t="s">
        <v>80</v>
      </c>
      <c r="K20" s="24" t="s">
        <v>81</v>
      </c>
      <c r="L20" s="24" t="s">
        <v>26</v>
      </c>
      <c r="M20" s="25" t="s">
        <v>27</v>
      </c>
      <c r="N20" s="18" t="s">
        <v>80</v>
      </c>
      <c r="O20" s="17" t="s">
        <v>28</v>
      </c>
      <c r="P20" s="17" t="s">
        <v>29</v>
      </c>
      <c r="Q20" s="26">
        <v>45961.0</v>
      </c>
      <c r="R20" s="17" t="s">
        <v>30</v>
      </c>
      <c r="S20" s="27" t="str">
        <f t="shared" si="3"/>
        <v>Aqui</v>
      </c>
      <c r="T20" s="29" t="s">
        <v>82</v>
      </c>
      <c r="U20" s="29"/>
    </row>
    <row r="21">
      <c r="A21" s="16">
        <v>19.0</v>
      </c>
      <c r="B21" s="17" t="s">
        <v>23</v>
      </c>
      <c r="C21" s="18" t="str">
        <f>IFERROR(__xludf.DUMMYFUNCTION("IF(B21="""","""",IF(OR(
  REGEXMATCH(B21,""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REGEXMATCH(B21,""Notícia|Reportagem|Artigo de opinião|Verbete"")
),""Difusão"","""")))
"),"Difusão")</f>
        <v>Difusão</v>
      </c>
      <c r="D21" s="19" t="str">
        <f>IFERROR(__xludf.DUMMYFUNCTION("IF(B21="""","""",IF(OR(
  REGEXMATCH(B21,""Performance|Instalação|Álbum|Música|Poema|Livro|Filme|Documentário|Recitação|Espetáculo|Peça|Intervenção|Desfile|Fotografia|Exposição|Charge|Grafite|Leitura pública|Fabricação de cachaça artesanal""),
  REGEXMATC"&amp;"H(B21,""dança|teatral|artístico|musical|artística"")
),""Manifestação artístico-cultural"",
IF(OR(
  REGEXMATCH(B21,""Crônica|Série|Reportagem|Podcast|Audiotour|Entrevista|Vídeo|Rádio|Notícia|Artigo de opinião|Coletiva de imprensa""),
  REGEXMATCH(B21,""m"&amp;"idiática"")
),""Produção midiática"","""")))
"),"Produção midiática")</f>
        <v>Produção midiática</v>
      </c>
      <c r="E21" s="20" t="str">
        <f>IFERROR(__xludf.DUMMYFUNCTION("IF(B21="""","""",IF(OR(
  REGEXMATCH(B21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REGEXMATCH(B21,""público|Imediato|artística|teatral|memória|Ação popular"")
),""Público Imediato"",
IF(REGEXMATCH(B21,""Música|Álbum|Filme|Documentário|S"&amp;"érie|Podcast|Rádio|Audiotour|Entrevista|Reportagem|Crônica|Relatório|Abaixo-assinado|Manifesto|Petição|Poema|Livro|Fotografia|Curta|Live|Webinário|Charge|Leitura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21" s="20" t="str">
        <f>IFERROR(__xludf.DUMMYFUNCTION("IF(B21="""","""",IF(OR(
  REGEXMATCH(B21,""Live|Webinário|Virtual|Verbete""),
  REGEXMATCH(B21,""online"")
),""Virtual"",
IF(REGEXMATCH(B21,""Música|Álbum|Filme|Documentário|Série|Podcast|Rádio|Audiotour|Episódio|Reportagem|Curta|Charge|Vídeo|Entrevista|N"&amp;"otícia|Artigo de opinião""),
""Midiático"",
IF(REGEXMATCH(B21,""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21" s="21" t="str">
        <f>IFERROR(__xludf.DUMMYFUNCTION("IF(C21=""rememoração"", ""Insira a data manualmente"", IF(C21=""difusão"", 
 IF(NOT(ISERROR(REGEXEXTRACT(T21, ""(\d{1,2}) jan\. 2025""))), 
  TEXT(DATE(2025,1,REGEXEXTRACT(T21, ""(\d{1,2}) jan\. 2025"")), ""dd/mm/yyyy""),
 IF(NOT(ISERROR(REGEXEXTRACT(T21,"&amp;" ""(\d{1,2}) fev\. 2025""))), 
  TEXT(DATE(2025,2,REGEXEXTRACT(T21, ""(\d{1,2}) fev\. 2025"")), ""dd/mm/yyyy""),
 IF(NOT(ISERROR(REGEXEXTRACT(T21, ""(\d{1,2}) mar\. 2025""))), 
  TEXT(DATE(2025,3,REGEXEXTRACT(T21, ""(\d{1,2}) mar\. 2025"")), ""dd/mm/yyyy"&amp;"""),
 IF(NOT(ISERROR(REGEXEXTRACT(T21, ""(\d{1,2}) abr\. 2025""))), 
  TEXT(DATE(2025,4,REGEXEXTRACT(T21, ""(\d{1,2}) abr\. 2025"")), ""dd/mm/yyyy""),
 IF(NOT(ISERROR(REGEXEXTRACT(T21, ""(\d{1,2}) (mai|maio)\. 2025""))), 
  TEXT(DATE(2025,5,REGEXEXTRACT(T"&amp;"21, ""(\d{1,2}) (mai|maio)\. 2025"")), ""dd/mm/yyyy""),
 IF(NOT(ISERROR(REGEXEXTRACT(T21, ""(\d{1,2}) jun\. 2025""))), 
  TEXT(DATE(2025,6,REGEXEXTRACT(T21, ""(\d{1,2}) jun\. 2025"")), ""dd/mm/yyyy""),
 IF(NOT(ISERROR(REGEXEXTRACT(T21, ""(\d{1,2}) jul\. 2"&amp;"025""))), 
  TEXT(DATE(2025,7,REGEXEXTRACT(T21, ""(\d{1,2}) jul\. 2025"")), ""dd/mm/yyyy""),
 IF(NOT(ISERROR(REGEXEXTRACT(T21, ""(\d{1,2}) ago\. 2025""))), 
  TEXT(DATE(2025,8,REGEXEXTRACT(T21, ""(\d{1,2}) ago\. 2025"")), ""dd/mm/yyyy""),
 IF(NOT(ISERROR("&amp;"REGEXEXTRACT(T21, ""(\d{1,2}) set\. 2025""))), 
  TEXT(DATE(2025,9,REGEXEXTRACT(T21, ""(\d{1,2}) set\. 2025"")), ""dd/mm/yyyy""),
 IF(NOT(ISERROR(REGEXEXTRACT(T21, ""(\d{1,2}) out\. 2025""))), 
  TEXT(DATE(2025,10,REGEXEXTRACT(T21, ""(\d{1,2}) out\. 2025"&amp;""")), ""dd/mm/yyyy""),
 IF(NOT(ISERROR(REGEXEXTRACT(T21, ""(\d{1,2}) nov\. 2025""))), 
  TEXT(DATE(2025,11,REGEXEXTRACT(T21, ""(\d{1,2}) nov\. 2025"")), ""dd/mm/yyyy""),
 IF(NOT(ISERROR(REGEXEXTRACT(T21, ""(\d{1,2}) dez\. 2025""))), 
  TEXT(DATE(2025,12,R"&amp;"EGEXEXTRACT(T21, ""(\d{1,2}) dez\. 2025"")), ""dd/mm/yyyy""),
 ""Insira a data manualmente"")))))))))))), """"))"),"30/10/2025")</f>
        <v>30/10/2025</v>
      </c>
      <c r="H21" s="22">
        <f t="shared" si="1"/>
        <v>2025</v>
      </c>
      <c r="I21" s="18" t="str">
        <f>IFERROR(__xludf.DUMMYFUNCTION("IF(REGEXMATCH(T21,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IF(REGEXMATCH(T21, ""(?i)\bBrasília\b""), ""Distrito Federal, Brasil"",
REGEXEXTRACT(T21,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21" s="30" t="s">
        <v>39</v>
      </c>
      <c r="K21" s="24" t="s">
        <v>83</v>
      </c>
      <c r="L21" s="24" t="s">
        <v>26</v>
      </c>
      <c r="M21" s="25" t="s">
        <v>27</v>
      </c>
      <c r="N21" s="18" t="str">
        <f t="shared" ref="N21:N30" si="4">IF(C21="difusão", J21, IF(C21="rememoração", "Inserir fonte manualmente", ""))</f>
        <v>Le Monde Diplomatique</v>
      </c>
      <c r="O21" s="17" t="s">
        <v>28</v>
      </c>
      <c r="P21" s="17" t="s">
        <v>29</v>
      </c>
      <c r="Q21" s="26">
        <v>45961.0</v>
      </c>
      <c r="R21" s="17" t="s">
        <v>30</v>
      </c>
      <c r="S21" s="27" t="str">
        <f t="shared" si="3"/>
        <v>Aqui</v>
      </c>
      <c r="T21" s="29" t="s">
        <v>84</v>
      </c>
      <c r="U21" s="29"/>
    </row>
    <row r="22">
      <c r="A22" s="16">
        <v>20.0</v>
      </c>
      <c r="B22" s="17" t="s">
        <v>23</v>
      </c>
      <c r="C22" s="18" t="str">
        <f>IFERROR(__xludf.DUMMYFUNCTION("IF(B22="""","""",IF(OR(
  REGEXMATCH(B22,""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REGEXMATCH(B22,""Notícia|Reportagem|Artigo de opinião|Verbete"")
),""Difusão"","""")))
"),"Difusão")</f>
        <v>Difusão</v>
      </c>
      <c r="D22" s="19" t="str">
        <f>IFERROR(__xludf.DUMMYFUNCTION("IF(B22="""","""",IF(OR(
  REGEXMATCH(B22,""Performance|Instalação|Álbum|Música|Poema|Livro|Filme|Documentário|Recitação|Espetáculo|Peça|Intervenção|Desfile|Fotografia|Exposição|Charge|Grafite|Leitura pública|Fabricação de cachaça artesanal""),
  REGEXMATC"&amp;"H(B22,""dança|teatral|artístico|musical|artística"")
),""Manifestação artístico-cultural"",
IF(OR(
  REGEXMATCH(B22,""Crônica|Série|Reportagem|Podcast|Audiotour|Entrevista|Vídeo|Rádio|Notícia|Artigo de opinião|Coletiva de imprensa""),
  REGEXMATCH(B22,""m"&amp;"idiática"")
),""Produção midiática"","""")))
"),"Produção midiática")</f>
        <v>Produção midiática</v>
      </c>
      <c r="E22" s="20" t="str">
        <f>IFERROR(__xludf.DUMMYFUNCTION("IF(B22="""","""",IF(OR(
  REGEXMATCH(B22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REGEXMATCH(B22,""público|Imediato|artística|teatral|memória|Ação popular"")
),""Público Imediato"",
IF(REGEXMATCH(B22,""Música|Álbum|Filme|Documentário|S"&amp;"érie|Podcast|Rádio|Audiotour|Entrevista|Reportagem|Crônica|Relatório|Abaixo-assinado|Manifesto|Petição|Poema|Livro|Fotografia|Curta|Live|Webinário|Charge|Leitura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22" s="20" t="str">
        <f>IFERROR(__xludf.DUMMYFUNCTION("IF(B22="""","""",IF(OR(
  REGEXMATCH(B22,""Live|Webinário|Virtual|Verbete""),
  REGEXMATCH(B22,""online"")
),""Virtual"",
IF(REGEXMATCH(B22,""Música|Álbum|Filme|Documentário|Série|Podcast|Rádio|Audiotour|Episódio|Reportagem|Curta|Charge|Vídeo|Entrevista|N"&amp;"otícia|Artigo de opinião""),
""Midiático"",
IF(REGEXMATCH(B22,""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22" s="21" t="str">
        <f>IFERROR(__xludf.DUMMYFUNCTION("IF(C22=""rememoração"", ""Insira a data manualmente"", IF(C22=""difusão"", 
 IF(NOT(ISERROR(REGEXEXTRACT(T22, ""(\d{1,2}) jan\. 2025""))), 
  TEXT(DATE(2025,1,REGEXEXTRACT(T22, ""(\d{1,2}) jan\. 2025"")), ""dd/mm/yyyy""),
 IF(NOT(ISERROR(REGEXEXTRACT(T22,"&amp;" ""(\d{1,2}) fev\. 2025""))), 
  TEXT(DATE(2025,2,REGEXEXTRACT(T22, ""(\d{1,2}) fev\. 2025"")), ""dd/mm/yyyy""),
 IF(NOT(ISERROR(REGEXEXTRACT(T22, ""(\d{1,2}) mar\. 2025""))), 
  TEXT(DATE(2025,3,REGEXEXTRACT(T22, ""(\d{1,2}) mar\. 2025"")), ""dd/mm/yyyy"&amp;"""),
 IF(NOT(ISERROR(REGEXEXTRACT(T22, ""(\d{1,2}) abr\. 2025""))), 
  TEXT(DATE(2025,4,REGEXEXTRACT(T22, ""(\d{1,2}) abr\. 2025"")), ""dd/mm/yyyy""),
 IF(NOT(ISERROR(REGEXEXTRACT(T22, ""(\d{1,2}) (mai|maio)\. 2025""))), 
  TEXT(DATE(2025,5,REGEXEXTRACT(T"&amp;"22, ""(\d{1,2}) (mai|maio)\. 2025"")), ""dd/mm/yyyy""),
 IF(NOT(ISERROR(REGEXEXTRACT(T22, ""(\d{1,2}) jun\. 2025""))), 
  TEXT(DATE(2025,6,REGEXEXTRACT(T22, ""(\d{1,2}) jun\. 2025"")), ""dd/mm/yyyy""),
 IF(NOT(ISERROR(REGEXEXTRACT(T22, ""(\d{1,2}) jul\. 2"&amp;"025""))), 
  TEXT(DATE(2025,7,REGEXEXTRACT(T22, ""(\d{1,2}) jul\. 2025"")), ""dd/mm/yyyy""),
 IF(NOT(ISERROR(REGEXEXTRACT(T22, ""(\d{1,2}) ago\. 2025""))), 
  TEXT(DATE(2025,8,REGEXEXTRACT(T22, ""(\d{1,2}) ago\. 2025"")), ""dd/mm/yyyy""),
 IF(NOT(ISERROR("&amp;"REGEXEXTRACT(T22, ""(\d{1,2}) set\. 2025""))), 
  TEXT(DATE(2025,9,REGEXEXTRACT(T22, ""(\d{1,2}) set\. 2025"")), ""dd/mm/yyyy""),
 IF(NOT(ISERROR(REGEXEXTRACT(T22, ""(\d{1,2}) out\. 2025""))), 
  TEXT(DATE(2025,10,REGEXEXTRACT(T22, ""(\d{1,2}) out\. 2025"&amp;""")), ""dd/mm/yyyy""),
 IF(NOT(ISERROR(REGEXEXTRACT(T22, ""(\d{1,2}) nov\. 2025""))), 
  TEXT(DATE(2025,11,REGEXEXTRACT(T22, ""(\d{1,2}) nov\. 2025"")), ""dd/mm/yyyy""),
 IF(NOT(ISERROR(REGEXEXTRACT(T22, ""(\d{1,2}) dez\. 2025""))), 
  TEXT(DATE(2025,12,R"&amp;"EGEXEXTRACT(T22, ""(\d{1,2}) dez\. 2025"")), ""dd/mm/yyyy""),
 ""Insira a data manualmente"")))))))))))), """"))"),"31/10/2025")</f>
        <v>31/10/2025</v>
      </c>
      <c r="H22" s="22">
        <f t="shared" si="1"/>
        <v>2025</v>
      </c>
      <c r="I22" s="18" t="str">
        <f>IFERROR(__xludf.DUMMYFUNCTION("IF(REGEXMATCH(T22,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IF(REGEXMATCH(T22, ""(?i)\bBrasília\b""), ""Distrito Federal, Brasil"",
REGEXEXTRACT(T22,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22" s="30" t="s">
        <v>39</v>
      </c>
      <c r="K22" s="24" t="s">
        <v>85</v>
      </c>
      <c r="L22" s="24" t="s">
        <v>26</v>
      </c>
      <c r="M22" s="25" t="s">
        <v>27</v>
      </c>
      <c r="N22" s="18" t="str">
        <f t="shared" si="4"/>
        <v>Le Monde Diplomatique</v>
      </c>
      <c r="O22" s="17" t="s">
        <v>28</v>
      </c>
      <c r="P22" s="17" t="s">
        <v>29</v>
      </c>
      <c r="Q22" s="26">
        <v>45961.0</v>
      </c>
      <c r="R22" s="17" t="s">
        <v>30</v>
      </c>
      <c r="S22" s="27" t="str">
        <f t="shared" si="3"/>
        <v>Aqui</v>
      </c>
      <c r="T22" s="29" t="s">
        <v>86</v>
      </c>
      <c r="U22" s="29"/>
    </row>
    <row r="23">
      <c r="A23" s="16">
        <v>21.0</v>
      </c>
      <c r="B23" s="17" t="s">
        <v>23</v>
      </c>
      <c r="C23" s="18" t="str">
        <f>IFERROR(__xludf.DUMMYFUNCTION("IF(B23="""","""",IF(OR(
  REGEXMATCH(B23,""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REGEXMATCH(B23,""Notícia|Reportagem|Artigo de opinião|Verbete"")
),""Difusão"","""")))
"),"Difusão")</f>
        <v>Difusão</v>
      </c>
      <c r="D23" s="19" t="str">
        <f>IFERROR(__xludf.DUMMYFUNCTION("IF(B23="""","""",IF(OR(
  REGEXMATCH(B23,""Performance|Instalação|Álbum|Música|Poema|Livro|Filme|Documentário|Recitação|Espetáculo|Peça|Intervenção|Desfile|Fotografia|Exposição|Charge|Grafite|Leitura pública|Fabricação de cachaça artesanal""),
  REGEXMATC"&amp;"H(B23,""dança|teatral|artístico|musical|artística"")
),""Manifestação artístico-cultural"",
IF(OR(
  REGEXMATCH(B23,""Crônica|Série|Reportagem|Podcast|Audiotour|Entrevista|Vídeo|Rádio|Notícia|Artigo de opinião|Coletiva de imprensa""),
  REGEXMATCH(B23,""m"&amp;"idiática"")
),""Produção midiática"","""")))
"),"Produção midiática")</f>
        <v>Produção midiática</v>
      </c>
      <c r="E23" s="20" t="str">
        <f>IFERROR(__xludf.DUMMYFUNCTION("IF(B23="""","""",IF(OR(
  REGEXMATCH(B23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REGEXMATCH(B23,""público|Imediato|artística|teatral|memória|Ação popular"")
),""Público Imediato"",
IF(REGEXMATCH(B23,""Música|Álbum|Filme|Documentário|S"&amp;"érie|Podcast|Rádio|Audiotour|Entrevista|Reportagem|Crônica|Relatório|Abaixo-assinado|Manifesto|Petição|Poema|Livro|Fotografia|Curta|Live|Webinário|Charge|Leitura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23" s="20" t="str">
        <f>IFERROR(__xludf.DUMMYFUNCTION("IF(B23="""","""",IF(OR(
  REGEXMATCH(B23,""Live|Webinário|Virtual|Verbete""),
  REGEXMATCH(B23,""online"")
),""Virtual"",
IF(REGEXMATCH(B23,""Música|Álbum|Filme|Documentário|Série|Podcast|Rádio|Audiotour|Episódio|Reportagem|Curta|Charge|Vídeo|Entrevista|N"&amp;"otícia|Artigo de opinião""),
""Midiático"",
IF(REGEXMATCH(B23,""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23" s="21" t="str">
        <f>IFERROR(__xludf.DUMMYFUNCTION("IF(C23=""rememoração"", ""Insira a data manualmente"", IF(C23=""difusão"", 
 IF(NOT(ISERROR(REGEXEXTRACT(T23, ""(\d{1,2}) jan\. 2025""))), 
  TEXT(DATE(2025,1,REGEXEXTRACT(T23, ""(\d{1,2}) jan\. 2025"")), ""dd/mm/yyyy""),
 IF(NOT(ISERROR(REGEXEXTRACT(T23,"&amp;" ""(\d{1,2}) fev\. 2025""))), 
  TEXT(DATE(2025,2,REGEXEXTRACT(T23, ""(\d{1,2}) fev\. 2025"")), ""dd/mm/yyyy""),
 IF(NOT(ISERROR(REGEXEXTRACT(T23, ""(\d{1,2}) mar\. 2025""))), 
  TEXT(DATE(2025,3,REGEXEXTRACT(T23, ""(\d{1,2}) mar\. 2025"")), ""dd/mm/yyyy"&amp;"""),
 IF(NOT(ISERROR(REGEXEXTRACT(T23, ""(\d{1,2}) abr\. 2025""))), 
  TEXT(DATE(2025,4,REGEXEXTRACT(T23, ""(\d{1,2}) abr\. 2025"")), ""dd/mm/yyyy""),
 IF(NOT(ISERROR(REGEXEXTRACT(T23, ""(\d{1,2}) (mai|maio)\. 2025""))), 
  TEXT(DATE(2025,5,REGEXEXTRACT(T"&amp;"23, ""(\d{1,2}) (mai|maio)\. 2025"")), ""dd/mm/yyyy""),
 IF(NOT(ISERROR(REGEXEXTRACT(T23, ""(\d{1,2}) jun\. 2025""))), 
  TEXT(DATE(2025,6,REGEXEXTRACT(T23, ""(\d{1,2}) jun\. 2025"")), ""dd/mm/yyyy""),
 IF(NOT(ISERROR(REGEXEXTRACT(T23, ""(\d{1,2}) jul\. 2"&amp;"025""))), 
  TEXT(DATE(2025,7,REGEXEXTRACT(T23, ""(\d{1,2}) jul\. 2025"")), ""dd/mm/yyyy""),
 IF(NOT(ISERROR(REGEXEXTRACT(T23, ""(\d{1,2}) ago\. 2025""))), 
  TEXT(DATE(2025,8,REGEXEXTRACT(T23, ""(\d{1,2}) ago\. 2025"")), ""dd/mm/yyyy""),
 IF(NOT(ISERROR("&amp;"REGEXEXTRACT(T23, ""(\d{1,2}) set\. 2025""))), 
  TEXT(DATE(2025,9,REGEXEXTRACT(T23, ""(\d{1,2}) set\. 2025"")), ""dd/mm/yyyy""),
 IF(NOT(ISERROR(REGEXEXTRACT(T23, ""(\d{1,2}) out\. 2025""))), 
  TEXT(DATE(2025,10,REGEXEXTRACT(T23, ""(\d{1,2}) out\. 2025"&amp;""")), ""dd/mm/yyyy""),
 IF(NOT(ISERROR(REGEXEXTRACT(T23, ""(\d{1,2}) nov\. 2025""))), 
  TEXT(DATE(2025,11,REGEXEXTRACT(T23, ""(\d{1,2}) nov\. 2025"")), ""dd/mm/yyyy""),
 IF(NOT(ISERROR(REGEXEXTRACT(T23, ""(\d{1,2}) dez\. 2025""))), 
  TEXT(DATE(2025,12,R"&amp;"EGEXEXTRACT(T23, ""(\d{1,2}) dez\. 2025"")), ""dd/mm/yyyy""),
 ""Insira a data manualmente"")))))))))))), """"))"),"30/10/2025")</f>
        <v>30/10/2025</v>
      </c>
      <c r="H23" s="22">
        <f t="shared" si="1"/>
        <v>2025</v>
      </c>
      <c r="I23" s="18" t="str">
        <f>IFERROR(__xludf.DUMMYFUNCTION("IF(REGEXMATCH(T23,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IF(REGEXMATCH(T23, ""(?i)\bBrasília\b""), ""Distrito Federal, Brasil"",
REGEXEXTRACT(T23,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23" s="30" t="s">
        <v>39</v>
      </c>
      <c r="K23" s="24" t="s">
        <v>87</v>
      </c>
      <c r="L23" s="24" t="s">
        <v>26</v>
      </c>
      <c r="M23" s="25" t="s">
        <v>27</v>
      </c>
      <c r="N23" s="18" t="str">
        <f t="shared" si="4"/>
        <v>Le Monde Diplomatique</v>
      </c>
      <c r="O23" s="17" t="s">
        <v>28</v>
      </c>
      <c r="P23" s="17" t="s">
        <v>29</v>
      </c>
      <c r="Q23" s="26">
        <v>45961.0</v>
      </c>
      <c r="R23" s="17" t="s">
        <v>30</v>
      </c>
      <c r="S23" s="27" t="str">
        <f t="shared" si="3"/>
        <v>Aqui</v>
      </c>
      <c r="T23" s="29" t="s">
        <v>88</v>
      </c>
      <c r="U23" s="29"/>
    </row>
    <row r="24">
      <c r="A24" s="16">
        <v>22.0</v>
      </c>
      <c r="B24" s="17" t="s">
        <v>23</v>
      </c>
      <c r="C24" s="18" t="str">
        <f>IFERROR(__xludf.DUMMYFUNCTION("IF(B24="""","""",IF(OR(
  REGEXMATCH(B24,""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REGEXMATCH(B24,""Notícia|Reportagem|Artigo de opinião|Verbete"")
),""Difusão"","""")))
"),"Difusão")</f>
        <v>Difusão</v>
      </c>
      <c r="D24" s="19" t="str">
        <f>IFERROR(__xludf.DUMMYFUNCTION("IF(B24="""","""",IF(OR(
  REGEXMATCH(B24,""Performance|Instalação|Álbum|Música|Poema|Livro|Filme|Documentário|Recitação|Espetáculo|Peça|Intervenção|Desfile|Fotografia|Exposição|Charge|Grafite|Leitura pública|Fabricação de cachaça artesanal""),
  REGEXMATC"&amp;"H(B24,""dança|teatral|artístico|musical|artística"")
),""Manifestação artístico-cultural"",
IF(OR(
  REGEXMATCH(B24,""Crônica|Série|Reportagem|Podcast|Audiotour|Entrevista|Vídeo|Rádio|Notícia|Artigo de opinião|Coletiva de imprensa""),
  REGEXMATCH(B24,""m"&amp;"idiática"")
),""Produção midiática"","""")))
"),"Produção midiática")</f>
        <v>Produção midiática</v>
      </c>
      <c r="E24" s="20" t="str">
        <f>IFERROR(__xludf.DUMMYFUNCTION("IF(B24="""","""",IF(OR(
  REGEXMATCH(B24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REGEXMATCH(B24,""público|Imediato|artística|teatral|memória|Ação popular"")
),""Público Imediato"",
IF(REGEXMATCH(B24,""Música|Álbum|Filme|Documentário|S"&amp;"érie|Podcast|Rádio|Audiotour|Entrevista|Reportagem|Crônica|Relatório|Abaixo-assinado|Manifesto|Petição|Poema|Livro|Fotografia|Curta|Live|Webinário|Charge|Leitura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24" s="20" t="str">
        <f>IFERROR(__xludf.DUMMYFUNCTION("IF(B24="""","""",IF(OR(
  REGEXMATCH(B24,""Live|Webinário|Virtual|Verbete""),
  REGEXMATCH(B24,""online"")
),""Virtual"",
IF(REGEXMATCH(B24,""Música|Álbum|Filme|Documentário|Série|Podcast|Rádio|Audiotour|Episódio|Reportagem|Curta|Charge|Vídeo|Entrevista|N"&amp;"otícia|Artigo de opinião""),
""Midiático"",
IF(REGEXMATCH(B24,""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24" s="21" t="str">
        <f>IFERROR(__xludf.DUMMYFUNCTION("IF(C24=""rememoração"", ""Insira a data manualmente"", IF(C24=""difusão"", 
 IF(NOT(ISERROR(REGEXEXTRACT(T24, ""(\d{1,2}) jan\. 2025""))), 
  TEXT(DATE(2025,1,REGEXEXTRACT(T24, ""(\d{1,2}) jan\. 2025"")), ""dd/mm/yyyy""),
 IF(NOT(ISERROR(REGEXEXTRACT(T24,"&amp;" ""(\d{1,2}) fev\. 2025""))), 
  TEXT(DATE(2025,2,REGEXEXTRACT(T24, ""(\d{1,2}) fev\. 2025"")), ""dd/mm/yyyy""),
 IF(NOT(ISERROR(REGEXEXTRACT(T24, ""(\d{1,2}) mar\. 2025""))), 
  TEXT(DATE(2025,3,REGEXEXTRACT(T24, ""(\d{1,2}) mar\. 2025"")), ""dd/mm/yyyy"&amp;"""),
 IF(NOT(ISERROR(REGEXEXTRACT(T24, ""(\d{1,2}) abr\. 2025""))), 
  TEXT(DATE(2025,4,REGEXEXTRACT(T24, ""(\d{1,2}) abr\. 2025"")), ""dd/mm/yyyy""),
 IF(NOT(ISERROR(REGEXEXTRACT(T24, ""(\d{1,2}) (mai|maio)\. 2025""))), 
  TEXT(DATE(2025,5,REGEXEXTRACT(T"&amp;"24, ""(\d{1,2}) (mai|maio)\. 2025"")), ""dd/mm/yyyy""),
 IF(NOT(ISERROR(REGEXEXTRACT(T24, ""(\d{1,2}) jun\. 2025""))), 
  TEXT(DATE(2025,6,REGEXEXTRACT(T24, ""(\d{1,2}) jun\. 2025"")), ""dd/mm/yyyy""),
 IF(NOT(ISERROR(REGEXEXTRACT(T24, ""(\d{1,2}) jul\. 2"&amp;"025""))), 
  TEXT(DATE(2025,7,REGEXEXTRACT(T24, ""(\d{1,2}) jul\. 2025"")), ""dd/mm/yyyy""),
 IF(NOT(ISERROR(REGEXEXTRACT(T24, ""(\d{1,2}) ago\. 2025""))), 
  TEXT(DATE(2025,8,REGEXEXTRACT(T24, ""(\d{1,2}) ago\. 2025"")), ""dd/mm/yyyy""),
 IF(NOT(ISERROR("&amp;"REGEXEXTRACT(T24, ""(\d{1,2}) set\. 2025""))), 
  TEXT(DATE(2025,9,REGEXEXTRACT(T24, ""(\d{1,2}) set\. 2025"")), ""dd/mm/yyyy""),
 IF(NOT(ISERROR(REGEXEXTRACT(T24, ""(\d{1,2}) out\. 2025""))), 
  TEXT(DATE(2025,10,REGEXEXTRACT(T24, ""(\d{1,2}) out\. 2025"&amp;""")), ""dd/mm/yyyy""),
 IF(NOT(ISERROR(REGEXEXTRACT(T24, ""(\d{1,2}) nov\. 2025""))), 
  TEXT(DATE(2025,11,REGEXEXTRACT(T24, ""(\d{1,2}) nov\. 2025"")), ""dd/mm/yyyy""),
 IF(NOT(ISERROR(REGEXEXTRACT(T24, ""(\d{1,2}) dez\. 2025""))), 
  TEXT(DATE(2025,12,R"&amp;"EGEXEXTRACT(T24, ""(\d{1,2}) dez\. 2025"")), ""dd/mm/yyyy""),
 ""Insira a data manualmente"")))))))))))), """"))"),"29/10/2025")</f>
        <v>29/10/2025</v>
      </c>
      <c r="H24" s="22">
        <f t="shared" si="1"/>
        <v>2025</v>
      </c>
      <c r="I24" s="18" t="str">
        <f>IFERROR(__xludf.DUMMYFUNCTION("IF(REGEXMATCH(T24,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IF(REGEXMATCH(T24, ""(?i)\bBrasília\b""), ""Distrito Federal, Brasil"",
REGEXEXTRACT(T24,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24" s="30" t="s">
        <v>39</v>
      </c>
      <c r="K24" s="24" t="s">
        <v>89</v>
      </c>
      <c r="L24" s="24" t="s">
        <v>26</v>
      </c>
      <c r="M24" s="25" t="s">
        <v>27</v>
      </c>
      <c r="N24" s="18" t="str">
        <f t="shared" si="4"/>
        <v>Le Monde Diplomatique</v>
      </c>
      <c r="O24" s="17" t="s">
        <v>28</v>
      </c>
      <c r="P24" s="17" t="s">
        <v>29</v>
      </c>
      <c r="Q24" s="26">
        <v>45961.0</v>
      </c>
      <c r="R24" s="17" t="s">
        <v>30</v>
      </c>
      <c r="S24" s="27" t="str">
        <f t="shared" si="3"/>
        <v>Aqui</v>
      </c>
      <c r="T24" s="29" t="s">
        <v>90</v>
      </c>
      <c r="U24" s="29"/>
    </row>
    <row r="25">
      <c r="A25" s="16">
        <v>23.0</v>
      </c>
      <c r="B25" s="17" t="s">
        <v>23</v>
      </c>
      <c r="C25" s="18" t="str">
        <f>IFERROR(__xludf.DUMMYFUNCTION("IF(B25="""","""",IF(OR(
  REGEXMATCH(B25,""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REGEXMATCH(B25,""Notícia|Reportagem|Artigo de opinião|Verbete"")
),""Difusão"","""")))
"),"Difusão")</f>
        <v>Difusão</v>
      </c>
      <c r="D25" s="19" t="str">
        <f>IFERROR(__xludf.DUMMYFUNCTION("IF(B25="""","""",IF(OR(
  REGEXMATCH(B25,""Performance|Instalação|Álbum|Música|Poema|Livro|Filme|Documentário|Recitação|Espetáculo|Peça|Intervenção|Desfile|Fotografia|Exposição|Charge|Grafite|Leitura pública|Fabricação de cachaça artesanal""),
  REGEXMATC"&amp;"H(B25,""dança|teatral|artístico|musical|artística"")
),""Manifestação artístico-cultural"",
IF(OR(
  REGEXMATCH(B25,""Crônica|Série|Reportagem|Podcast|Audiotour|Entrevista|Vídeo|Rádio|Notícia|Artigo de opinião|Coletiva de imprensa""),
  REGEXMATCH(B25,""m"&amp;"idiática"")
),""Produção midiática"","""")))
"),"Produção midiática")</f>
        <v>Produção midiática</v>
      </c>
      <c r="E25" s="20" t="str">
        <f>IFERROR(__xludf.DUMMYFUNCTION("IF(B25="""","""",IF(OR(
  REGEXMATCH(B25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REGEXMATCH(B25,""público|Imediato|artística|teatral|memória|Ação popular"")
),""Público Imediato"",
IF(REGEXMATCH(B25,""Música|Álbum|Filme|Documentário|S"&amp;"érie|Podcast|Rádio|Audiotour|Entrevista|Reportagem|Crônica|Relatório|Abaixo-assinado|Manifesto|Petição|Poema|Livro|Fotografia|Curta|Live|Webinário|Charge|Leitura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25" s="20" t="str">
        <f>IFERROR(__xludf.DUMMYFUNCTION("IF(B25="""","""",IF(OR(
  REGEXMATCH(B25,""Live|Webinário|Virtual|Verbete""),
  REGEXMATCH(B25,""online"")
),""Virtual"",
IF(REGEXMATCH(B25,""Música|Álbum|Filme|Documentário|Série|Podcast|Rádio|Audiotour|Episódio|Reportagem|Curta|Charge|Vídeo|Entrevista|N"&amp;"otícia|Artigo de opinião""),
""Midiático"",
IF(REGEXMATCH(B25,""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25" s="21" t="str">
        <f>IFERROR(__xludf.DUMMYFUNCTION("IF(C25=""rememoração"", ""Insira a data manualmente"", IF(C25=""difusão"", 
 IF(NOT(ISERROR(REGEXEXTRACT(T25, ""(\d{1,2}) jan\. 2025""))), 
  TEXT(DATE(2025,1,REGEXEXTRACT(T25, ""(\d{1,2}) jan\. 2025"")), ""dd/mm/yyyy""),
 IF(NOT(ISERROR(REGEXEXTRACT(T25,"&amp;" ""(\d{1,2}) fev\. 2025""))), 
  TEXT(DATE(2025,2,REGEXEXTRACT(T25, ""(\d{1,2}) fev\. 2025"")), ""dd/mm/yyyy""),
 IF(NOT(ISERROR(REGEXEXTRACT(T25, ""(\d{1,2}) mar\. 2025""))), 
  TEXT(DATE(2025,3,REGEXEXTRACT(T25, ""(\d{1,2}) mar\. 2025"")), ""dd/mm/yyyy"&amp;"""),
 IF(NOT(ISERROR(REGEXEXTRACT(T25, ""(\d{1,2}) abr\. 2025""))), 
  TEXT(DATE(2025,4,REGEXEXTRACT(T25, ""(\d{1,2}) abr\. 2025"")), ""dd/mm/yyyy""),
 IF(NOT(ISERROR(REGEXEXTRACT(T25, ""(\d{1,2}) (mai|maio)\. 2025""))), 
  TEXT(DATE(2025,5,REGEXEXTRACT(T"&amp;"25, ""(\d{1,2}) (mai|maio)\. 2025"")), ""dd/mm/yyyy""),
 IF(NOT(ISERROR(REGEXEXTRACT(T25, ""(\d{1,2}) jun\. 2025""))), 
  TEXT(DATE(2025,6,REGEXEXTRACT(T25, ""(\d{1,2}) jun\. 2025"")), ""dd/mm/yyyy""),
 IF(NOT(ISERROR(REGEXEXTRACT(T25, ""(\d{1,2}) jul\. 2"&amp;"025""))), 
  TEXT(DATE(2025,7,REGEXEXTRACT(T25, ""(\d{1,2}) jul\. 2025"")), ""dd/mm/yyyy""),
 IF(NOT(ISERROR(REGEXEXTRACT(T25, ""(\d{1,2}) ago\. 2025""))), 
  TEXT(DATE(2025,8,REGEXEXTRACT(T25, ""(\d{1,2}) ago\. 2025"")), ""dd/mm/yyyy""),
 IF(NOT(ISERROR("&amp;"REGEXEXTRACT(T25, ""(\d{1,2}) set\. 2025""))), 
  TEXT(DATE(2025,9,REGEXEXTRACT(T25, ""(\d{1,2}) set\. 2025"")), ""dd/mm/yyyy""),
 IF(NOT(ISERROR(REGEXEXTRACT(T25, ""(\d{1,2}) out\. 2025""))), 
  TEXT(DATE(2025,10,REGEXEXTRACT(T25, ""(\d{1,2}) out\. 2025"&amp;""")), ""dd/mm/yyyy""),
 IF(NOT(ISERROR(REGEXEXTRACT(T25, ""(\d{1,2}) nov\. 2025""))), 
  TEXT(DATE(2025,11,REGEXEXTRACT(T25, ""(\d{1,2}) nov\. 2025"")), ""dd/mm/yyyy""),
 IF(NOT(ISERROR(REGEXEXTRACT(T25, ""(\d{1,2}) dez\. 2025""))), 
  TEXT(DATE(2025,12,R"&amp;"EGEXEXTRACT(T25, ""(\d{1,2}) dez\. 2025"")), ""dd/mm/yyyy""),
 ""Insira a data manualmente"")))))))))))), """"))"),"29/10/2025")</f>
        <v>29/10/2025</v>
      </c>
      <c r="H25" s="22">
        <f t="shared" si="1"/>
        <v>2025</v>
      </c>
      <c r="I25" s="18" t="str">
        <f>IFERROR(__xludf.DUMMYFUNCTION("IF(REGEXMATCH(T25,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IF(REGEXMATCH(T25, ""(?i)\bBrasília\b""), ""Distrito Federal, Brasil"",
REGEXEXTRACT(T25,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25" s="30" t="s">
        <v>39</v>
      </c>
      <c r="K25" s="24" t="s">
        <v>91</v>
      </c>
      <c r="L25" s="24" t="s">
        <v>26</v>
      </c>
      <c r="M25" s="25" t="s">
        <v>27</v>
      </c>
      <c r="N25" s="18" t="str">
        <f t="shared" si="4"/>
        <v>Le Monde Diplomatique</v>
      </c>
      <c r="O25" s="17" t="s">
        <v>28</v>
      </c>
      <c r="P25" s="17" t="s">
        <v>29</v>
      </c>
      <c r="Q25" s="26">
        <v>45961.0</v>
      </c>
      <c r="R25" s="17" t="s">
        <v>30</v>
      </c>
      <c r="S25" s="27" t="str">
        <f t="shared" si="3"/>
        <v>Aqui</v>
      </c>
      <c r="T25" s="29" t="s">
        <v>92</v>
      </c>
      <c r="U25" s="29"/>
    </row>
    <row r="26">
      <c r="A26" s="16">
        <v>24.0</v>
      </c>
      <c r="B26" s="17" t="s">
        <v>23</v>
      </c>
      <c r="C26" s="18" t="str">
        <f>IFERROR(__xludf.DUMMYFUNCTION("IF(B26="""","""",IF(OR(
  REGEXMATCH(B26,""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REGEXMATCH(B26,""Notícia|Reportagem|Artigo de opinião|Verbete"")
),""Difusão"","""")))
"),"Difusão")</f>
        <v>Difusão</v>
      </c>
      <c r="D26" s="19" t="str">
        <f>IFERROR(__xludf.DUMMYFUNCTION("IF(B26="""","""",IF(OR(
  REGEXMATCH(B26,""Performance|Instalação|Álbum|Música|Poema|Livro|Filme|Documentário|Recitação|Espetáculo|Peça|Intervenção|Desfile|Fotografia|Exposição|Charge|Grafite|Leitura pública|Fabricação de cachaça artesanal""),
  REGEXMATC"&amp;"H(B26,""dança|teatral|artístico|musical|artística"")
),""Manifestação artístico-cultural"",
IF(OR(
  REGEXMATCH(B26,""Crônica|Série|Reportagem|Podcast|Audiotour|Entrevista|Vídeo|Rádio|Notícia|Artigo de opinião|Coletiva de imprensa""),
  REGEXMATCH(B26,""m"&amp;"idiática"")
),""Produção midiática"","""")))
"),"Produção midiática")</f>
        <v>Produção midiática</v>
      </c>
      <c r="E26" s="20" t="str">
        <f>IFERROR(__xludf.DUMMYFUNCTION("IF(B26="""","""",IF(OR(
  REGEXMATCH(B26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REGEXMATCH(B26,""público|Imediato|artística|teatral|memória|Ação popular"")
),""Público Imediato"",
IF(REGEXMATCH(B26,""Música|Álbum|Filme|Documentário|S"&amp;"érie|Podcast|Rádio|Audiotour|Entrevista|Reportagem|Crônica|Relatório|Abaixo-assinado|Manifesto|Petição|Poema|Livro|Fotografia|Curta|Live|Webinário|Charge|Leitura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26" s="20" t="str">
        <f>IFERROR(__xludf.DUMMYFUNCTION("IF(B26="""","""",IF(OR(
  REGEXMATCH(B26,""Live|Webinário|Virtual|Verbete""),
  REGEXMATCH(B26,""online"")
),""Virtual"",
IF(REGEXMATCH(B26,""Música|Álbum|Filme|Documentário|Série|Podcast|Rádio|Audiotour|Episódio|Reportagem|Curta|Charge|Vídeo|Entrevista|N"&amp;"otícia|Artigo de opinião""),
""Midiático"",
IF(REGEXMATCH(B26,""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26" s="21" t="str">
        <f>IFERROR(__xludf.DUMMYFUNCTION("IF(C26=""rememoração"", ""Insira a data manualmente"", IF(C26=""difusão"", 
 IF(NOT(ISERROR(REGEXEXTRACT(T26, ""(\d{1,2}) jan\. 2025""))), 
  TEXT(DATE(2025,1,REGEXEXTRACT(T26, ""(\d{1,2}) jan\. 2025"")), ""dd/mm/yyyy""),
 IF(NOT(ISERROR(REGEXEXTRACT(T26,"&amp;" ""(\d{1,2}) fev\. 2025""))), 
  TEXT(DATE(2025,2,REGEXEXTRACT(T26, ""(\d{1,2}) fev\. 2025"")), ""dd/mm/yyyy""),
 IF(NOT(ISERROR(REGEXEXTRACT(T26, ""(\d{1,2}) mar\. 2025""))), 
  TEXT(DATE(2025,3,REGEXEXTRACT(T26, ""(\d{1,2}) mar\. 2025"")), ""dd/mm/yyyy"&amp;"""),
 IF(NOT(ISERROR(REGEXEXTRACT(T26, ""(\d{1,2}) abr\. 2025""))), 
  TEXT(DATE(2025,4,REGEXEXTRACT(T26, ""(\d{1,2}) abr\. 2025"")), ""dd/mm/yyyy""),
 IF(NOT(ISERROR(REGEXEXTRACT(T26, ""(\d{1,2}) (mai|maio)\. 2025""))), 
  TEXT(DATE(2025,5,REGEXEXTRACT(T"&amp;"26, ""(\d{1,2}) (mai|maio)\. 2025"")), ""dd/mm/yyyy""),
 IF(NOT(ISERROR(REGEXEXTRACT(T26, ""(\d{1,2}) jun\. 2025""))), 
  TEXT(DATE(2025,6,REGEXEXTRACT(T26, ""(\d{1,2}) jun\. 2025"")), ""dd/mm/yyyy""),
 IF(NOT(ISERROR(REGEXEXTRACT(T26, ""(\d{1,2}) jul\. 2"&amp;"025""))), 
  TEXT(DATE(2025,7,REGEXEXTRACT(T26, ""(\d{1,2}) jul\. 2025"")), ""dd/mm/yyyy""),
 IF(NOT(ISERROR(REGEXEXTRACT(T26, ""(\d{1,2}) ago\. 2025""))), 
  TEXT(DATE(2025,8,REGEXEXTRACT(T26, ""(\d{1,2}) ago\. 2025"")), ""dd/mm/yyyy""),
 IF(NOT(ISERROR("&amp;"REGEXEXTRACT(T26, ""(\d{1,2}) set\. 2025""))), 
  TEXT(DATE(2025,9,REGEXEXTRACT(T26, ""(\d{1,2}) set\. 2025"")), ""dd/mm/yyyy""),
 IF(NOT(ISERROR(REGEXEXTRACT(T26, ""(\d{1,2}) out\. 2025""))), 
  TEXT(DATE(2025,10,REGEXEXTRACT(T26, ""(\d{1,2}) out\. 2025"&amp;""")), ""dd/mm/yyyy""),
 IF(NOT(ISERROR(REGEXEXTRACT(T26, ""(\d{1,2}) nov\. 2025""))), 
  TEXT(DATE(2025,11,REGEXEXTRACT(T26, ""(\d{1,2}) nov\. 2025"")), ""dd/mm/yyyy""),
 IF(NOT(ISERROR(REGEXEXTRACT(T26, ""(\d{1,2}) dez\. 2025""))), 
  TEXT(DATE(2025,12,R"&amp;"EGEXEXTRACT(T26, ""(\d{1,2}) dez\. 2025"")), ""dd/mm/yyyy""),
 ""Insira a data manualmente"")))))))))))), """"))"),"28/10/2025")</f>
        <v>28/10/2025</v>
      </c>
      <c r="H26" s="22">
        <f t="shared" si="1"/>
        <v>2025</v>
      </c>
      <c r="I26" s="18" t="str">
        <f>IFERROR(__xludf.DUMMYFUNCTION("IF(REGEXMATCH(T26,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IF(REGEXMATCH(T26, ""(?i)\bBrasília\b""), ""Distrito Federal, Brasil"",
REGEXEXTRACT(T26,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26" s="30" t="s">
        <v>93</v>
      </c>
      <c r="K26" s="24" t="s">
        <v>94</v>
      </c>
      <c r="L26" s="24" t="s">
        <v>26</v>
      </c>
      <c r="M26" s="25" t="s">
        <v>27</v>
      </c>
      <c r="N26" s="18" t="str">
        <f t="shared" si="4"/>
        <v>Gazeta do Povo</v>
      </c>
      <c r="O26" s="17" t="s">
        <v>28</v>
      </c>
      <c r="P26" s="17" t="s">
        <v>95</v>
      </c>
      <c r="Q26" s="26">
        <v>45961.0</v>
      </c>
      <c r="R26" s="17" t="s">
        <v>37</v>
      </c>
      <c r="S26" s="27" t="str">
        <f t="shared" si="3"/>
        <v>Aqui</v>
      </c>
      <c r="T26" s="29" t="s">
        <v>96</v>
      </c>
      <c r="U26" s="29"/>
    </row>
    <row r="27">
      <c r="A27" s="16">
        <v>25.0</v>
      </c>
      <c r="B27" s="17" t="s">
        <v>23</v>
      </c>
      <c r="C27" s="18" t="str">
        <f>IFERROR(__xludf.DUMMYFUNCTION("IF(B27="""","""",IF(OR(
  REGEXMATCH(B27,""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REGEXMATCH(B27,""Notícia|Reportagem|Artigo de opinião|Verbete"")
),""Difusão"","""")))
"),"Difusão")</f>
        <v>Difusão</v>
      </c>
      <c r="D27" s="19" t="str">
        <f>IFERROR(__xludf.DUMMYFUNCTION("IF(B27="""","""",IF(OR(
  REGEXMATCH(B27,""Performance|Instalação|Álbum|Música|Poema|Livro|Filme|Documentário|Recitação|Espetáculo|Peça|Intervenção|Desfile|Fotografia|Exposição|Charge|Grafite|Leitura pública|Fabricação de cachaça artesanal""),
  REGEXMATC"&amp;"H(B27,""dança|teatral|artístico|musical|artística"")
),""Manifestação artístico-cultural"",
IF(OR(
  REGEXMATCH(B27,""Crônica|Série|Reportagem|Podcast|Audiotour|Entrevista|Vídeo|Rádio|Notícia|Artigo de opinião|Coletiva de imprensa""),
  REGEXMATCH(B27,""m"&amp;"idiática"")
),""Produção midiática"","""")))
"),"Produção midiática")</f>
        <v>Produção midiática</v>
      </c>
      <c r="E27" s="20" t="str">
        <f>IFERROR(__xludf.DUMMYFUNCTION("IF(B27="""","""",IF(OR(
  REGEXMATCH(B27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REGEXMATCH(B27,""público|Imediato|artística|teatral|memória|Ação popular"")
),""Público Imediato"",
IF(REGEXMATCH(B27,""Música|Álbum|Filme|Documentário|S"&amp;"érie|Podcast|Rádio|Audiotour|Entrevista|Reportagem|Crônica|Relatório|Abaixo-assinado|Manifesto|Petição|Poema|Livro|Fotografia|Curta|Live|Webinário|Charge|Leitura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27" s="20" t="str">
        <f>IFERROR(__xludf.DUMMYFUNCTION("IF(B27="""","""",IF(OR(
  REGEXMATCH(B27,""Live|Webinário|Virtual|Verbete""),
  REGEXMATCH(B27,""online"")
),""Virtual"",
IF(REGEXMATCH(B27,""Música|Álbum|Filme|Documentário|Série|Podcast|Rádio|Audiotour|Episódio|Reportagem|Curta|Charge|Vídeo|Entrevista|N"&amp;"otícia|Artigo de opinião""),
""Midiático"",
IF(REGEXMATCH(B27,""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27" s="21" t="str">
        <f>IFERROR(__xludf.DUMMYFUNCTION("IF(C27=""rememoração"", ""Insira a data manualmente"", IF(C27=""difusão"", 
 IF(NOT(ISERROR(REGEXEXTRACT(T27, ""(\d{1,2}) jan\. 2025""))), 
  TEXT(DATE(2025,1,REGEXEXTRACT(T27, ""(\d{1,2}) jan\. 2025"")), ""dd/mm/yyyy""),
 IF(NOT(ISERROR(REGEXEXTRACT(T27,"&amp;" ""(\d{1,2}) fev\. 2025""))), 
  TEXT(DATE(2025,2,REGEXEXTRACT(T27, ""(\d{1,2}) fev\. 2025"")), ""dd/mm/yyyy""),
 IF(NOT(ISERROR(REGEXEXTRACT(T27, ""(\d{1,2}) mar\. 2025""))), 
  TEXT(DATE(2025,3,REGEXEXTRACT(T27, ""(\d{1,2}) mar\. 2025"")), ""dd/mm/yyyy"&amp;"""),
 IF(NOT(ISERROR(REGEXEXTRACT(T27, ""(\d{1,2}) abr\. 2025""))), 
  TEXT(DATE(2025,4,REGEXEXTRACT(T27, ""(\d{1,2}) abr\. 2025"")), ""dd/mm/yyyy""),
 IF(NOT(ISERROR(REGEXEXTRACT(T27, ""(\d{1,2}) (mai|maio)\. 2025""))), 
  TEXT(DATE(2025,5,REGEXEXTRACT(T"&amp;"27, ""(\d{1,2}) (mai|maio)\. 2025"")), ""dd/mm/yyyy""),
 IF(NOT(ISERROR(REGEXEXTRACT(T27, ""(\d{1,2}) jun\. 2025""))), 
  TEXT(DATE(2025,6,REGEXEXTRACT(T27, ""(\d{1,2}) jun\. 2025"")), ""dd/mm/yyyy""),
 IF(NOT(ISERROR(REGEXEXTRACT(T27, ""(\d{1,2}) jul\. 2"&amp;"025""))), 
  TEXT(DATE(2025,7,REGEXEXTRACT(T27, ""(\d{1,2}) jul\. 2025"")), ""dd/mm/yyyy""),
 IF(NOT(ISERROR(REGEXEXTRACT(T27, ""(\d{1,2}) ago\. 2025""))), 
  TEXT(DATE(2025,8,REGEXEXTRACT(T27, ""(\d{1,2}) ago\. 2025"")), ""dd/mm/yyyy""),
 IF(NOT(ISERROR("&amp;"REGEXEXTRACT(T27, ""(\d{1,2}) set\. 2025""))), 
  TEXT(DATE(2025,9,REGEXEXTRACT(T27, ""(\d{1,2}) set\. 2025"")), ""dd/mm/yyyy""),
 IF(NOT(ISERROR(REGEXEXTRACT(T27, ""(\d{1,2}) out\. 2025""))), 
  TEXT(DATE(2025,10,REGEXEXTRACT(T27, ""(\d{1,2}) out\. 2025"&amp;""")), ""dd/mm/yyyy""),
 IF(NOT(ISERROR(REGEXEXTRACT(T27, ""(\d{1,2}) nov\. 2025""))), 
  TEXT(DATE(2025,11,REGEXEXTRACT(T27, ""(\d{1,2}) nov\. 2025"")), ""dd/mm/yyyy""),
 IF(NOT(ISERROR(REGEXEXTRACT(T27, ""(\d{1,2}) dez\. 2025""))), 
  TEXT(DATE(2025,12,R"&amp;"EGEXEXTRACT(T27, ""(\d{1,2}) dez\. 2025"")), ""dd/mm/yyyy""),
 ""Insira a data manualmente"")))))))))))), """"))"),"29/10/2025")</f>
        <v>29/10/2025</v>
      </c>
      <c r="H27" s="22">
        <f t="shared" si="1"/>
        <v>2025</v>
      </c>
      <c r="I27" s="18" t="str">
        <f>IFERROR(__xludf.DUMMYFUNCTION("IF(REGEXMATCH(T27,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IF(REGEXMATCH(T27, ""(?i)\bBrasília\b""), ""Distrito Federal, Brasil"",
REGEXEXTRACT(T27,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27" s="30" t="s">
        <v>53</v>
      </c>
      <c r="K27" s="24" t="s">
        <v>97</v>
      </c>
      <c r="L27" s="24" t="s">
        <v>26</v>
      </c>
      <c r="M27" s="25" t="s">
        <v>27</v>
      </c>
      <c r="N27" s="18" t="str">
        <f t="shared" si="4"/>
        <v>Cebes</v>
      </c>
      <c r="O27" s="17" t="s">
        <v>28</v>
      </c>
      <c r="P27" s="17" t="s">
        <v>29</v>
      </c>
      <c r="Q27" s="26">
        <v>45961.0</v>
      </c>
      <c r="R27" s="17" t="s">
        <v>30</v>
      </c>
      <c r="S27" s="27" t="str">
        <f t="shared" si="3"/>
        <v>Aqui</v>
      </c>
      <c r="T27" s="29" t="s">
        <v>98</v>
      </c>
      <c r="U27" s="29"/>
    </row>
    <row r="28">
      <c r="A28" s="16">
        <v>26.0</v>
      </c>
      <c r="B28" s="17" t="s">
        <v>23</v>
      </c>
      <c r="C28" s="18" t="str">
        <f>IFERROR(__xludf.DUMMYFUNCTION("IF(B28="""","""",IF(OR(
  REGEXMATCH(B28,""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REGEXMATCH(B28,""Notícia|Reportagem|Artigo de opinião|Verbete"")
),""Difusão"","""")))
"),"Difusão")</f>
        <v>Difusão</v>
      </c>
      <c r="D28" s="19" t="str">
        <f>IFERROR(__xludf.DUMMYFUNCTION("IF(B28="""","""",IF(OR(
  REGEXMATCH(B28,""Performance|Instalação|Álbum|Música|Poema|Livro|Filme|Documentário|Recitação|Espetáculo|Peça|Intervenção|Desfile|Fotografia|Exposição|Charge|Grafite|Leitura pública|Fabricação de cachaça artesanal""),
  REGEXMATC"&amp;"H(B28,""dança|teatral|artístico|musical|artística"")
),""Manifestação artístico-cultural"",
IF(OR(
  REGEXMATCH(B28,""Crônica|Série|Reportagem|Podcast|Audiotour|Entrevista|Vídeo|Rádio|Notícia|Artigo de opinião|Coletiva de imprensa""),
  REGEXMATCH(B28,""m"&amp;"idiática"")
),""Produção midiática"","""")))
"),"Produção midiática")</f>
        <v>Produção midiática</v>
      </c>
      <c r="E28" s="20" t="str">
        <f>IFERROR(__xludf.DUMMYFUNCTION("IF(B28="""","""",IF(OR(
  REGEXMATCH(B28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REGEXMATCH(B28,""público|Imediato|artística|teatral|memória|Ação popular"")
),""Público Imediato"",
IF(REGEXMATCH(B28,""Música|Álbum|Filme|Documentário|S"&amp;"érie|Podcast|Rádio|Audiotour|Entrevista|Reportagem|Crônica|Relatório|Abaixo-assinado|Manifesto|Petição|Poema|Livro|Fotografia|Curta|Live|Webinário|Charge|Leitura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28" s="20" t="str">
        <f>IFERROR(__xludf.DUMMYFUNCTION("IF(B28="""","""",IF(OR(
  REGEXMATCH(B28,""Live|Webinário|Virtual|Verbete""),
  REGEXMATCH(B28,""online"")
),""Virtual"",
IF(REGEXMATCH(B28,""Música|Álbum|Filme|Documentário|Série|Podcast|Rádio|Audiotour|Episódio|Reportagem|Curta|Charge|Vídeo|Entrevista|N"&amp;"otícia|Artigo de opinião""),
""Midiático"",
IF(REGEXMATCH(B28,""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28" s="21" t="str">
        <f>IFERROR(__xludf.DUMMYFUNCTION("IF(C28=""rememoração"", ""Insira a data manualmente"", IF(C28=""difusão"", 
 IF(NOT(ISERROR(REGEXEXTRACT(T28, ""(\d{1,2}) jan\. 2025""))), 
  TEXT(DATE(2025,1,REGEXEXTRACT(T28, ""(\d{1,2}) jan\. 2025"")), ""dd/mm/yyyy""),
 IF(NOT(ISERROR(REGEXEXTRACT(T28,"&amp;" ""(\d{1,2}) fev\. 2025""))), 
  TEXT(DATE(2025,2,REGEXEXTRACT(T28, ""(\d{1,2}) fev\. 2025"")), ""dd/mm/yyyy""),
 IF(NOT(ISERROR(REGEXEXTRACT(T28, ""(\d{1,2}) mar\. 2025""))), 
  TEXT(DATE(2025,3,REGEXEXTRACT(T28, ""(\d{1,2}) mar\. 2025"")), ""dd/mm/yyyy"&amp;"""),
 IF(NOT(ISERROR(REGEXEXTRACT(T28, ""(\d{1,2}) abr\. 2025""))), 
  TEXT(DATE(2025,4,REGEXEXTRACT(T28, ""(\d{1,2}) abr\. 2025"")), ""dd/mm/yyyy""),
 IF(NOT(ISERROR(REGEXEXTRACT(T28, ""(\d{1,2}) (mai|maio)\. 2025""))), 
  TEXT(DATE(2025,5,REGEXEXTRACT(T"&amp;"28, ""(\d{1,2}) (mai|maio)\. 2025"")), ""dd/mm/yyyy""),
 IF(NOT(ISERROR(REGEXEXTRACT(T28, ""(\d{1,2}) jun\. 2025""))), 
  TEXT(DATE(2025,6,REGEXEXTRACT(T28, ""(\d{1,2}) jun\. 2025"")), ""dd/mm/yyyy""),
 IF(NOT(ISERROR(REGEXEXTRACT(T28, ""(\d{1,2}) jul\. 2"&amp;"025""))), 
  TEXT(DATE(2025,7,REGEXEXTRACT(T28, ""(\d{1,2}) jul\. 2025"")), ""dd/mm/yyyy""),
 IF(NOT(ISERROR(REGEXEXTRACT(T28, ""(\d{1,2}) ago\. 2025""))), 
  TEXT(DATE(2025,8,REGEXEXTRACT(T28, ""(\d{1,2}) ago\. 2025"")), ""dd/mm/yyyy""),
 IF(NOT(ISERROR("&amp;"REGEXEXTRACT(T28, ""(\d{1,2}) set\. 2025""))), 
  TEXT(DATE(2025,9,REGEXEXTRACT(T28, ""(\d{1,2}) set\. 2025"")), ""dd/mm/yyyy""),
 IF(NOT(ISERROR(REGEXEXTRACT(T28, ""(\d{1,2}) out\. 2025""))), 
  TEXT(DATE(2025,10,REGEXEXTRACT(T28, ""(\d{1,2}) out\. 2025"&amp;""")), ""dd/mm/yyyy""),
 IF(NOT(ISERROR(REGEXEXTRACT(T28, ""(\d{1,2}) nov\. 2025""))), 
  TEXT(DATE(2025,11,REGEXEXTRACT(T28, ""(\d{1,2}) nov\. 2025"")), ""dd/mm/yyyy""),
 IF(NOT(ISERROR(REGEXEXTRACT(T28, ""(\d{1,2}) dez\. 2025""))), 
  TEXT(DATE(2025,12,R"&amp;"EGEXEXTRACT(T28, ""(\d{1,2}) dez\. 2025"")), ""dd/mm/yyyy""),
 ""Insira a data manualmente"")))))))))))), """"))"),"31/10/2025")</f>
        <v>31/10/2025</v>
      </c>
      <c r="H28" s="22">
        <f t="shared" si="1"/>
        <v>2025</v>
      </c>
      <c r="I28" s="18" t="str">
        <f>IFERROR(__xludf.DUMMYFUNCTION("IF(REGEXMATCH(T28,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IF(REGEXMATCH(T28, ""(?i)\bBrasília\b""), ""Distrito Federal, Brasil"",
REGEXEXTRACT(T28,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28" s="30" t="s">
        <v>39</v>
      </c>
      <c r="K28" s="24" t="s">
        <v>99</v>
      </c>
      <c r="L28" s="24" t="s">
        <v>26</v>
      </c>
      <c r="M28" s="25" t="s">
        <v>27</v>
      </c>
      <c r="N28" s="18" t="str">
        <f t="shared" si="4"/>
        <v>Le Monde Diplomatique</v>
      </c>
      <c r="O28" s="17" t="s">
        <v>28</v>
      </c>
      <c r="P28" s="17" t="s">
        <v>29</v>
      </c>
      <c r="Q28" s="26">
        <v>45961.0</v>
      </c>
      <c r="R28" s="17" t="s">
        <v>30</v>
      </c>
      <c r="S28" s="27" t="str">
        <f t="shared" si="3"/>
        <v>Aqui</v>
      </c>
      <c r="T28" s="29" t="s">
        <v>100</v>
      </c>
      <c r="U28" s="29"/>
    </row>
    <row r="29">
      <c r="A29" s="16">
        <v>27.0</v>
      </c>
      <c r="B29" s="17" t="s">
        <v>23</v>
      </c>
      <c r="C29" s="18" t="str">
        <f>IFERROR(__xludf.DUMMYFUNCTION("IF(B29="""","""",IF(OR(
  REGEXMATCH(B29,""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REGEXMATCH(B29,""Notícia|Reportagem|Artigo de opinião|Verbete"")
),""Difusão"","""")))
"),"Difusão")</f>
        <v>Difusão</v>
      </c>
      <c r="D29" s="19" t="str">
        <f>IFERROR(__xludf.DUMMYFUNCTION("IF(B29="""","""",IF(OR(
  REGEXMATCH(B29,""Performance|Instalação|Álbum|Música|Poema|Livro|Filme|Documentário|Recitação|Espetáculo|Peça|Intervenção|Desfile|Fotografia|Exposição|Charge|Grafite|Leitura pública|Fabricação de cachaça artesanal""),
  REGEXMATC"&amp;"H(B29,""dança|teatral|artístico|musical|artística"")
),""Manifestação artístico-cultural"",
IF(OR(
  REGEXMATCH(B29,""Crônica|Série|Reportagem|Podcast|Audiotour|Entrevista|Vídeo|Rádio|Notícia|Artigo de opinião|Coletiva de imprensa""),
  REGEXMATCH(B29,""m"&amp;"idiática"")
),""Produção midiática"","""")))
"),"Produção midiática")</f>
        <v>Produção midiática</v>
      </c>
      <c r="E29" s="20" t="str">
        <f>IFERROR(__xludf.DUMMYFUNCTION("IF(B29="""","""",IF(OR(
  REGEXMATCH(B29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REGEXMATCH(B29,""público|Imediato|artística|teatral|memória|Ação popular"")
),""Público Imediato"",
IF(REGEXMATCH(B29,""Música|Álbum|Filme|Documentário|S"&amp;"érie|Podcast|Rádio|Audiotour|Entrevista|Reportagem|Crônica|Relatório|Abaixo-assinado|Manifesto|Petição|Poema|Livro|Fotografia|Curta|Live|Webinário|Charge|Leitura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29" s="20" t="str">
        <f>IFERROR(__xludf.DUMMYFUNCTION("IF(B29="""","""",IF(OR(
  REGEXMATCH(B29,""Live|Webinário|Virtual|Verbete""),
  REGEXMATCH(B29,""online"")
),""Virtual"",
IF(REGEXMATCH(B29,""Música|Álbum|Filme|Documentário|Série|Podcast|Rádio|Audiotour|Episódio|Reportagem|Curta|Charge|Vídeo|Entrevista|N"&amp;"otícia|Artigo de opinião""),
""Midiático"",
IF(REGEXMATCH(B29,""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29" s="21" t="str">
        <f>IFERROR(__xludf.DUMMYFUNCTION("IF(C29=""rememoração"", ""Insira a data manualmente"", IF(C29=""difusão"", 
 IF(NOT(ISERROR(REGEXEXTRACT(T29, ""(\d{1,2}) jan\. 2025""))), 
  TEXT(DATE(2025,1,REGEXEXTRACT(T29, ""(\d{1,2}) jan\. 2025"")), ""dd/mm/yyyy""),
 IF(NOT(ISERROR(REGEXEXTRACT(T29,"&amp;" ""(\d{1,2}) fev\. 2025""))), 
  TEXT(DATE(2025,2,REGEXEXTRACT(T29, ""(\d{1,2}) fev\. 2025"")), ""dd/mm/yyyy""),
 IF(NOT(ISERROR(REGEXEXTRACT(T29, ""(\d{1,2}) mar\. 2025""))), 
  TEXT(DATE(2025,3,REGEXEXTRACT(T29, ""(\d{1,2}) mar\. 2025"")), ""dd/mm/yyyy"&amp;"""),
 IF(NOT(ISERROR(REGEXEXTRACT(T29, ""(\d{1,2}) abr\. 2025""))), 
  TEXT(DATE(2025,4,REGEXEXTRACT(T29, ""(\d{1,2}) abr\. 2025"")), ""dd/mm/yyyy""),
 IF(NOT(ISERROR(REGEXEXTRACT(T29, ""(\d{1,2}) (mai|maio)\. 2025""))), 
  TEXT(DATE(2025,5,REGEXEXTRACT(T"&amp;"29, ""(\d{1,2}) (mai|maio)\. 2025"")), ""dd/mm/yyyy""),
 IF(NOT(ISERROR(REGEXEXTRACT(T29, ""(\d{1,2}) jun\. 2025""))), 
  TEXT(DATE(2025,6,REGEXEXTRACT(T29, ""(\d{1,2}) jun\. 2025"")), ""dd/mm/yyyy""),
 IF(NOT(ISERROR(REGEXEXTRACT(T29, ""(\d{1,2}) jul\. 2"&amp;"025""))), 
  TEXT(DATE(2025,7,REGEXEXTRACT(T29, ""(\d{1,2}) jul\. 2025"")), ""dd/mm/yyyy""),
 IF(NOT(ISERROR(REGEXEXTRACT(T29, ""(\d{1,2}) ago\. 2025""))), 
  TEXT(DATE(2025,8,REGEXEXTRACT(T29, ""(\d{1,2}) ago\. 2025"")), ""dd/mm/yyyy""),
 IF(NOT(ISERROR("&amp;"REGEXEXTRACT(T29, ""(\d{1,2}) set\. 2025""))), 
  TEXT(DATE(2025,9,REGEXEXTRACT(T29, ""(\d{1,2}) set\. 2025"")), ""dd/mm/yyyy""),
 IF(NOT(ISERROR(REGEXEXTRACT(T29, ""(\d{1,2}) out\. 2025""))), 
  TEXT(DATE(2025,10,REGEXEXTRACT(T29, ""(\d{1,2}) out\. 2025"&amp;""")), ""dd/mm/yyyy""),
 IF(NOT(ISERROR(REGEXEXTRACT(T29, ""(\d{1,2}) nov\. 2025""))), 
  TEXT(DATE(2025,11,REGEXEXTRACT(T29, ""(\d{1,2}) nov\. 2025"")), ""dd/mm/yyyy""),
 IF(NOT(ISERROR(REGEXEXTRACT(T29, ""(\d{1,2}) dez\. 2025""))), 
  TEXT(DATE(2025,12,R"&amp;"EGEXEXTRACT(T29, ""(\d{1,2}) dez\. 2025"")), ""dd/mm/yyyy""),
 ""Insira a data manualmente"")))))))))))), """"))"),"31/10/2025")</f>
        <v>31/10/2025</v>
      </c>
      <c r="H29" s="22">
        <f t="shared" si="1"/>
        <v>2025</v>
      </c>
      <c r="I29" s="18" t="str">
        <f>IFERROR(__xludf.DUMMYFUNCTION("IF(REGEXMATCH(T29,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IF(REGEXMATCH(T29, ""(?i)\bBrasília\b""), ""Distrito Federal, Brasil"",
REGEXEXTRACT(T29,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29" s="30" t="s">
        <v>39</v>
      </c>
      <c r="K29" s="24" t="s">
        <v>101</v>
      </c>
      <c r="L29" s="24" t="s">
        <v>26</v>
      </c>
      <c r="M29" s="25" t="s">
        <v>27</v>
      </c>
      <c r="N29" s="18" t="str">
        <f t="shared" si="4"/>
        <v>Le Monde Diplomatique</v>
      </c>
      <c r="O29" s="17" t="s">
        <v>28</v>
      </c>
      <c r="P29" s="17" t="s">
        <v>29</v>
      </c>
      <c r="Q29" s="26">
        <v>45961.0</v>
      </c>
      <c r="R29" s="17" t="s">
        <v>30</v>
      </c>
      <c r="S29" s="27" t="str">
        <f t="shared" si="3"/>
        <v>Aqui</v>
      </c>
      <c r="T29" s="29" t="s">
        <v>102</v>
      </c>
      <c r="U29" s="29"/>
    </row>
    <row r="30">
      <c r="A30" s="16">
        <v>28.0</v>
      </c>
      <c r="B30" s="17" t="s">
        <v>23</v>
      </c>
      <c r="C30" s="18" t="str">
        <f>IFERROR(__xludf.DUMMYFUNCTION("IF(B30="""","""",IF(OR(
  REGEXMATCH(B30,""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REGEXMATCH(B30,""Notícia|Reportagem|Artigo de opinião|Verbete"")
),""Difusão"","""")))
"),"Difusão")</f>
        <v>Difusão</v>
      </c>
      <c r="D30" s="19" t="str">
        <f>IFERROR(__xludf.DUMMYFUNCTION("IF(B30="""","""",IF(OR(
  REGEXMATCH(B30,""Performance|Instalação|Álbum|Música|Poema|Livro|Filme|Documentário|Recitação|Espetáculo|Peça|Intervenção|Desfile|Fotografia|Exposição|Charge|Grafite|Leitura pública|Fabricação de cachaça artesanal""),
  REGEXMATC"&amp;"H(B30,""dança|teatral|artístico|musical|artística"")
),""Manifestação artístico-cultural"",
IF(OR(
  REGEXMATCH(B30,""Crônica|Série|Reportagem|Podcast|Audiotour|Entrevista|Vídeo|Rádio|Notícia|Artigo de opinião|Coletiva de imprensa""),
  REGEXMATCH(B30,""m"&amp;"idiática"")
),""Produção midiática"","""")))
"),"Produção midiática")</f>
        <v>Produção midiática</v>
      </c>
      <c r="E30" s="20" t="str">
        <f>IFERROR(__xludf.DUMMYFUNCTION("IF(B30="""","""",IF(OR(
  REGEXMATCH(B30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REGEXMATCH(B30,""público|Imediato|artística|teatral|memória|Ação popular"")
),""Público Imediato"",
IF(REGEXMATCH(B30,""Música|Álbum|Filme|Documentário|S"&amp;"érie|Podcast|Rádio|Audiotour|Entrevista|Reportagem|Crônica|Relatório|Abaixo-assinado|Manifesto|Petição|Poema|Livro|Fotografia|Curta|Live|Webinário|Charge|Leitura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30" s="20" t="str">
        <f>IFERROR(__xludf.DUMMYFUNCTION("IF(B30="""","""",IF(OR(
  REGEXMATCH(B30,""Live|Webinário|Virtual|Verbete""),
  REGEXMATCH(B30,""online"")
),""Virtual"",
IF(REGEXMATCH(B30,""Música|Álbum|Filme|Documentário|Série|Podcast|Rádio|Audiotour|Episódio|Reportagem|Curta|Charge|Vídeo|Entrevista|N"&amp;"otícia|Artigo de opinião""),
""Midiático"",
IF(REGEXMATCH(B30,""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30" s="21" t="str">
        <f>IFERROR(__xludf.DUMMYFUNCTION("IF(C30=""rememoração"", ""Insira a data manualmente"", IF(C30=""difusão"", 
 IF(NOT(ISERROR(REGEXEXTRACT(T30, ""(\d{1,2}) jan\. 2025""))), 
  TEXT(DATE(2025,1,REGEXEXTRACT(T30, ""(\d{1,2}) jan\. 2025"")), ""dd/mm/yyyy""),
 IF(NOT(ISERROR(REGEXEXTRACT(T30,"&amp;" ""(\d{1,2}) fev\. 2025""))), 
  TEXT(DATE(2025,2,REGEXEXTRACT(T30, ""(\d{1,2}) fev\. 2025"")), ""dd/mm/yyyy""),
 IF(NOT(ISERROR(REGEXEXTRACT(T30, ""(\d{1,2}) mar\. 2025""))), 
  TEXT(DATE(2025,3,REGEXEXTRACT(T30, ""(\d{1,2}) mar\. 2025"")), ""dd/mm/yyyy"&amp;"""),
 IF(NOT(ISERROR(REGEXEXTRACT(T30, ""(\d{1,2}) abr\. 2025""))), 
  TEXT(DATE(2025,4,REGEXEXTRACT(T30, ""(\d{1,2}) abr\. 2025"")), ""dd/mm/yyyy""),
 IF(NOT(ISERROR(REGEXEXTRACT(T30, ""(\d{1,2}) (mai|maio)\. 2025""))), 
  TEXT(DATE(2025,5,REGEXEXTRACT(T"&amp;"30, ""(\d{1,2}) (mai|maio)\. 2025"")), ""dd/mm/yyyy""),
 IF(NOT(ISERROR(REGEXEXTRACT(T30, ""(\d{1,2}) jun\. 2025""))), 
  TEXT(DATE(2025,6,REGEXEXTRACT(T30, ""(\d{1,2}) jun\. 2025"")), ""dd/mm/yyyy""),
 IF(NOT(ISERROR(REGEXEXTRACT(T30, ""(\d{1,2}) jul\. 2"&amp;"025""))), 
  TEXT(DATE(2025,7,REGEXEXTRACT(T30, ""(\d{1,2}) jul\. 2025"")), ""dd/mm/yyyy""),
 IF(NOT(ISERROR(REGEXEXTRACT(T30, ""(\d{1,2}) ago\. 2025""))), 
  TEXT(DATE(2025,8,REGEXEXTRACT(T30, ""(\d{1,2}) ago\. 2025"")), ""dd/mm/yyyy""),
 IF(NOT(ISERROR("&amp;"REGEXEXTRACT(T30, ""(\d{1,2}) set\. 2025""))), 
  TEXT(DATE(2025,9,REGEXEXTRACT(T30, ""(\d{1,2}) set\. 2025"")), ""dd/mm/yyyy""),
 IF(NOT(ISERROR(REGEXEXTRACT(T30, ""(\d{1,2}) out\. 2025""))), 
  TEXT(DATE(2025,10,REGEXEXTRACT(T30, ""(\d{1,2}) out\. 2025"&amp;""")), ""dd/mm/yyyy""),
 IF(NOT(ISERROR(REGEXEXTRACT(T30, ""(\d{1,2}) nov\. 2025""))), 
  TEXT(DATE(2025,11,REGEXEXTRACT(T30, ""(\d{1,2}) nov\. 2025"")), ""dd/mm/yyyy""),
 IF(NOT(ISERROR(REGEXEXTRACT(T30, ""(\d{1,2}) dez\. 2025""))), 
  TEXT(DATE(2025,12,R"&amp;"EGEXEXTRACT(T30, ""(\d{1,2}) dez\. 2025"")), ""dd/mm/yyyy""),
 ""Insira a data manualmente"")))))))))))), """"))"),"29/10/2025")</f>
        <v>29/10/2025</v>
      </c>
      <c r="H30" s="22">
        <f t="shared" si="1"/>
        <v>2025</v>
      </c>
      <c r="I30" s="18" t="str">
        <f>IFERROR(__xludf.DUMMYFUNCTION("IF(REGEXMATCH(T30,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IF(REGEXMATCH(T30, ""(?i)\bBrasília\b""), ""Distrito Federal, Brasil"",
REGEXEXTRACT(T30,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30" s="30" t="s">
        <v>103</v>
      </c>
      <c r="K30" s="24" t="s">
        <v>104</v>
      </c>
      <c r="L30" s="24" t="s">
        <v>26</v>
      </c>
      <c r="M30" s="25" t="s">
        <v>27</v>
      </c>
      <c r="N30" s="18" t="str">
        <f t="shared" si="4"/>
        <v>ICL Notícias</v>
      </c>
      <c r="O30" s="17" t="s">
        <v>28</v>
      </c>
      <c r="P30" s="17" t="s">
        <v>29</v>
      </c>
      <c r="Q30" s="26">
        <v>45961.0</v>
      </c>
      <c r="R30" s="17" t="s">
        <v>30</v>
      </c>
      <c r="S30" s="27" t="str">
        <f t="shared" si="3"/>
        <v>Aqui</v>
      </c>
      <c r="T30" s="29" t="s">
        <v>105</v>
      </c>
      <c r="U30" s="29"/>
    </row>
    <row r="31">
      <c r="A31" s="16">
        <v>29.0</v>
      </c>
      <c r="B31" s="17" t="s">
        <v>106</v>
      </c>
      <c r="C31" s="18" t="str">
        <f>IFERROR(__xludf.DUMMYFUNCTION("IF(B31="""","""",IF(OR(
  REGEXMATCH(B31,""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REGEXMATCH(B31,""Notícia|Reportagem|Artigo de opinião|Verbete"")
),""Difusão"","""")))
"),"Rememoração")</f>
        <v>Rememoração</v>
      </c>
      <c r="D31" s="19" t="str">
        <f>IFERROR(__xludf.DUMMYFUNCTION("IF(B31="""","""",IF(OR(
  REGEXMATCH(B31,""Performance|Instalação|Álbum|Música|Poema|Livro|Filme|Documentário|Recitação|Espetáculo|Peça|Intervenção|Desfile|Fotografia|Exposição|Charge|Grafite|Leitura pública|Fabricação de cachaça artesanal""),
  REGEXMATC"&amp;"H(B31,""dança|teatral|artístico|musical|artística"")
),""Manifestação artístico-cultural"",
IF(OR(
  REGEXMATCH(B31,""Crônica|Série|Reportagem|Podcast|Audiotour|Entrevista|Vídeo|Rádio|Notícia|Artigo de opinião|Coletiva de imprensa""),
  REGEXMATCH(B31,""m"&amp;"idiática"")
),""Produção midiática"","""")))
"),"")</f>
        <v/>
      </c>
      <c r="E31" s="20" t="str">
        <f>IFERROR(__xludf.DUMMYFUNCTION("IF(B31="""","""",IF(OR(
  REGEXMATCH(B31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REGEXMATCH(B31,""público|Imediato|artística|teatral|memória|Ação popular"")
),""Público Imediato"",
IF(REGEXMATCH(B31,""Música|Álbum|Filme|Documentário|S"&amp;"érie|Podcast|Rádio|Audiotour|Entrevista|Reportagem|Crônica|Relatório|Abaixo-assinado|Manifesto|Petição|Poema|Livro|Fotografia|Curta|Live|Webinário|Charge|Leitura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31" s="20" t="str">
        <f>IFERROR(__xludf.DUMMYFUNCTION("IF(B31="""","""",IF(OR(
  REGEXMATCH(B31,""Live|Webinário|Virtual|Verbete""),
  REGEXMATCH(B31,""online"")
),""Virtual"",
IF(REGEXMATCH(B31,""Música|Álbum|Filme|Documentário|Série|Podcast|Rádio|Audiotour|Episódio|Reportagem|Curta|Charge|Vídeo|Entrevista|N"&amp;"otícia|Artigo de opinião""),
""Midiático"",
IF(REGEXMATCH(B31,""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f>
        <v/>
      </c>
      <c r="G31" s="21">
        <v>45958.0</v>
      </c>
      <c r="H31" s="22">
        <f t="shared" si="1"/>
        <v>2025</v>
      </c>
      <c r="I31" s="18" t="str">
        <f>IFERROR(__xludf.DUMMYFUNCTION("IF(REGEXMATCH(T31,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IF(REGEXMATCH(T31, ""(?i)\bBrasília\b""), ""Distrito Federal, Brasil"",
REGEXEXTRACT(T31,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31" s="31" t="s">
        <v>107</v>
      </c>
      <c r="K31" s="24" t="s">
        <v>108</v>
      </c>
      <c r="L31" s="24" t="s">
        <v>26</v>
      </c>
      <c r="M31" s="25" t="s">
        <v>27</v>
      </c>
      <c r="N31" s="18" t="s">
        <v>109</v>
      </c>
      <c r="O31" s="17" t="s">
        <v>28</v>
      </c>
      <c r="P31" s="17" t="s">
        <v>29</v>
      </c>
      <c r="Q31" s="26">
        <v>45961.0</v>
      </c>
      <c r="R31" s="17" t="s">
        <v>30</v>
      </c>
      <c r="S31" s="27" t="str">
        <f t="shared" si="3"/>
        <v>Aqui</v>
      </c>
      <c r="T31" s="29" t="s">
        <v>110</v>
      </c>
      <c r="U31" s="29"/>
    </row>
    <row r="32">
      <c r="A32" s="16">
        <v>30.0</v>
      </c>
      <c r="B32" s="17" t="s">
        <v>23</v>
      </c>
      <c r="C32" s="18" t="str">
        <f>IFERROR(__xludf.DUMMYFUNCTION("IF(B32="""","""",IF(OR(
  REGEXMATCH(B32,""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REGEXMATCH(B32,""Notícia|Reportagem|Artigo de opinião|Verbete"")
),""Difusão"","""")))
"),"Difusão")</f>
        <v>Difusão</v>
      </c>
      <c r="D32" s="19" t="str">
        <f>IFERROR(__xludf.DUMMYFUNCTION("IF(B32="""","""",IF(OR(
  REGEXMATCH(B32,""Performance|Instalação|Álbum|Música|Poema|Livro|Filme|Documentário|Recitação|Espetáculo|Peça|Intervenção|Desfile|Fotografia|Exposição|Charge|Grafite|Leitura pública|Fabricação de cachaça artesanal""),
  REGEXMATC"&amp;"H(B32,""dança|teatral|artístico|musical|artística"")
),""Manifestação artístico-cultural"",
IF(OR(
  REGEXMATCH(B32,""Crônica|Série|Reportagem|Podcast|Audiotour|Entrevista|Vídeo|Rádio|Notícia|Artigo de opinião|Coletiva de imprensa""),
  REGEXMATCH(B32,""m"&amp;"idiática"")
),""Produção midiática"","""")))
"),"Produção midiática")</f>
        <v>Produção midiática</v>
      </c>
      <c r="E32" s="20" t="str">
        <f>IFERROR(__xludf.DUMMYFUNCTION("IF(B32="""","""",IF(OR(
  REGEXMATCH(B32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REGEXMATCH(B32,""público|Imediato|artística|teatral|memória|Ação popular"")
),""Público Imediato"",
IF(REGEXMATCH(B32,""Música|Álbum|Filme|Documentário|S"&amp;"érie|Podcast|Rádio|Audiotour|Entrevista|Reportagem|Crônica|Relatório|Abaixo-assinado|Manifesto|Petição|Poema|Livro|Fotografia|Curta|Live|Webinário|Charge|Leitura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32" s="20" t="str">
        <f>IFERROR(__xludf.DUMMYFUNCTION("IF(B32="""","""",IF(OR(
  REGEXMATCH(B32,""Live|Webinário|Virtual|Verbete""),
  REGEXMATCH(B32,""online"")
),""Virtual"",
IF(REGEXMATCH(B32,""Música|Álbum|Filme|Documentário|Série|Podcast|Rádio|Audiotour|Episódio|Reportagem|Curta|Charge|Vídeo|Entrevista|N"&amp;"otícia|Artigo de opinião""),
""Midiático"",
IF(REGEXMATCH(B32,""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32" s="21" t="str">
        <f>IFERROR(__xludf.DUMMYFUNCTION("IF(C32=""rememoração"", ""Insira a data manualmente"", IF(C32=""difusão"", 
 IF(NOT(ISERROR(REGEXEXTRACT(T32, ""(\d{1,2}) jan\. 2025""))), 
  TEXT(DATE(2025,1,REGEXEXTRACT(T32, ""(\d{1,2}) jan\. 2025"")), ""dd/mm/yyyy""),
 IF(NOT(ISERROR(REGEXEXTRACT(T32,"&amp;" ""(\d{1,2}) fev\. 2025""))), 
  TEXT(DATE(2025,2,REGEXEXTRACT(T32, ""(\d{1,2}) fev\. 2025"")), ""dd/mm/yyyy""),
 IF(NOT(ISERROR(REGEXEXTRACT(T32, ""(\d{1,2}) mar\. 2025""))), 
  TEXT(DATE(2025,3,REGEXEXTRACT(T32, ""(\d{1,2}) mar\. 2025"")), ""dd/mm/yyyy"&amp;"""),
 IF(NOT(ISERROR(REGEXEXTRACT(T32, ""(\d{1,2}) abr\. 2025""))), 
  TEXT(DATE(2025,4,REGEXEXTRACT(T32, ""(\d{1,2}) abr\. 2025"")), ""dd/mm/yyyy""),
 IF(NOT(ISERROR(REGEXEXTRACT(T32, ""(\d{1,2}) (mai|maio)\. 2025""))), 
  TEXT(DATE(2025,5,REGEXEXTRACT(T"&amp;"32, ""(\d{1,2}) (mai|maio)\. 2025"")), ""dd/mm/yyyy""),
 IF(NOT(ISERROR(REGEXEXTRACT(T32, ""(\d{1,2}) jun\. 2025""))), 
  TEXT(DATE(2025,6,REGEXEXTRACT(T32, ""(\d{1,2}) jun\. 2025"")), ""dd/mm/yyyy""),
 IF(NOT(ISERROR(REGEXEXTRACT(T32, ""(\d{1,2}) jul\. 2"&amp;"025""))), 
  TEXT(DATE(2025,7,REGEXEXTRACT(T32, ""(\d{1,2}) jul\. 2025"")), ""dd/mm/yyyy""),
 IF(NOT(ISERROR(REGEXEXTRACT(T32, ""(\d{1,2}) ago\. 2025""))), 
  TEXT(DATE(2025,8,REGEXEXTRACT(T32, ""(\d{1,2}) ago\. 2025"")), ""dd/mm/yyyy""),
 IF(NOT(ISERROR("&amp;"REGEXEXTRACT(T32, ""(\d{1,2}) set\. 2025""))), 
  TEXT(DATE(2025,9,REGEXEXTRACT(T32, ""(\d{1,2}) set\. 2025"")), ""dd/mm/yyyy""),
 IF(NOT(ISERROR(REGEXEXTRACT(T32, ""(\d{1,2}) out\. 2025""))), 
  TEXT(DATE(2025,10,REGEXEXTRACT(T32, ""(\d{1,2}) out\. 2025"&amp;""")), ""dd/mm/yyyy""),
 IF(NOT(ISERROR(REGEXEXTRACT(T32, ""(\d{1,2}) nov\. 2025""))), 
  TEXT(DATE(2025,11,REGEXEXTRACT(T32, ""(\d{1,2}) nov\. 2025"")), ""dd/mm/yyyy""),
 IF(NOT(ISERROR(REGEXEXTRACT(T32, ""(\d{1,2}) dez\. 2025""))), 
  TEXT(DATE(2025,12,R"&amp;"EGEXEXTRACT(T32, ""(\d{1,2}) dez\. 2025"")), ""dd/mm/yyyy""),
 ""Insira a data manualmente"")))))))))))), """"))"),"31/10/2025")</f>
        <v>31/10/2025</v>
      </c>
      <c r="H32" s="22">
        <f t="shared" si="1"/>
        <v>2025</v>
      </c>
      <c r="I32" s="18" t="s">
        <v>111</v>
      </c>
      <c r="J32" s="30" t="s">
        <v>112</v>
      </c>
      <c r="K32" s="24" t="s">
        <v>113</v>
      </c>
      <c r="L32" s="24" t="s">
        <v>26</v>
      </c>
      <c r="M32" s="25" t="s">
        <v>27</v>
      </c>
      <c r="N32" s="18" t="str">
        <f>IF(C32="difusão", J32, IF(C32="rememoração", "Inserir fonte manualmente", ""))</f>
        <v>GHZ</v>
      </c>
      <c r="O32" s="17" t="s">
        <v>28</v>
      </c>
      <c r="P32" s="17" t="s">
        <v>29</v>
      </c>
      <c r="Q32" s="26">
        <v>45961.0</v>
      </c>
      <c r="R32" s="17" t="s">
        <v>37</v>
      </c>
      <c r="S32" s="27" t="str">
        <f t="shared" si="3"/>
        <v>Aqui</v>
      </c>
      <c r="T32" s="29" t="s">
        <v>114</v>
      </c>
      <c r="U32" s="29"/>
    </row>
    <row r="33">
      <c r="A33" s="16">
        <v>31.0</v>
      </c>
      <c r="B33" s="17" t="s">
        <v>115</v>
      </c>
      <c r="C33" s="18" t="str">
        <f>IFERROR(__xludf.DUMMYFUNCTION("IF(B33="""","""",IF(OR(
  REGEXMATCH(B33,""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REGEXMATCH(B33,""Notícia|Reportagem|Artigo de opinião|Verbete"")
),""Difusão"","""")))
"),"Rememoração")</f>
        <v>Rememoração</v>
      </c>
      <c r="D33" s="19" t="str">
        <f>IFERROR(__xludf.DUMMYFUNCTION("IF(B33="""","""",IF(OR(
  REGEXMATCH(B33,""Performance|Instalação|Álbum|Música|Poema|Livro|Filme|Documentário|Recitação|Espetáculo|Peça|Intervenção|Desfile|Fotografia|Exposição|Charge|Grafite|Leitura pública|Fabricação de cachaça artesanal""),
  REGEXMATC"&amp;"H(B33,""dança|teatral|artístico|musical|artística"")
),""Manifestação artístico-cultural"",
IF(OR(
  REGEXMATCH(B33,""Crônica|Série|Reportagem|Podcast|Audiotour|Entrevista|Vídeo|Rádio|Notícia|Artigo de opinião|Coletiva de imprensa""),
  REGEXMATCH(B33,""m"&amp;"idiática"")
),""Produção midiática"","""")))
"),"")</f>
        <v/>
      </c>
      <c r="E33" s="20" t="str">
        <f>IFERROR(__xludf.DUMMYFUNCTION("IF(B33="""","""",IF(OR(
  REGEXMATCH(B33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REGEXMATCH(B33,""público|Imediato|artística|teatral|memória|Ação popular"")
),""Público Imediato"",
IF(REGEXMATCH(B33,""Música|Álbum|Filme|Documentário|S"&amp;"érie|Podcast|Rádio|Audiotour|Entrevista|Reportagem|Crônica|Relatório|Abaixo-assinado|Manifesto|Petição|Poema|Livro|Fotografia|Curta|Live|Webinário|Charge|Leitura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33" s="20" t="str">
        <f>IFERROR(__xludf.DUMMYFUNCTION("IF(B33="""","""",IF(OR(
  REGEXMATCH(B33,""Live|Webinário|Virtual|Verbete""),
  REGEXMATCH(B33,""online"")
),""Virtual"",
IF(REGEXMATCH(B33,""Música|Álbum|Filme|Documentário|Série|Podcast|Rádio|Audiotour|Episódio|Reportagem|Curta|Charge|Vídeo|Entrevista|N"&amp;"otícia|Artigo de opinião""),
""Midiático"",
IF(REGEXMATCH(B33,""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f>
        <v/>
      </c>
      <c r="G33" s="21">
        <v>45959.0</v>
      </c>
      <c r="H33" s="22">
        <f t="shared" si="1"/>
        <v>2025</v>
      </c>
      <c r="I33" s="18" t="s">
        <v>116</v>
      </c>
      <c r="J33" s="30" t="s">
        <v>117</v>
      </c>
      <c r="K33" s="24" t="s">
        <v>118</v>
      </c>
      <c r="L33" s="24" t="s">
        <v>26</v>
      </c>
      <c r="M33" s="25" t="s">
        <v>27</v>
      </c>
      <c r="N33" s="18" t="s">
        <v>118</v>
      </c>
      <c r="O33" s="17" t="s">
        <v>28</v>
      </c>
      <c r="P33" s="17" t="s">
        <v>95</v>
      </c>
      <c r="Q33" s="26">
        <v>45961.0</v>
      </c>
      <c r="R33" s="17" t="s">
        <v>30</v>
      </c>
      <c r="S33" s="27" t="str">
        <f t="shared" si="3"/>
        <v>Aqui</v>
      </c>
      <c r="T33" s="29" t="s">
        <v>119</v>
      </c>
      <c r="U33" s="29"/>
    </row>
    <row r="34">
      <c r="A34" s="16">
        <v>32.0</v>
      </c>
      <c r="B34" s="17" t="s">
        <v>23</v>
      </c>
      <c r="C34" s="18" t="str">
        <f>IFERROR(__xludf.DUMMYFUNCTION("IF(B34="""","""",IF(OR(
  REGEXMATCH(B34,""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REGEXMATCH(B34,""Notícia|Reportagem|Artigo de opinião|Verbete"")
),""Difusão"","""")))
"),"Difusão")</f>
        <v>Difusão</v>
      </c>
      <c r="D34" s="19" t="str">
        <f>IFERROR(__xludf.DUMMYFUNCTION("IF(B34="""","""",IF(OR(
  REGEXMATCH(B34,""Performance|Instalação|Álbum|Música|Poema|Livro|Filme|Documentário|Recitação|Espetáculo|Peça|Intervenção|Desfile|Fotografia|Exposição|Charge|Grafite|Leitura pública|Fabricação de cachaça artesanal""),
  REGEXMATC"&amp;"H(B34,""dança|teatral|artístico|musical|artística"")
),""Manifestação artístico-cultural"",
IF(OR(
  REGEXMATCH(B34,""Crônica|Série|Reportagem|Podcast|Audiotour|Entrevista|Vídeo|Rádio|Notícia|Artigo de opinião|Coletiva de imprensa""),
  REGEXMATCH(B34,""m"&amp;"idiática"")
),""Produção midiática"","""")))
"),"Produção midiática")</f>
        <v>Produção midiática</v>
      </c>
      <c r="E34" s="20" t="str">
        <f>IFERROR(__xludf.DUMMYFUNCTION("IF(B34="""","""",IF(OR(
  REGEXMATCH(B34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REGEXMATCH(B34,""público|Imediato|artística|teatral|memória|Ação popular"")
),""Público Imediato"",
IF(REGEXMATCH(B34,""Música|Álbum|Filme|Documentário|S"&amp;"érie|Podcast|Rádio|Audiotour|Entrevista|Reportagem|Crônica|Relatório|Abaixo-assinado|Manifesto|Petição|Poema|Livro|Fotografia|Curta|Live|Webinário|Charge|Leitura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34" s="20" t="str">
        <f>IFERROR(__xludf.DUMMYFUNCTION("IF(B34="""","""",IF(OR(
  REGEXMATCH(B34,""Live|Webinário|Virtual|Verbete""),
  REGEXMATCH(B34,""online"")
),""Virtual"",
IF(REGEXMATCH(B34,""Música|Álbum|Filme|Documentário|Série|Podcast|Rádio|Audiotour|Episódio|Reportagem|Curta|Charge|Vídeo|Entrevista|N"&amp;"otícia|Artigo de opinião""),
""Midiático"",
IF(REGEXMATCH(B34,""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34" s="21" t="str">
        <f>IFERROR(__xludf.DUMMYFUNCTION("IF(C34=""rememoração"", ""Insira a data manualmente"", IF(C34=""difusão"", 
 IF(NOT(ISERROR(REGEXEXTRACT(T34, ""(\d{1,2}) jan\. 2025""))), 
  TEXT(DATE(2025,1,REGEXEXTRACT(T34, ""(\d{1,2}) jan\. 2025"")), ""dd/mm/yyyy""),
 IF(NOT(ISERROR(REGEXEXTRACT(T34,"&amp;" ""(\d{1,2}) fev\. 2025""))), 
  TEXT(DATE(2025,2,REGEXEXTRACT(T34, ""(\d{1,2}) fev\. 2025"")), ""dd/mm/yyyy""),
 IF(NOT(ISERROR(REGEXEXTRACT(T34, ""(\d{1,2}) mar\. 2025""))), 
  TEXT(DATE(2025,3,REGEXEXTRACT(T34, ""(\d{1,2}) mar\. 2025"")), ""dd/mm/yyyy"&amp;"""),
 IF(NOT(ISERROR(REGEXEXTRACT(T34, ""(\d{1,2}) abr\. 2025""))), 
  TEXT(DATE(2025,4,REGEXEXTRACT(T34, ""(\d{1,2}) abr\. 2025"")), ""dd/mm/yyyy""),
 IF(NOT(ISERROR(REGEXEXTRACT(T34, ""(\d{1,2}) (mai|maio)\. 2025""))), 
  TEXT(DATE(2025,5,REGEXEXTRACT(T"&amp;"34, ""(\d{1,2}) (mai|maio)\. 2025"")), ""dd/mm/yyyy""),
 IF(NOT(ISERROR(REGEXEXTRACT(T34, ""(\d{1,2}) jun\. 2025""))), 
  TEXT(DATE(2025,6,REGEXEXTRACT(T34, ""(\d{1,2}) jun\. 2025"")), ""dd/mm/yyyy""),
 IF(NOT(ISERROR(REGEXEXTRACT(T34, ""(\d{1,2}) jul\. 2"&amp;"025""))), 
  TEXT(DATE(2025,7,REGEXEXTRACT(T34, ""(\d{1,2}) jul\. 2025"")), ""dd/mm/yyyy""),
 IF(NOT(ISERROR(REGEXEXTRACT(T34, ""(\d{1,2}) ago\. 2025""))), 
  TEXT(DATE(2025,8,REGEXEXTRACT(T34, ""(\d{1,2}) ago\. 2025"")), ""dd/mm/yyyy""),
 IF(NOT(ISERROR("&amp;"REGEXEXTRACT(T34, ""(\d{1,2}) set\. 2025""))), 
  TEXT(DATE(2025,9,REGEXEXTRACT(T34, ""(\d{1,2}) set\. 2025"")), ""dd/mm/yyyy""),
 IF(NOT(ISERROR(REGEXEXTRACT(T34, ""(\d{1,2}) out\. 2025""))), 
  TEXT(DATE(2025,10,REGEXEXTRACT(T34, ""(\d{1,2}) out\. 2025"&amp;""")), ""dd/mm/yyyy""),
 IF(NOT(ISERROR(REGEXEXTRACT(T34, ""(\d{1,2}) nov\. 2025""))), 
  TEXT(DATE(2025,11,REGEXEXTRACT(T34, ""(\d{1,2}) nov\. 2025"")), ""dd/mm/yyyy""),
 IF(NOT(ISERROR(REGEXEXTRACT(T34, ""(\d{1,2}) dez\. 2025""))), 
  TEXT(DATE(2025,12,R"&amp;"EGEXEXTRACT(T34, ""(\d{1,2}) dez\. 2025"")), ""dd/mm/yyyy""),
 ""Insira a data manualmente"")))))))))))), """"))"),"29/10/2025")</f>
        <v>29/10/2025</v>
      </c>
      <c r="H34" s="22">
        <f t="shared" si="1"/>
        <v>2025</v>
      </c>
      <c r="I34" s="18" t="str">
        <f>IFERROR(__xludf.DUMMYFUNCTION("IF(REGEXMATCH(T34,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IF(REGEXMATCH(T34, ""(?i)\bBrasília\b""), ""Distrito Federal, Brasil"",
REGEXEXTRACT(T34,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34" s="30" t="s">
        <v>120</v>
      </c>
      <c r="K34" s="24" t="s">
        <v>121</v>
      </c>
      <c r="L34" s="24" t="s">
        <v>26</v>
      </c>
      <c r="M34" s="25" t="s">
        <v>27</v>
      </c>
      <c r="N34" s="18" t="str">
        <f>IF(C34="difusão", J34, IF(C34="rememoração", "Inserir fonte manualmente", ""))</f>
        <v>Onze de Maio</v>
      </c>
      <c r="O34" s="17" t="s">
        <v>28</v>
      </c>
      <c r="P34" s="17" t="s">
        <v>29</v>
      </c>
      <c r="Q34" s="26">
        <v>45961.0</v>
      </c>
      <c r="R34" s="17" t="s">
        <v>30</v>
      </c>
      <c r="S34" s="27" t="str">
        <f t="shared" si="3"/>
        <v>Aqui</v>
      </c>
      <c r="T34" s="29" t="s">
        <v>122</v>
      </c>
      <c r="U34" s="29"/>
    </row>
    <row r="35">
      <c r="A35" s="16">
        <v>33.0</v>
      </c>
      <c r="B35" s="17" t="s">
        <v>123</v>
      </c>
      <c r="C35" s="18" t="str">
        <f>IFERROR(__xludf.DUMMYFUNCTION("IF(B35="""","""",IF(OR(
  REGEXMATCH(B35,""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REGEXMATCH(B35,""Notícia|Reportagem|Artigo de opinião|Verbete"")
),""Difusão"","""")))
"),"Rememoração")</f>
        <v>Rememoração</v>
      </c>
      <c r="D35" s="19" t="str">
        <f>IFERROR(__xludf.DUMMYFUNCTION("IF(B35="""","""",IF(OR(
  REGEXMATCH(B35,""Performance|Instalação|Álbum|Música|Poema|Livro|Filme|Documentário|Recitação|Espetáculo|Peça|Intervenção|Desfile|Fotografia|Exposição|Charge|Grafite|Leitura pública|Fabricação de cachaça artesanal""),
  REGEXMATC"&amp;"H(B35,""dança|teatral|artístico|musical|artística"")
),""Manifestação artístico-cultural"",
IF(OR(
  REGEXMATCH(B35,""Crônica|Série|Reportagem|Podcast|Audiotour|Entrevista|Vídeo|Rádio|Notícia|Artigo de opinião|Coletiva de imprensa""),
  REGEXMATCH(B35,""m"&amp;"idiática"")
),""Produção midiática"","""")))
"),"")</f>
        <v/>
      </c>
      <c r="E35" s="20" t="str">
        <f>IFERROR(__xludf.DUMMYFUNCTION("IF(B35="""","""",IF(OR(
  REGEXMATCH(B35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REGEXMATCH(B35,""público|Imediato|artística|teatral|memória|Ação popular"")
),""Público Imediato"",
IF(REGEXMATCH(B35,""Música|Álbum|Filme|Documentário|S"&amp;"érie|Podcast|Rádio|Audiotour|Entrevista|Reportagem|Crônica|Relatório|Abaixo-assinado|Manifesto|Petição|Poema|Livro|Fotografia|Curta|Live|Webinário|Charge|Leitura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Imediato")</f>
        <v>Público Imediato</v>
      </c>
      <c r="F35" s="20" t="str">
        <f>IFERROR(__xludf.DUMMYFUNCTION("IF(B35="""","""",IF(OR(
  REGEXMATCH(B35,""Live|Webinário|Virtual|Verbete""),
  REGEXMATCH(B35,""online"")
),""Virtual"",
IF(REGEXMATCH(B35,""Música|Álbum|Filme|Documentário|Série|Podcast|Rádio|Audiotour|Episódio|Reportagem|Curta|Charge|Vídeo|Entrevista|N"&amp;"otícia|Artigo de opinião""),
""Midiático"",
IF(REGEXMATCH(B35,""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35" s="21">
        <v>45961.0</v>
      </c>
      <c r="H35" s="22">
        <f t="shared" si="1"/>
        <v>2025</v>
      </c>
      <c r="I35" s="18" t="s">
        <v>124</v>
      </c>
      <c r="J35" s="30" t="s">
        <v>125</v>
      </c>
      <c r="K35" s="24" t="s">
        <v>126</v>
      </c>
      <c r="L35" s="24" t="s">
        <v>26</v>
      </c>
      <c r="M35" s="25" t="s">
        <v>27</v>
      </c>
      <c r="N35" s="18" t="s">
        <v>53</v>
      </c>
      <c r="O35" s="17" t="s">
        <v>28</v>
      </c>
      <c r="P35" s="17" t="s">
        <v>29</v>
      </c>
      <c r="Q35" s="26">
        <v>45961.0</v>
      </c>
      <c r="R35" s="17" t="s">
        <v>30</v>
      </c>
      <c r="S35" s="27" t="str">
        <f t="shared" si="3"/>
        <v>Aqui</v>
      </c>
      <c r="T35" s="29" t="s">
        <v>127</v>
      </c>
      <c r="U35" s="29"/>
    </row>
    <row r="36">
      <c r="A36" s="16">
        <v>34.0</v>
      </c>
      <c r="B36" s="17" t="s">
        <v>128</v>
      </c>
      <c r="C36" s="18" t="str">
        <f>IFERROR(__xludf.DUMMYFUNCTION("IF(B36="""","""",IF(OR(
  REGEXMATCH(B36,""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REGEXMATCH(B36,""Notícia|Reportagem|Artigo de opinião|Verbete"")
),""Difusão"","""")))
"),"Difusão")</f>
        <v>Difusão</v>
      </c>
      <c r="D36" s="19" t="str">
        <f>IFERROR(__xludf.DUMMYFUNCTION("IF(B36="""","""",IF(OR(
  REGEXMATCH(B36,""Performance|Instalação|Álbum|Música|Poema|Livro|Filme|Documentário|Recitação|Espetáculo|Peça|Intervenção|Desfile|Fotografia|Exposição|Charge|Grafite|Leitura pública|Fabricação de cachaça artesanal""),
  REGEXMATC"&amp;"H(B36,""dança|teatral|artístico|musical|artística"")
),""Manifestação artístico-cultural"",
IF(OR(
  REGEXMATCH(B36,""Crônica|Série|Reportagem|Podcast|Audiotour|Entrevista|Vídeo|Rádio|Notícia|Artigo de opinião|Coletiva de imprensa""),
  REGEXMATCH(B36,""m"&amp;"idiática"")
),""Produção midiática"","""")))
"),"Produção midiática")</f>
        <v>Produção midiática</v>
      </c>
      <c r="E36" s="20" t="str">
        <f>IFERROR(__xludf.DUMMYFUNCTION("IF(B36="""","""",IF(OR(
  REGEXMATCH(B36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REGEXMATCH(B36,""público|Imediato|artística|teatral|memória|Ação popular"")
),""Público Imediato"",
IF(REGEXMATCH(B36,""Música|Álbum|Filme|Documentário|S"&amp;"érie|Podcast|Rádio|Audiotour|Entrevista|Reportagem|Crônica|Relatório|Abaixo-assinado|Manifesto|Petição|Poema|Livro|Fotografia|Curta|Live|Webinário|Charge|Leitura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36" s="20" t="str">
        <f>IFERROR(__xludf.DUMMYFUNCTION("IF(B36="""","""",IF(OR(
  REGEXMATCH(B36,""Live|Webinário|Virtual|Verbete""),
  REGEXMATCH(B36,""online"")
),""Virtual"",
IF(REGEXMATCH(B36,""Música|Álbum|Filme|Documentário|Série|Podcast|Rádio|Audiotour|Episódio|Reportagem|Curta|Charge|Vídeo|Entrevista|N"&amp;"otícia|Artigo de opinião""),
""Midiático"",
IF(REGEXMATCH(B36,""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36" s="21" t="str">
        <f>IFERROR(__xludf.DUMMYFUNCTION("IF(C36=""rememoração"", ""Insira a data manualmente"", IF(C36=""difusão"", 
 IF(NOT(ISERROR(REGEXEXTRACT(T36, ""(\d{1,2}) jan\. 2025""))), 
  TEXT(DATE(2025,1,REGEXEXTRACT(T36, ""(\d{1,2}) jan\. 2025"")), ""dd/mm/yyyy""),
 IF(NOT(ISERROR(REGEXEXTRACT(T36,"&amp;" ""(\d{1,2}) fev\. 2025""))), 
  TEXT(DATE(2025,2,REGEXEXTRACT(T36, ""(\d{1,2}) fev\. 2025"")), ""dd/mm/yyyy""),
 IF(NOT(ISERROR(REGEXEXTRACT(T36, ""(\d{1,2}) mar\. 2025""))), 
  TEXT(DATE(2025,3,REGEXEXTRACT(T36, ""(\d{1,2}) mar\. 2025"")), ""dd/mm/yyyy"&amp;"""),
 IF(NOT(ISERROR(REGEXEXTRACT(T36, ""(\d{1,2}) abr\. 2025""))), 
  TEXT(DATE(2025,4,REGEXEXTRACT(T36, ""(\d{1,2}) abr\. 2025"")), ""dd/mm/yyyy""),
 IF(NOT(ISERROR(REGEXEXTRACT(T36, ""(\d{1,2}) (mai|maio)\. 2025""))), 
  TEXT(DATE(2025,5,REGEXEXTRACT(T"&amp;"36, ""(\d{1,2}) (mai|maio)\. 2025"")), ""dd/mm/yyyy""),
 IF(NOT(ISERROR(REGEXEXTRACT(T36, ""(\d{1,2}) jun\. 2025""))), 
  TEXT(DATE(2025,6,REGEXEXTRACT(T36, ""(\d{1,2}) jun\. 2025"")), ""dd/mm/yyyy""),
 IF(NOT(ISERROR(REGEXEXTRACT(T36, ""(\d{1,2}) jul\. 2"&amp;"025""))), 
  TEXT(DATE(2025,7,REGEXEXTRACT(T36, ""(\d{1,2}) jul\. 2025"")), ""dd/mm/yyyy""),
 IF(NOT(ISERROR(REGEXEXTRACT(T36, ""(\d{1,2}) ago\. 2025""))), 
  TEXT(DATE(2025,8,REGEXEXTRACT(T36, ""(\d{1,2}) ago\. 2025"")), ""dd/mm/yyyy""),
 IF(NOT(ISERROR("&amp;"REGEXEXTRACT(T36, ""(\d{1,2}) set\. 2025""))), 
  TEXT(DATE(2025,9,REGEXEXTRACT(T36, ""(\d{1,2}) set\. 2025"")), ""dd/mm/yyyy""),
 IF(NOT(ISERROR(REGEXEXTRACT(T36, ""(\d{1,2}) out\. 2025""))), 
  TEXT(DATE(2025,10,REGEXEXTRACT(T36, ""(\d{1,2}) out\. 2025"&amp;""")), ""dd/mm/yyyy""),
 IF(NOT(ISERROR(REGEXEXTRACT(T36, ""(\d{1,2}) nov\. 2025""))), 
  TEXT(DATE(2025,11,REGEXEXTRACT(T36, ""(\d{1,2}) nov\. 2025"")), ""dd/mm/yyyy""),
 IF(NOT(ISERROR(REGEXEXTRACT(T36, ""(\d{1,2}) dez\. 2025""))), 
  TEXT(DATE(2025,12,R"&amp;"EGEXEXTRACT(T36, ""(\d{1,2}) dez\. 2025"")), ""dd/mm/yyyy""),
 ""Insira a data manualmente"")))))))))))), """"))"),"29/10/2025")</f>
        <v>29/10/2025</v>
      </c>
      <c r="H36" s="22">
        <f t="shared" si="1"/>
        <v>2025</v>
      </c>
      <c r="I36" s="18" t="str">
        <f>IFERROR(__xludf.DUMMYFUNCTION("IF(REGEXMATCH(T36,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IF(REGEXMATCH(T36, ""(?i)\bBrasília\b""), ""Distrito Federal, Brasil"",
REGEXEXTRACT(T36,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36" s="30" t="s">
        <v>129</v>
      </c>
      <c r="K36" s="24" t="s">
        <v>130</v>
      </c>
      <c r="L36" s="24" t="s">
        <v>26</v>
      </c>
      <c r="M36" s="25" t="s">
        <v>27</v>
      </c>
      <c r="N36" s="18" t="str">
        <f t="shared" ref="N36:N38" si="5">IF(C36="difusão", J36, IF(C36="rememoração", "Inserir fonte manualmente", ""))</f>
        <v>Vio Mundo</v>
      </c>
      <c r="O36" s="17" t="s">
        <v>28</v>
      </c>
      <c r="P36" s="17" t="s">
        <v>29</v>
      </c>
      <c r="Q36" s="26">
        <v>45961.0</v>
      </c>
      <c r="R36" s="17" t="s">
        <v>30</v>
      </c>
      <c r="S36" s="27" t="str">
        <f t="shared" si="3"/>
        <v>Aqui</v>
      </c>
      <c r="T36" s="29" t="s">
        <v>131</v>
      </c>
      <c r="U36" s="29"/>
    </row>
    <row r="37">
      <c r="A37" s="16">
        <v>35.0</v>
      </c>
      <c r="B37" s="17" t="s">
        <v>23</v>
      </c>
      <c r="C37" s="18" t="str">
        <f>IFERROR(__xludf.DUMMYFUNCTION("IF(B37="""","""",IF(OR(
  REGEXMATCH(B37,""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REGEXMATCH(B37,""Notícia|Reportagem|Artigo de opinião|Verbete"")
),""Difusão"","""")))
"),"Difusão")</f>
        <v>Difusão</v>
      </c>
      <c r="D37" s="19" t="str">
        <f>IFERROR(__xludf.DUMMYFUNCTION("IF(B37="""","""",IF(OR(
  REGEXMATCH(B37,""Performance|Instalação|Álbum|Música|Poema|Livro|Filme|Documentário|Recitação|Espetáculo|Peça|Intervenção|Desfile|Fotografia|Exposição|Charge|Grafite|Leitura pública|Fabricação de cachaça artesanal""),
  REGEXMATC"&amp;"H(B37,""dança|teatral|artístico|musical|artística"")
),""Manifestação artístico-cultural"",
IF(OR(
  REGEXMATCH(B37,""Crônica|Série|Reportagem|Podcast|Audiotour|Entrevista|Vídeo|Rádio|Notícia|Artigo de opinião|Coletiva de imprensa""),
  REGEXMATCH(B37,""m"&amp;"idiática"")
),""Produção midiática"","""")))
"),"Produção midiática")</f>
        <v>Produção midiática</v>
      </c>
      <c r="E37" s="20" t="str">
        <f>IFERROR(__xludf.DUMMYFUNCTION("IF(B37="""","""",IF(OR(
  REGEXMATCH(B37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REGEXMATCH(B37,""público|Imediato|artística|teatral|memória|Ação popular"")
),""Público Imediato"",
IF(REGEXMATCH(B37,""Música|Álbum|Filme|Documentário|S"&amp;"érie|Podcast|Rádio|Audiotour|Entrevista|Reportagem|Crônica|Relatório|Abaixo-assinado|Manifesto|Petição|Poema|Livro|Fotografia|Curta|Live|Webinário|Charge|Leitura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37" s="20" t="str">
        <f>IFERROR(__xludf.DUMMYFUNCTION("IF(B37="""","""",IF(OR(
  REGEXMATCH(B37,""Live|Webinário|Virtual|Verbete""),
  REGEXMATCH(B37,""online"")
),""Virtual"",
IF(REGEXMATCH(B37,""Música|Álbum|Filme|Documentário|Série|Podcast|Rádio|Audiotour|Episódio|Reportagem|Curta|Charge|Vídeo|Entrevista|N"&amp;"otícia|Artigo de opinião""),
""Midiático"",
IF(REGEXMATCH(B37,""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37" s="21" t="str">
        <f>IFERROR(__xludf.DUMMYFUNCTION("IF(C37=""rememoração"", ""Insira a data manualmente"", IF(C37=""difusão"", 
 IF(NOT(ISERROR(REGEXEXTRACT(T37, ""(\d{1,2}) jan\. 2025""))), 
  TEXT(DATE(2025,1,REGEXEXTRACT(T37, ""(\d{1,2}) jan\. 2025"")), ""dd/mm/yyyy""),
 IF(NOT(ISERROR(REGEXEXTRACT(T37,"&amp;" ""(\d{1,2}) fev\. 2025""))), 
  TEXT(DATE(2025,2,REGEXEXTRACT(T37, ""(\d{1,2}) fev\. 2025"")), ""dd/mm/yyyy""),
 IF(NOT(ISERROR(REGEXEXTRACT(T37, ""(\d{1,2}) mar\. 2025""))), 
  TEXT(DATE(2025,3,REGEXEXTRACT(T37, ""(\d{1,2}) mar\. 2025"")), ""dd/mm/yyyy"&amp;"""),
 IF(NOT(ISERROR(REGEXEXTRACT(T37, ""(\d{1,2}) abr\. 2025""))), 
  TEXT(DATE(2025,4,REGEXEXTRACT(T37, ""(\d{1,2}) abr\. 2025"")), ""dd/mm/yyyy""),
 IF(NOT(ISERROR(REGEXEXTRACT(T37, ""(\d{1,2}) (mai|maio)\. 2025""))), 
  TEXT(DATE(2025,5,REGEXEXTRACT(T"&amp;"37, ""(\d{1,2}) (mai|maio)\. 2025"")), ""dd/mm/yyyy""),
 IF(NOT(ISERROR(REGEXEXTRACT(T37, ""(\d{1,2}) jun\. 2025""))), 
  TEXT(DATE(2025,6,REGEXEXTRACT(T37, ""(\d{1,2}) jun\. 2025"")), ""dd/mm/yyyy""),
 IF(NOT(ISERROR(REGEXEXTRACT(T37, ""(\d{1,2}) jul\. 2"&amp;"025""))), 
  TEXT(DATE(2025,7,REGEXEXTRACT(T37, ""(\d{1,2}) jul\. 2025"")), ""dd/mm/yyyy""),
 IF(NOT(ISERROR(REGEXEXTRACT(T37, ""(\d{1,2}) ago\. 2025""))), 
  TEXT(DATE(2025,8,REGEXEXTRACT(T37, ""(\d{1,2}) ago\. 2025"")), ""dd/mm/yyyy""),
 IF(NOT(ISERROR("&amp;"REGEXEXTRACT(T37, ""(\d{1,2}) set\. 2025""))), 
  TEXT(DATE(2025,9,REGEXEXTRACT(T37, ""(\d{1,2}) set\. 2025"")), ""dd/mm/yyyy""),
 IF(NOT(ISERROR(REGEXEXTRACT(T37, ""(\d{1,2}) out\. 2025""))), 
  TEXT(DATE(2025,10,REGEXEXTRACT(T37, ""(\d{1,2}) out\. 2025"&amp;""")), ""dd/mm/yyyy""),
 IF(NOT(ISERROR(REGEXEXTRACT(T37, ""(\d{1,2}) nov\. 2025""))), 
  TEXT(DATE(2025,11,REGEXEXTRACT(T37, ""(\d{1,2}) nov\. 2025"")), ""dd/mm/yyyy""),
 IF(NOT(ISERROR(REGEXEXTRACT(T37, ""(\d{1,2}) dez\. 2025""))), 
  TEXT(DATE(2025,12,R"&amp;"EGEXEXTRACT(T37, ""(\d{1,2}) dez\. 2025"")), ""dd/mm/yyyy""),
 ""Insira a data manualmente"")))))))))))), """"))"),"29/10/2025")</f>
        <v>29/10/2025</v>
      </c>
      <c r="H37" s="22">
        <f t="shared" si="1"/>
        <v>2025</v>
      </c>
      <c r="I37" s="18" t="str">
        <f>IFERROR(__xludf.DUMMYFUNCTION("IF(REGEXMATCH(T37,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IF(REGEXMATCH(T37, ""(?i)\bBrasília\b""), ""Distrito Federal, Brasil"",
REGEXEXTRACT(T37,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37" s="30" t="s">
        <v>132</v>
      </c>
      <c r="K37" s="24" t="s">
        <v>133</v>
      </c>
      <c r="L37" s="24" t="s">
        <v>26</v>
      </c>
      <c r="M37" s="25" t="s">
        <v>27</v>
      </c>
      <c r="N37" s="18" t="str">
        <f t="shared" si="5"/>
        <v>Rio on Watch</v>
      </c>
      <c r="O37" s="17" t="s">
        <v>28</v>
      </c>
      <c r="P37" s="17" t="s">
        <v>29</v>
      </c>
      <c r="Q37" s="26">
        <v>45961.0</v>
      </c>
      <c r="R37" s="17" t="s">
        <v>30</v>
      </c>
      <c r="S37" s="27" t="str">
        <f t="shared" si="3"/>
        <v>Aqui</v>
      </c>
      <c r="T37" s="29" t="s">
        <v>134</v>
      </c>
      <c r="U37" s="29"/>
    </row>
    <row r="38">
      <c r="A38" s="16">
        <v>36.0</v>
      </c>
      <c r="B38" s="17" t="s">
        <v>23</v>
      </c>
      <c r="C38" s="18" t="str">
        <f>IFERROR(__xludf.DUMMYFUNCTION("IF(B38="""","""",IF(OR(
  REGEXMATCH(B38,""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REGEXMATCH(B38,""Notícia|Reportagem|Artigo de opinião|Verbete"")
),""Difusão"","""")))
"),"Difusão")</f>
        <v>Difusão</v>
      </c>
      <c r="D38" s="19" t="str">
        <f>IFERROR(__xludf.DUMMYFUNCTION("IF(B38="""","""",IF(OR(
  REGEXMATCH(B38,""Performance|Instalação|Álbum|Música|Poema|Livro|Filme|Documentário|Recitação|Espetáculo|Peça|Intervenção|Desfile|Fotografia|Exposição|Charge|Grafite|Leitura pública|Fabricação de cachaça artesanal""),
  REGEXMATC"&amp;"H(B38,""dança|teatral|artístico|musical|artística"")
),""Manifestação artístico-cultural"",
IF(OR(
  REGEXMATCH(B38,""Crônica|Série|Reportagem|Podcast|Audiotour|Entrevista|Vídeo|Rádio|Notícia|Artigo de opinião|Coletiva de imprensa""),
  REGEXMATCH(B38,""m"&amp;"idiática"")
),""Produção midiática"","""")))
"),"Produção midiática")</f>
        <v>Produção midiática</v>
      </c>
      <c r="E38" s="20" t="str">
        <f>IFERROR(__xludf.DUMMYFUNCTION("IF(B38="""","""",IF(OR(
  REGEXMATCH(B38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REGEXMATCH(B38,""público|Imediato|artística|teatral|memória|Ação popular"")
),""Público Imediato"",
IF(REGEXMATCH(B38,""Música|Álbum|Filme|Documentário|S"&amp;"érie|Podcast|Rádio|Audiotour|Entrevista|Reportagem|Crônica|Relatório|Abaixo-assinado|Manifesto|Petição|Poema|Livro|Fotografia|Curta|Live|Webinário|Charge|Leitura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38" s="20" t="str">
        <f>IFERROR(__xludf.DUMMYFUNCTION("IF(B38="""","""",IF(OR(
  REGEXMATCH(B38,""Live|Webinário|Virtual|Verbete""),
  REGEXMATCH(B38,""online"")
),""Virtual"",
IF(REGEXMATCH(B38,""Música|Álbum|Filme|Documentário|Série|Podcast|Rádio|Audiotour|Episódio|Reportagem|Curta|Charge|Vídeo|Entrevista|N"&amp;"otícia|Artigo de opinião""),
""Midiático"",
IF(REGEXMATCH(B38,""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38" s="21" t="str">
        <f>IFERROR(__xludf.DUMMYFUNCTION("IF(C38=""rememoração"", ""Insira a data manualmente"", IF(C38=""difusão"", 
 IF(NOT(ISERROR(REGEXEXTRACT(T38, ""(\d{1,2}) jan\. 2025""))), 
  TEXT(DATE(2025,1,REGEXEXTRACT(T38, ""(\d{1,2}) jan\. 2025"")), ""dd/mm/yyyy""),
 IF(NOT(ISERROR(REGEXEXTRACT(T38,"&amp;" ""(\d{1,2}) fev\. 2025""))), 
  TEXT(DATE(2025,2,REGEXEXTRACT(T38, ""(\d{1,2}) fev\. 2025"")), ""dd/mm/yyyy""),
 IF(NOT(ISERROR(REGEXEXTRACT(T38, ""(\d{1,2}) mar\. 2025""))), 
  TEXT(DATE(2025,3,REGEXEXTRACT(T38, ""(\d{1,2}) mar\. 2025"")), ""dd/mm/yyyy"&amp;"""),
 IF(NOT(ISERROR(REGEXEXTRACT(T38, ""(\d{1,2}) abr\. 2025""))), 
  TEXT(DATE(2025,4,REGEXEXTRACT(T38, ""(\d{1,2}) abr\. 2025"")), ""dd/mm/yyyy""),
 IF(NOT(ISERROR(REGEXEXTRACT(T38, ""(\d{1,2}) (mai|maio)\. 2025""))), 
  TEXT(DATE(2025,5,REGEXEXTRACT(T"&amp;"38, ""(\d{1,2}) (mai|maio)\. 2025"")), ""dd/mm/yyyy""),
 IF(NOT(ISERROR(REGEXEXTRACT(T38, ""(\d{1,2}) jun\. 2025""))), 
  TEXT(DATE(2025,6,REGEXEXTRACT(T38, ""(\d{1,2}) jun\. 2025"")), ""dd/mm/yyyy""),
 IF(NOT(ISERROR(REGEXEXTRACT(T38, ""(\d{1,2}) jul\. 2"&amp;"025""))), 
  TEXT(DATE(2025,7,REGEXEXTRACT(T38, ""(\d{1,2}) jul\. 2025"")), ""dd/mm/yyyy""),
 IF(NOT(ISERROR(REGEXEXTRACT(T38, ""(\d{1,2}) ago\. 2025""))), 
  TEXT(DATE(2025,8,REGEXEXTRACT(T38, ""(\d{1,2}) ago\. 2025"")), ""dd/mm/yyyy""),
 IF(NOT(ISERROR("&amp;"REGEXEXTRACT(T38, ""(\d{1,2}) set\. 2025""))), 
  TEXT(DATE(2025,9,REGEXEXTRACT(T38, ""(\d{1,2}) set\. 2025"")), ""dd/mm/yyyy""),
 IF(NOT(ISERROR(REGEXEXTRACT(T38, ""(\d{1,2}) out\. 2025""))), 
  TEXT(DATE(2025,10,REGEXEXTRACT(T38, ""(\d{1,2}) out\. 2025"&amp;""")), ""dd/mm/yyyy""),
 IF(NOT(ISERROR(REGEXEXTRACT(T38, ""(\d{1,2}) nov\. 2025""))), 
  TEXT(DATE(2025,11,REGEXEXTRACT(T38, ""(\d{1,2}) nov\. 2025"")), ""dd/mm/yyyy""),
 IF(NOT(ISERROR(REGEXEXTRACT(T38, ""(\d{1,2}) dez\. 2025""))), 
  TEXT(DATE(2025,12,R"&amp;"EGEXEXTRACT(T38, ""(\d{1,2}) dez\. 2025"")), ""dd/mm/yyyy""),
 ""Insira a data manualmente"")))))))))))), """"))"),"31/10/2025")</f>
        <v>31/10/2025</v>
      </c>
      <c r="H38" s="22">
        <f t="shared" si="1"/>
        <v>2025</v>
      </c>
      <c r="I38" s="18" t="s">
        <v>74</v>
      </c>
      <c r="J38" s="30" t="s">
        <v>135</v>
      </c>
      <c r="K38" s="24" t="s">
        <v>136</v>
      </c>
      <c r="L38" s="32" t="s">
        <v>137</v>
      </c>
      <c r="M38" s="33" t="s">
        <v>138</v>
      </c>
      <c r="N38" s="18" t="str">
        <f t="shared" si="5"/>
        <v>Diário Carioca</v>
      </c>
      <c r="O38" s="17" t="s">
        <v>28</v>
      </c>
      <c r="P38" s="17" t="s">
        <v>29</v>
      </c>
      <c r="Q38" s="26">
        <v>45961.0</v>
      </c>
      <c r="R38" s="17" t="s">
        <v>30</v>
      </c>
      <c r="S38" s="27" t="str">
        <f t="shared" si="3"/>
        <v>Aqui</v>
      </c>
      <c r="T38" s="29" t="s">
        <v>139</v>
      </c>
      <c r="U38" s="29"/>
    </row>
    <row r="39">
      <c r="A39" s="16">
        <v>37.0</v>
      </c>
      <c r="B39" s="17" t="s">
        <v>73</v>
      </c>
      <c r="C39" s="18" t="str">
        <f>IFERROR(__xludf.DUMMYFUNCTION("IF(B39="""","""",IF(OR(
  REGEXMATCH(B39,""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REGEXMATCH(B39,""Notícia|Reportagem|Artigo de opinião|Verbete"")
),""Difusão"","""")))
"),"Rememoração")</f>
        <v>Rememoração</v>
      </c>
      <c r="D39" s="19" t="str">
        <f>IFERROR(__xludf.DUMMYFUNCTION("IF(B39="""","""",IF(OR(
  REGEXMATCH(B39,""Performance|Instalação|Álbum|Música|Poema|Livro|Filme|Documentário|Recitação|Espetáculo|Peça|Intervenção|Desfile|Fotografia|Exposição|Charge|Grafite|Leitura pública|Fabricação de cachaça artesanal""),
  REGEXMATC"&amp;"H(B39,""dança|teatral|artístico|musical|artística"")
),""Manifestação artístico-cultural"",
IF(OR(
  REGEXMATCH(B39,""Crônica|Série|Reportagem|Podcast|Audiotour|Entrevista|Vídeo|Rádio|Notícia|Artigo de opinião|Coletiva de imprensa""),
  REGEXMATCH(B39,""m"&amp;"idiática"")
),""Produção midiática"","""")))
"),"")</f>
        <v/>
      </c>
      <c r="E39" s="20" t="str">
        <f>IFERROR(__xludf.DUMMYFUNCTION("IF(B39="""","""",IF(OR(
  REGEXMATCH(B39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REGEXMATCH(B39,""público|Imediato|artística|teatral|memória|Ação popular"")
),""Público Imediato"",
IF(REGEXMATCH(B39,""Música|Álbum|Filme|Documentário|S"&amp;"érie|Podcast|Rádio|Audiotour|Entrevista|Reportagem|Crônica|Relatório|Abaixo-assinado|Manifesto|Petição|Poema|Livro|Fotografia|Curta|Live|Webinário|Charge|Leitura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Imediato")</f>
        <v>Público Imediato</v>
      </c>
      <c r="F39" s="20" t="str">
        <f>IFERROR(__xludf.DUMMYFUNCTION("IF(B39="""","""",IF(OR(
  REGEXMATCH(B39,""Live|Webinário|Virtual|Verbete""),
  REGEXMATCH(B39,""online"")
),""Virtual"",
IF(REGEXMATCH(B39,""Música|Álbum|Filme|Documentário|Série|Podcast|Rádio|Audiotour|Episódio|Reportagem|Curta|Charge|Vídeo|Entrevista|N"&amp;"otícia|Artigo de opinião""),
""Midiático"",
IF(REGEXMATCH(B39,""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39" s="21">
        <v>45958.0</v>
      </c>
      <c r="H39" s="22">
        <f t="shared" si="1"/>
        <v>2025</v>
      </c>
      <c r="I39" s="18" t="s">
        <v>74</v>
      </c>
      <c r="J39" s="30" t="s">
        <v>140</v>
      </c>
      <c r="K39" s="24" t="s">
        <v>141</v>
      </c>
      <c r="L39" s="17" t="s">
        <v>142</v>
      </c>
      <c r="M39" s="30" t="s">
        <v>143</v>
      </c>
      <c r="N39" s="18" t="s">
        <v>144</v>
      </c>
      <c r="O39" s="17" t="s">
        <v>28</v>
      </c>
      <c r="P39" s="17" t="s">
        <v>95</v>
      </c>
      <c r="Q39" s="26">
        <v>45961.0</v>
      </c>
      <c r="R39" s="17" t="s">
        <v>30</v>
      </c>
      <c r="S39" s="27" t="str">
        <f t="shared" si="3"/>
        <v>Aqui</v>
      </c>
      <c r="T39" s="29" t="s">
        <v>145</v>
      </c>
      <c r="U39" s="29"/>
    </row>
    <row r="40">
      <c r="A40" s="16">
        <v>38.0</v>
      </c>
      <c r="B40" s="17" t="s">
        <v>23</v>
      </c>
      <c r="C40" s="18" t="str">
        <f>IFERROR(__xludf.DUMMYFUNCTION("IF(B40="""","""",IF(OR(
  REGEXMATCH(B40,""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REGEXMATCH(B40,""Notícia|Reportagem|Artigo de opinião|Verbete"")
),""Difusão"","""")))
"),"Difusão")</f>
        <v>Difusão</v>
      </c>
      <c r="D40" s="19" t="str">
        <f>IFERROR(__xludf.DUMMYFUNCTION("IF(B40="""","""",IF(OR(
  REGEXMATCH(B40,""Performance|Instalação|Álbum|Música|Poema|Livro|Filme|Documentário|Recitação|Espetáculo|Peça|Intervenção|Desfile|Fotografia|Exposição|Charge|Grafite|Leitura pública|Fabricação de cachaça artesanal""),
  REGEXMATC"&amp;"H(B40,""dança|teatral|artístico|musical|artística"")
),""Manifestação artístico-cultural"",
IF(OR(
  REGEXMATCH(B40,""Crônica|Série|Reportagem|Podcast|Audiotour|Entrevista|Vídeo|Rádio|Notícia|Artigo de opinião|Coletiva de imprensa""),
  REGEXMATCH(B40,""m"&amp;"idiática"")
),""Produção midiática"","""")))
"),"Produção midiática")</f>
        <v>Produção midiática</v>
      </c>
      <c r="E40" s="20" t="str">
        <f>IFERROR(__xludf.DUMMYFUNCTION("IF(B40="""","""",IF(OR(
  REGEXMATCH(B40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REGEXMATCH(B40,""público|Imediato|artística|teatral|memória|Ação popular"")
),""Público Imediato"",
IF(REGEXMATCH(B40,""Música|Álbum|Filme|Documentário|S"&amp;"érie|Podcast|Rádio|Audiotour|Entrevista|Reportagem|Crônica|Relatório|Abaixo-assinado|Manifesto|Petição|Poema|Livro|Fotografia|Curta|Live|Webinário|Charge|Leitura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40" s="20" t="str">
        <f>IFERROR(__xludf.DUMMYFUNCTION("IF(B40="""","""",IF(OR(
  REGEXMATCH(B40,""Live|Webinário|Virtual|Verbete""),
  REGEXMATCH(B40,""online"")
),""Virtual"",
IF(REGEXMATCH(B40,""Música|Álbum|Filme|Documentário|Série|Podcast|Rádio|Audiotour|Episódio|Reportagem|Curta|Charge|Vídeo|Entrevista|N"&amp;"otícia|Artigo de opinião""),
""Midiático"",
IF(REGEXMATCH(B40,""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40" s="21" t="str">
        <f>IFERROR(__xludf.DUMMYFUNCTION("IF(C40=""rememoração"", ""Insira a data manualmente"", IF(C40=""difusão"", 
 IF(NOT(ISERROR(REGEXEXTRACT(T40, ""(\d{1,2}) jan\. 2025""))), 
  TEXT(DATE(2025,1,REGEXEXTRACT(T40, ""(\d{1,2}) jan\. 2025"")), ""dd/mm/yyyy""),
 IF(NOT(ISERROR(REGEXEXTRACT(T40,"&amp;" ""(\d{1,2}) fev\. 2025""))), 
  TEXT(DATE(2025,2,REGEXEXTRACT(T40, ""(\d{1,2}) fev\. 2025"")), ""dd/mm/yyyy""),
 IF(NOT(ISERROR(REGEXEXTRACT(T40, ""(\d{1,2}) mar\. 2025""))), 
  TEXT(DATE(2025,3,REGEXEXTRACT(T40, ""(\d{1,2}) mar\. 2025"")), ""dd/mm/yyyy"&amp;"""),
 IF(NOT(ISERROR(REGEXEXTRACT(T40, ""(\d{1,2}) abr\. 2025""))), 
  TEXT(DATE(2025,4,REGEXEXTRACT(T40, ""(\d{1,2}) abr\. 2025"")), ""dd/mm/yyyy""),
 IF(NOT(ISERROR(REGEXEXTRACT(T40, ""(\d{1,2}) (mai|maio)\. 2025""))), 
  TEXT(DATE(2025,5,REGEXEXTRACT(T"&amp;"40, ""(\d{1,2}) (mai|maio)\. 2025"")), ""dd/mm/yyyy""),
 IF(NOT(ISERROR(REGEXEXTRACT(T40, ""(\d{1,2}) jun\. 2025""))), 
  TEXT(DATE(2025,6,REGEXEXTRACT(T40, ""(\d{1,2}) jun\. 2025"")), ""dd/mm/yyyy""),
 IF(NOT(ISERROR(REGEXEXTRACT(T40, ""(\d{1,2}) jul\. 2"&amp;"025""))), 
  TEXT(DATE(2025,7,REGEXEXTRACT(T40, ""(\d{1,2}) jul\. 2025"")), ""dd/mm/yyyy""),
 IF(NOT(ISERROR(REGEXEXTRACT(T40, ""(\d{1,2}) ago\. 2025""))), 
  TEXT(DATE(2025,8,REGEXEXTRACT(T40, ""(\d{1,2}) ago\. 2025"")), ""dd/mm/yyyy""),
 IF(NOT(ISERROR("&amp;"REGEXEXTRACT(T40, ""(\d{1,2}) set\. 2025""))), 
  TEXT(DATE(2025,9,REGEXEXTRACT(T40, ""(\d{1,2}) set\. 2025"")), ""dd/mm/yyyy""),
 IF(NOT(ISERROR(REGEXEXTRACT(T40, ""(\d{1,2}) out\. 2025""))), 
  TEXT(DATE(2025,10,REGEXEXTRACT(T40, ""(\d{1,2}) out\. 2025"&amp;""")), ""dd/mm/yyyy""),
 IF(NOT(ISERROR(REGEXEXTRACT(T40, ""(\d{1,2}) nov\. 2025""))), 
  TEXT(DATE(2025,11,REGEXEXTRACT(T40, ""(\d{1,2}) nov\. 2025"")), ""dd/mm/yyyy""),
 IF(NOT(ISERROR(REGEXEXTRACT(T40, ""(\d{1,2}) dez\. 2025""))), 
  TEXT(DATE(2025,12,R"&amp;"EGEXEXTRACT(T40, ""(\d{1,2}) dez\. 2025"")), ""dd/mm/yyyy""),
 ""Insira a data manualmente"")))))))))))), """"))"),"28/10/2025")</f>
        <v>28/10/2025</v>
      </c>
      <c r="H40" s="22">
        <f t="shared" si="1"/>
        <v>2025</v>
      </c>
      <c r="I40" s="18" t="s">
        <v>74</v>
      </c>
      <c r="J40" s="30" t="s">
        <v>140</v>
      </c>
      <c r="K40" s="24" t="s">
        <v>146</v>
      </c>
      <c r="L40" s="17" t="s">
        <v>142</v>
      </c>
      <c r="M40" s="30" t="s">
        <v>143</v>
      </c>
      <c r="N40" s="18" t="s">
        <v>144</v>
      </c>
      <c r="O40" s="17" t="s">
        <v>28</v>
      </c>
      <c r="P40" s="17" t="s">
        <v>95</v>
      </c>
      <c r="Q40" s="26">
        <v>45961.0</v>
      </c>
      <c r="R40" s="17" t="s">
        <v>30</v>
      </c>
      <c r="S40" s="27" t="str">
        <f t="shared" si="3"/>
        <v>Aqui</v>
      </c>
      <c r="T40" s="29" t="s">
        <v>147</v>
      </c>
      <c r="U40" s="29"/>
    </row>
    <row r="41">
      <c r="A41" s="16">
        <v>39.0</v>
      </c>
      <c r="B41" s="17" t="s">
        <v>23</v>
      </c>
      <c r="C41" s="18" t="str">
        <f>IFERROR(__xludf.DUMMYFUNCTION("IF(B41="""","""",IF(OR(
  REGEXMATCH(B41,""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REGEXMATCH(B41,""Notícia|Reportagem|Artigo de opinião|Verbete"")
),""Difusão"","""")))
"),"Difusão")</f>
        <v>Difusão</v>
      </c>
      <c r="D41" s="19" t="str">
        <f>IFERROR(__xludf.DUMMYFUNCTION("IF(B41="""","""",IF(OR(
  REGEXMATCH(B41,""Performance|Instalação|Álbum|Música|Poema|Livro|Filme|Documentário|Recitação|Espetáculo|Peça|Intervenção|Desfile|Fotografia|Exposição|Charge|Grafite|Leitura pública|Fabricação de cachaça artesanal""),
  REGEXMATC"&amp;"H(B41,""dança|teatral|artístico|musical|artística"")
),""Manifestação artístico-cultural"",
IF(OR(
  REGEXMATCH(B41,""Crônica|Série|Reportagem|Podcast|Audiotour|Entrevista|Vídeo|Rádio|Notícia|Artigo de opinião|Coletiva de imprensa""),
  REGEXMATCH(B41,""m"&amp;"idiática"")
),""Produção midiática"","""")))
"),"Produção midiática")</f>
        <v>Produção midiática</v>
      </c>
      <c r="E41" s="20" t="str">
        <f>IFERROR(__xludf.DUMMYFUNCTION("IF(B41="""","""",IF(OR(
  REGEXMATCH(B41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REGEXMATCH(B41,""público|Imediato|artística|teatral|memória|Ação popular"")
),""Público Imediato"",
IF(REGEXMATCH(B41,""Música|Álbum|Filme|Documentário|S"&amp;"érie|Podcast|Rádio|Audiotour|Entrevista|Reportagem|Crônica|Relatório|Abaixo-assinado|Manifesto|Petição|Poema|Livro|Fotografia|Curta|Live|Webinário|Charge|Leitura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41" s="20" t="str">
        <f>IFERROR(__xludf.DUMMYFUNCTION("IF(B41="""","""",IF(OR(
  REGEXMATCH(B41,""Live|Webinário|Virtual|Verbete""),
  REGEXMATCH(B41,""online"")
),""Virtual"",
IF(REGEXMATCH(B41,""Música|Álbum|Filme|Documentário|Série|Podcast|Rádio|Audiotour|Episódio|Reportagem|Curta|Charge|Vídeo|Entrevista|N"&amp;"otícia|Artigo de opinião""),
""Midiático"",
IF(REGEXMATCH(B41,""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41" s="21" t="str">
        <f>IFERROR(__xludf.DUMMYFUNCTION("IF(C41=""rememoração"", ""Insira a data manualmente"", IF(C41=""difusão"", 
 IF(NOT(ISERROR(REGEXEXTRACT(T41, ""(\d{1,2}) jan\. 2025""))), 
  TEXT(DATE(2025,1,REGEXEXTRACT(T41, ""(\d{1,2}) jan\. 2025"")), ""dd/mm/yyyy""),
 IF(NOT(ISERROR(REGEXEXTRACT(T41,"&amp;" ""(\d{1,2}) fev\. 2025""))), 
  TEXT(DATE(2025,2,REGEXEXTRACT(T41, ""(\d{1,2}) fev\. 2025"")), ""dd/mm/yyyy""),
 IF(NOT(ISERROR(REGEXEXTRACT(T41, ""(\d{1,2}) mar\. 2025""))), 
  TEXT(DATE(2025,3,REGEXEXTRACT(T41, ""(\d{1,2}) mar\. 2025"")), ""dd/mm/yyyy"&amp;"""),
 IF(NOT(ISERROR(REGEXEXTRACT(T41, ""(\d{1,2}) abr\. 2025""))), 
  TEXT(DATE(2025,4,REGEXEXTRACT(T41, ""(\d{1,2}) abr\. 2025"")), ""dd/mm/yyyy""),
 IF(NOT(ISERROR(REGEXEXTRACT(T41, ""(\d{1,2}) (mai|maio)\. 2025""))), 
  TEXT(DATE(2025,5,REGEXEXTRACT(T"&amp;"41, ""(\d{1,2}) (mai|maio)\. 2025"")), ""dd/mm/yyyy""),
 IF(NOT(ISERROR(REGEXEXTRACT(T41, ""(\d{1,2}) jun\. 2025""))), 
  TEXT(DATE(2025,6,REGEXEXTRACT(T41, ""(\d{1,2}) jun\. 2025"")), ""dd/mm/yyyy""),
 IF(NOT(ISERROR(REGEXEXTRACT(T41, ""(\d{1,2}) jul\. 2"&amp;"025""))), 
  TEXT(DATE(2025,7,REGEXEXTRACT(T41, ""(\d{1,2}) jul\. 2025"")), ""dd/mm/yyyy""),
 IF(NOT(ISERROR(REGEXEXTRACT(T41, ""(\d{1,2}) ago\. 2025""))), 
  TEXT(DATE(2025,8,REGEXEXTRACT(T41, ""(\d{1,2}) ago\. 2025"")), ""dd/mm/yyyy""),
 IF(NOT(ISERROR("&amp;"REGEXEXTRACT(T41, ""(\d{1,2}) set\. 2025""))), 
  TEXT(DATE(2025,9,REGEXEXTRACT(T41, ""(\d{1,2}) set\. 2025"")), ""dd/mm/yyyy""),
 IF(NOT(ISERROR(REGEXEXTRACT(T41, ""(\d{1,2}) out\. 2025""))), 
  TEXT(DATE(2025,10,REGEXEXTRACT(T41, ""(\d{1,2}) out\. 2025"&amp;""")), ""dd/mm/yyyy""),
 IF(NOT(ISERROR(REGEXEXTRACT(T41, ""(\d{1,2}) nov\. 2025""))), 
  TEXT(DATE(2025,11,REGEXEXTRACT(T41, ""(\d{1,2}) nov\. 2025"")), ""dd/mm/yyyy""),
 IF(NOT(ISERROR(REGEXEXTRACT(T41, ""(\d{1,2}) dez\. 2025""))), 
  TEXT(DATE(2025,12,R"&amp;"EGEXEXTRACT(T41, ""(\d{1,2}) dez\. 2025"")), ""dd/mm/yyyy""),
 ""Insira a data manualmente"")))))))))))), """"))"),"28/10/2025")</f>
        <v>28/10/2025</v>
      </c>
      <c r="H41" s="22">
        <f t="shared" si="1"/>
        <v>2025</v>
      </c>
      <c r="I41" s="18" t="s">
        <v>74</v>
      </c>
      <c r="J41" s="30" t="s">
        <v>140</v>
      </c>
      <c r="K41" s="24" t="s">
        <v>148</v>
      </c>
      <c r="L41" s="17" t="s">
        <v>142</v>
      </c>
      <c r="M41" s="30" t="s">
        <v>143</v>
      </c>
      <c r="N41" s="18" t="s">
        <v>144</v>
      </c>
      <c r="O41" s="17" t="s">
        <v>28</v>
      </c>
      <c r="P41" s="17" t="s">
        <v>95</v>
      </c>
      <c r="Q41" s="26">
        <v>45961.0</v>
      </c>
      <c r="R41" s="17" t="s">
        <v>30</v>
      </c>
      <c r="S41" s="27" t="str">
        <f t="shared" si="3"/>
        <v>Aqui</v>
      </c>
      <c r="T41" s="29" t="s">
        <v>149</v>
      </c>
      <c r="U41" s="29"/>
    </row>
    <row r="42">
      <c r="A42" s="16">
        <v>40.0</v>
      </c>
      <c r="B42" s="17" t="s">
        <v>23</v>
      </c>
      <c r="C42" s="18" t="str">
        <f>IFERROR(__xludf.DUMMYFUNCTION("IF(B42="""","""",IF(OR(
  REGEXMATCH(B42,""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REGEXMATCH(B42,""Notícia|Reportagem|Artigo de opinião|Verbete"")
),""Difusão"","""")))
"),"Difusão")</f>
        <v>Difusão</v>
      </c>
      <c r="D42" s="19" t="str">
        <f>IFERROR(__xludf.DUMMYFUNCTION("IF(B42="""","""",IF(OR(
  REGEXMATCH(B42,""Performance|Instalação|Álbum|Música|Poema|Livro|Filme|Documentário|Recitação|Espetáculo|Peça|Intervenção|Desfile|Fotografia|Exposição|Charge|Grafite|Leitura pública|Fabricação de cachaça artesanal""),
  REGEXMATC"&amp;"H(B42,""dança|teatral|artístico|musical|artística"")
),""Manifestação artístico-cultural"",
IF(OR(
  REGEXMATCH(B42,""Crônica|Série|Reportagem|Podcast|Audiotour|Entrevista|Vídeo|Rádio|Notícia|Artigo de opinião|Coletiva de imprensa""),
  REGEXMATCH(B42,""m"&amp;"idiática"")
),""Produção midiática"","""")))
"),"Produção midiática")</f>
        <v>Produção midiática</v>
      </c>
      <c r="E42" s="20" t="str">
        <f>IFERROR(__xludf.DUMMYFUNCTION("IF(B42="""","""",IF(OR(
  REGEXMATCH(B42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REGEXMATCH(B42,""público|Imediato|artística|teatral|memória|Ação popular"")
),""Público Imediato"",
IF(REGEXMATCH(B42,""Música|Álbum|Filme|Documentário|S"&amp;"érie|Podcast|Rádio|Audiotour|Entrevista|Reportagem|Crônica|Relatório|Abaixo-assinado|Manifesto|Petição|Poema|Livro|Fotografia|Curta|Live|Webinário|Charge|Leitura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42" s="20" t="str">
        <f>IFERROR(__xludf.DUMMYFUNCTION("IF(B42="""","""",IF(OR(
  REGEXMATCH(B42,""Live|Webinário|Virtual|Verbete""),
  REGEXMATCH(B42,""online"")
),""Virtual"",
IF(REGEXMATCH(B42,""Música|Álbum|Filme|Documentário|Série|Podcast|Rádio|Audiotour|Episódio|Reportagem|Curta|Charge|Vídeo|Entrevista|N"&amp;"otícia|Artigo de opinião""),
""Midiático"",
IF(REGEXMATCH(B42,""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42" s="21" t="str">
        <f>IFERROR(__xludf.DUMMYFUNCTION("IF(C42=""rememoração"", ""Insira a data manualmente"", IF(C42=""difusão"", 
 IF(NOT(ISERROR(REGEXEXTRACT(T42, ""(\d{1,2}) jan\. 2025""))), 
  TEXT(DATE(2025,1,REGEXEXTRACT(T42, ""(\d{1,2}) jan\. 2025"")), ""dd/mm/yyyy""),
 IF(NOT(ISERROR(REGEXEXTRACT(T42,"&amp;" ""(\d{1,2}) fev\. 2025""))), 
  TEXT(DATE(2025,2,REGEXEXTRACT(T42, ""(\d{1,2}) fev\. 2025"")), ""dd/mm/yyyy""),
 IF(NOT(ISERROR(REGEXEXTRACT(T42, ""(\d{1,2}) mar\. 2025""))), 
  TEXT(DATE(2025,3,REGEXEXTRACT(T42, ""(\d{1,2}) mar\. 2025"")), ""dd/mm/yyyy"&amp;"""),
 IF(NOT(ISERROR(REGEXEXTRACT(T42, ""(\d{1,2}) abr\. 2025""))), 
  TEXT(DATE(2025,4,REGEXEXTRACT(T42, ""(\d{1,2}) abr\. 2025"")), ""dd/mm/yyyy""),
 IF(NOT(ISERROR(REGEXEXTRACT(T42, ""(\d{1,2}) (mai|maio)\. 2025""))), 
  TEXT(DATE(2025,5,REGEXEXTRACT(T"&amp;"42, ""(\d{1,2}) (mai|maio)\. 2025"")), ""dd/mm/yyyy""),
 IF(NOT(ISERROR(REGEXEXTRACT(T42, ""(\d{1,2}) jun\. 2025""))), 
  TEXT(DATE(2025,6,REGEXEXTRACT(T42, ""(\d{1,2}) jun\. 2025"")), ""dd/mm/yyyy""),
 IF(NOT(ISERROR(REGEXEXTRACT(T42, ""(\d{1,2}) jul\. 2"&amp;"025""))), 
  TEXT(DATE(2025,7,REGEXEXTRACT(T42, ""(\d{1,2}) jul\. 2025"")), ""dd/mm/yyyy""),
 IF(NOT(ISERROR(REGEXEXTRACT(T42, ""(\d{1,2}) ago\. 2025""))), 
  TEXT(DATE(2025,8,REGEXEXTRACT(T42, ""(\d{1,2}) ago\. 2025"")), ""dd/mm/yyyy""),
 IF(NOT(ISERROR("&amp;"REGEXEXTRACT(T42, ""(\d{1,2}) set\. 2025""))), 
  TEXT(DATE(2025,9,REGEXEXTRACT(T42, ""(\d{1,2}) set\. 2025"")), ""dd/mm/yyyy""),
 IF(NOT(ISERROR(REGEXEXTRACT(T42, ""(\d{1,2}) out\. 2025""))), 
  TEXT(DATE(2025,10,REGEXEXTRACT(T42, ""(\d{1,2}) out\. 2025"&amp;""")), ""dd/mm/yyyy""),
 IF(NOT(ISERROR(REGEXEXTRACT(T42, ""(\d{1,2}) nov\. 2025""))), 
  TEXT(DATE(2025,11,REGEXEXTRACT(T42, ""(\d{1,2}) nov\. 2025"")), ""dd/mm/yyyy""),
 IF(NOT(ISERROR(REGEXEXTRACT(T42, ""(\d{1,2}) dez\. 2025""))), 
  TEXT(DATE(2025,12,R"&amp;"EGEXEXTRACT(T42, ""(\d{1,2}) dez\. 2025"")), ""dd/mm/yyyy""),
 ""Insira a data manualmente"")))))))))))), """"))"),"28/10/2025")</f>
        <v>28/10/2025</v>
      </c>
      <c r="H42" s="22">
        <f t="shared" si="1"/>
        <v>2025</v>
      </c>
      <c r="I42" s="18" t="s">
        <v>74</v>
      </c>
      <c r="J42" s="30" t="s">
        <v>140</v>
      </c>
      <c r="K42" s="24" t="s">
        <v>150</v>
      </c>
      <c r="L42" s="32" t="s">
        <v>137</v>
      </c>
      <c r="M42" s="33" t="s">
        <v>138</v>
      </c>
      <c r="N42" s="18" t="s">
        <v>144</v>
      </c>
      <c r="O42" s="17" t="s">
        <v>28</v>
      </c>
      <c r="P42" s="17" t="s">
        <v>95</v>
      </c>
      <c r="Q42" s="26">
        <v>45961.0</v>
      </c>
      <c r="R42" s="17" t="s">
        <v>30</v>
      </c>
      <c r="S42" s="27" t="str">
        <f t="shared" si="3"/>
        <v>Aqui</v>
      </c>
      <c r="T42" s="29" t="s">
        <v>151</v>
      </c>
      <c r="U42" s="29"/>
    </row>
    <row r="43">
      <c r="A43" s="16">
        <v>41.0</v>
      </c>
      <c r="B43" s="17" t="s">
        <v>23</v>
      </c>
      <c r="C43" s="18" t="str">
        <f>IFERROR(__xludf.DUMMYFUNCTION("IF(B43="""","""",IF(OR(
  REGEXMATCH(B43,""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REGEXMATCH(B43,""Notícia|Reportagem|Artigo de opinião|Verbete"")
),""Difusão"","""")))
"),"Difusão")</f>
        <v>Difusão</v>
      </c>
      <c r="D43" s="19" t="str">
        <f>IFERROR(__xludf.DUMMYFUNCTION("IF(B43="""","""",IF(OR(
  REGEXMATCH(B43,""Performance|Instalação|Álbum|Música|Poema|Livro|Filme|Documentário|Recitação|Espetáculo|Peça|Intervenção|Desfile|Fotografia|Exposição|Charge|Grafite|Leitura pública|Fabricação de cachaça artesanal""),
  REGEXMATC"&amp;"H(B43,""dança|teatral|artístico|musical|artística"")
),""Manifestação artístico-cultural"",
IF(OR(
  REGEXMATCH(B43,""Crônica|Série|Reportagem|Podcast|Audiotour|Entrevista|Vídeo|Rádio|Notícia|Artigo de opinião|Coletiva de imprensa""),
  REGEXMATCH(B43,""m"&amp;"idiática"")
),""Produção midiática"","""")))
"),"Produção midiática")</f>
        <v>Produção midiática</v>
      </c>
      <c r="E43" s="20" t="str">
        <f>IFERROR(__xludf.DUMMYFUNCTION("IF(B43="""","""",IF(OR(
  REGEXMATCH(B43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REGEXMATCH(B43,""público|Imediato|artística|teatral|memória|Ação popular"")
),""Público Imediato"",
IF(REGEXMATCH(B43,""Música|Álbum|Filme|Documentário|S"&amp;"érie|Podcast|Rádio|Audiotour|Entrevista|Reportagem|Crônica|Relatório|Abaixo-assinado|Manifesto|Petição|Poema|Livro|Fotografia|Curta|Live|Webinário|Charge|Leitura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43" s="20" t="str">
        <f>IFERROR(__xludf.DUMMYFUNCTION("IF(B43="""","""",IF(OR(
  REGEXMATCH(B43,""Live|Webinário|Virtual|Verbete""),
  REGEXMATCH(B43,""online"")
),""Virtual"",
IF(REGEXMATCH(B43,""Música|Álbum|Filme|Documentário|Série|Podcast|Rádio|Audiotour|Episódio|Reportagem|Curta|Charge|Vídeo|Entrevista|N"&amp;"otícia|Artigo de opinião""),
""Midiático"",
IF(REGEXMATCH(B43,""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43" s="21" t="str">
        <f>IFERROR(__xludf.DUMMYFUNCTION("IF(C43=""rememoração"", ""Insira a data manualmente"", IF(C43=""difusão"", 
 IF(NOT(ISERROR(REGEXEXTRACT(T43, ""(\d{1,2}) jan\. 2025""))), 
  TEXT(DATE(2025,1,REGEXEXTRACT(T43, ""(\d{1,2}) jan\. 2025"")), ""dd/mm/yyyy""),
 IF(NOT(ISERROR(REGEXEXTRACT(T43,"&amp;" ""(\d{1,2}) fev\. 2025""))), 
  TEXT(DATE(2025,2,REGEXEXTRACT(T43, ""(\d{1,2}) fev\. 2025"")), ""dd/mm/yyyy""),
 IF(NOT(ISERROR(REGEXEXTRACT(T43, ""(\d{1,2}) mar\. 2025""))), 
  TEXT(DATE(2025,3,REGEXEXTRACT(T43, ""(\d{1,2}) mar\. 2025"")), ""dd/mm/yyyy"&amp;"""),
 IF(NOT(ISERROR(REGEXEXTRACT(T43, ""(\d{1,2}) abr\. 2025""))), 
  TEXT(DATE(2025,4,REGEXEXTRACT(T43, ""(\d{1,2}) abr\. 2025"")), ""dd/mm/yyyy""),
 IF(NOT(ISERROR(REGEXEXTRACT(T43, ""(\d{1,2}) (mai|maio)\. 2025""))), 
  TEXT(DATE(2025,5,REGEXEXTRACT(T"&amp;"43, ""(\d{1,2}) (mai|maio)\. 2025"")), ""dd/mm/yyyy""),
 IF(NOT(ISERROR(REGEXEXTRACT(T43, ""(\d{1,2}) jun\. 2025""))), 
  TEXT(DATE(2025,6,REGEXEXTRACT(T43, ""(\d{1,2}) jun\. 2025"")), ""dd/mm/yyyy""),
 IF(NOT(ISERROR(REGEXEXTRACT(T43, ""(\d{1,2}) jul\. 2"&amp;"025""))), 
  TEXT(DATE(2025,7,REGEXEXTRACT(T43, ""(\d{1,2}) jul\. 2025"")), ""dd/mm/yyyy""),
 IF(NOT(ISERROR(REGEXEXTRACT(T43, ""(\d{1,2}) ago\. 2025""))), 
  TEXT(DATE(2025,8,REGEXEXTRACT(T43, ""(\d{1,2}) ago\. 2025"")), ""dd/mm/yyyy""),
 IF(NOT(ISERROR("&amp;"REGEXEXTRACT(T43, ""(\d{1,2}) set\. 2025""))), 
  TEXT(DATE(2025,9,REGEXEXTRACT(T43, ""(\d{1,2}) set\. 2025"")), ""dd/mm/yyyy""),
 IF(NOT(ISERROR(REGEXEXTRACT(T43, ""(\d{1,2}) out\. 2025""))), 
  TEXT(DATE(2025,10,REGEXEXTRACT(T43, ""(\d{1,2}) out\. 2025"&amp;""")), ""dd/mm/yyyy""),
 IF(NOT(ISERROR(REGEXEXTRACT(T43, ""(\d{1,2}) nov\. 2025""))), 
  TEXT(DATE(2025,11,REGEXEXTRACT(T43, ""(\d{1,2}) nov\. 2025"")), ""dd/mm/yyyy""),
 IF(NOT(ISERROR(REGEXEXTRACT(T43, ""(\d{1,2}) dez\. 2025""))), 
  TEXT(DATE(2025,12,R"&amp;"EGEXEXTRACT(T43, ""(\d{1,2}) dez\. 2025"")), ""dd/mm/yyyy""),
 ""Insira a data manualmente"")))))))))))), """"))"),"28/10/2025")</f>
        <v>28/10/2025</v>
      </c>
      <c r="H43" s="22">
        <f t="shared" si="1"/>
        <v>2025</v>
      </c>
      <c r="I43" s="18" t="s">
        <v>74</v>
      </c>
      <c r="J43" s="30" t="s">
        <v>140</v>
      </c>
      <c r="K43" s="24" t="s">
        <v>152</v>
      </c>
      <c r="L43" s="32" t="s">
        <v>137</v>
      </c>
      <c r="M43" s="33" t="s">
        <v>138</v>
      </c>
      <c r="N43" s="18" t="s">
        <v>144</v>
      </c>
      <c r="O43" s="17" t="s">
        <v>28</v>
      </c>
      <c r="P43" s="17" t="s">
        <v>95</v>
      </c>
      <c r="Q43" s="26">
        <v>45961.0</v>
      </c>
      <c r="R43" s="17" t="s">
        <v>30</v>
      </c>
      <c r="S43" s="27" t="str">
        <f t="shared" si="3"/>
        <v>Aqui</v>
      </c>
      <c r="T43" s="29" t="s">
        <v>153</v>
      </c>
      <c r="U43" s="29"/>
    </row>
    <row r="44">
      <c r="A44" s="16">
        <v>42.0</v>
      </c>
      <c r="B44" s="17" t="s">
        <v>23</v>
      </c>
      <c r="C44" s="18" t="str">
        <f>IFERROR(__xludf.DUMMYFUNCTION("IF(B44="""","""",IF(OR(
  REGEXMATCH(B44,""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REGEXMATCH(B44,""Notícia|Reportagem|Artigo de opinião|Verbete"")
),""Difusão"","""")))
"),"Difusão")</f>
        <v>Difusão</v>
      </c>
      <c r="D44" s="19" t="str">
        <f>IFERROR(__xludf.DUMMYFUNCTION("IF(B44="""","""",IF(OR(
  REGEXMATCH(B44,""Performance|Instalação|Álbum|Música|Poema|Livro|Filme|Documentário|Recitação|Espetáculo|Peça|Intervenção|Desfile|Fotografia|Exposição|Charge|Grafite|Leitura pública|Fabricação de cachaça artesanal""),
  REGEXMATC"&amp;"H(B44,""dança|teatral|artístico|musical|artística"")
),""Manifestação artístico-cultural"",
IF(OR(
  REGEXMATCH(B44,""Crônica|Série|Reportagem|Podcast|Audiotour|Entrevista|Vídeo|Rádio|Notícia|Artigo de opinião|Coletiva de imprensa""),
  REGEXMATCH(B44,""m"&amp;"idiática"")
),""Produção midiática"","""")))
"),"Produção midiática")</f>
        <v>Produção midiática</v>
      </c>
      <c r="E44" s="20" t="str">
        <f>IFERROR(__xludf.DUMMYFUNCTION("IF(B44="""","""",IF(OR(
  REGEXMATCH(B44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REGEXMATCH(B44,""público|Imediato|artística|teatral|memória|Ação popular"")
),""Público Imediato"",
IF(REGEXMATCH(B44,""Música|Álbum|Filme|Documentário|S"&amp;"érie|Podcast|Rádio|Audiotour|Entrevista|Reportagem|Crônica|Relatório|Abaixo-assinado|Manifesto|Petição|Poema|Livro|Fotografia|Curta|Live|Webinário|Charge|Leitura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44" s="20" t="str">
        <f>IFERROR(__xludf.DUMMYFUNCTION("IF(B44="""","""",IF(OR(
  REGEXMATCH(B44,""Live|Webinário|Virtual|Verbete""),
  REGEXMATCH(B44,""online"")
),""Virtual"",
IF(REGEXMATCH(B44,""Música|Álbum|Filme|Documentário|Série|Podcast|Rádio|Audiotour|Episódio|Reportagem|Curta|Charge|Vídeo|Entrevista|N"&amp;"otícia|Artigo de opinião""),
""Midiático"",
IF(REGEXMATCH(B44,""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44" s="21" t="str">
        <f>IFERROR(__xludf.DUMMYFUNCTION("IF(C44=""rememoração"", ""Insira a data manualmente"", IF(C44=""difusão"", 
 IF(NOT(ISERROR(REGEXEXTRACT(T44, ""(\d{1,2}) jan\. 2025""))), 
  TEXT(DATE(2025,1,REGEXEXTRACT(T44, ""(\d{1,2}) jan\. 2025"")), ""dd/mm/yyyy""),
 IF(NOT(ISERROR(REGEXEXTRACT(T44,"&amp;" ""(\d{1,2}) fev\. 2025""))), 
  TEXT(DATE(2025,2,REGEXEXTRACT(T44, ""(\d{1,2}) fev\. 2025"")), ""dd/mm/yyyy""),
 IF(NOT(ISERROR(REGEXEXTRACT(T44, ""(\d{1,2}) mar\. 2025""))), 
  TEXT(DATE(2025,3,REGEXEXTRACT(T44, ""(\d{1,2}) mar\. 2025"")), ""dd/mm/yyyy"&amp;"""),
 IF(NOT(ISERROR(REGEXEXTRACT(T44, ""(\d{1,2}) abr\. 2025""))), 
  TEXT(DATE(2025,4,REGEXEXTRACT(T44, ""(\d{1,2}) abr\. 2025"")), ""dd/mm/yyyy""),
 IF(NOT(ISERROR(REGEXEXTRACT(T44, ""(\d{1,2}) (mai|maio)\. 2025""))), 
  TEXT(DATE(2025,5,REGEXEXTRACT(T"&amp;"44, ""(\d{1,2}) (mai|maio)\. 2025"")), ""dd/mm/yyyy""),
 IF(NOT(ISERROR(REGEXEXTRACT(T44, ""(\d{1,2}) jun\. 2025""))), 
  TEXT(DATE(2025,6,REGEXEXTRACT(T44, ""(\d{1,2}) jun\. 2025"")), ""dd/mm/yyyy""),
 IF(NOT(ISERROR(REGEXEXTRACT(T44, ""(\d{1,2}) jul\. 2"&amp;"025""))), 
  TEXT(DATE(2025,7,REGEXEXTRACT(T44, ""(\d{1,2}) jul\. 2025"")), ""dd/mm/yyyy""),
 IF(NOT(ISERROR(REGEXEXTRACT(T44, ""(\d{1,2}) ago\. 2025""))), 
  TEXT(DATE(2025,8,REGEXEXTRACT(T44, ""(\d{1,2}) ago\. 2025"")), ""dd/mm/yyyy""),
 IF(NOT(ISERROR("&amp;"REGEXEXTRACT(T44, ""(\d{1,2}) set\. 2025""))), 
  TEXT(DATE(2025,9,REGEXEXTRACT(T44, ""(\d{1,2}) set\. 2025"")), ""dd/mm/yyyy""),
 IF(NOT(ISERROR(REGEXEXTRACT(T44, ""(\d{1,2}) out\. 2025""))), 
  TEXT(DATE(2025,10,REGEXEXTRACT(T44, ""(\d{1,2}) out\. 2025"&amp;""")), ""dd/mm/yyyy""),
 IF(NOT(ISERROR(REGEXEXTRACT(T44, ""(\d{1,2}) nov\. 2025""))), 
  TEXT(DATE(2025,11,REGEXEXTRACT(T44, ""(\d{1,2}) nov\. 2025"")), ""dd/mm/yyyy""),
 IF(NOT(ISERROR(REGEXEXTRACT(T44, ""(\d{1,2}) dez\. 2025""))), 
  TEXT(DATE(2025,12,R"&amp;"EGEXEXTRACT(T44, ""(\d{1,2}) dez\. 2025"")), ""dd/mm/yyyy""),
 ""Insira a data manualmente"")))))))))))), """"))"),"28/10/2025")</f>
        <v>28/10/2025</v>
      </c>
      <c r="H44" s="22">
        <f t="shared" si="1"/>
        <v>2025</v>
      </c>
      <c r="I44" s="18" t="s">
        <v>74</v>
      </c>
      <c r="J44" s="30" t="s">
        <v>140</v>
      </c>
      <c r="K44" s="24" t="s">
        <v>154</v>
      </c>
      <c r="L44" s="32" t="s">
        <v>137</v>
      </c>
      <c r="M44" s="33" t="s">
        <v>138</v>
      </c>
      <c r="N44" s="18" t="s">
        <v>144</v>
      </c>
      <c r="O44" s="17" t="s">
        <v>28</v>
      </c>
      <c r="P44" s="17" t="s">
        <v>95</v>
      </c>
      <c r="Q44" s="26">
        <v>45961.0</v>
      </c>
      <c r="R44" s="17" t="s">
        <v>30</v>
      </c>
      <c r="S44" s="27" t="str">
        <f t="shared" si="3"/>
        <v>Aqui</v>
      </c>
      <c r="T44" s="29" t="s">
        <v>155</v>
      </c>
      <c r="U44" s="29"/>
    </row>
    <row r="45">
      <c r="A45" s="16">
        <v>43.0</v>
      </c>
      <c r="B45" s="17" t="s">
        <v>156</v>
      </c>
      <c r="C45" s="18" t="str">
        <f>IFERROR(__xludf.DUMMYFUNCTION("IF(B45="""","""",IF(OR(
  REGEXMATCH(B45,""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REGEXMATCH(B45,""Notícia|Reportagem|Artigo de opinião|Verbete"")
),""Difusão"","""")))
"),"Rememoração")</f>
        <v>Rememoração</v>
      </c>
      <c r="D45" s="19" t="str">
        <f>IFERROR(__xludf.DUMMYFUNCTION("IF(B45="""","""",IF(OR(
  REGEXMATCH(B45,""Performance|Instalação|Álbum|Música|Poema|Livro|Filme|Documentário|Recitação|Espetáculo|Peça|Intervenção|Desfile|Fotografia|Exposição|Charge|Grafite|Leitura pública|Fabricação de cachaça artesanal""),
  REGEXMATC"&amp;"H(B45,""dança|teatral|artístico|musical|artística"")
),""Manifestação artístico-cultural"",
IF(OR(
  REGEXMATCH(B45,""Crônica|Série|Reportagem|Podcast|Audiotour|Entrevista|Vídeo|Rádio|Notícia|Artigo de opinião|Coletiva de imprensa""),
  REGEXMATCH(B45,""m"&amp;"idiática"")
),""Produção midiática"","""")))
"),"Manifestação artístico-cultural")</f>
        <v>Manifestação artístico-cultural</v>
      </c>
      <c r="E45" s="20" t="str">
        <f>IFERROR(__xludf.DUMMYFUNCTION("IF(B45="""","""",IF(OR(
  REGEXMATCH(B45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REGEXMATCH(B45,""público|Imediato|artística|teatral|memória|Ação popular"")
),""Público Imediato"",
IF(REGEXMATCH(B45,""Música|Álbum|Filme|Documentário|S"&amp;"érie|Podcast|Rádio|Audiotour|Entrevista|Reportagem|Crônica|Relatório|Abaixo-assinado|Manifesto|Petição|Poema|Livro|Fotografia|Curta|Live|Webinário|Charge|Leitura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45" s="20" t="str">
        <f>IFERROR(__xludf.DUMMYFUNCTION("IF(B45="""","""",IF(OR(
  REGEXMATCH(B45,""Live|Webinário|Virtual|Verbete""),
  REGEXMATCH(B45,""online"")
),""Virtual"",
IF(REGEXMATCH(B45,""Música|Álbum|Filme|Documentário|Série|Podcast|Rádio|Audiotour|Episódio|Reportagem|Curta|Charge|Vídeo|Entrevista|N"&amp;"otícia|Artigo de opinião""),
""Midiático"",
IF(REGEXMATCH(B45,""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45" s="21">
        <v>45958.0</v>
      </c>
      <c r="H45" s="22">
        <f t="shared" si="1"/>
        <v>2025</v>
      </c>
      <c r="I45" s="18" t="s">
        <v>74</v>
      </c>
      <c r="J45" s="30" t="s">
        <v>157</v>
      </c>
      <c r="K45" s="24" t="s">
        <v>158</v>
      </c>
      <c r="L45" s="32" t="s">
        <v>137</v>
      </c>
      <c r="M45" s="33" t="s">
        <v>138</v>
      </c>
      <c r="N45" s="18" t="s">
        <v>144</v>
      </c>
      <c r="O45" s="17" t="s">
        <v>28</v>
      </c>
      <c r="P45" s="17" t="s">
        <v>95</v>
      </c>
      <c r="Q45" s="26">
        <v>45961.0</v>
      </c>
      <c r="R45" s="17" t="s">
        <v>30</v>
      </c>
      <c r="S45" s="27" t="str">
        <f t="shared" si="3"/>
        <v>Aqui</v>
      </c>
      <c r="T45" s="29" t="s">
        <v>159</v>
      </c>
      <c r="U45" s="29"/>
    </row>
    <row r="46">
      <c r="A46" s="16">
        <v>44.0</v>
      </c>
      <c r="B46" s="17" t="s">
        <v>156</v>
      </c>
      <c r="C46" s="18" t="str">
        <f>IFERROR(__xludf.DUMMYFUNCTION("IF(B46="""","""",IF(OR(
  REGEXMATCH(B46,""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REGEXMATCH(B46,""Notícia|Reportagem|Artigo de opinião|Verbete"")
),""Difusão"","""")))
"),"Rememoração")</f>
        <v>Rememoração</v>
      </c>
      <c r="D46" s="19" t="str">
        <f>IFERROR(__xludf.DUMMYFUNCTION("IF(B46="""","""",IF(OR(
  REGEXMATCH(B46,""Performance|Instalação|Álbum|Música|Poema|Livro|Filme|Documentário|Recitação|Espetáculo|Peça|Intervenção|Desfile|Fotografia|Exposição|Charge|Grafite|Leitura pública|Fabricação de cachaça artesanal""),
  REGEXMATC"&amp;"H(B46,""dança|teatral|artístico|musical|artística"")
),""Manifestação artístico-cultural"",
IF(OR(
  REGEXMATCH(B46,""Crônica|Série|Reportagem|Podcast|Audiotour|Entrevista|Vídeo|Rádio|Notícia|Artigo de opinião|Coletiva de imprensa""),
  REGEXMATCH(B46,""m"&amp;"idiática"")
),""Produção midiática"","""")))
"),"Manifestação artístico-cultural")</f>
        <v>Manifestação artístico-cultural</v>
      </c>
      <c r="E46" s="20" t="str">
        <f>IFERROR(__xludf.DUMMYFUNCTION("IF(B46="""","""",IF(OR(
  REGEXMATCH(B46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REGEXMATCH(B46,""público|Imediato|artística|teatral|memória|Ação popular"")
),""Público Imediato"",
IF(REGEXMATCH(B46,""Música|Álbum|Filme|Documentário|S"&amp;"érie|Podcast|Rádio|Audiotour|Entrevista|Reportagem|Crônica|Relatório|Abaixo-assinado|Manifesto|Petição|Poema|Livro|Fotografia|Curta|Live|Webinário|Charge|Leitura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46" s="20" t="str">
        <f>IFERROR(__xludf.DUMMYFUNCTION("IF(B46="""","""",IF(OR(
  REGEXMATCH(B46,""Live|Webinário|Virtual|Verbete""),
  REGEXMATCH(B46,""online"")
),""Virtual"",
IF(REGEXMATCH(B46,""Música|Álbum|Filme|Documentário|Série|Podcast|Rádio|Audiotour|Episódio|Reportagem|Curta|Charge|Vídeo|Entrevista|N"&amp;"otícia|Artigo de opinião""),
""Midiático"",
IF(REGEXMATCH(B46,""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46" s="21">
        <v>45959.0</v>
      </c>
      <c r="H46" s="22">
        <f t="shared" si="1"/>
        <v>2025</v>
      </c>
      <c r="I46" s="18" t="s">
        <v>74</v>
      </c>
      <c r="J46" s="30" t="s">
        <v>160</v>
      </c>
      <c r="K46" s="24" t="s">
        <v>161</v>
      </c>
      <c r="L46" s="32" t="s">
        <v>137</v>
      </c>
      <c r="M46" s="33" t="s">
        <v>138</v>
      </c>
      <c r="N46" s="18" t="s">
        <v>144</v>
      </c>
      <c r="O46" s="17" t="s">
        <v>28</v>
      </c>
      <c r="P46" s="17" t="s">
        <v>95</v>
      </c>
      <c r="Q46" s="26">
        <v>45961.0</v>
      </c>
      <c r="R46" s="17" t="s">
        <v>30</v>
      </c>
      <c r="S46" s="27" t="str">
        <f t="shared" si="3"/>
        <v>Aqui</v>
      </c>
      <c r="T46" s="29" t="s">
        <v>162</v>
      </c>
      <c r="U46" s="29"/>
    </row>
    <row r="47">
      <c r="A47" s="16">
        <v>45.0</v>
      </c>
      <c r="B47" s="17" t="s">
        <v>23</v>
      </c>
      <c r="C47" s="18" t="str">
        <f>IFERROR(__xludf.DUMMYFUNCTION("IF(B47="""","""",IF(OR(
  REGEXMATCH(B47,""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REGEXMATCH(B47,""Notícia|Reportagem|Artigo de opinião|Verbete"")
),""Difusão"","""")))
"),"Difusão")</f>
        <v>Difusão</v>
      </c>
      <c r="D47" s="19" t="str">
        <f>IFERROR(__xludf.DUMMYFUNCTION("IF(B47="""","""",IF(OR(
  REGEXMATCH(B47,""Performance|Instalação|Álbum|Música|Poema|Livro|Filme|Documentário|Recitação|Espetáculo|Peça|Intervenção|Desfile|Fotografia|Exposição|Charge|Grafite|Leitura pública|Fabricação de cachaça artesanal""),
  REGEXMATC"&amp;"H(B47,""dança|teatral|artístico|musical|artística"")
),""Manifestação artístico-cultural"",
IF(OR(
  REGEXMATCH(B47,""Crônica|Série|Reportagem|Podcast|Audiotour|Entrevista|Vídeo|Rádio|Notícia|Artigo de opinião|Coletiva de imprensa""),
  REGEXMATCH(B47,""m"&amp;"idiática"")
),""Produção midiática"","""")))
"),"Produção midiática")</f>
        <v>Produção midiática</v>
      </c>
      <c r="E47" s="20" t="str">
        <f>IFERROR(__xludf.DUMMYFUNCTION("IF(B47="""","""",IF(OR(
  REGEXMATCH(B47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REGEXMATCH(B47,""público|Imediato|artística|teatral|memória|Ação popular"")
),""Público Imediato"",
IF(REGEXMATCH(B47,""Música|Álbum|Filme|Documentário|S"&amp;"érie|Podcast|Rádio|Audiotour|Entrevista|Reportagem|Crônica|Relatório|Abaixo-assinado|Manifesto|Petição|Poema|Livro|Fotografia|Curta|Live|Webinário|Charge|Leitura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47" s="20" t="str">
        <f>IFERROR(__xludf.DUMMYFUNCTION("IF(B47="""","""",IF(OR(
  REGEXMATCH(B47,""Live|Webinário|Virtual|Verbete""),
  REGEXMATCH(B47,""online"")
),""Virtual"",
IF(REGEXMATCH(B47,""Música|Álbum|Filme|Documentário|Série|Podcast|Rádio|Audiotour|Episódio|Reportagem|Curta|Charge|Vídeo|Entrevista|N"&amp;"otícia|Artigo de opinião""),
""Midiático"",
IF(REGEXMATCH(B47,""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47" s="21" t="str">
        <f>IFERROR(__xludf.DUMMYFUNCTION("IF(C47=""rememoração"", ""Insira a data manualmente"", IF(C47=""difusão"", 
 IF(NOT(ISERROR(REGEXEXTRACT(T47, ""(\d{1,2}) jan\. 2025""))), 
  TEXT(DATE(2025,1,REGEXEXTRACT(T47, ""(\d{1,2}) jan\. 2025"")), ""dd/mm/yyyy""),
 IF(NOT(ISERROR(REGEXEXTRACT(T47,"&amp;" ""(\d{1,2}) fev\. 2025""))), 
  TEXT(DATE(2025,2,REGEXEXTRACT(T47, ""(\d{1,2}) fev\. 2025"")), ""dd/mm/yyyy""),
 IF(NOT(ISERROR(REGEXEXTRACT(T47, ""(\d{1,2}) mar\. 2025""))), 
  TEXT(DATE(2025,3,REGEXEXTRACT(T47, ""(\d{1,2}) mar\. 2025"")), ""dd/mm/yyyy"&amp;"""),
 IF(NOT(ISERROR(REGEXEXTRACT(T47, ""(\d{1,2}) abr\. 2025""))), 
  TEXT(DATE(2025,4,REGEXEXTRACT(T47, ""(\d{1,2}) abr\. 2025"")), ""dd/mm/yyyy""),
 IF(NOT(ISERROR(REGEXEXTRACT(T47, ""(\d{1,2}) (mai|maio)\. 2025""))), 
  TEXT(DATE(2025,5,REGEXEXTRACT(T"&amp;"47, ""(\d{1,2}) (mai|maio)\. 2025"")), ""dd/mm/yyyy""),
 IF(NOT(ISERROR(REGEXEXTRACT(T47, ""(\d{1,2}) jun\. 2025""))), 
  TEXT(DATE(2025,6,REGEXEXTRACT(T47, ""(\d{1,2}) jun\. 2025"")), ""dd/mm/yyyy""),
 IF(NOT(ISERROR(REGEXEXTRACT(T47, ""(\d{1,2}) jul\. 2"&amp;"025""))), 
  TEXT(DATE(2025,7,REGEXEXTRACT(T47, ""(\d{1,2}) jul\. 2025"")), ""dd/mm/yyyy""),
 IF(NOT(ISERROR(REGEXEXTRACT(T47, ""(\d{1,2}) ago\. 2025""))), 
  TEXT(DATE(2025,8,REGEXEXTRACT(T47, ""(\d{1,2}) ago\. 2025"")), ""dd/mm/yyyy""),
 IF(NOT(ISERROR("&amp;"REGEXEXTRACT(T47, ""(\d{1,2}) set\. 2025""))), 
  TEXT(DATE(2025,9,REGEXEXTRACT(T47, ""(\d{1,2}) set\. 2025"")), ""dd/mm/yyyy""),
 IF(NOT(ISERROR(REGEXEXTRACT(T47, ""(\d{1,2}) out\. 2025""))), 
  TEXT(DATE(2025,10,REGEXEXTRACT(T47, ""(\d{1,2}) out\. 2025"&amp;""")), ""dd/mm/yyyy""),
 IF(NOT(ISERROR(REGEXEXTRACT(T47, ""(\d{1,2}) nov\. 2025""))), 
  TEXT(DATE(2025,11,REGEXEXTRACT(T47, ""(\d{1,2}) nov\. 2025"")), ""dd/mm/yyyy""),
 IF(NOT(ISERROR(REGEXEXTRACT(T47, ""(\d{1,2}) dez\. 2025""))), 
  TEXT(DATE(2025,12,R"&amp;"EGEXEXTRACT(T47, ""(\d{1,2}) dez\. 2025"")), ""dd/mm/yyyy""),
 ""Insira a data manualmente"")))))))))))), """"))"),"29/10/2025")</f>
        <v>29/10/2025</v>
      </c>
      <c r="H47" s="22">
        <f t="shared" si="1"/>
        <v>2025</v>
      </c>
      <c r="I47" s="18" t="str">
        <f>IFERROR(__xludf.DUMMYFUNCTION("IF(REGEXMATCH(T47,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IF(REGEXMATCH(T47, ""(?i)\bBrasília\b""), ""Distrito Federal, Brasil"",
REGEXEXTRACT(T47,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47" s="30" t="s">
        <v>140</v>
      </c>
      <c r="K47" s="24" t="s">
        <v>163</v>
      </c>
      <c r="L47" s="17" t="s">
        <v>142</v>
      </c>
      <c r="M47" s="30" t="s">
        <v>143</v>
      </c>
      <c r="N47" s="18" t="s">
        <v>144</v>
      </c>
      <c r="O47" s="17" t="s">
        <v>28</v>
      </c>
      <c r="P47" s="17" t="s">
        <v>95</v>
      </c>
      <c r="Q47" s="26">
        <v>45961.0</v>
      </c>
      <c r="R47" s="17" t="s">
        <v>30</v>
      </c>
      <c r="S47" s="27" t="str">
        <f t="shared" si="3"/>
        <v>Aqui</v>
      </c>
      <c r="T47" s="29" t="s">
        <v>164</v>
      </c>
      <c r="U47" s="29"/>
    </row>
    <row r="48">
      <c r="A48" s="16">
        <v>46.0</v>
      </c>
      <c r="B48" s="17" t="s">
        <v>23</v>
      </c>
      <c r="C48" s="18" t="str">
        <f>IFERROR(__xludf.DUMMYFUNCTION("IF(B48="""","""",IF(OR(
  REGEXMATCH(B48,""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REGEXMATCH(B48,""Notícia|Reportagem|Artigo de opinião|Verbete"")
),""Difusão"","""")))
"),"Difusão")</f>
        <v>Difusão</v>
      </c>
      <c r="D48" s="19" t="str">
        <f>IFERROR(__xludf.DUMMYFUNCTION("IF(B48="""","""",IF(OR(
  REGEXMATCH(B48,""Performance|Instalação|Álbum|Música|Poema|Livro|Filme|Documentário|Recitação|Espetáculo|Peça|Intervenção|Desfile|Fotografia|Exposição|Charge|Grafite|Leitura pública|Fabricação de cachaça artesanal""),
  REGEXMATC"&amp;"H(B48,""dança|teatral|artístico|musical|artística"")
),""Manifestação artístico-cultural"",
IF(OR(
  REGEXMATCH(B48,""Crônica|Série|Reportagem|Podcast|Audiotour|Entrevista|Vídeo|Rádio|Notícia|Artigo de opinião|Coletiva de imprensa""),
  REGEXMATCH(B48,""m"&amp;"idiática"")
),""Produção midiática"","""")))
"),"Produção midiática")</f>
        <v>Produção midiática</v>
      </c>
      <c r="E48" s="20" t="str">
        <f>IFERROR(__xludf.DUMMYFUNCTION("IF(B48="""","""",IF(OR(
  REGEXMATCH(B48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REGEXMATCH(B48,""público|Imediato|artística|teatral|memória|Ação popular"")
),""Público Imediato"",
IF(REGEXMATCH(B48,""Música|Álbum|Filme|Documentário|S"&amp;"érie|Podcast|Rádio|Audiotour|Entrevista|Reportagem|Crônica|Relatório|Abaixo-assinado|Manifesto|Petição|Poema|Livro|Fotografia|Curta|Live|Webinário|Charge|Leitura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48" s="20" t="str">
        <f>IFERROR(__xludf.DUMMYFUNCTION("IF(B48="""","""",IF(OR(
  REGEXMATCH(B48,""Live|Webinário|Virtual|Verbete""),
  REGEXMATCH(B48,""online"")
),""Virtual"",
IF(REGEXMATCH(B48,""Música|Álbum|Filme|Documentário|Série|Podcast|Rádio|Audiotour|Episódio|Reportagem|Curta|Charge|Vídeo|Entrevista|N"&amp;"otícia|Artigo de opinião""),
""Midiático"",
IF(REGEXMATCH(B48,""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48" s="21" t="str">
        <f>IFERROR(__xludf.DUMMYFUNCTION("IF(C48=""rememoração"", ""Insira a data manualmente"", IF(C48=""difusão"", 
 IF(NOT(ISERROR(REGEXEXTRACT(T48, ""(\d{1,2}) jan\. 2025""))), 
  TEXT(DATE(2025,1,REGEXEXTRACT(T48, ""(\d{1,2}) jan\. 2025"")), ""dd/mm/yyyy""),
 IF(NOT(ISERROR(REGEXEXTRACT(T48,"&amp;" ""(\d{1,2}) fev\. 2025""))), 
  TEXT(DATE(2025,2,REGEXEXTRACT(T48, ""(\d{1,2}) fev\. 2025"")), ""dd/mm/yyyy""),
 IF(NOT(ISERROR(REGEXEXTRACT(T48, ""(\d{1,2}) mar\. 2025""))), 
  TEXT(DATE(2025,3,REGEXEXTRACT(T48, ""(\d{1,2}) mar\. 2025"")), ""dd/mm/yyyy"&amp;"""),
 IF(NOT(ISERROR(REGEXEXTRACT(T48, ""(\d{1,2}) abr\. 2025""))), 
  TEXT(DATE(2025,4,REGEXEXTRACT(T48, ""(\d{1,2}) abr\. 2025"")), ""dd/mm/yyyy""),
 IF(NOT(ISERROR(REGEXEXTRACT(T48, ""(\d{1,2}) (mai|maio)\. 2025""))), 
  TEXT(DATE(2025,5,REGEXEXTRACT(T"&amp;"48, ""(\d{1,2}) (mai|maio)\. 2025"")), ""dd/mm/yyyy""),
 IF(NOT(ISERROR(REGEXEXTRACT(T48, ""(\d{1,2}) jun\. 2025""))), 
  TEXT(DATE(2025,6,REGEXEXTRACT(T48, ""(\d{1,2}) jun\. 2025"")), ""dd/mm/yyyy""),
 IF(NOT(ISERROR(REGEXEXTRACT(T48, ""(\d{1,2}) jul\. 2"&amp;"025""))), 
  TEXT(DATE(2025,7,REGEXEXTRACT(T48, ""(\d{1,2}) jul\. 2025"")), ""dd/mm/yyyy""),
 IF(NOT(ISERROR(REGEXEXTRACT(T48, ""(\d{1,2}) ago\. 2025""))), 
  TEXT(DATE(2025,8,REGEXEXTRACT(T48, ""(\d{1,2}) ago\. 2025"")), ""dd/mm/yyyy""),
 IF(NOT(ISERROR("&amp;"REGEXEXTRACT(T48, ""(\d{1,2}) set\. 2025""))), 
  TEXT(DATE(2025,9,REGEXEXTRACT(T48, ""(\d{1,2}) set\. 2025"")), ""dd/mm/yyyy""),
 IF(NOT(ISERROR(REGEXEXTRACT(T48, ""(\d{1,2}) out\. 2025""))), 
  TEXT(DATE(2025,10,REGEXEXTRACT(T48, ""(\d{1,2}) out\. 2025"&amp;""")), ""dd/mm/yyyy""),
 IF(NOT(ISERROR(REGEXEXTRACT(T48, ""(\d{1,2}) nov\. 2025""))), 
  TEXT(DATE(2025,11,REGEXEXTRACT(T48, ""(\d{1,2}) nov\. 2025"")), ""dd/mm/yyyy""),
 IF(NOT(ISERROR(REGEXEXTRACT(T48, ""(\d{1,2}) dez\. 2025""))), 
  TEXT(DATE(2025,12,R"&amp;"EGEXEXTRACT(T48, ""(\d{1,2}) dez\. 2025"")), ""dd/mm/yyyy""),
 ""Insira a data manualmente"")))))))))))), """"))"),"29/10/2025")</f>
        <v>29/10/2025</v>
      </c>
      <c r="H48" s="22">
        <f t="shared" si="1"/>
        <v>2025</v>
      </c>
      <c r="I48" s="18" t="s">
        <v>74</v>
      </c>
      <c r="J48" s="30" t="s">
        <v>140</v>
      </c>
      <c r="K48" s="24"/>
      <c r="L48" s="17" t="s">
        <v>142</v>
      </c>
      <c r="M48" s="30" t="s">
        <v>143</v>
      </c>
      <c r="N48" s="18" t="s">
        <v>144</v>
      </c>
      <c r="O48" s="17" t="s">
        <v>28</v>
      </c>
      <c r="P48" s="17" t="s">
        <v>95</v>
      </c>
      <c r="Q48" s="26">
        <v>45961.0</v>
      </c>
      <c r="R48" s="17" t="s">
        <v>30</v>
      </c>
      <c r="S48" s="27" t="str">
        <f t="shared" si="3"/>
        <v>Aqui</v>
      </c>
      <c r="T48" s="29" t="s">
        <v>165</v>
      </c>
      <c r="U48" s="29"/>
    </row>
    <row r="49">
      <c r="A49" s="16">
        <v>47.0</v>
      </c>
      <c r="B49" s="17" t="s">
        <v>23</v>
      </c>
      <c r="C49" s="18" t="str">
        <f>IFERROR(__xludf.DUMMYFUNCTION("IF(B49="""","""",IF(OR(
  REGEXMATCH(B49,""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REGEXMATCH(B49,""Notícia|Reportagem|Artigo de opinião|Verbete"")
),""Difusão"","""")))
"),"Difusão")</f>
        <v>Difusão</v>
      </c>
      <c r="D49" s="19" t="str">
        <f>IFERROR(__xludf.DUMMYFUNCTION("IF(B49="""","""",IF(OR(
  REGEXMATCH(B49,""Performance|Instalação|Álbum|Música|Poema|Livro|Filme|Documentário|Recitação|Espetáculo|Peça|Intervenção|Desfile|Fotografia|Exposição|Charge|Grafite|Leitura pública|Fabricação de cachaça artesanal""),
  REGEXMATC"&amp;"H(B49,""dança|teatral|artístico|musical|artística"")
),""Manifestação artístico-cultural"",
IF(OR(
  REGEXMATCH(B49,""Crônica|Série|Reportagem|Podcast|Audiotour|Entrevista|Vídeo|Rádio|Notícia|Artigo de opinião|Coletiva de imprensa""),
  REGEXMATCH(B49,""m"&amp;"idiática"")
),""Produção midiática"","""")))
"),"Produção midiática")</f>
        <v>Produção midiática</v>
      </c>
      <c r="E49" s="20" t="str">
        <f>IFERROR(__xludf.DUMMYFUNCTION("IF(B49="""","""",IF(OR(
  REGEXMATCH(B49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REGEXMATCH(B49,""público|Imediato|artística|teatral|memória|Ação popular"")
),""Público Imediato"",
IF(REGEXMATCH(B49,""Música|Álbum|Filme|Documentário|S"&amp;"érie|Podcast|Rádio|Audiotour|Entrevista|Reportagem|Crônica|Relatório|Abaixo-assinado|Manifesto|Petição|Poema|Livro|Fotografia|Curta|Live|Webinário|Charge|Leitura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49" s="20" t="str">
        <f>IFERROR(__xludf.DUMMYFUNCTION("IF(B49="""","""",IF(OR(
  REGEXMATCH(B49,""Live|Webinário|Virtual|Verbete""),
  REGEXMATCH(B49,""online"")
),""Virtual"",
IF(REGEXMATCH(B49,""Música|Álbum|Filme|Documentário|Série|Podcast|Rádio|Audiotour|Episódio|Reportagem|Curta|Charge|Vídeo|Entrevista|N"&amp;"otícia|Artigo de opinião""),
""Midiático"",
IF(REGEXMATCH(B49,""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49" s="21" t="str">
        <f>IFERROR(__xludf.DUMMYFUNCTION("IF(C49=""rememoração"", ""Insira a data manualmente"", IF(C49=""difusão"", 
 IF(NOT(ISERROR(REGEXEXTRACT(T49, ""(\d{1,2}) jan\. 2025""))), 
  TEXT(DATE(2025,1,REGEXEXTRACT(T49, ""(\d{1,2}) jan\. 2025"")), ""dd/mm/yyyy""),
 IF(NOT(ISERROR(REGEXEXTRACT(T49,"&amp;" ""(\d{1,2}) fev\. 2025""))), 
  TEXT(DATE(2025,2,REGEXEXTRACT(T49, ""(\d{1,2}) fev\. 2025"")), ""dd/mm/yyyy""),
 IF(NOT(ISERROR(REGEXEXTRACT(T49, ""(\d{1,2}) mar\. 2025""))), 
  TEXT(DATE(2025,3,REGEXEXTRACT(T49, ""(\d{1,2}) mar\. 2025"")), ""dd/mm/yyyy"&amp;"""),
 IF(NOT(ISERROR(REGEXEXTRACT(T49, ""(\d{1,2}) abr\. 2025""))), 
  TEXT(DATE(2025,4,REGEXEXTRACT(T49, ""(\d{1,2}) abr\. 2025"")), ""dd/mm/yyyy""),
 IF(NOT(ISERROR(REGEXEXTRACT(T49, ""(\d{1,2}) (mai|maio)\. 2025""))), 
  TEXT(DATE(2025,5,REGEXEXTRACT(T"&amp;"49, ""(\d{1,2}) (mai|maio)\. 2025"")), ""dd/mm/yyyy""),
 IF(NOT(ISERROR(REGEXEXTRACT(T49, ""(\d{1,2}) jun\. 2025""))), 
  TEXT(DATE(2025,6,REGEXEXTRACT(T49, ""(\d{1,2}) jun\. 2025"")), ""dd/mm/yyyy""),
 IF(NOT(ISERROR(REGEXEXTRACT(T49, ""(\d{1,2}) jul\. 2"&amp;"025""))), 
  TEXT(DATE(2025,7,REGEXEXTRACT(T49, ""(\d{1,2}) jul\. 2025"")), ""dd/mm/yyyy""),
 IF(NOT(ISERROR(REGEXEXTRACT(T49, ""(\d{1,2}) ago\. 2025""))), 
  TEXT(DATE(2025,8,REGEXEXTRACT(T49, ""(\d{1,2}) ago\. 2025"")), ""dd/mm/yyyy""),
 IF(NOT(ISERROR("&amp;"REGEXEXTRACT(T49, ""(\d{1,2}) set\. 2025""))), 
  TEXT(DATE(2025,9,REGEXEXTRACT(T49, ""(\d{1,2}) set\. 2025"")), ""dd/mm/yyyy""),
 IF(NOT(ISERROR(REGEXEXTRACT(T49, ""(\d{1,2}) out\. 2025""))), 
  TEXT(DATE(2025,10,REGEXEXTRACT(T49, ""(\d{1,2}) out\. 2025"&amp;""")), ""dd/mm/yyyy""),
 IF(NOT(ISERROR(REGEXEXTRACT(T49, ""(\d{1,2}) nov\. 2025""))), 
  TEXT(DATE(2025,11,REGEXEXTRACT(T49, ""(\d{1,2}) nov\. 2025"")), ""dd/mm/yyyy""),
 IF(NOT(ISERROR(REGEXEXTRACT(T49, ""(\d{1,2}) dez\. 2025""))), 
  TEXT(DATE(2025,12,R"&amp;"EGEXEXTRACT(T49, ""(\d{1,2}) dez\. 2025"")), ""dd/mm/yyyy""),
 ""Insira a data manualmente"")))))))))))), """"))"),"29/10/2025")</f>
        <v>29/10/2025</v>
      </c>
      <c r="H49" s="22">
        <f t="shared" si="1"/>
        <v>2025</v>
      </c>
      <c r="I49" s="18" t="s">
        <v>74</v>
      </c>
      <c r="J49" s="30" t="s">
        <v>140</v>
      </c>
      <c r="K49" s="24" t="s">
        <v>166</v>
      </c>
      <c r="L49" s="17" t="s">
        <v>142</v>
      </c>
      <c r="M49" s="30" t="s">
        <v>143</v>
      </c>
      <c r="N49" s="18" t="s">
        <v>144</v>
      </c>
      <c r="O49" s="17" t="s">
        <v>28</v>
      </c>
      <c r="P49" s="17" t="s">
        <v>95</v>
      </c>
      <c r="Q49" s="26">
        <v>45961.0</v>
      </c>
      <c r="R49" s="17" t="s">
        <v>30</v>
      </c>
      <c r="S49" s="27" t="str">
        <f t="shared" si="3"/>
        <v>Aqui</v>
      </c>
      <c r="T49" s="29" t="s">
        <v>167</v>
      </c>
      <c r="U49" s="29"/>
    </row>
    <row r="50">
      <c r="A50" s="16">
        <v>48.0</v>
      </c>
      <c r="B50" s="17" t="s">
        <v>23</v>
      </c>
      <c r="C50" s="18" t="str">
        <f>IFERROR(__xludf.DUMMYFUNCTION("IF(B50="""","""",IF(OR(
  REGEXMATCH(B50,""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REGEXMATCH(B50,""Notícia|Reportagem|Artigo de opinião|Verbete"")
),""Difusão"","""")))
"),"Difusão")</f>
        <v>Difusão</v>
      </c>
      <c r="D50" s="19" t="str">
        <f>IFERROR(__xludf.DUMMYFUNCTION("IF(B50="""","""",IF(OR(
  REGEXMATCH(B50,""Performance|Instalação|Álbum|Música|Poema|Livro|Filme|Documentário|Recitação|Espetáculo|Peça|Intervenção|Desfile|Fotografia|Exposição|Charge|Grafite|Leitura pública|Fabricação de cachaça artesanal""),
  REGEXMATC"&amp;"H(B50,""dança|teatral|artístico|musical|artística"")
),""Manifestação artístico-cultural"",
IF(OR(
  REGEXMATCH(B50,""Crônica|Série|Reportagem|Podcast|Audiotour|Entrevista|Vídeo|Rádio|Notícia|Artigo de opinião|Coletiva de imprensa""),
  REGEXMATCH(B50,""m"&amp;"idiática"")
),""Produção midiática"","""")))
"),"Produção midiática")</f>
        <v>Produção midiática</v>
      </c>
      <c r="E50" s="20" t="str">
        <f>IFERROR(__xludf.DUMMYFUNCTION("IF(B50="""","""",IF(OR(
  REGEXMATCH(B50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REGEXMATCH(B50,""público|Imediato|artística|teatral|memória|Ação popular"")
),""Público Imediato"",
IF(REGEXMATCH(B50,""Música|Álbum|Filme|Documentário|S"&amp;"érie|Podcast|Rádio|Audiotour|Entrevista|Reportagem|Crônica|Relatório|Abaixo-assinado|Manifesto|Petição|Poema|Livro|Fotografia|Curta|Live|Webinário|Charge|Leitura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50" s="20" t="str">
        <f>IFERROR(__xludf.DUMMYFUNCTION("IF(B50="""","""",IF(OR(
  REGEXMATCH(B50,""Live|Webinário|Virtual|Verbete""),
  REGEXMATCH(B50,""online"")
),""Virtual"",
IF(REGEXMATCH(B50,""Música|Álbum|Filme|Documentário|Série|Podcast|Rádio|Audiotour|Episódio|Reportagem|Curta|Charge|Vídeo|Entrevista|N"&amp;"otícia|Artigo de opinião""),
""Midiático"",
IF(REGEXMATCH(B50,""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50" s="21" t="str">
        <f>IFERROR(__xludf.DUMMYFUNCTION("IF(C50=""rememoração"", ""Insira a data manualmente"", IF(C50=""difusão"", 
 IF(NOT(ISERROR(REGEXEXTRACT(T50, ""(\d{1,2}) jan\. 2025""))), 
  TEXT(DATE(2025,1,REGEXEXTRACT(T50, ""(\d{1,2}) jan\. 2025"")), ""dd/mm/yyyy""),
 IF(NOT(ISERROR(REGEXEXTRACT(T50,"&amp;" ""(\d{1,2}) fev\. 2025""))), 
  TEXT(DATE(2025,2,REGEXEXTRACT(T50, ""(\d{1,2}) fev\. 2025"")), ""dd/mm/yyyy""),
 IF(NOT(ISERROR(REGEXEXTRACT(T50, ""(\d{1,2}) mar\. 2025""))), 
  TEXT(DATE(2025,3,REGEXEXTRACT(T50, ""(\d{1,2}) mar\. 2025"")), ""dd/mm/yyyy"&amp;"""),
 IF(NOT(ISERROR(REGEXEXTRACT(T50, ""(\d{1,2}) abr\. 2025""))), 
  TEXT(DATE(2025,4,REGEXEXTRACT(T50, ""(\d{1,2}) abr\. 2025"")), ""dd/mm/yyyy""),
 IF(NOT(ISERROR(REGEXEXTRACT(T50, ""(\d{1,2}) (mai|maio)\. 2025""))), 
  TEXT(DATE(2025,5,REGEXEXTRACT(T"&amp;"50, ""(\d{1,2}) (mai|maio)\. 2025"")), ""dd/mm/yyyy""),
 IF(NOT(ISERROR(REGEXEXTRACT(T50, ""(\d{1,2}) jun\. 2025""))), 
  TEXT(DATE(2025,6,REGEXEXTRACT(T50, ""(\d{1,2}) jun\. 2025"")), ""dd/mm/yyyy""),
 IF(NOT(ISERROR(REGEXEXTRACT(T50, ""(\d{1,2}) jul\. 2"&amp;"025""))), 
  TEXT(DATE(2025,7,REGEXEXTRACT(T50, ""(\d{1,2}) jul\. 2025"")), ""dd/mm/yyyy""),
 IF(NOT(ISERROR(REGEXEXTRACT(T50, ""(\d{1,2}) ago\. 2025""))), 
  TEXT(DATE(2025,8,REGEXEXTRACT(T50, ""(\d{1,2}) ago\. 2025"")), ""dd/mm/yyyy""),
 IF(NOT(ISERROR("&amp;"REGEXEXTRACT(T50, ""(\d{1,2}) set\. 2025""))), 
  TEXT(DATE(2025,9,REGEXEXTRACT(T50, ""(\d{1,2}) set\. 2025"")), ""dd/mm/yyyy""),
 IF(NOT(ISERROR(REGEXEXTRACT(T50, ""(\d{1,2}) out\. 2025""))), 
  TEXT(DATE(2025,10,REGEXEXTRACT(T50, ""(\d{1,2}) out\. 2025"&amp;""")), ""dd/mm/yyyy""),
 IF(NOT(ISERROR(REGEXEXTRACT(T50, ""(\d{1,2}) nov\. 2025""))), 
  TEXT(DATE(2025,11,REGEXEXTRACT(T50, ""(\d{1,2}) nov\. 2025"")), ""dd/mm/yyyy""),
 IF(NOT(ISERROR(REGEXEXTRACT(T50, ""(\d{1,2}) dez\. 2025""))), 
  TEXT(DATE(2025,12,R"&amp;"EGEXEXTRACT(T50, ""(\d{1,2}) dez\. 2025"")), ""dd/mm/yyyy""),
 ""Insira a data manualmente"")))))))))))), """"))"),"29/10/2025")</f>
        <v>29/10/2025</v>
      </c>
      <c r="H50" s="22">
        <f t="shared" si="1"/>
        <v>2025</v>
      </c>
      <c r="I50" s="18" t="s">
        <v>74</v>
      </c>
      <c r="J50" s="30" t="s">
        <v>140</v>
      </c>
      <c r="K50" s="24" t="s">
        <v>168</v>
      </c>
      <c r="L50" s="17" t="s">
        <v>142</v>
      </c>
      <c r="M50" s="30" t="s">
        <v>143</v>
      </c>
      <c r="N50" s="18" t="s">
        <v>144</v>
      </c>
      <c r="O50" s="17" t="s">
        <v>28</v>
      </c>
      <c r="P50" s="17" t="s">
        <v>95</v>
      </c>
      <c r="Q50" s="26">
        <v>45961.0</v>
      </c>
      <c r="R50" s="17" t="s">
        <v>30</v>
      </c>
      <c r="S50" s="27" t="str">
        <f t="shared" si="3"/>
        <v>Aqui</v>
      </c>
      <c r="T50" s="29" t="s">
        <v>169</v>
      </c>
      <c r="U50" s="29"/>
    </row>
    <row r="51">
      <c r="A51" s="16">
        <v>49.0</v>
      </c>
      <c r="B51" s="17" t="s">
        <v>23</v>
      </c>
      <c r="C51" s="18" t="str">
        <f>IFERROR(__xludf.DUMMYFUNCTION("IF(B51="""","""",IF(OR(
  REGEXMATCH(B51,""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REGEXMATCH(B51,""Notícia|Reportagem|Artigo de opinião|Verbete"")
),""Difusão"","""")))
"),"Difusão")</f>
        <v>Difusão</v>
      </c>
      <c r="D51" s="19" t="str">
        <f>IFERROR(__xludf.DUMMYFUNCTION("IF(B51="""","""",IF(OR(
  REGEXMATCH(B51,""Performance|Instalação|Álbum|Música|Poema|Livro|Filme|Documentário|Recitação|Espetáculo|Peça|Intervenção|Desfile|Fotografia|Exposição|Charge|Grafite|Leitura pública|Fabricação de cachaça artesanal""),
  REGEXMATC"&amp;"H(B51,""dança|teatral|artístico|musical|artística"")
),""Manifestação artístico-cultural"",
IF(OR(
  REGEXMATCH(B51,""Crônica|Série|Reportagem|Podcast|Audiotour|Entrevista|Vídeo|Rádio|Notícia|Artigo de opinião|Coletiva de imprensa""),
  REGEXMATCH(B51,""m"&amp;"idiática"")
),""Produção midiática"","""")))
"),"Produção midiática")</f>
        <v>Produção midiática</v>
      </c>
      <c r="E51" s="20" t="str">
        <f>IFERROR(__xludf.DUMMYFUNCTION("IF(B51="""","""",IF(OR(
  REGEXMATCH(B51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REGEXMATCH(B51,""público|Imediato|artística|teatral|memória|Ação popular"")
),""Público Imediato"",
IF(REGEXMATCH(B51,""Música|Álbum|Filme|Documentário|S"&amp;"érie|Podcast|Rádio|Audiotour|Entrevista|Reportagem|Crônica|Relatório|Abaixo-assinado|Manifesto|Petição|Poema|Livro|Fotografia|Curta|Live|Webinário|Charge|Leitura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51" s="20" t="str">
        <f>IFERROR(__xludf.DUMMYFUNCTION("IF(B51="""","""",IF(OR(
  REGEXMATCH(B51,""Live|Webinário|Virtual|Verbete""),
  REGEXMATCH(B51,""online"")
),""Virtual"",
IF(REGEXMATCH(B51,""Música|Álbum|Filme|Documentário|Série|Podcast|Rádio|Audiotour|Episódio|Reportagem|Curta|Charge|Vídeo|Entrevista|N"&amp;"otícia|Artigo de opinião""),
""Midiático"",
IF(REGEXMATCH(B51,""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51" s="21" t="str">
        <f>IFERROR(__xludf.DUMMYFUNCTION("IF(C51=""rememoração"", ""Insira a data manualmente"", IF(C51=""difusão"", 
 IF(NOT(ISERROR(REGEXEXTRACT(T51, ""(\d{1,2}) jan\. 2025""))), 
  TEXT(DATE(2025,1,REGEXEXTRACT(T51, ""(\d{1,2}) jan\. 2025"")), ""dd/mm/yyyy""),
 IF(NOT(ISERROR(REGEXEXTRACT(T51,"&amp;" ""(\d{1,2}) fev\. 2025""))), 
  TEXT(DATE(2025,2,REGEXEXTRACT(T51, ""(\d{1,2}) fev\. 2025"")), ""dd/mm/yyyy""),
 IF(NOT(ISERROR(REGEXEXTRACT(T51, ""(\d{1,2}) mar\. 2025""))), 
  TEXT(DATE(2025,3,REGEXEXTRACT(T51, ""(\d{1,2}) mar\. 2025"")), ""dd/mm/yyyy"&amp;"""),
 IF(NOT(ISERROR(REGEXEXTRACT(T51, ""(\d{1,2}) abr\. 2025""))), 
  TEXT(DATE(2025,4,REGEXEXTRACT(T51, ""(\d{1,2}) abr\. 2025"")), ""dd/mm/yyyy""),
 IF(NOT(ISERROR(REGEXEXTRACT(T51, ""(\d{1,2}) (mai|maio)\. 2025""))), 
  TEXT(DATE(2025,5,REGEXEXTRACT(T"&amp;"51, ""(\d{1,2}) (mai|maio)\. 2025"")), ""dd/mm/yyyy""),
 IF(NOT(ISERROR(REGEXEXTRACT(T51, ""(\d{1,2}) jun\. 2025""))), 
  TEXT(DATE(2025,6,REGEXEXTRACT(T51, ""(\d{1,2}) jun\. 2025"")), ""dd/mm/yyyy""),
 IF(NOT(ISERROR(REGEXEXTRACT(T51, ""(\d{1,2}) jul\. 2"&amp;"025""))), 
  TEXT(DATE(2025,7,REGEXEXTRACT(T51, ""(\d{1,2}) jul\. 2025"")), ""dd/mm/yyyy""),
 IF(NOT(ISERROR(REGEXEXTRACT(T51, ""(\d{1,2}) ago\. 2025""))), 
  TEXT(DATE(2025,8,REGEXEXTRACT(T51, ""(\d{1,2}) ago\. 2025"")), ""dd/mm/yyyy""),
 IF(NOT(ISERROR("&amp;"REGEXEXTRACT(T51, ""(\d{1,2}) set\. 2025""))), 
  TEXT(DATE(2025,9,REGEXEXTRACT(T51, ""(\d{1,2}) set\. 2025"")), ""dd/mm/yyyy""),
 IF(NOT(ISERROR(REGEXEXTRACT(T51, ""(\d{1,2}) out\. 2025""))), 
  TEXT(DATE(2025,10,REGEXEXTRACT(T51, ""(\d{1,2}) out\. 2025"&amp;""")), ""dd/mm/yyyy""),
 IF(NOT(ISERROR(REGEXEXTRACT(T51, ""(\d{1,2}) nov\. 2025""))), 
  TEXT(DATE(2025,11,REGEXEXTRACT(T51, ""(\d{1,2}) nov\. 2025"")), ""dd/mm/yyyy""),
 IF(NOT(ISERROR(REGEXEXTRACT(T51, ""(\d{1,2}) dez\. 2025""))), 
  TEXT(DATE(2025,12,R"&amp;"EGEXEXTRACT(T51, ""(\d{1,2}) dez\. 2025"")), ""dd/mm/yyyy""),
 ""Insira a data manualmente"")))))))))))), """"))"),"29/10/2025")</f>
        <v>29/10/2025</v>
      </c>
      <c r="H51" s="22">
        <f t="shared" si="1"/>
        <v>2025</v>
      </c>
      <c r="I51" s="18" t="s">
        <v>74</v>
      </c>
      <c r="J51" s="30" t="s">
        <v>140</v>
      </c>
      <c r="K51" s="24" t="s">
        <v>170</v>
      </c>
      <c r="L51" s="17" t="s">
        <v>142</v>
      </c>
      <c r="M51" s="30" t="s">
        <v>143</v>
      </c>
      <c r="N51" s="18" t="s">
        <v>144</v>
      </c>
      <c r="O51" s="17" t="s">
        <v>28</v>
      </c>
      <c r="P51" s="17" t="s">
        <v>95</v>
      </c>
      <c r="Q51" s="26">
        <v>45961.0</v>
      </c>
      <c r="R51" s="17" t="s">
        <v>30</v>
      </c>
      <c r="S51" s="27" t="str">
        <f t="shared" si="3"/>
        <v>Aqui</v>
      </c>
      <c r="T51" s="29" t="s">
        <v>171</v>
      </c>
      <c r="U51" s="29"/>
    </row>
    <row r="52">
      <c r="A52" s="16">
        <v>50.0</v>
      </c>
      <c r="B52" s="17" t="s">
        <v>172</v>
      </c>
      <c r="C52" s="18" t="str">
        <f>IFERROR(__xludf.DUMMYFUNCTION("IF(B52="""","""",IF(OR(
  REGEXMATCH(B52,""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REGEXMATCH(B52,""Notícia|Reportagem|Artigo de opinião|Verbete"")
),""Difusão"","""")))
"),"Rememoração")</f>
        <v>Rememoração</v>
      </c>
      <c r="D52" s="19" t="str">
        <f>IFERROR(__xludf.DUMMYFUNCTION("IF(B52="""","""",IF(OR(
  REGEXMATCH(B52,""Performance|Instalação|Álbum|Música|Poema|Livro|Filme|Documentário|Recitação|Espetáculo|Peça|Intervenção|Desfile|Fotografia|Exposição|Charge|Grafite|Leitura pública|Fabricação de cachaça artesanal""),
  REGEXMATC"&amp;"H(B52,""dança|teatral|artístico|musical|artística"")
),""Manifestação artístico-cultural"",
IF(OR(
  REGEXMATCH(B52,""Crônica|Série|Reportagem|Podcast|Audiotour|Entrevista|Vídeo|Rádio|Notícia|Artigo de opinião|Coletiva de imprensa""),
  REGEXMATCH(B52,""m"&amp;"idiática"")
),""Produção midiática"","""")))
"),"")</f>
        <v/>
      </c>
      <c r="E52" s="20" t="str">
        <f>IFERROR(__xludf.DUMMYFUNCTION("IF(B52="""","""",IF(OR(
  REGEXMATCH(B52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REGEXMATCH(B52,""público|Imediato|artística|teatral|memória|Ação popular"")
),""Público Imediato"",
IF(REGEXMATCH(B52,""Música|Álbum|Filme|Documentário|S"&amp;"érie|Podcast|Rádio|Audiotour|Entrevista|Reportagem|Crônica|Relatório|Abaixo-assinado|Manifesto|Petição|Poema|Livro|Fotografia|Curta|Live|Webinário|Charge|Leitura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Imediato")</f>
        <v>Público Imediato</v>
      </c>
      <c r="F52" s="20" t="str">
        <f>IFERROR(__xludf.DUMMYFUNCTION("IF(B52="""","""",IF(OR(
  REGEXMATCH(B52,""Live|Webinário|Virtual|Verbete""),
  REGEXMATCH(B52,""online"")
),""Virtual"",
IF(REGEXMATCH(B52,""Música|Álbum|Filme|Documentário|Série|Podcast|Rádio|Audiotour|Episódio|Reportagem|Curta|Charge|Vídeo|Entrevista|N"&amp;"otícia|Artigo de opinião""),
""Midiático"",
IF(REGEXMATCH(B52,""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52" s="21">
        <v>45959.0</v>
      </c>
      <c r="H52" s="22">
        <f t="shared" si="1"/>
        <v>2025</v>
      </c>
      <c r="I52" s="18" t="str">
        <f>IFERROR(__xludf.DUMMYFUNCTION("IF(REGEXMATCH(T52,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IF(REGEXMATCH(T52, ""(?i)\bBrasília\b""), ""Distrito Federal, Brasil"",
REGEXEXTRACT(T52,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52" s="30" t="s">
        <v>140</v>
      </c>
      <c r="K52" s="24" t="s">
        <v>173</v>
      </c>
      <c r="L52" s="17" t="s">
        <v>142</v>
      </c>
      <c r="M52" s="30" t="s">
        <v>143</v>
      </c>
      <c r="N52" s="18" t="s">
        <v>144</v>
      </c>
      <c r="O52" s="17" t="s">
        <v>28</v>
      </c>
      <c r="P52" s="17" t="s">
        <v>95</v>
      </c>
      <c r="Q52" s="26">
        <v>45961.0</v>
      </c>
      <c r="R52" s="17" t="s">
        <v>30</v>
      </c>
      <c r="S52" s="27" t="str">
        <f t="shared" si="3"/>
        <v>Aqui</v>
      </c>
      <c r="T52" s="29" t="s">
        <v>174</v>
      </c>
      <c r="U52" s="29"/>
    </row>
    <row r="53">
      <c r="A53" s="16">
        <v>51.0</v>
      </c>
      <c r="B53" s="17" t="s">
        <v>23</v>
      </c>
      <c r="C53" s="18" t="str">
        <f>IFERROR(__xludf.DUMMYFUNCTION("IF(B53="""","""",IF(OR(
  REGEXMATCH(B53,""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REGEXMATCH(B53,""Notícia|Reportagem|Artigo de opinião|Verbete"")
),""Difusão"","""")))
"),"Difusão")</f>
        <v>Difusão</v>
      </c>
      <c r="D53" s="19" t="str">
        <f>IFERROR(__xludf.DUMMYFUNCTION("IF(B53="""","""",IF(OR(
  REGEXMATCH(B53,""Performance|Instalação|Álbum|Música|Poema|Livro|Filme|Documentário|Recitação|Espetáculo|Peça|Intervenção|Desfile|Fotografia|Exposição|Charge|Grafite|Leitura pública|Fabricação de cachaça artesanal""),
  REGEXMATC"&amp;"H(B53,""dança|teatral|artístico|musical|artística"")
),""Manifestação artístico-cultural"",
IF(OR(
  REGEXMATCH(B53,""Crônica|Série|Reportagem|Podcast|Audiotour|Entrevista|Vídeo|Rádio|Notícia|Artigo de opinião|Coletiva de imprensa""),
  REGEXMATCH(B53,""m"&amp;"idiática"")
),""Produção midiática"","""")))
"),"Produção midiática")</f>
        <v>Produção midiática</v>
      </c>
      <c r="E53" s="20" t="str">
        <f>IFERROR(__xludf.DUMMYFUNCTION("IF(B53="""","""",IF(OR(
  REGEXMATCH(B53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REGEXMATCH(B53,""público|Imediato|artística|teatral|memória|Ação popular"")
),""Público Imediato"",
IF(REGEXMATCH(B53,""Música|Álbum|Filme|Documentário|S"&amp;"érie|Podcast|Rádio|Audiotour|Entrevista|Reportagem|Crônica|Relatório|Abaixo-assinado|Manifesto|Petição|Poema|Livro|Fotografia|Curta|Live|Webinário|Charge|Leitura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53" s="20" t="str">
        <f>IFERROR(__xludf.DUMMYFUNCTION("IF(B53="""","""",IF(OR(
  REGEXMATCH(B53,""Live|Webinário|Virtual|Verbete""),
  REGEXMATCH(B53,""online"")
),""Virtual"",
IF(REGEXMATCH(B53,""Música|Álbum|Filme|Documentário|Série|Podcast|Rádio|Audiotour|Episódio|Reportagem|Curta|Charge|Vídeo|Entrevista|N"&amp;"otícia|Artigo de opinião""),
""Midiático"",
IF(REGEXMATCH(B53,""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53" s="21" t="str">
        <f>IFERROR(__xludf.DUMMYFUNCTION("IF(C53=""rememoração"", ""Insira a data manualmente"", IF(C53=""difusão"", 
 IF(NOT(ISERROR(REGEXEXTRACT(T53, ""(\d{1,2}) jan\. 2025""))), 
  TEXT(DATE(2025,1,REGEXEXTRACT(T53, ""(\d{1,2}) jan\. 2025"")), ""dd/mm/yyyy""),
 IF(NOT(ISERROR(REGEXEXTRACT(T53,"&amp;" ""(\d{1,2}) fev\. 2025""))), 
  TEXT(DATE(2025,2,REGEXEXTRACT(T53, ""(\d{1,2}) fev\. 2025"")), ""dd/mm/yyyy""),
 IF(NOT(ISERROR(REGEXEXTRACT(T53, ""(\d{1,2}) mar\. 2025""))), 
  TEXT(DATE(2025,3,REGEXEXTRACT(T53, ""(\d{1,2}) mar\. 2025"")), ""dd/mm/yyyy"&amp;"""),
 IF(NOT(ISERROR(REGEXEXTRACT(T53, ""(\d{1,2}) abr\. 2025""))), 
  TEXT(DATE(2025,4,REGEXEXTRACT(T53, ""(\d{1,2}) abr\. 2025"")), ""dd/mm/yyyy""),
 IF(NOT(ISERROR(REGEXEXTRACT(T53, ""(\d{1,2}) (mai|maio)\. 2025""))), 
  TEXT(DATE(2025,5,REGEXEXTRACT(T"&amp;"53, ""(\d{1,2}) (mai|maio)\. 2025"")), ""dd/mm/yyyy""),
 IF(NOT(ISERROR(REGEXEXTRACT(T53, ""(\d{1,2}) jun\. 2025""))), 
  TEXT(DATE(2025,6,REGEXEXTRACT(T53, ""(\d{1,2}) jun\. 2025"")), ""dd/mm/yyyy""),
 IF(NOT(ISERROR(REGEXEXTRACT(T53, ""(\d{1,2}) jul\. 2"&amp;"025""))), 
  TEXT(DATE(2025,7,REGEXEXTRACT(T53, ""(\d{1,2}) jul\. 2025"")), ""dd/mm/yyyy""),
 IF(NOT(ISERROR(REGEXEXTRACT(T53, ""(\d{1,2}) ago\. 2025""))), 
  TEXT(DATE(2025,8,REGEXEXTRACT(T53, ""(\d{1,2}) ago\. 2025"")), ""dd/mm/yyyy""),
 IF(NOT(ISERROR("&amp;"REGEXEXTRACT(T53, ""(\d{1,2}) set\. 2025""))), 
  TEXT(DATE(2025,9,REGEXEXTRACT(T53, ""(\d{1,2}) set\. 2025"")), ""dd/mm/yyyy""),
 IF(NOT(ISERROR(REGEXEXTRACT(T53, ""(\d{1,2}) out\. 2025""))), 
  TEXT(DATE(2025,10,REGEXEXTRACT(T53, ""(\d{1,2}) out\. 2025"&amp;""")), ""dd/mm/yyyy""),
 IF(NOT(ISERROR(REGEXEXTRACT(T53, ""(\d{1,2}) nov\. 2025""))), 
  TEXT(DATE(2025,11,REGEXEXTRACT(T53, ""(\d{1,2}) nov\. 2025"")), ""dd/mm/yyyy""),
 IF(NOT(ISERROR(REGEXEXTRACT(T53, ""(\d{1,2}) dez\. 2025""))), 
  TEXT(DATE(2025,12,R"&amp;"EGEXEXTRACT(T53, ""(\d{1,2}) dez\. 2025"")), ""dd/mm/yyyy""),
 ""Insira a data manualmente"")))))))))))), """"))"),"29/10/2025")</f>
        <v>29/10/2025</v>
      </c>
      <c r="H53" s="22">
        <f t="shared" si="1"/>
        <v>2025</v>
      </c>
      <c r="I53" s="18" t="str">
        <f>IFERROR(__xludf.DUMMYFUNCTION("IF(REGEXMATCH(T53,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IF(REGEXMATCH(T53, ""(?i)\bBrasília\b""), ""Distrito Federal, Brasil"",
REGEXEXTRACT(T53,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53" s="30" t="s">
        <v>175</v>
      </c>
      <c r="K53" s="24" t="s">
        <v>176</v>
      </c>
      <c r="L53" s="32" t="s">
        <v>137</v>
      </c>
      <c r="M53" s="33" t="s">
        <v>138</v>
      </c>
      <c r="N53" s="18" t="s">
        <v>177</v>
      </c>
      <c r="O53" s="17" t="s">
        <v>28</v>
      </c>
      <c r="P53" s="17" t="s">
        <v>95</v>
      </c>
      <c r="Q53" s="26">
        <v>45961.0</v>
      </c>
      <c r="R53" s="17" t="s">
        <v>30</v>
      </c>
      <c r="S53" s="27" t="str">
        <f t="shared" si="3"/>
        <v>Aqui</v>
      </c>
      <c r="T53" s="29" t="s">
        <v>178</v>
      </c>
      <c r="U53" s="29"/>
    </row>
    <row r="54">
      <c r="A54" s="16">
        <v>52.0</v>
      </c>
      <c r="B54" s="17" t="s">
        <v>179</v>
      </c>
      <c r="C54" s="18" t="str">
        <f>IFERROR(__xludf.DUMMYFUNCTION("IF(B54="""","""",IF(OR(
  REGEXMATCH(B54,""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REGEXMATCH(B54,""Notícia|Reportagem|Artigo de opinião|Verbete"")
),""Difusão"","""")))
"),"Rememoração")</f>
        <v>Rememoração</v>
      </c>
      <c r="D54" s="19" t="str">
        <f>IFERROR(__xludf.DUMMYFUNCTION("IF(B54="""","""",IF(OR(
  REGEXMATCH(B54,""Performance|Instalação|Álbum|Música|Poema|Livro|Filme|Documentário|Recitação|Espetáculo|Peça|Intervenção|Desfile|Fotografia|Exposição|Charge|Grafite|Leitura pública|Fabricação de cachaça artesanal""),
  REGEXMATC"&amp;"H(B54,""dança|teatral|artístico|musical|artística"")
),""Manifestação artístico-cultural"",
IF(OR(
  REGEXMATCH(B54,""Crônica|Série|Reportagem|Podcast|Audiotour|Entrevista|Vídeo|Rádio|Notícia|Artigo de opinião|Coletiva de imprensa""),
  REGEXMATCH(B54,""m"&amp;"idiática"")
),""Produção midiática"","""")))
"),"")</f>
        <v/>
      </c>
      <c r="E54" s="20" t="str">
        <f>IFERROR(__xludf.DUMMYFUNCTION("IF(B54="""","""",IF(OR(
  REGEXMATCH(B54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REGEXMATCH(B54,""público|Imediato|artística|teatral|memória|Ação popular"")
),""Público Imediato"",
IF(REGEXMATCH(B54,""Música|Álbum|Filme|Documentário|S"&amp;"érie|Podcast|Rádio|Audiotour|Entrevista|Reportagem|Crônica|Relatório|Abaixo-assinado|Manifesto|Petição|Poema|Livro|Fotografia|Curta|Live|Webinário|Charge|Leitura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Imediato")</f>
        <v>Público Imediato</v>
      </c>
      <c r="F54" s="20" t="str">
        <f>IFERROR(__xludf.DUMMYFUNCTION("IF(B54="""","""",IF(OR(
  REGEXMATCH(B54,""Live|Webinário|Virtual|Verbete""),
  REGEXMATCH(B54,""online"")
),""Virtual"",
IF(REGEXMATCH(B54,""Música|Álbum|Filme|Documentário|Série|Podcast|Rádio|Audiotour|Episódio|Reportagem|Curta|Charge|Vídeo|Entrevista|N"&amp;"otícia|Artigo de opinião""),
""Midiático"",
IF(REGEXMATCH(B54,""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54" s="21">
        <v>45959.0</v>
      </c>
      <c r="H54" s="22">
        <f t="shared" si="1"/>
        <v>2025</v>
      </c>
      <c r="I54" s="18" t="str">
        <f>IFERROR(__xludf.DUMMYFUNCTION("IF(REGEXMATCH(T54,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IF(REGEXMATCH(T54, ""(?i)\bBrasília\b""), ""Distrito Federal, Brasil"",
REGEXEXTRACT(T54,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54" s="30" t="s">
        <v>140</v>
      </c>
      <c r="K54" s="24" t="s">
        <v>180</v>
      </c>
      <c r="L54" s="32" t="s">
        <v>137</v>
      </c>
      <c r="M54" s="33" t="s">
        <v>138</v>
      </c>
      <c r="N54" s="18" t="s">
        <v>144</v>
      </c>
      <c r="O54" s="17" t="s">
        <v>28</v>
      </c>
      <c r="P54" s="17" t="s">
        <v>95</v>
      </c>
      <c r="Q54" s="26">
        <v>45961.0</v>
      </c>
      <c r="R54" s="17" t="s">
        <v>30</v>
      </c>
      <c r="S54" s="27" t="str">
        <f t="shared" si="3"/>
        <v>Aqui</v>
      </c>
      <c r="T54" s="29" t="s">
        <v>181</v>
      </c>
      <c r="U54" s="29"/>
    </row>
    <row r="55">
      <c r="A55" s="16">
        <v>53.0</v>
      </c>
      <c r="B55" s="17" t="s">
        <v>23</v>
      </c>
      <c r="C55" s="18" t="str">
        <f>IFERROR(__xludf.DUMMYFUNCTION("IF(B55="""","""",IF(OR(
  REGEXMATCH(B55,""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REGEXMATCH(B55,""Notícia|Reportagem|Artigo de opinião|Verbete"")
),""Difusão"","""")))
"),"Difusão")</f>
        <v>Difusão</v>
      </c>
      <c r="D55" s="19" t="str">
        <f>IFERROR(__xludf.DUMMYFUNCTION("IF(B55="""","""",IF(OR(
  REGEXMATCH(B55,""Performance|Instalação|Álbum|Música|Poema|Livro|Filme|Documentário|Recitação|Espetáculo|Peça|Intervenção|Desfile|Fotografia|Exposição|Charge|Grafite|Leitura pública|Fabricação de cachaça artesanal""),
  REGEXMATC"&amp;"H(B55,""dança|teatral|artístico|musical|artística"")
),""Manifestação artístico-cultural"",
IF(OR(
  REGEXMATCH(B55,""Crônica|Série|Reportagem|Podcast|Audiotour|Entrevista|Vídeo|Rádio|Notícia|Artigo de opinião|Coletiva de imprensa""),
  REGEXMATCH(B55,""m"&amp;"idiática"")
),""Produção midiática"","""")))
"),"Produção midiática")</f>
        <v>Produção midiática</v>
      </c>
      <c r="E55" s="20" t="str">
        <f>IFERROR(__xludf.DUMMYFUNCTION("IF(B55="""","""",IF(OR(
  REGEXMATCH(B55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REGEXMATCH(B55,""público|Imediato|artística|teatral|memória|Ação popular"")
),""Público Imediato"",
IF(REGEXMATCH(B55,""Música|Álbum|Filme|Documentário|S"&amp;"érie|Podcast|Rádio|Audiotour|Entrevista|Reportagem|Crônica|Relatório|Abaixo-assinado|Manifesto|Petição|Poema|Livro|Fotografia|Curta|Live|Webinário|Charge|Leitura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55" s="20" t="str">
        <f>IFERROR(__xludf.DUMMYFUNCTION("IF(B55="""","""",IF(OR(
  REGEXMATCH(B55,""Live|Webinário|Virtual|Verbete""),
  REGEXMATCH(B55,""online"")
),""Virtual"",
IF(REGEXMATCH(B55,""Música|Álbum|Filme|Documentário|Série|Podcast|Rádio|Audiotour|Episódio|Reportagem|Curta|Charge|Vídeo|Entrevista|N"&amp;"otícia|Artigo de opinião""),
""Midiático"",
IF(REGEXMATCH(B55,""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55" s="21" t="str">
        <f>IFERROR(__xludf.DUMMYFUNCTION("IF(C55=""rememoração"", ""Insira a data manualmente"", IF(C55=""difusão"", 
 IF(NOT(ISERROR(REGEXEXTRACT(T55, ""(\d{1,2}) jan\. 2025""))), 
  TEXT(DATE(2025,1,REGEXEXTRACT(T55, ""(\d{1,2}) jan\. 2025"")), ""dd/mm/yyyy""),
 IF(NOT(ISERROR(REGEXEXTRACT(T55,"&amp;" ""(\d{1,2}) fev\. 2025""))), 
  TEXT(DATE(2025,2,REGEXEXTRACT(T55, ""(\d{1,2}) fev\. 2025"")), ""dd/mm/yyyy""),
 IF(NOT(ISERROR(REGEXEXTRACT(T55, ""(\d{1,2}) mar\. 2025""))), 
  TEXT(DATE(2025,3,REGEXEXTRACT(T55, ""(\d{1,2}) mar\. 2025"")), ""dd/mm/yyyy"&amp;"""),
 IF(NOT(ISERROR(REGEXEXTRACT(T55, ""(\d{1,2}) abr\. 2025""))), 
  TEXT(DATE(2025,4,REGEXEXTRACT(T55, ""(\d{1,2}) abr\. 2025"")), ""dd/mm/yyyy""),
 IF(NOT(ISERROR(REGEXEXTRACT(T55, ""(\d{1,2}) (mai|maio)\. 2025""))), 
  TEXT(DATE(2025,5,REGEXEXTRACT(T"&amp;"55, ""(\d{1,2}) (mai|maio)\. 2025"")), ""dd/mm/yyyy""),
 IF(NOT(ISERROR(REGEXEXTRACT(T55, ""(\d{1,2}) jun\. 2025""))), 
  TEXT(DATE(2025,6,REGEXEXTRACT(T55, ""(\d{1,2}) jun\. 2025"")), ""dd/mm/yyyy""),
 IF(NOT(ISERROR(REGEXEXTRACT(T55, ""(\d{1,2}) jul\. 2"&amp;"025""))), 
  TEXT(DATE(2025,7,REGEXEXTRACT(T55, ""(\d{1,2}) jul\. 2025"")), ""dd/mm/yyyy""),
 IF(NOT(ISERROR(REGEXEXTRACT(T55, ""(\d{1,2}) ago\. 2025""))), 
  TEXT(DATE(2025,8,REGEXEXTRACT(T55, ""(\d{1,2}) ago\. 2025"")), ""dd/mm/yyyy""),
 IF(NOT(ISERROR("&amp;"REGEXEXTRACT(T55, ""(\d{1,2}) set\. 2025""))), 
  TEXT(DATE(2025,9,REGEXEXTRACT(T55, ""(\d{1,2}) set\. 2025"")), ""dd/mm/yyyy""),
 IF(NOT(ISERROR(REGEXEXTRACT(T55, ""(\d{1,2}) out\. 2025""))), 
  TEXT(DATE(2025,10,REGEXEXTRACT(T55, ""(\d{1,2}) out\. 2025"&amp;""")), ""dd/mm/yyyy""),
 IF(NOT(ISERROR(REGEXEXTRACT(T55, ""(\d{1,2}) nov\. 2025""))), 
  TEXT(DATE(2025,11,REGEXEXTRACT(T55, ""(\d{1,2}) nov\. 2025"")), ""dd/mm/yyyy""),
 IF(NOT(ISERROR(REGEXEXTRACT(T55, ""(\d{1,2}) dez\. 2025""))), 
  TEXT(DATE(2025,12,R"&amp;"EGEXEXTRACT(T55, ""(\d{1,2}) dez\. 2025"")), ""dd/mm/yyyy""),
 ""Insira a data manualmente"")))))))))))), """"))"),"29/10/2025")</f>
        <v>29/10/2025</v>
      </c>
      <c r="H55" s="22">
        <f t="shared" si="1"/>
        <v>2025</v>
      </c>
      <c r="I55" s="18" t="str">
        <f>IFERROR(__xludf.DUMMYFUNCTION("IF(REGEXMATCH(T55,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IF(REGEXMATCH(T55, ""(?i)\bBrasília\b""), ""Distrito Federal, Brasil"",
REGEXEXTRACT(T55,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55" s="30" t="s">
        <v>140</v>
      </c>
      <c r="K55" s="24" t="s">
        <v>182</v>
      </c>
      <c r="L55" s="17" t="s">
        <v>142</v>
      </c>
      <c r="M55" s="30" t="s">
        <v>143</v>
      </c>
      <c r="N55" s="18" t="s">
        <v>144</v>
      </c>
      <c r="O55" s="17" t="s">
        <v>28</v>
      </c>
      <c r="P55" s="17" t="s">
        <v>95</v>
      </c>
      <c r="Q55" s="26">
        <v>45961.0</v>
      </c>
      <c r="R55" s="17" t="s">
        <v>30</v>
      </c>
      <c r="S55" s="27" t="str">
        <f t="shared" si="3"/>
        <v>Aqui</v>
      </c>
      <c r="T55" s="34" t="s">
        <v>183</v>
      </c>
      <c r="U55" s="29"/>
    </row>
    <row r="56">
      <c r="A56" s="16">
        <v>54.0</v>
      </c>
      <c r="B56" s="17" t="s">
        <v>156</v>
      </c>
      <c r="C56" s="18" t="str">
        <f>IFERROR(__xludf.DUMMYFUNCTION("IF(B56="""","""",IF(OR(
  REGEXMATCH(B56,""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REGEXMATCH(B56,""Notícia|Reportagem|Artigo de opinião|Verbete"")
),""Difusão"","""")))
"),"Rememoração")</f>
        <v>Rememoração</v>
      </c>
      <c r="D56" s="19" t="str">
        <f>IFERROR(__xludf.DUMMYFUNCTION("IF(B56="""","""",IF(OR(
  REGEXMATCH(B56,""Performance|Instalação|Álbum|Música|Poema|Livro|Filme|Documentário|Recitação|Espetáculo|Peça|Intervenção|Desfile|Fotografia|Exposição|Charge|Grafite|Leitura pública|Fabricação de cachaça artesanal""),
  REGEXMATC"&amp;"H(B56,""dança|teatral|artístico|musical|artística"")
),""Manifestação artístico-cultural"",
IF(OR(
  REGEXMATCH(B56,""Crônica|Série|Reportagem|Podcast|Audiotour|Entrevista|Vídeo|Rádio|Notícia|Artigo de opinião|Coletiva de imprensa""),
  REGEXMATCH(B56,""m"&amp;"idiática"")
),""Produção midiática"","""")))
"),"Manifestação artístico-cultural")</f>
        <v>Manifestação artístico-cultural</v>
      </c>
      <c r="E56" s="20" t="str">
        <f>IFERROR(__xludf.DUMMYFUNCTION("IF(B56="""","""",IF(OR(
  REGEXMATCH(B56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REGEXMATCH(B56,""público|Imediato|artística|teatral|memória|Ação popular"")
),""Público Imediato"",
IF(REGEXMATCH(B56,""Música|Álbum|Filme|Documentário|S"&amp;"érie|Podcast|Rádio|Audiotour|Entrevista|Reportagem|Crônica|Relatório|Abaixo-assinado|Manifesto|Petição|Poema|Livro|Fotografia|Curta|Live|Webinário|Charge|Leitura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56" s="20" t="str">
        <f>IFERROR(__xludf.DUMMYFUNCTION("IF(B56="""","""",IF(OR(
  REGEXMATCH(B56,""Live|Webinário|Virtual|Verbete""),
  REGEXMATCH(B56,""online"")
),""Virtual"",
IF(REGEXMATCH(B56,""Música|Álbum|Filme|Documentário|Série|Podcast|Rádio|Audiotour|Episódio|Reportagem|Curta|Charge|Vídeo|Entrevista|N"&amp;"otícia|Artigo de opinião""),
""Midiático"",
IF(REGEXMATCH(B56,""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56" s="21">
        <v>45959.0</v>
      </c>
      <c r="H56" s="22">
        <f t="shared" si="1"/>
        <v>2025</v>
      </c>
      <c r="I56" s="18" t="str">
        <f>IFERROR(__xludf.DUMMYFUNCTION("IF(REGEXMATCH(T56,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IF(REGEXMATCH(T56, ""(?i)\bBrasília\b""), ""Distrito Federal, Brasil"",
REGEXEXTRACT(T56,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56" s="30" t="s">
        <v>140</v>
      </c>
      <c r="K56" s="24" t="s">
        <v>184</v>
      </c>
      <c r="L56" s="24" t="s">
        <v>26</v>
      </c>
      <c r="M56" s="25" t="s">
        <v>27</v>
      </c>
      <c r="N56" s="18" t="s">
        <v>144</v>
      </c>
      <c r="O56" s="17" t="s">
        <v>28</v>
      </c>
      <c r="P56" s="17" t="s">
        <v>95</v>
      </c>
      <c r="Q56" s="26">
        <v>45961.0</v>
      </c>
      <c r="R56" s="17" t="s">
        <v>30</v>
      </c>
      <c r="S56" s="27" t="str">
        <f t="shared" si="3"/>
        <v>Aqui</v>
      </c>
      <c r="T56" s="29" t="s">
        <v>185</v>
      </c>
      <c r="U56" s="29"/>
    </row>
    <row r="57">
      <c r="A57" s="16">
        <v>55.0</v>
      </c>
      <c r="B57" s="17" t="s">
        <v>23</v>
      </c>
      <c r="C57" s="18" t="str">
        <f>IFERROR(__xludf.DUMMYFUNCTION("IF(B57="""","""",IF(OR(
  REGEXMATCH(B57,""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REGEXMATCH(B57,""Notícia|Reportagem|Artigo de opinião|Verbete"")
),""Difusão"","""")))
"),"Difusão")</f>
        <v>Difusão</v>
      </c>
      <c r="D57" s="19" t="str">
        <f>IFERROR(__xludf.DUMMYFUNCTION("IF(B57="""","""",IF(OR(
  REGEXMATCH(B57,""Performance|Instalação|Álbum|Música|Poema|Livro|Filme|Documentário|Recitação|Espetáculo|Peça|Intervenção|Desfile|Fotografia|Exposição|Charge|Grafite|Leitura pública|Fabricação de cachaça artesanal""),
  REGEXMATC"&amp;"H(B57,""dança|teatral|artístico|musical|artística"")
),""Manifestação artístico-cultural"",
IF(OR(
  REGEXMATCH(B57,""Crônica|Série|Reportagem|Podcast|Audiotour|Entrevista|Vídeo|Rádio|Notícia|Artigo de opinião|Coletiva de imprensa""),
  REGEXMATCH(B57,""m"&amp;"idiática"")
),""Produção midiática"","""")))
"),"Produção midiática")</f>
        <v>Produção midiática</v>
      </c>
      <c r="E57" s="20" t="str">
        <f>IFERROR(__xludf.DUMMYFUNCTION("IF(B57="""","""",IF(OR(
  REGEXMATCH(B57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REGEXMATCH(B57,""público|Imediato|artística|teatral|memória|Ação popular"")
),""Público Imediato"",
IF(REGEXMATCH(B57,""Música|Álbum|Filme|Documentário|S"&amp;"érie|Podcast|Rádio|Audiotour|Entrevista|Reportagem|Crônica|Relatório|Abaixo-assinado|Manifesto|Petição|Poema|Livro|Fotografia|Curta|Live|Webinário|Charge|Leitura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57" s="20" t="str">
        <f>IFERROR(__xludf.DUMMYFUNCTION("IF(B57="""","""",IF(OR(
  REGEXMATCH(B57,""Live|Webinário|Virtual|Verbete""),
  REGEXMATCH(B57,""online"")
),""Virtual"",
IF(REGEXMATCH(B57,""Música|Álbum|Filme|Documentário|Série|Podcast|Rádio|Audiotour|Episódio|Reportagem|Curta|Charge|Vídeo|Entrevista|N"&amp;"otícia|Artigo de opinião""),
""Midiático"",
IF(REGEXMATCH(B57,""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57" s="21" t="str">
        <f>IFERROR(__xludf.DUMMYFUNCTION("IF(C57=""rememoração"", ""Insira a data manualmente"", IF(C57=""difusão"", 
 IF(NOT(ISERROR(REGEXEXTRACT(T57, ""(\d{1,2}) jan\. 2025""))), 
  TEXT(DATE(2025,1,REGEXEXTRACT(T57, ""(\d{1,2}) jan\. 2025"")), ""dd/mm/yyyy""),
 IF(NOT(ISERROR(REGEXEXTRACT(T57,"&amp;" ""(\d{1,2}) fev\. 2025""))), 
  TEXT(DATE(2025,2,REGEXEXTRACT(T57, ""(\d{1,2}) fev\. 2025"")), ""dd/mm/yyyy""),
 IF(NOT(ISERROR(REGEXEXTRACT(T57, ""(\d{1,2}) mar\. 2025""))), 
  TEXT(DATE(2025,3,REGEXEXTRACT(T57, ""(\d{1,2}) mar\. 2025"")), ""dd/mm/yyyy"&amp;"""),
 IF(NOT(ISERROR(REGEXEXTRACT(T57, ""(\d{1,2}) abr\. 2025""))), 
  TEXT(DATE(2025,4,REGEXEXTRACT(T57, ""(\d{1,2}) abr\. 2025"")), ""dd/mm/yyyy""),
 IF(NOT(ISERROR(REGEXEXTRACT(T57, ""(\d{1,2}) (mai|maio)\. 2025""))), 
  TEXT(DATE(2025,5,REGEXEXTRACT(T"&amp;"57, ""(\d{1,2}) (mai|maio)\. 2025"")), ""dd/mm/yyyy""),
 IF(NOT(ISERROR(REGEXEXTRACT(T57, ""(\d{1,2}) jun\. 2025""))), 
  TEXT(DATE(2025,6,REGEXEXTRACT(T57, ""(\d{1,2}) jun\. 2025"")), ""dd/mm/yyyy""),
 IF(NOT(ISERROR(REGEXEXTRACT(T57, ""(\d{1,2}) jul\. 2"&amp;"025""))), 
  TEXT(DATE(2025,7,REGEXEXTRACT(T57, ""(\d{1,2}) jul\. 2025"")), ""dd/mm/yyyy""),
 IF(NOT(ISERROR(REGEXEXTRACT(T57, ""(\d{1,2}) ago\. 2025""))), 
  TEXT(DATE(2025,8,REGEXEXTRACT(T57, ""(\d{1,2}) ago\. 2025"")), ""dd/mm/yyyy""),
 IF(NOT(ISERROR("&amp;"REGEXEXTRACT(T57, ""(\d{1,2}) set\. 2025""))), 
  TEXT(DATE(2025,9,REGEXEXTRACT(T57, ""(\d{1,2}) set\. 2025"")), ""dd/mm/yyyy""),
 IF(NOT(ISERROR(REGEXEXTRACT(T57, ""(\d{1,2}) out\. 2025""))), 
  TEXT(DATE(2025,10,REGEXEXTRACT(T57, ""(\d{1,2}) out\. 2025"&amp;""")), ""dd/mm/yyyy""),
 IF(NOT(ISERROR(REGEXEXTRACT(T57, ""(\d{1,2}) nov\. 2025""))), 
  TEXT(DATE(2025,11,REGEXEXTRACT(T57, ""(\d{1,2}) nov\. 2025"")), ""dd/mm/yyyy""),
 IF(NOT(ISERROR(REGEXEXTRACT(T57, ""(\d{1,2}) dez\. 2025""))), 
  TEXT(DATE(2025,12,R"&amp;"EGEXEXTRACT(T57, ""(\d{1,2}) dez\. 2025"")), ""dd/mm/yyyy""),
 ""Insira a data manualmente"")))))))))))), """"))"),"29/10/2025")</f>
        <v>29/10/2025</v>
      </c>
      <c r="H57" s="22">
        <f t="shared" si="1"/>
        <v>2025</v>
      </c>
      <c r="I57" s="18" t="str">
        <f>IFERROR(__xludf.DUMMYFUNCTION("IF(REGEXMATCH(T57,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IF(REGEXMATCH(T57, ""(?i)\bBrasília\b""), ""Distrito Federal, Brasil"",
REGEXEXTRACT(T57,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57" s="30" t="s">
        <v>140</v>
      </c>
      <c r="K57" s="24" t="s">
        <v>186</v>
      </c>
      <c r="L57" s="24" t="s">
        <v>26</v>
      </c>
      <c r="M57" s="25" t="s">
        <v>27</v>
      </c>
      <c r="N57" s="18" t="s">
        <v>144</v>
      </c>
      <c r="O57" s="17" t="s">
        <v>28</v>
      </c>
      <c r="P57" s="17" t="s">
        <v>95</v>
      </c>
      <c r="Q57" s="26">
        <v>45961.0</v>
      </c>
      <c r="R57" s="17" t="s">
        <v>30</v>
      </c>
      <c r="S57" s="27" t="str">
        <f t="shared" si="3"/>
        <v>Aqui</v>
      </c>
      <c r="T57" s="29" t="s">
        <v>187</v>
      </c>
      <c r="U57" s="29"/>
    </row>
    <row r="58">
      <c r="A58" s="16">
        <v>56.0</v>
      </c>
      <c r="B58" s="17" t="s">
        <v>128</v>
      </c>
      <c r="C58" s="18" t="str">
        <f>IFERROR(__xludf.DUMMYFUNCTION("IF(B58="""","""",IF(OR(
  REGEXMATCH(B58,""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REGEXMATCH(B58,""Notícia|Reportagem|Artigo de opinião|Verbete"")
),""Difusão"","""")))
"),"Difusão")</f>
        <v>Difusão</v>
      </c>
      <c r="D58" s="19" t="str">
        <f>IFERROR(__xludf.DUMMYFUNCTION("IF(B58="""","""",IF(OR(
  REGEXMATCH(B58,""Performance|Instalação|Álbum|Música|Poema|Livro|Filme|Documentário|Recitação|Espetáculo|Peça|Intervenção|Desfile|Fotografia|Exposição|Charge|Grafite|Leitura pública|Fabricação de cachaça artesanal""),
  REGEXMATC"&amp;"H(B58,""dança|teatral|artístico|musical|artística"")
),""Manifestação artístico-cultural"",
IF(OR(
  REGEXMATCH(B58,""Crônica|Série|Reportagem|Podcast|Audiotour|Entrevista|Vídeo|Rádio|Notícia|Artigo de opinião|Coletiva de imprensa""),
  REGEXMATCH(B58,""m"&amp;"idiática"")
),""Produção midiática"","""")))
"),"Produção midiática")</f>
        <v>Produção midiática</v>
      </c>
      <c r="E58" s="20" t="str">
        <f>IFERROR(__xludf.DUMMYFUNCTION("IF(B58="""","""",IF(OR(
  REGEXMATCH(B58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REGEXMATCH(B58,""público|Imediato|artística|teatral|memória|Ação popular"")
),""Público Imediato"",
IF(REGEXMATCH(B58,""Música|Álbum|Filme|Documentário|S"&amp;"érie|Podcast|Rádio|Audiotour|Entrevista|Reportagem|Crônica|Relatório|Abaixo-assinado|Manifesto|Petição|Poema|Livro|Fotografia|Curta|Live|Webinário|Charge|Leitura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58" s="20" t="str">
        <f>IFERROR(__xludf.DUMMYFUNCTION("IF(B58="""","""",IF(OR(
  REGEXMATCH(B58,""Live|Webinário|Virtual|Verbete""),
  REGEXMATCH(B58,""online"")
),""Virtual"",
IF(REGEXMATCH(B58,""Música|Álbum|Filme|Documentário|Série|Podcast|Rádio|Audiotour|Episódio|Reportagem|Curta|Charge|Vídeo|Entrevista|N"&amp;"otícia|Artigo de opinião""),
""Midiático"",
IF(REGEXMATCH(B58,""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58" s="21" t="str">
        <f>IFERROR(__xludf.DUMMYFUNCTION("IF(C58=""rememoração"", ""Insira a data manualmente"", IF(C58=""difusão"", 
 IF(NOT(ISERROR(REGEXEXTRACT(T58, ""(\d{1,2}) jan\. 2025""))), 
  TEXT(DATE(2025,1,REGEXEXTRACT(T58, ""(\d{1,2}) jan\. 2025"")), ""dd/mm/yyyy""),
 IF(NOT(ISERROR(REGEXEXTRACT(T58,"&amp;" ""(\d{1,2}) fev\. 2025""))), 
  TEXT(DATE(2025,2,REGEXEXTRACT(T58, ""(\d{1,2}) fev\. 2025"")), ""dd/mm/yyyy""),
 IF(NOT(ISERROR(REGEXEXTRACT(T58, ""(\d{1,2}) mar\. 2025""))), 
  TEXT(DATE(2025,3,REGEXEXTRACT(T58, ""(\d{1,2}) mar\. 2025"")), ""dd/mm/yyyy"&amp;"""),
 IF(NOT(ISERROR(REGEXEXTRACT(T58, ""(\d{1,2}) abr\. 2025""))), 
  TEXT(DATE(2025,4,REGEXEXTRACT(T58, ""(\d{1,2}) abr\. 2025"")), ""dd/mm/yyyy""),
 IF(NOT(ISERROR(REGEXEXTRACT(T58, ""(\d{1,2}) (mai|maio)\. 2025""))), 
  TEXT(DATE(2025,5,REGEXEXTRACT(T"&amp;"58, ""(\d{1,2}) (mai|maio)\. 2025"")), ""dd/mm/yyyy""),
 IF(NOT(ISERROR(REGEXEXTRACT(T58, ""(\d{1,2}) jun\. 2025""))), 
  TEXT(DATE(2025,6,REGEXEXTRACT(T58, ""(\d{1,2}) jun\. 2025"")), ""dd/mm/yyyy""),
 IF(NOT(ISERROR(REGEXEXTRACT(T58, ""(\d{1,2}) jul\. 2"&amp;"025""))), 
  TEXT(DATE(2025,7,REGEXEXTRACT(T58, ""(\d{1,2}) jul\. 2025"")), ""dd/mm/yyyy""),
 IF(NOT(ISERROR(REGEXEXTRACT(T58, ""(\d{1,2}) ago\. 2025""))), 
  TEXT(DATE(2025,8,REGEXEXTRACT(T58, ""(\d{1,2}) ago\. 2025"")), ""dd/mm/yyyy""),
 IF(NOT(ISERROR("&amp;"REGEXEXTRACT(T58, ""(\d{1,2}) set\. 2025""))), 
  TEXT(DATE(2025,9,REGEXEXTRACT(T58, ""(\d{1,2}) set\. 2025"")), ""dd/mm/yyyy""),
 IF(NOT(ISERROR(REGEXEXTRACT(T58, ""(\d{1,2}) out\. 2025""))), 
  TEXT(DATE(2025,10,REGEXEXTRACT(T58, ""(\d{1,2}) out\. 2025"&amp;""")), ""dd/mm/yyyy""),
 IF(NOT(ISERROR(REGEXEXTRACT(T58, ""(\d{1,2}) nov\. 2025""))), 
  TEXT(DATE(2025,11,REGEXEXTRACT(T58, ""(\d{1,2}) nov\. 2025"")), ""dd/mm/yyyy""),
 IF(NOT(ISERROR(REGEXEXTRACT(T58, ""(\d{1,2}) dez\. 2025""))), 
  TEXT(DATE(2025,12,R"&amp;"EGEXEXTRACT(T58, ""(\d{1,2}) dez\. 2025"")), ""dd/mm/yyyy""),
 ""Insira a data manualmente"")))))))))))), """"))"),"29/10/2025")</f>
        <v>29/10/2025</v>
      </c>
      <c r="H58" s="22">
        <f t="shared" si="1"/>
        <v>2025</v>
      </c>
      <c r="I58" s="18" t="str">
        <f>IFERROR(__xludf.DUMMYFUNCTION("IF(REGEXMATCH(T58,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IF(REGEXMATCH(T58, ""(?i)\bBrasília\b""), ""Distrito Federal, Brasil"",
REGEXEXTRACT(T58,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58" s="30" t="s">
        <v>140</v>
      </c>
      <c r="K58" s="24" t="s">
        <v>188</v>
      </c>
      <c r="L58" s="24" t="s">
        <v>189</v>
      </c>
      <c r="M58" s="25" t="s">
        <v>27</v>
      </c>
      <c r="N58" s="18" t="s">
        <v>144</v>
      </c>
      <c r="O58" s="17" t="s">
        <v>28</v>
      </c>
      <c r="P58" s="17" t="s">
        <v>95</v>
      </c>
      <c r="Q58" s="26">
        <v>45961.0</v>
      </c>
      <c r="R58" s="17" t="s">
        <v>30</v>
      </c>
      <c r="S58" s="27" t="str">
        <f t="shared" si="3"/>
        <v>Aqui</v>
      </c>
      <c r="T58" s="29" t="s">
        <v>190</v>
      </c>
      <c r="U58" s="29"/>
    </row>
    <row r="59">
      <c r="A59" s="16">
        <v>57.0</v>
      </c>
      <c r="B59" s="17" t="s">
        <v>23</v>
      </c>
      <c r="C59" s="18" t="str">
        <f>IFERROR(__xludf.DUMMYFUNCTION("IF(B59="""","""",IF(OR(
  REGEXMATCH(B59,""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REGEXMATCH(B59,""Notícia|Reportagem|Artigo de opinião|Verbete"")
),""Difusão"","""")))
"),"Difusão")</f>
        <v>Difusão</v>
      </c>
      <c r="D59" s="19" t="str">
        <f>IFERROR(__xludf.DUMMYFUNCTION("IF(B59="""","""",IF(OR(
  REGEXMATCH(B59,""Performance|Instalação|Álbum|Música|Poema|Livro|Filme|Documentário|Recitação|Espetáculo|Peça|Intervenção|Desfile|Fotografia|Exposição|Charge|Grafite|Leitura pública|Fabricação de cachaça artesanal""),
  REGEXMATC"&amp;"H(B59,""dança|teatral|artístico|musical|artística"")
),""Manifestação artístico-cultural"",
IF(OR(
  REGEXMATCH(B59,""Crônica|Série|Reportagem|Podcast|Audiotour|Entrevista|Vídeo|Rádio|Notícia|Artigo de opinião|Coletiva de imprensa""),
  REGEXMATCH(B59,""m"&amp;"idiática"")
),""Produção midiática"","""")))
"),"Produção midiática")</f>
        <v>Produção midiática</v>
      </c>
      <c r="E59" s="20" t="str">
        <f>IFERROR(__xludf.DUMMYFUNCTION("IF(B59="""","""",IF(OR(
  REGEXMATCH(B59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REGEXMATCH(B59,""público|Imediato|artística|teatral|memória|Ação popular"")
),""Público Imediato"",
IF(REGEXMATCH(B59,""Música|Álbum|Filme|Documentário|S"&amp;"érie|Podcast|Rádio|Audiotour|Entrevista|Reportagem|Crônica|Relatório|Abaixo-assinado|Manifesto|Petição|Poema|Livro|Fotografia|Curta|Live|Webinário|Charge|Leitura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59" s="20" t="str">
        <f>IFERROR(__xludf.DUMMYFUNCTION("IF(B59="""","""",IF(OR(
  REGEXMATCH(B59,""Live|Webinário|Virtual|Verbete""),
  REGEXMATCH(B59,""online"")
),""Virtual"",
IF(REGEXMATCH(B59,""Música|Álbum|Filme|Documentário|Série|Podcast|Rádio|Audiotour|Episódio|Reportagem|Curta|Charge|Vídeo|Entrevista|N"&amp;"otícia|Artigo de opinião""),
""Midiático"",
IF(REGEXMATCH(B59,""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59" s="21" t="str">
        <f>IFERROR(__xludf.DUMMYFUNCTION("IF(C59=""rememoração"", ""Insira a data manualmente"", IF(C59=""difusão"", 
 IF(NOT(ISERROR(REGEXEXTRACT(T59, ""(\d{1,2}) jan\. 2025""))), 
  TEXT(DATE(2025,1,REGEXEXTRACT(T59, ""(\d{1,2}) jan\. 2025"")), ""dd/mm/yyyy""),
 IF(NOT(ISERROR(REGEXEXTRACT(T59,"&amp;" ""(\d{1,2}) fev\. 2025""))), 
  TEXT(DATE(2025,2,REGEXEXTRACT(T59, ""(\d{1,2}) fev\. 2025"")), ""dd/mm/yyyy""),
 IF(NOT(ISERROR(REGEXEXTRACT(T59, ""(\d{1,2}) mar\. 2025""))), 
  TEXT(DATE(2025,3,REGEXEXTRACT(T59, ""(\d{1,2}) mar\. 2025"")), ""dd/mm/yyyy"&amp;"""),
 IF(NOT(ISERROR(REGEXEXTRACT(T59, ""(\d{1,2}) abr\. 2025""))), 
  TEXT(DATE(2025,4,REGEXEXTRACT(T59, ""(\d{1,2}) abr\. 2025"")), ""dd/mm/yyyy""),
 IF(NOT(ISERROR(REGEXEXTRACT(T59, ""(\d{1,2}) (mai|maio)\. 2025""))), 
  TEXT(DATE(2025,5,REGEXEXTRACT(T"&amp;"59, ""(\d{1,2}) (mai|maio)\. 2025"")), ""dd/mm/yyyy""),
 IF(NOT(ISERROR(REGEXEXTRACT(T59, ""(\d{1,2}) jun\. 2025""))), 
  TEXT(DATE(2025,6,REGEXEXTRACT(T59, ""(\d{1,2}) jun\. 2025"")), ""dd/mm/yyyy""),
 IF(NOT(ISERROR(REGEXEXTRACT(T59, ""(\d{1,2}) jul\. 2"&amp;"025""))), 
  TEXT(DATE(2025,7,REGEXEXTRACT(T59, ""(\d{1,2}) jul\. 2025"")), ""dd/mm/yyyy""),
 IF(NOT(ISERROR(REGEXEXTRACT(T59, ""(\d{1,2}) ago\. 2025""))), 
  TEXT(DATE(2025,8,REGEXEXTRACT(T59, ""(\d{1,2}) ago\. 2025"")), ""dd/mm/yyyy""),
 IF(NOT(ISERROR("&amp;"REGEXEXTRACT(T59, ""(\d{1,2}) set\. 2025""))), 
  TEXT(DATE(2025,9,REGEXEXTRACT(T59, ""(\d{1,2}) set\. 2025"")), ""dd/mm/yyyy""),
 IF(NOT(ISERROR(REGEXEXTRACT(T59, ""(\d{1,2}) out\. 2025""))), 
  TEXT(DATE(2025,10,REGEXEXTRACT(T59, ""(\d{1,2}) out\. 2025"&amp;""")), ""dd/mm/yyyy""),
 IF(NOT(ISERROR(REGEXEXTRACT(T59, ""(\d{1,2}) nov\. 2025""))), 
  TEXT(DATE(2025,11,REGEXEXTRACT(T59, ""(\d{1,2}) nov\. 2025"")), ""dd/mm/yyyy""),
 IF(NOT(ISERROR(REGEXEXTRACT(T59, ""(\d{1,2}) dez\. 2025""))), 
  TEXT(DATE(2025,12,R"&amp;"EGEXEXTRACT(T59, ""(\d{1,2}) dez\. 2025"")), ""dd/mm/yyyy""),
 ""Insira a data manualmente"")))))))))))), """"))"),"29/10/2025")</f>
        <v>29/10/2025</v>
      </c>
      <c r="H59" s="22">
        <f t="shared" si="1"/>
        <v>2025</v>
      </c>
      <c r="I59" s="18" t="str">
        <f>IFERROR(__xludf.DUMMYFUNCTION("IF(REGEXMATCH(T59,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IF(REGEXMATCH(T59, ""(?i)\bBrasília\b""), ""Distrito Federal, Brasil"",
REGEXEXTRACT(T59,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59" s="30" t="s">
        <v>140</v>
      </c>
      <c r="K59" s="24" t="s">
        <v>191</v>
      </c>
      <c r="L59" s="24" t="s">
        <v>189</v>
      </c>
      <c r="M59" s="25" t="s">
        <v>27</v>
      </c>
      <c r="N59" s="18" t="s">
        <v>144</v>
      </c>
      <c r="O59" s="17" t="s">
        <v>28</v>
      </c>
      <c r="P59" s="17" t="s">
        <v>95</v>
      </c>
      <c r="Q59" s="26">
        <v>45961.0</v>
      </c>
      <c r="R59" s="17" t="s">
        <v>30</v>
      </c>
      <c r="S59" s="27" t="str">
        <f t="shared" si="3"/>
        <v>Aqui</v>
      </c>
      <c r="T59" s="29" t="s">
        <v>192</v>
      </c>
      <c r="U59" s="29"/>
    </row>
    <row r="60">
      <c r="A60" s="16">
        <v>58.0</v>
      </c>
      <c r="B60" s="17" t="s">
        <v>193</v>
      </c>
      <c r="C60" s="18" t="str">
        <f>IFERROR(__xludf.DUMMYFUNCTION("IF(B60="""","""",IF(OR(
  REGEXMATCH(B60,""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REGEXMATCH(B60,""Notícia|Reportagem|Artigo de opinião|Verbete"")
),""Difusão"","""")))
"),"Difusão")</f>
        <v>Difusão</v>
      </c>
      <c r="D60" s="19" t="str">
        <f>IFERROR(__xludf.DUMMYFUNCTION("IF(B60="""","""",IF(OR(
  REGEXMATCH(B60,""Performance|Instalação|Álbum|Música|Poema|Livro|Filme|Documentário|Recitação|Espetáculo|Peça|Intervenção|Desfile|Fotografia|Exposição|Charge|Grafite|Leitura pública|Fabricação de cachaça artesanal""),
  REGEXMATC"&amp;"H(B60,""dança|teatral|artístico|musical|artística"")
),""Manifestação artístico-cultural"",
IF(OR(
  REGEXMATCH(B60,""Crônica|Série|Reportagem|Podcast|Audiotour|Entrevista|Vídeo|Rádio|Notícia|Artigo de opinião|Coletiva de imprensa""),
  REGEXMATCH(B60,""m"&amp;"idiática"")
),""Produção midiática"","""")))
"),"Produção midiática")</f>
        <v>Produção midiática</v>
      </c>
      <c r="E60" s="20" t="str">
        <f>IFERROR(__xludf.DUMMYFUNCTION("IF(B60="""","""",IF(OR(
  REGEXMATCH(B60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REGEXMATCH(B60,""público|Imediato|artística|teatral|memória|Ação popular"")
),""Público Imediato"",
IF(REGEXMATCH(B60,""Música|Álbum|Filme|Documentário|S"&amp;"érie|Podcast|Rádio|Audiotour|Entrevista|Reportagem|Crônica|Relatório|Abaixo-assinado|Manifesto|Petição|Poema|Livro|Fotografia|Curta|Live|Webinário|Charge|Leitura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60" s="20" t="str">
        <f>IFERROR(__xludf.DUMMYFUNCTION("IF(B60="""","""",IF(OR(
  REGEXMATCH(B60,""Live|Webinário|Virtual|Verbete""),
  REGEXMATCH(B60,""online"")
),""Virtual"",
IF(REGEXMATCH(B60,""Música|Álbum|Filme|Documentário|Série|Podcast|Rádio|Audiotour|Episódio|Reportagem|Curta|Charge|Vídeo|Entrevista|N"&amp;"otícia|Artigo de opinião""),
""Midiático"",
IF(REGEXMATCH(B60,""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60" s="21" t="str">
        <f>IFERROR(__xludf.DUMMYFUNCTION("IF(C60=""rememoração"", ""Insira a data manualmente"", IF(C60=""difusão"", 
 IF(NOT(ISERROR(REGEXEXTRACT(T60, ""(\d{1,2}) jan\. 2025""))), 
  TEXT(DATE(2025,1,REGEXEXTRACT(T60, ""(\d{1,2}) jan\. 2025"")), ""dd/mm/yyyy""),
 IF(NOT(ISERROR(REGEXEXTRACT(T60,"&amp;" ""(\d{1,2}) fev\. 2025""))), 
  TEXT(DATE(2025,2,REGEXEXTRACT(T60, ""(\d{1,2}) fev\. 2025"")), ""dd/mm/yyyy""),
 IF(NOT(ISERROR(REGEXEXTRACT(T60, ""(\d{1,2}) mar\. 2025""))), 
  TEXT(DATE(2025,3,REGEXEXTRACT(T60, ""(\d{1,2}) mar\. 2025"")), ""dd/mm/yyyy"&amp;"""),
 IF(NOT(ISERROR(REGEXEXTRACT(T60, ""(\d{1,2}) abr\. 2025""))), 
  TEXT(DATE(2025,4,REGEXEXTRACT(T60, ""(\d{1,2}) abr\. 2025"")), ""dd/mm/yyyy""),
 IF(NOT(ISERROR(REGEXEXTRACT(T60, ""(\d{1,2}) (mai|maio)\. 2025""))), 
  TEXT(DATE(2025,5,REGEXEXTRACT(T"&amp;"60, ""(\d{1,2}) (mai|maio)\. 2025"")), ""dd/mm/yyyy""),
 IF(NOT(ISERROR(REGEXEXTRACT(T60, ""(\d{1,2}) jun\. 2025""))), 
  TEXT(DATE(2025,6,REGEXEXTRACT(T60, ""(\d{1,2}) jun\. 2025"")), ""dd/mm/yyyy""),
 IF(NOT(ISERROR(REGEXEXTRACT(T60, ""(\d{1,2}) jul\. 2"&amp;"025""))), 
  TEXT(DATE(2025,7,REGEXEXTRACT(T60, ""(\d{1,2}) jul\. 2025"")), ""dd/mm/yyyy""),
 IF(NOT(ISERROR(REGEXEXTRACT(T60, ""(\d{1,2}) ago\. 2025""))), 
  TEXT(DATE(2025,8,REGEXEXTRACT(T60, ""(\d{1,2}) ago\. 2025"")), ""dd/mm/yyyy""),
 IF(NOT(ISERROR("&amp;"REGEXEXTRACT(T60, ""(\d{1,2}) set\. 2025""))), 
  TEXT(DATE(2025,9,REGEXEXTRACT(T60, ""(\d{1,2}) set\. 2025"")), ""dd/mm/yyyy""),
 IF(NOT(ISERROR(REGEXEXTRACT(T60, ""(\d{1,2}) out\. 2025""))), 
  TEXT(DATE(2025,10,REGEXEXTRACT(T60, ""(\d{1,2}) out\. 2025"&amp;""")), ""dd/mm/yyyy""),
 IF(NOT(ISERROR(REGEXEXTRACT(T60, ""(\d{1,2}) nov\. 2025""))), 
  TEXT(DATE(2025,11,REGEXEXTRACT(T60, ""(\d{1,2}) nov\. 2025"")), ""dd/mm/yyyy""),
 IF(NOT(ISERROR(REGEXEXTRACT(T60, ""(\d{1,2}) dez\. 2025""))), 
  TEXT(DATE(2025,12,R"&amp;"EGEXEXTRACT(T60, ""(\d{1,2}) dez\. 2025"")), ""dd/mm/yyyy""),
 ""Insira a data manualmente"")))))))))))), """"))"),"29/10/2025")</f>
        <v>29/10/2025</v>
      </c>
      <c r="H60" s="22">
        <f t="shared" si="1"/>
        <v>2025</v>
      </c>
      <c r="I60" s="18" t="str">
        <f>IFERROR(__xludf.DUMMYFUNCTION("IF(REGEXMATCH(T60,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IF(REGEXMATCH(T60, ""(?i)\bBrasília\b""), ""Distrito Federal, Brasil"",
REGEXEXTRACT(T60,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60" s="30" t="s">
        <v>140</v>
      </c>
      <c r="K60" s="24"/>
      <c r="L60" s="24" t="s">
        <v>194</v>
      </c>
      <c r="M60" s="25" t="s">
        <v>143</v>
      </c>
      <c r="N60" s="18" t="s">
        <v>144</v>
      </c>
      <c r="O60" s="17" t="s">
        <v>28</v>
      </c>
      <c r="P60" s="17" t="s">
        <v>95</v>
      </c>
      <c r="Q60" s="26">
        <v>45961.0</v>
      </c>
      <c r="R60" s="17" t="s">
        <v>30</v>
      </c>
      <c r="S60" s="27" t="str">
        <f t="shared" si="3"/>
        <v>Aqui</v>
      </c>
      <c r="T60" s="29" t="s">
        <v>195</v>
      </c>
      <c r="U60" s="29"/>
    </row>
    <row r="61">
      <c r="A61" s="16">
        <v>59.0</v>
      </c>
      <c r="B61" s="17" t="s">
        <v>193</v>
      </c>
      <c r="C61" s="18" t="str">
        <f>IFERROR(__xludf.DUMMYFUNCTION("IF(B61="""","""",IF(OR(
  REGEXMATCH(B61,""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REGEXMATCH(B61,""Notícia|Reportagem|Artigo de opinião|Verbete"")
),""Difusão"","""")))
"),"Difusão")</f>
        <v>Difusão</v>
      </c>
      <c r="D61" s="19" t="str">
        <f>IFERROR(__xludf.DUMMYFUNCTION("IF(B61="""","""",IF(OR(
  REGEXMATCH(B61,""Performance|Instalação|Álbum|Música|Poema|Livro|Filme|Documentário|Recitação|Espetáculo|Peça|Intervenção|Desfile|Fotografia|Exposição|Charge|Grafite|Leitura pública|Fabricação de cachaça artesanal""),
  REGEXMATC"&amp;"H(B61,""dança|teatral|artístico|musical|artística"")
),""Manifestação artístico-cultural"",
IF(OR(
  REGEXMATCH(B61,""Crônica|Série|Reportagem|Podcast|Audiotour|Entrevista|Vídeo|Rádio|Notícia|Artigo de opinião|Coletiva de imprensa""),
  REGEXMATCH(B61,""m"&amp;"idiática"")
),""Produção midiática"","""")))
"),"Produção midiática")</f>
        <v>Produção midiática</v>
      </c>
      <c r="E61" s="20" t="str">
        <f>IFERROR(__xludf.DUMMYFUNCTION("IF(B61="""","""",IF(OR(
  REGEXMATCH(B61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REGEXMATCH(B61,""público|Imediato|artística|teatral|memória|Ação popular"")
),""Público Imediato"",
IF(REGEXMATCH(B61,""Música|Álbum|Filme|Documentário|S"&amp;"érie|Podcast|Rádio|Audiotour|Entrevista|Reportagem|Crônica|Relatório|Abaixo-assinado|Manifesto|Petição|Poema|Livro|Fotografia|Curta|Live|Webinário|Charge|Leitura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61" s="20" t="str">
        <f>IFERROR(__xludf.DUMMYFUNCTION("IF(B61="""","""",IF(OR(
  REGEXMATCH(B61,""Live|Webinário|Virtual|Verbete""),
  REGEXMATCH(B61,""online"")
),""Virtual"",
IF(REGEXMATCH(B61,""Música|Álbum|Filme|Documentário|Série|Podcast|Rádio|Audiotour|Episódio|Reportagem|Curta|Charge|Vídeo|Entrevista|N"&amp;"otícia|Artigo de opinião""),
""Midiático"",
IF(REGEXMATCH(B61,""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61" s="21" t="str">
        <f>IFERROR(__xludf.DUMMYFUNCTION("IF(C61=""rememoração"", ""Insira a data manualmente"", IF(C61=""difusão"", 
 IF(NOT(ISERROR(REGEXEXTRACT(T61, ""(\d{1,2}) jan\. 2025""))), 
  TEXT(DATE(2025,1,REGEXEXTRACT(T61, ""(\d{1,2}) jan\. 2025"")), ""dd/mm/yyyy""),
 IF(NOT(ISERROR(REGEXEXTRACT(T61,"&amp;" ""(\d{1,2}) fev\. 2025""))), 
  TEXT(DATE(2025,2,REGEXEXTRACT(T61, ""(\d{1,2}) fev\. 2025"")), ""dd/mm/yyyy""),
 IF(NOT(ISERROR(REGEXEXTRACT(T61, ""(\d{1,2}) mar\. 2025""))), 
  TEXT(DATE(2025,3,REGEXEXTRACT(T61, ""(\d{1,2}) mar\. 2025"")), ""dd/mm/yyyy"&amp;"""),
 IF(NOT(ISERROR(REGEXEXTRACT(T61, ""(\d{1,2}) abr\. 2025""))), 
  TEXT(DATE(2025,4,REGEXEXTRACT(T61, ""(\d{1,2}) abr\. 2025"")), ""dd/mm/yyyy""),
 IF(NOT(ISERROR(REGEXEXTRACT(T61, ""(\d{1,2}) (mai|maio)\. 2025""))), 
  TEXT(DATE(2025,5,REGEXEXTRACT(T"&amp;"61, ""(\d{1,2}) (mai|maio)\. 2025"")), ""dd/mm/yyyy""),
 IF(NOT(ISERROR(REGEXEXTRACT(T61, ""(\d{1,2}) jun\. 2025""))), 
  TEXT(DATE(2025,6,REGEXEXTRACT(T61, ""(\d{1,2}) jun\. 2025"")), ""dd/mm/yyyy""),
 IF(NOT(ISERROR(REGEXEXTRACT(T61, ""(\d{1,2}) jul\. 2"&amp;"025""))), 
  TEXT(DATE(2025,7,REGEXEXTRACT(T61, ""(\d{1,2}) jul\. 2025"")), ""dd/mm/yyyy""),
 IF(NOT(ISERROR(REGEXEXTRACT(T61, ""(\d{1,2}) ago\. 2025""))), 
  TEXT(DATE(2025,8,REGEXEXTRACT(T61, ""(\d{1,2}) ago\. 2025"")), ""dd/mm/yyyy""),
 IF(NOT(ISERROR("&amp;"REGEXEXTRACT(T61, ""(\d{1,2}) set\. 2025""))), 
  TEXT(DATE(2025,9,REGEXEXTRACT(T61, ""(\d{1,2}) set\. 2025"")), ""dd/mm/yyyy""),
 IF(NOT(ISERROR(REGEXEXTRACT(T61, ""(\d{1,2}) out\. 2025""))), 
  TEXT(DATE(2025,10,REGEXEXTRACT(T61, ""(\d{1,2}) out\. 2025"&amp;""")), ""dd/mm/yyyy""),
 IF(NOT(ISERROR(REGEXEXTRACT(T61, ""(\d{1,2}) nov\. 2025""))), 
  TEXT(DATE(2025,11,REGEXEXTRACT(T61, ""(\d{1,2}) nov\. 2025"")), ""dd/mm/yyyy""),
 IF(NOT(ISERROR(REGEXEXTRACT(T61, ""(\d{1,2}) dez\. 2025""))), 
  TEXT(DATE(2025,12,R"&amp;"EGEXEXTRACT(T61, ""(\d{1,2}) dez\. 2025"")), ""dd/mm/yyyy""),
 ""Insira a data manualmente"")))))))))))), """"))"),"29/10/2025")</f>
        <v>29/10/2025</v>
      </c>
      <c r="H61" s="22">
        <f t="shared" si="1"/>
        <v>2025</v>
      </c>
      <c r="I61" s="18" t="str">
        <f>IFERROR(__xludf.DUMMYFUNCTION("IF(REGEXMATCH(T61,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IF(REGEXMATCH(T61, ""(?i)\bBrasília\b""), ""Distrito Federal, Brasil"",
REGEXEXTRACT(T61,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61" s="30" t="s">
        <v>140</v>
      </c>
      <c r="K61" s="24" t="s">
        <v>196</v>
      </c>
      <c r="L61" s="24" t="s">
        <v>194</v>
      </c>
      <c r="M61" s="25" t="s">
        <v>143</v>
      </c>
      <c r="N61" s="18" t="s">
        <v>144</v>
      </c>
      <c r="O61" s="17" t="s">
        <v>28</v>
      </c>
      <c r="P61" s="17" t="s">
        <v>95</v>
      </c>
      <c r="Q61" s="26">
        <v>45961.0</v>
      </c>
      <c r="R61" s="17" t="s">
        <v>30</v>
      </c>
      <c r="S61" s="27" t="str">
        <f t="shared" si="3"/>
        <v>Aqui</v>
      </c>
      <c r="T61" s="29" t="s">
        <v>197</v>
      </c>
      <c r="U61" s="29"/>
    </row>
    <row r="62">
      <c r="A62" s="16">
        <v>60.0</v>
      </c>
      <c r="B62" s="17" t="s">
        <v>156</v>
      </c>
      <c r="C62" s="18" t="str">
        <f>IFERROR(__xludf.DUMMYFUNCTION("IF(B62="""","""",IF(OR(
  REGEXMATCH(B62,""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REGEXMATCH(B62,""Notícia|Reportagem|Artigo de opinião|Verbete"")
),""Difusão"","""")))
"),"Rememoração")</f>
        <v>Rememoração</v>
      </c>
      <c r="D62" s="19" t="str">
        <f>IFERROR(__xludf.DUMMYFUNCTION("IF(B62="""","""",IF(OR(
  REGEXMATCH(B62,""Performance|Instalação|Álbum|Música|Poema|Livro|Filme|Documentário|Recitação|Espetáculo|Peça|Intervenção|Desfile|Fotografia|Exposição|Charge|Grafite|Leitura pública|Fabricação de cachaça artesanal""),
  REGEXMATC"&amp;"H(B62,""dança|teatral|artístico|musical|artística"")
),""Manifestação artístico-cultural"",
IF(OR(
  REGEXMATCH(B62,""Crônica|Série|Reportagem|Podcast|Audiotour|Entrevista|Vídeo|Rádio|Notícia|Artigo de opinião|Coletiva de imprensa""),
  REGEXMATCH(B62,""m"&amp;"idiática"")
),""Produção midiática"","""")))
"),"Manifestação artístico-cultural")</f>
        <v>Manifestação artístico-cultural</v>
      </c>
      <c r="E62" s="20" t="str">
        <f>IFERROR(__xludf.DUMMYFUNCTION("IF(B62="""","""",IF(OR(
  REGEXMATCH(B62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REGEXMATCH(B62,""público|Imediato|artística|teatral|memória|Ação popular"")
),""Público Imediato"",
IF(REGEXMATCH(B62,""Música|Álbum|Filme|Documentário|S"&amp;"érie|Podcast|Rádio|Audiotour|Entrevista|Reportagem|Crônica|Relatório|Abaixo-assinado|Manifesto|Petição|Poema|Livro|Fotografia|Curta|Live|Webinário|Charge|Leitura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62" s="20" t="str">
        <f>IFERROR(__xludf.DUMMYFUNCTION("IF(B62="""","""",IF(OR(
  REGEXMATCH(B62,""Live|Webinário|Virtual|Verbete""),
  REGEXMATCH(B62,""online"")
),""Virtual"",
IF(REGEXMATCH(B62,""Música|Álbum|Filme|Documentário|Série|Podcast|Rádio|Audiotour|Episódio|Reportagem|Curta|Charge|Vídeo|Entrevista|N"&amp;"otícia|Artigo de opinião""),
""Midiático"",
IF(REGEXMATCH(B62,""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62" s="21">
        <v>45959.0</v>
      </c>
      <c r="H62" s="22">
        <f t="shared" si="1"/>
        <v>2025</v>
      </c>
      <c r="I62" s="18" t="str">
        <f>IFERROR(__xludf.DUMMYFUNCTION("IF(REGEXMATCH(T62,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IF(REGEXMATCH(T62, ""(?i)\bBrasília\b""), ""Distrito Federal, Brasil"",
REGEXEXTRACT(T62,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62" s="30" t="s">
        <v>198</v>
      </c>
      <c r="K62" s="24" t="s">
        <v>199</v>
      </c>
      <c r="L62" s="24" t="s">
        <v>76</v>
      </c>
      <c r="M62" s="25" t="s">
        <v>200</v>
      </c>
      <c r="N62" s="18" t="s">
        <v>144</v>
      </c>
      <c r="O62" s="17" t="s">
        <v>28</v>
      </c>
      <c r="P62" s="17" t="s">
        <v>95</v>
      </c>
      <c r="Q62" s="26">
        <v>45961.0</v>
      </c>
      <c r="R62" s="17" t="s">
        <v>30</v>
      </c>
      <c r="S62" s="27" t="str">
        <f t="shared" si="3"/>
        <v>Aqui</v>
      </c>
      <c r="T62" s="29" t="s">
        <v>201</v>
      </c>
      <c r="U62" s="29"/>
    </row>
    <row r="63">
      <c r="A63" s="16">
        <v>61.0</v>
      </c>
      <c r="B63" s="17" t="s">
        <v>202</v>
      </c>
      <c r="C63" s="18" t="str">
        <f>IFERROR(__xludf.DUMMYFUNCTION("IF(B63="""","""",IF(OR(
  REGEXMATCH(B63,""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REGEXMATCH(B63,""Notícia|Reportagem|Artigo de opinião|Verbete"")
),""Difusão"","""")))
"),"Rememoração")</f>
        <v>Rememoração</v>
      </c>
      <c r="D63" s="19" t="str">
        <f>IFERROR(__xludf.DUMMYFUNCTION("IF(B63="""","""",IF(OR(
  REGEXMATCH(B63,""Performance|Instalação|Álbum|Música|Poema|Livro|Filme|Documentário|Recitação|Espetáculo|Peça|Intervenção|Desfile|Fotografia|Exposição|Charge|Grafite|Leitura pública|Fabricação de cachaça artesanal""),
  REGEXMATC"&amp;"H(B63,""dança|teatral|artístico|musical|artística"")
),""Manifestação artístico-cultural"",
IF(OR(
  REGEXMATCH(B63,""Crônica|Série|Reportagem|Podcast|Audiotour|Entrevista|Vídeo|Rádio|Notícia|Artigo de opinião|Coletiva de imprensa""),
  REGEXMATCH(B63,""m"&amp;"idiática"")
),""Produção midiática"","""")))
"),"Manifestação artístico-cultural")</f>
        <v>Manifestação artístico-cultural</v>
      </c>
      <c r="E63" s="20" t="str">
        <f>IFERROR(__xludf.DUMMYFUNCTION("IF(B63="""","""",IF(OR(
  REGEXMATCH(B63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REGEXMATCH(B63,""público|Imediato|artística|teatral|memória|Ação popular"")
),""Público Imediato"",
IF(REGEXMATCH(B63,""Música|Álbum|Filme|Documentário|S"&amp;"érie|Podcast|Rádio|Audiotour|Entrevista|Reportagem|Crônica|Relatório|Abaixo-assinado|Manifesto|Petição|Poema|Livro|Fotografia|Curta|Live|Webinário|Charge|Leitura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63" s="20" t="str">
        <f>IFERROR(__xludf.DUMMYFUNCTION("IF(B63="""","""",IF(OR(
  REGEXMATCH(B63,""Live|Webinário|Virtual|Verbete""),
  REGEXMATCH(B63,""online"")
),""Virtual"",
IF(REGEXMATCH(B63,""Música|Álbum|Filme|Documentário|Série|Podcast|Rádio|Audiotour|Episódio|Reportagem|Curta|Charge|Vídeo|Entrevista|N"&amp;"otícia|Artigo de opinião""),
""Midiático"",
IF(REGEXMATCH(B63,""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63" s="21">
        <v>45959.0</v>
      </c>
      <c r="H63" s="22">
        <f t="shared" si="1"/>
        <v>2025</v>
      </c>
      <c r="I63" s="18" t="str">
        <f>IFERROR(__xludf.DUMMYFUNCTION("IF(REGEXMATCH(T63,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IF(REGEXMATCH(T63, ""(?i)\bBrasília\b""), ""Distrito Federal, Brasil"",
REGEXEXTRACT(T63,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63" s="30" t="s">
        <v>203</v>
      </c>
      <c r="K63" s="24" t="s">
        <v>204</v>
      </c>
      <c r="L63" s="24" t="s">
        <v>142</v>
      </c>
      <c r="M63" s="25" t="s">
        <v>143</v>
      </c>
      <c r="N63" s="18" t="s">
        <v>144</v>
      </c>
      <c r="O63" s="17" t="s">
        <v>28</v>
      </c>
      <c r="P63" s="17" t="s">
        <v>95</v>
      </c>
      <c r="Q63" s="26">
        <v>45961.0</v>
      </c>
      <c r="R63" s="17" t="s">
        <v>30</v>
      </c>
      <c r="S63" s="27" t="str">
        <f t="shared" si="3"/>
        <v>Aqui</v>
      </c>
      <c r="T63" s="34" t="s">
        <v>205</v>
      </c>
      <c r="U63" s="29"/>
    </row>
    <row r="64">
      <c r="A64" s="16">
        <v>62.0</v>
      </c>
      <c r="B64" s="17" t="s">
        <v>156</v>
      </c>
      <c r="C64" s="18" t="str">
        <f>IFERROR(__xludf.DUMMYFUNCTION("IF(B64="""","""",IF(OR(
  REGEXMATCH(B64,""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REGEXMATCH(B64,""Notícia|Reportagem|Artigo de opinião|Verbete"")
),""Difusão"","""")))
"),"Rememoração")</f>
        <v>Rememoração</v>
      </c>
      <c r="D64" s="19" t="str">
        <f>IFERROR(__xludf.DUMMYFUNCTION("IF(B64="""","""",IF(OR(
  REGEXMATCH(B64,""Performance|Instalação|Álbum|Música|Poema|Livro|Filme|Documentário|Recitação|Espetáculo|Peça|Intervenção|Desfile|Fotografia|Exposição|Charge|Grafite|Leitura pública|Fabricação de cachaça artesanal""),
  REGEXMATC"&amp;"H(B64,""dança|teatral|artístico|musical|artística"")
),""Manifestação artístico-cultural"",
IF(OR(
  REGEXMATCH(B64,""Crônica|Série|Reportagem|Podcast|Audiotour|Entrevista|Vídeo|Rádio|Notícia|Artigo de opinião|Coletiva de imprensa""),
  REGEXMATCH(B64,""m"&amp;"idiática"")
),""Produção midiática"","""")))
"),"Manifestação artístico-cultural")</f>
        <v>Manifestação artístico-cultural</v>
      </c>
      <c r="E64" s="20" t="str">
        <f>IFERROR(__xludf.DUMMYFUNCTION("IF(B64="""","""",IF(OR(
  REGEXMATCH(B64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REGEXMATCH(B64,""público|Imediato|artística|teatral|memória|Ação popular"")
),""Público Imediato"",
IF(REGEXMATCH(B64,""Música|Álbum|Filme|Documentário|S"&amp;"érie|Podcast|Rádio|Audiotour|Entrevista|Reportagem|Crônica|Relatório|Abaixo-assinado|Manifesto|Petição|Poema|Livro|Fotografia|Curta|Live|Webinário|Charge|Leitura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64" s="20" t="str">
        <f>IFERROR(__xludf.DUMMYFUNCTION("IF(B64="""","""",IF(OR(
  REGEXMATCH(B64,""Live|Webinário|Virtual|Verbete""),
  REGEXMATCH(B64,""online"")
),""Virtual"",
IF(REGEXMATCH(B64,""Música|Álbum|Filme|Documentário|Série|Podcast|Rádio|Audiotour|Episódio|Reportagem|Curta|Charge|Vídeo|Entrevista|N"&amp;"otícia|Artigo de opinião""),
""Midiático"",
IF(REGEXMATCH(B64,""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64" s="21">
        <v>45959.0</v>
      </c>
      <c r="H64" s="22">
        <f t="shared" si="1"/>
        <v>2025</v>
      </c>
      <c r="I64" s="18" t="str">
        <f>IFERROR(__xludf.DUMMYFUNCTION("IF(REGEXMATCH(T64,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IF(REGEXMATCH(T64, ""(?i)\bBrasília\b""), ""Distrito Federal, Brasil"",
REGEXEXTRACT(T64,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64" s="30" t="s">
        <v>206</v>
      </c>
      <c r="K64" s="24" t="s">
        <v>207</v>
      </c>
      <c r="L64" s="24" t="s">
        <v>76</v>
      </c>
      <c r="M64" s="25" t="s">
        <v>200</v>
      </c>
      <c r="N64" s="18" t="s">
        <v>208</v>
      </c>
      <c r="O64" s="17" t="s">
        <v>28</v>
      </c>
      <c r="P64" s="17" t="s">
        <v>95</v>
      </c>
      <c r="Q64" s="26">
        <v>45961.0</v>
      </c>
      <c r="R64" s="17" t="s">
        <v>30</v>
      </c>
      <c r="S64" s="27" t="str">
        <f t="shared" si="3"/>
        <v>Aqui</v>
      </c>
      <c r="T64" s="29" t="s">
        <v>209</v>
      </c>
      <c r="U64" s="29"/>
    </row>
    <row r="65">
      <c r="A65" s="16">
        <v>63.0</v>
      </c>
      <c r="B65" s="17" t="s">
        <v>193</v>
      </c>
      <c r="C65" s="18" t="str">
        <f>IFERROR(__xludf.DUMMYFUNCTION("IF(B65="""","""",IF(OR(
  REGEXMATCH(B65,""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REGEXMATCH(B65,""Notícia|Reportagem|Artigo de opinião|Verbete"")
),""Difusão"","""")))
"),"Difusão")</f>
        <v>Difusão</v>
      </c>
      <c r="D65" s="19" t="str">
        <f>IFERROR(__xludf.DUMMYFUNCTION("IF(B65="""","""",IF(OR(
  REGEXMATCH(B65,""Performance|Instalação|Álbum|Música|Poema|Livro|Filme|Documentário|Recitação|Espetáculo|Peça|Intervenção|Desfile|Fotografia|Exposição|Charge|Grafite|Leitura pública|Fabricação de cachaça artesanal""),
  REGEXMATC"&amp;"H(B65,""dança|teatral|artístico|musical|artística"")
),""Manifestação artístico-cultural"",
IF(OR(
  REGEXMATCH(B65,""Crônica|Série|Reportagem|Podcast|Audiotour|Entrevista|Vídeo|Rádio|Notícia|Artigo de opinião|Coletiva de imprensa""),
  REGEXMATCH(B65,""m"&amp;"idiática"")
),""Produção midiática"","""")))
"),"Produção midiática")</f>
        <v>Produção midiática</v>
      </c>
      <c r="E65" s="20" t="str">
        <f>IFERROR(__xludf.DUMMYFUNCTION("IF(B65="""","""",IF(OR(
  REGEXMATCH(B65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REGEXMATCH(B65,""público|Imediato|artística|teatral|memória|Ação popular"")
),""Público Imediato"",
IF(REGEXMATCH(B65,""Música|Álbum|Filme|Documentário|S"&amp;"érie|Podcast|Rádio|Audiotour|Entrevista|Reportagem|Crônica|Relatório|Abaixo-assinado|Manifesto|Petição|Poema|Livro|Fotografia|Curta|Live|Webinário|Charge|Leitura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65" s="20" t="str">
        <f>IFERROR(__xludf.DUMMYFUNCTION("IF(B65="""","""",IF(OR(
  REGEXMATCH(B65,""Live|Webinário|Virtual|Verbete""),
  REGEXMATCH(B65,""online"")
),""Virtual"",
IF(REGEXMATCH(B65,""Música|Álbum|Filme|Documentário|Série|Podcast|Rádio|Audiotour|Episódio|Reportagem|Curta|Charge|Vídeo|Entrevista|N"&amp;"otícia|Artigo de opinião""),
""Midiático"",
IF(REGEXMATCH(B65,""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65" s="21" t="str">
        <f>IFERROR(__xludf.DUMMYFUNCTION("IF(C65=""rememoração"", ""Insira a data manualmente"", IF(C65=""difusão"", 
 IF(NOT(ISERROR(REGEXEXTRACT(T65, ""(\d{1,2}) jan\. 2025""))), 
  TEXT(DATE(2025,1,REGEXEXTRACT(T65, ""(\d{1,2}) jan\. 2025"")), ""dd/mm/yyyy""),
 IF(NOT(ISERROR(REGEXEXTRACT(T65,"&amp;" ""(\d{1,2}) fev\. 2025""))), 
  TEXT(DATE(2025,2,REGEXEXTRACT(T65, ""(\d{1,2}) fev\. 2025"")), ""dd/mm/yyyy""),
 IF(NOT(ISERROR(REGEXEXTRACT(T65, ""(\d{1,2}) mar\. 2025""))), 
  TEXT(DATE(2025,3,REGEXEXTRACT(T65, ""(\d{1,2}) mar\. 2025"")), ""dd/mm/yyyy"&amp;"""),
 IF(NOT(ISERROR(REGEXEXTRACT(T65, ""(\d{1,2}) abr\. 2025""))), 
  TEXT(DATE(2025,4,REGEXEXTRACT(T65, ""(\d{1,2}) abr\. 2025"")), ""dd/mm/yyyy""),
 IF(NOT(ISERROR(REGEXEXTRACT(T65, ""(\d{1,2}) (mai|maio)\. 2025""))), 
  TEXT(DATE(2025,5,REGEXEXTRACT(T"&amp;"65, ""(\d{1,2}) (mai|maio)\. 2025"")), ""dd/mm/yyyy""),
 IF(NOT(ISERROR(REGEXEXTRACT(T65, ""(\d{1,2}) jun\. 2025""))), 
  TEXT(DATE(2025,6,REGEXEXTRACT(T65, ""(\d{1,2}) jun\. 2025"")), ""dd/mm/yyyy""),
 IF(NOT(ISERROR(REGEXEXTRACT(T65, ""(\d{1,2}) jul\. 2"&amp;"025""))), 
  TEXT(DATE(2025,7,REGEXEXTRACT(T65, ""(\d{1,2}) jul\. 2025"")), ""dd/mm/yyyy""),
 IF(NOT(ISERROR(REGEXEXTRACT(T65, ""(\d{1,2}) ago\. 2025""))), 
  TEXT(DATE(2025,8,REGEXEXTRACT(T65, ""(\d{1,2}) ago\. 2025"")), ""dd/mm/yyyy""),
 IF(NOT(ISERROR("&amp;"REGEXEXTRACT(T65, ""(\d{1,2}) set\. 2025""))), 
  TEXT(DATE(2025,9,REGEXEXTRACT(T65, ""(\d{1,2}) set\. 2025"")), ""dd/mm/yyyy""),
 IF(NOT(ISERROR(REGEXEXTRACT(T65, ""(\d{1,2}) out\. 2025""))), 
  TEXT(DATE(2025,10,REGEXEXTRACT(T65, ""(\d{1,2}) out\. 2025"&amp;""")), ""dd/mm/yyyy""),
 IF(NOT(ISERROR(REGEXEXTRACT(T65, ""(\d{1,2}) nov\. 2025""))), 
  TEXT(DATE(2025,11,REGEXEXTRACT(T65, ""(\d{1,2}) nov\. 2025"")), ""dd/mm/yyyy""),
 IF(NOT(ISERROR(REGEXEXTRACT(T65, ""(\d{1,2}) dez\. 2025""))), 
  TEXT(DATE(2025,12,R"&amp;"EGEXEXTRACT(T65, ""(\d{1,2}) dez\. 2025"")), ""dd/mm/yyyy""),
 ""Insira a data manualmente"")))))))))))), """"))"),"30/10/2025")</f>
        <v>30/10/2025</v>
      </c>
      <c r="H65" s="22">
        <f t="shared" si="1"/>
        <v>2025</v>
      </c>
      <c r="I65" s="18" t="str">
        <f>IFERROR(__xludf.DUMMYFUNCTION("IF(REGEXMATCH(T65,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IF(REGEXMATCH(T65, ""(?i)\bBrasília\b""), ""Distrito Federal, Brasil"",
REGEXEXTRACT(T65,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65" s="30" t="s">
        <v>140</v>
      </c>
      <c r="K65" s="24" t="s">
        <v>210</v>
      </c>
      <c r="L65" s="24" t="s">
        <v>189</v>
      </c>
      <c r="M65" s="25" t="s">
        <v>27</v>
      </c>
      <c r="N65" s="18" t="s">
        <v>144</v>
      </c>
      <c r="O65" s="17" t="s">
        <v>28</v>
      </c>
      <c r="P65" s="17" t="s">
        <v>95</v>
      </c>
      <c r="Q65" s="26">
        <v>45961.0</v>
      </c>
      <c r="R65" s="17" t="s">
        <v>30</v>
      </c>
      <c r="S65" s="27" t="str">
        <f t="shared" si="3"/>
        <v>Aqui</v>
      </c>
      <c r="T65" s="29" t="s">
        <v>211</v>
      </c>
      <c r="U65" s="29"/>
    </row>
    <row r="66">
      <c r="A66" s="16">
        <v>64.0</v>
      </c>
      <c r="B66" s="17" t="s">
        <v>193</v>
      </c>
      <c r="C66" s="18" t="str">
        <f>IFERROR(__xludf.DUMMYFUNCTION("IF(B66="""","""",IF(OR(
  REGEXMATCH(B66,""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REGEXMATCH(B66,""Notícia|Reportagem|Artigo de opinião|Verbete"")
),""Difusão"","""")))
"),"Difusão")</f>
        <v>Difusão</v>
      </c>
      <c r="D66" s="19" t="str">
        <f>IFERROR(__xludf.DUMMYFUNCTION("IF(B66="""","""",IF(OR(
  REGEXMATCH(B66,""Performance|Instalação|Álbum|Música|Poema|Livro|Filme|Documentário|Recitação|Espetáculo|Peça|Intervenção|Desfile|Fotografia|Exposição|Charge|Grafite|Leitura pública|Fabricação de cachaça artesanal""),
  REGEXMATC"&amp;"H(B66,""dança|teatral|artístico|musical|artística"")
),""Manifestação artístico-cultural"",
IF(OR(
  REGEXMATCH(B66,""Crônica|Série|Reportagem|Podcast|Audiotour|Entrevista|Vídeo|Rádio|Notícia|Artigo de opinião|Coletiva de imprensa""),
  REGEXMATCH(B66,""m"&amp;"idiática"")
),""Produção midiática"","""")))
"),"Produção midiática")</f>
        <v>Produção midiática</v>
      </c>
      <c r="E66" s="20" t="str">
        <f>IFERROR(__xludf.DUMMYFUNCTION("IF(B66="""","""",IF(OR(
  REGEXMATCH(B66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REGEXMATCH(B66,""público|Imediato|artística|teatral|memória|Ação popular"")
),""Público Imediato"",
IF(REGEXMATCH(B66,""Música|Álbum|Filme|Documentário|S"&amp;"érie|Podcast|Rádio|Audiotour|Entrevista|Reportagem|Crônica|Relatório|Abaixo-assinado|Manifesto|Petição|Poema|Livro|Fotografia|Curta|Live|Webinário|Charge|Leitura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66" s="20" t="str">
        <f>IFERROR(__xludf.DUMMYFUNCTION("IF(B66="""","""",IF(OR(
  REGEXMATCH(B66,""Live|Webinário|Virtual|Verbete""),
  REGEXMATCH(B66,""online"")
),""Virtual"",
IF(REGEXMATCH(B66,""Música|Álbum|Filme|Documentário|Série|Podcast|Rádio|Audiotour|Episódio|Reportagem|Curta|Charge|Vídeo|Entrevista|N"&amp;"otícia|Artigo de opinião""),
""Midiático"",
IF(REGEXMATCH(B66,""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66" s="21" t="str">
        <f>IFERROR(__xludf.DUMMYFUNCTION("IF(C66=""rememoração"", ""Insira a data manualmente"", IF(C66=""difusão"", 
 IF(NOT(ISERROR(REGEXEXTRACT(T66, ""(\d{1,2}) jan\. 2025""))), 
  TEXT(DATE(2025,1,REGEXEXTRACT(T66, ""(\d{1,2}) jan\. 2025"")), ""dd/mm/yyyy""),
 IF(NOT(ISERROR(REGEXEXTRACT(T66,"&amp;" ""(\d{1,2}) fev\. 2025""))), 
  TEXT(DATE(2025,2,REGEXEXTRACT(T66, ""(\d{1,2}) fev\. 2025"")), ""dd/mm/yyyy""),
 IF(NOT(ISERROR(REGEXEXTRACT(T66, ""(\d{1,2}) mar\. 2025""))), 
  TEXT(DATE(2025,3,REGEXEXTRACT(T66, ""(\d{1,2}) mar\. 2025"")), ""dd/mm/yyyy"&amp;"""),
 IF(NOT(ISERROR(REGEXEXTRACT(T66, ""(\d{1,2}) abr\. 2025""))), 
  TEXT(DATE(2025,4,REGEXEXTRACT(T66, ""(\d{1,2}) abr\. 2025"")), ""dd/mm/yyyy""),
 IF(NOT(ISERROR(REGEXEXTRACT(T66, ""(\d{1,2}) (mai|maio)\. 2025""))), 
  TEXT(DATE(2025,5,REGEXEXTRACT(T"&amp;"66, ""(\d{1,2}) (mai|maio)\. 2025"")), ""dd/mm/yyyy""),
 IF(NOT(ISERROR(REGEXEXTRACT(T66, ""(\d{1,2}) jun\. 2025""))), 
  TEXT(DATE(2025,6,REGEXEXTRACT(T66, ""(\d{1,2}) jun\. 2025"")), ""dd/mm/yyyy""),
 IF(NOT(ISERROR(REGEXEXTRACT(T66, ""(\d{1,2}) jul\. 2"&amp;"025""))), 
  TEXT(DATE(2025,7,REGEXEXTRACT(T66, ""(\d{1,2}) jul\. 2025"")), ""dd/mm/yyyy""),
 IF(NOT(ISERROR(REGEXEXTRACT(T66, ""(\d{1,2}) ago\. 2025""))), 
  TEXT(DATE(2025,8,REGEXEXTRACT(T66, ""(\d{1,2}) ago\. 2025"")), ""dd/mm/yyyy""),
 IF(NOT(ISERROR("&amp;"REGEXEXTRACT(T66, ""(\d{1,2}) set\. 2025""))), 
  TEXT(DATE(2025,9,REGEXEXTRACT(T66, ""(\d{1,2}) set\. 2025"")), ""dd/mm/yyyy""),
 IF(NOT(ISERROR(REGEXEXTRACT(T66, ""(\d{1,2}) out\. 2025""))), 
  TEXT(DATE(2025,10,REGEXEXTRACT(T66, ""(\d{1,2}) out\. 2025"&amp;""")), ""dd/mm/yyyy""),
 IF(NOT(ISERROR(REGEXEXTRACT(T66, ""(\d{1,2}) nov\. 2025""))), 
  TEXT(DATE(2025,11,REGEXEXTRACT(T66, ""(\d{1,2}) nov\. 2025"")), ""dd/mm/yyyy""),
 IF(NOT(ISERROR(REGEXEXTRACT(T66, ""(\d{1,2}) dez\. 2025""))), 
  TEXT(DATE(2025,12,R"&amp;"EGEXEXTRACT(T66, ""(\d{1,2}) dez\. 2025"")), ""dd/mm/yyyy""),
 ""Insira a data manualmente"")))))))))))), """"))"),"30/10/2025")</f>
        <v>30/10/2025</v>
      </c>
      <c r="H66" s="22">
        <f t="shared" si="1"/>
        <v>2025</v>
      </c>
      <c r="I66" s="18" t="str">
        <f>IFERROR(__xludf.DUMMYFUNCTION("IF(REGEXMATCH(T66,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IF(REGEXMATCH(T66, ""(?i)\bBrasília\b""), ""Distrito Federal, Brasil"",
REGEXEXTRACT(T66,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66" s="30" t="s">
        <v>140</v>
      </c>
      <c r="K66" s="24" t="s">
        <v>212</v>
      </c>
      <c r="L66" s="24" t="s">
        <v>189</v>
      </c>
      <c r="M66" s="25" t="s">
        <v>27</v>
      </c>
      <c r="N66" s="18" t="s">
        <v>144</v>
      </c>
      <c r="O66" s="17" t="s">
        <v>28</v>
      </c>
      <c r="P66" s="17" t="s">
        <v>95</v>
      </c>
      <c r="Q66" s="26">
        <v>45961.0</v>
      </c>
      <c r="R66" s="17" t="s">
        <v>30</v>
      </c>
      <c r="S66" s="27" t="str">
        <f t="shared" si="3"/>
        <v>Aqui</v>
      </c>
      <c r="T66" s="29" t="s">
        <v>213</v>
      </c>
      <c r="U66" s="29"/>
    </row>
    <row r="67">
      <c r="A67" s="16">
        <v>65.0</v>
      </c>
      <c r="B67" s="17" t="s">
        <v>214</v>
      </c>
      <c r="C67" s="18" t="str">
        <f>IFERROR(__xludf.DUMMYFUNCTION("IF(B67="""","""",IF(OR(
  REGEXMATCH(B67,""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REGEXMATCH(B67,""Notícia|Reportagem|Artigo de opinião|Verbete"")
),""Difusão"","""")))
"),"Rememoração")</f>
        <v>Rememoração</v>
      </c>
      <c r="D67" s="19" t="str">
        <f>IFERROR(__xludf.DUMMYFUNCTION("IF(B67="""","""",IF(OR(
  REGEXMATCH(B67,""Performance|Instalação|Álbum|Música|Poema|Livro|Filme|Documentário|Recitação|Espetáculo|Peça|Intervenção|Desfile|Fotografia|Exposição|Charge|Grafite|Leitura pública|Fabricação de cachaça artesanal""),
  REGEXMATC"&amp;"H(B67,""dança|teatral|artístico|musical|artística"")
),""Manifestação artístico-cultural"",
IF(OR(
  REGEXMATCH(B67,""Crônica|Série|Reportagem|Podcast|Audiotour|Entrevista|Vídeo|Rádio|Notícia|Artigo de opinião|Coletiva de imprensa""),
  REGEXMATCH(B67,""m"&amp;"idiática"")
),""Produção midiática"","""")))
"),"Produção midiática")</f>
        <v>Produção midiática</v>
      </c>
      <c r="E67" s="20" t="str">
        <f>IFERROR(__xludf.DUMMYFUNCTION("IF(B67="""","""",IF(OR(
  REGEXMATCH(B67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REGEXMATCH(B67,""público|Imediato|artística|teatral|memória|Ação popular"")
),""Público Imediato"",
IF(REGEXMATCH(B67,""Música|Álbum|Filme|Documentário|S"&amp;"érie|Podcast|Rádio|Audiotour|Entrevista|Reportagem|Crônica|Relatório|Abaixo-assinado|Manifesto|Petição|Poema|Livro|Fotografia|Curta|Live|Webinário|Charge|Leitura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Imediato")</f>
        <v>Público Imediato</v>
      </c>
      <c r="F67" s="20" t="str">
        <f>IFERROR(__xludf.DUMMYFUNCTION("IF(B67="""","""",IF(OR(
  REGEXMATCH(B67,""Live|Webinário|Virtual|Verbete""),
  REGEXMATCH(B67,""online"")
),""Virtual"",
IF(REGEXMATCH(B67,""Música|Álbum|Filme|Documentário|Série|Podcast|Rádio|Audiotour|Episódio|Reportagem|Curta|Charge|Vídeo|Entrevista|N"&amp;"otícia|Artigo de opinião""),
""Midiático"",
IF(REGEXMATCH(B67,""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67" s="21">
        <v>45960.0</v>
      </c>
      <c r="H67" s="22">
        <f t="shared" si="1"/>
        <v>2025</v>
      </c>
      <c r="I67" s="18" t="str">
        <f>IFERROR(__xludf.DUMMYFUNCTION("IF(REGEXMATCH(T67,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IF(REGEXMATCH(T67, ""(?i)\bBrasília\b""), ""Distrito Federal, Brasil"",
REGEXEXTRACT(T67,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67" s="30" t="s">
        <v>140</v>
      </c>
      <c r="K67" s="24" t="s">
        <v>215</v>
      </c>
      <c r="L67" s="24" t="s">
        <v>194</v>
      </c>
      <c r="M67" s="25" t="s">
        <v>143</v>
      </c>
      <c r="N67" s="18" t="s">
        <v>144</v>
      </c>
      <c r="O67" s="17" t="s">
        <v>28</v>
      </c>
      <c r="P67" s="17" t="s">
        <v>95</v>
      </c>
      <c r="Q67" s="26">
        <v>45961.0</v>
      </c>
      <c r="R67" s="17" t="s">
        <v>30</v>
      </c>
      <c r="S67" s="27" t="str">
        <f t="shared" si="3"/>
        <v>Aqui</v>
      </c>
      <c r="T67" s="29" t="s">
        <v>216</v>
      </c>
      <c r="U67" s="29"/>
    </row>
    <row r="68">
      <c r="A68" s="16">
        <v>66.0</v>
      </c>
      <c r="B68" s="17" t="s">
        <v>73</v>
      </c>
      <c r="C68" s="18" t="str">
        <f>IFERROR(__xludf.DUMMYFUNCTION("IF(B68="""","""",IF(OR(
  REGEXMATCH(B68,""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REGEXMATCH(B68,""Notícia|Reportagem|Artigo de opinião|Verbete"")
),""Difusão"","""")))
"),"Rememoração")</f>
        <v>Rememoração</v>
      </c>
      <c r="D68" s="19" t="str">
        <f>IFERROR(__xludf.DUMMYFUNCTION("IF(B68="""","""",IF(OR(
  REGEXMATCH(B68,""Performance|Instalação|Álbum|Música|Poema|Livro|Filme|Documentário|Recitação|Espetáculo|Peça|Intervenção|Desfile|Fotografia|Exposição|Charge|Grafite|Leitura pública|Fabricação de cachaça artesanal""),
  REGEXMATC"&amp;"H(B68,""dança|teatral|artístico|musical|artística"")
),""Manifestação artístico-cultural"",
IF(OR(
  REGEXMATCH(B68,""Crônica|Série|Reportagem|Podcast|Audiotour|Entrevista|Vídeo|Rádio|Notícia|Artigo de opinião|Coletiva de imprensa""),
  REGEXMATCH(B68,""m"&amp;"idiática"")
),""Produção midiática"","""")))
"),"")</f>
        <v/>
      </c>
      <c r="E68" s="20" t="str">
        <f>IFERROR(__xludf.DUMMYFUNCTION("IF(B68="""","""",IF(OR(
  REGEXMATCH(B68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REGEXMATCH(B68,""público|Imediato|artística|teatral|memória|Ação popular"")
),""Público Imediato"",
IF(REGEXMATCH(B68,""Música|Álbum|Filme|Documentário|S"&amp;"érie|Podcast|Rádio|Audiotour|Entrevista|Reportagem|Crônica|Relatório|Abaixo-assinado|Manifesto|Petição|Poema|Livro|Fotografia|Curta|Live|Webinário|Charge|Leitura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Imediato")</f>
        <v>Público Imediato</v>
      </c>
      <c r="F68" s="20" t="str">
        <f>IFERROR(__xludf.DUMMYFUNCTION("IF(B68="""","""",IF(OR(
  REGEXMATCH(B68,""Live|Webinário|Virtual|Verbete""),
  REGEXMATCH(B68,""online"")
),""Virtual"",
IF(REGEXMATCH(B68,""Música|Álbum|Filme|Documentário|Série|Podcast|Rádio|Audiotour|Episódio|Reportagem|Curta|Charge|Vídeo|Entrevista|N"&amp;"otícia|Artigo de opinião""),
""Midiático"",
IF(REGEXMATCH(B68,""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68" s="21">
        <v>45960.0</v>
      </c>
      <c r="H68" s="22">
        <f t="shared" si="1"/>
        <v>2025</v>
      </c>
      <c r="I68" s="18" t="str">
        <f>IFERROR(__xludf.DUMMYFUNCTION("IF(REGEXMATCH(T68,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IF(REGEXMATCH(T68, ""(?i)\bBrasília\b""), ""Distrito Federal, Brasil"",
REGEXEXTRACT(T68,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68" s="30" t="s">
        <v>217</v>
      </c>
      <c r="K68" s="24" t="s">
        <v>218</v>
      </c>
      <c r="L68" s="24" t="s">
        <v>76</v>
      </c>
      <c r="M68" s="25" t="s">
        <v>138</v>
      </c>
      <c r="N68" s="18" t="s">
        <v>144</v>
      </c>
      <c r="O68" s="17" t="s">
        <v>28</v>
      </c>
      <c r="P68" s="17" t="s">
        <v>95</v>
      </c>
      <c r="Q68" s="26">
        <v>45961.0</v>
      </c>
      <c r="R68" s="17" t="s">
        <v>30</v>
      </c>
      <c r="S68" s="27" t="str">
        <f t="shared" si="3"/>
        <v>Aqui</v>
      </c>
      <c r="T68" s="29" t="s">
        <v>219</v>
      </c>
      <c r="U68" s="29"/>
    </row>
    <row r="69">
      <c r="A69" s="16">
        <v>67.0</v>
      </c>
      <c r="B69" s="17" t="s">
        <v>193</v>
      </c>
      <c r="C69" s="18" t="str">
        <f>IFERROR(__xludf.DUMMYFUNCTION("IF(B69="""","""",IF(OR(
  REGEXMATCH(B69,""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REGEXMATCH(B69,""Notícia|Reportagem|Artigo de opinião|Verbete"")
),""Difusão"","""")))
"),"Difusão")</f>
        <v>Difusão</v>
      </c>
      <c r="D69" s="19" t="str">
        <f>IFERROR(__xludf.DUMMYFUNCTION("IF(B69="""","""",IF(OR(
  REGEXMATCH(B69,""Performance|Instalação|Álbum|Música|Poema|Livro|Filme|Documentário|Recitação|Espetáculo|Peça|Intervenção|Desfile|Fotografia|Exposição|Charge|Grafite|Leitura pública|Fabricação de cachaça artesanal""),
  REGEXMATC"&amp;"H(B69,""dança|teatral|artístico|musical|artística"")
),""Manifestação artístico-cultural"",
IF(OR(
  REGEXMATCH(B69,""Crônica|Série|Reportagem|Podcast|Audiotour|Entrevista|Vídeo|Rádio|Notícia|Artigo de opinião|Coletiva de imprensa""),
  REGEXMATCH(B69,""m"&amp;"idiática"")
),""Produção midiática"","""")))
"),"Produção midiática")</f>
        <v>Produção midiática</v>
      </c>
      <c r="E69" s="20" t="str">
        <f>IFERROR(__xludf.DUMMYFUNCTION("IF(B69="""","""",IF(OR(
  REGEXMATCH(B69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REGEXMATCH(B69,""público|Imediato|artística|teatral|memória|Ação popular"")
),""Público Imediato"",
IF(REGEXMATCH(B69,""Música|Álbum|Filme|Documentário|S"&amp;"érie|Podcast|Rádio|Audiotour|Entrevista|Reportagem|Crônica|Relatório|Abaixo-assinado|Manifesto|Petição|Poema|Livro|Fotografia|Curta|Live|Webinário|Charge|Leitura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69" s="20" t="str">
        <f>IFERROR(__xludf.DUMMYFUNCTION("IF(B69="""","""",IF(OR(
  REGEXMATCH(B69,""Live|Webinário|Virtual|Verbete""),
  REGEXMATCH(B69,""online"")
),""Virtual"",
IF(REGEXMATCH(B69,""Música|Álbum|Filme|Documentário|Série|Podcast|Rádio|Audiotour|Episódio|Reportagem|Curta|Charge|Vídeo|Entrevista|N"&amp;"otícia|Artigo de opinião""),
""Midiático"",
IF(REGEXMATCH(B69,""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69" s="21" t="str">
        <f>IFERROR(__xludf.DUMMYFUNCTION("IF(C69=""rememoração"", ""Insira a data manualmente"", IF(C69=""difusão"", 
 IF(NOT(ISERROR(REGEXEXTRACT(T69, ""(\d{1,2}) jan\. 2025""))), 
  TEXT(DATE(2025,1,REGEXEXTRACT(T69, ""(\d{1,2}) jan\. 2025"")), ""dd/mm/yyyy""),
 IF(NOT(ISERROR(REGEXEXTRACT(T69,"&amp;" ""(\d{1,2}) fev\. 2025""))), 
  TEXT(DATE(2025,2,REGEXEXTRACT(T69, ""(\d{1,2}) fev\. 2025"")), ""dd/mm/yyyy""),
 IF(NOT(ISERROR(REGEXEXTRACT(T69, ""(\d{1,2}) mar\. 2025""))), 
  TEXT(DATE(2025,3,REGEXEXTRACT(T69, ""(\d{1,2}) mar\. 2025"")), ""dd/mm/yyyy"&amp;"""),
 IF(NOT(ISERROR(REGEXEXTRACT(T69, ""(\d{1,2}) abr\. 2025""))), 
  TEXT(DATE(2025,4,REGEXEXTRACT(T69, ""(\d{1,2}) abr\. 2025"")), ""dd/mm/yyyy""),
 IF(NOT(ISERROR(REGEXEXTRACT(T69, ""(\d{1,2}) (mai|maio)\. 2025""))), 
  TEXT(DATE(2025,5,REGEXEXTRACT(T"&amp;"69, ""(\d{1,2}) (mai|maio)\. 2025"")), ""dd/mm/yyyy""),
 IF(NOT(ISERROR(REGEXEXTRACT(T69, ""(\d{1,2}) jun\. 2025""))), 
  TEXT(DATE(2025,6,REGEXEXTRACT(T69, ""(\d{1,2}) jun\. 2025"")), ""dd/mm/yyyy""),
 IF(NOT(ISERROR(REGEXEXTRACT(T69, ""(\d{1,2}) jul\. 2"&amp;"025""))), 
  TEXT(DATE(2025,7,REGEXEXTRACT(T69, ""(\d{1,2}) jul\. 2025"")), ""dd/mm/yyyy""),
 IF(NOT(ISERROR(REGEXEXTRACT(T69, ""(\d{1,2}) ago\. 2025""))), 
  TEXT(DATE(2025,8,REGEXEXTRACT(T69, ""(\d{1,2}) ago\. 2025"")), ""dd/mm/yyyy""),
 IF(NOT(ISERROR("&amp;"REGEXEXTRACT(T69, ""(\d{1,2}) set\. 2025""))), 
  TEXT(DATE(2025,9,REGEXEXTRACT(T69, ""(\d{1,2}) set\. 2025"")), ""dd/mm/yyyy""),
 IF(NOT(ISERROR(REGEXEXTRACT(T69, ""(\d{1,2}) out\. 2025""))), 
  TEXT(DATE(2025,10,REGEXEXTRACT(T69, ""(\d{1,2}) out\. 2025"&amp;""")), ""dd/mm/yyyy""),
 IF(NOT(ISERROR(REGEXEXTRACT(T69, ""(\d{1,2}) nov\. 2025""))), 
  TEXT(DATE(2025,11,REGEXEXTRACT(T69, ""(\d{1,2}) nov\. 2025"")), ""dd/mm/yyyy""),
 IF(NOT(ISERROR(REGEXEXTRACT(T69, ""(\d{1,2}) dez\. 2025""))), 
  TEXT(DATE(2025,12,R"&amp;"EGEXEXTRACT(T69, ""(\d{1,2}) dez\. 2025"")), ""dd/mm/yyyy""),
 ""Insira a data manualmente"")))))))))))), """"))"),"31/10/2025")</f>
        <v>31/10/2025</v>
      </c>
      <c r="H69" s="22">
        <f t="shared" si="1"/>
        <v>2025</v>
      </c>
      <c r="I69" s="18" t="str">
        <f>IFERROR(__xludf.DUMMYFUNCTION("IF(REGEXMATCH(T69,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IF(REGEXMATCH(T69, ""(?i)\bBrasília\b""), ""Distrito Federal, Brasil"",
REGEXEXTRACT(T69,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69" s="30" t="s">
        <v>220</v>
      </c>
      <c r="K69" s="24" t="s">
        <v>221</v>
      </c>
      <c r="L69" s="17" t="s">
        <v>142</v>
      </c>
      <c r="M69" s="30" t="s">
        <v>143</v>
      </c>
      <c r="N69" s="18" t="s">
        <v>144</v>
      </c>
      <c r="O69" s="17" t="s">
        <v>28</v>
      </c>
      <c r="P69" s="17" t="s">
        <v>95</v>
      </c>
      <c r="Q69" s="26">
        <v>45961.0</v>
      </c>
      <c r="R69" s="17" t="s">
        <v>30</v>
      </c>
      <c r="S69" s="27" t="str">
        <f t="shared" si="3"/>
        <v>Aqui</v>
      </c>
      <c r="T69" s="29" t="s">
        <v>222</v>
      </c>
      <c r="U69" s="29"/>
    </row>
    <row r="70">
      <c r="A70" s="16">
        <v>68.0</v>
      </c>
      <c r="B70" s="17" t="s">
        <v>156</v>
      </c>
      <c r="C70" s="18" t="str">
        <f>IFERROR(__xludf.DUMMYFUNCTION("IF(B70="""","""",IF(OR(
  REGEXMATCH(B70,""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REGEXMATCH(B70,""Notícia|Reportagem|Artigo de opinião|Verbete"")
),""Difusão"","""")))
"),"Rememoração")</f>
        <v>Rememoração</v>
      </c>
      <c r="D70" s="19" t="str">
        <f>IFERROR(__xludf.DUMMYFUNCTION("IF(B70="""","""",IF(OR(
  REGEXMATCH(B70,""Performance|Instalação|Álbum|Música|Poema|Livro|Filme|Documentário|Recitação|Espetáculo|Peça|Intervenção|Desfile|Fotografia|Exposição|Charge|Grafite|Leitura pública|Fabricação de cachaça artesanal""),
  REGEXMATC"&amp;"H(B70,""dança|teatral|artístico|musical|artística"")
),""Manifestação artístico-cultural"",
IF(OR(
  REGEXMATCH(B70,""Crônica|Série|Reportagem|Podcast|Audiotour|Entrevista|Vídeo|Rádio|Notícia|Artigo de opinião|Coletiva de imprensa""),
  REGEXMATCH(B70,""m"&amp;"idiática"")
),""Produção midiática"","""")))
"),"Manifestação artístico-cultural")</f>
        <v>Manifestação artístico-cultural</v>
      </c>
      <c r="E70" s="20" t="str">
        <f>IFERROR(__xludf.DUMMYFUNCTION("IF(B70="""","""",IF(OR(
  REGEXMATCH(B70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REGEXMATCH(B70,""público|Imediato|artística|teatral|memória|Ação popular"")
),""Público Imediato"",
IF(REGEXMATCH(B70,""Música|Álbum|Filme|Documentário|S"&amp;"érie|Podcast|Rádio|Audiotour|Entrevista|Reportagem|Crônica|Relatório|Abaixo-assinado|Manifesto|Petição|Poema|Livro|Fotografia|Curta|Live|Webinário|Charge|Leitura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70" s="20" t="str">
        <f>IFERROR(__xludf.DUMMYFUNCTION("IF(B70="""","""",IF(OR(
  REGEXMATCH(B70,""Live|Webinário|Virtual|Verbete""),
  REGEXMATCH(B70,""online"")
),""Virtual"",
IF(REGEXMATCH(B70,""Música|Álbum|Filme|Documentário|Série|Podcast|Rádio|Audiotour|Episódio|Reportagem|Curta|Charge|Vídeo|Entrevista|N"&amp;"otícia|Artigo de opinião""),
""Midiático"",
IF(REGEXMATCH(B70,""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70" s="21">
        <v>45961.0</v>
      </c>
      <c r="H70" s="22">
        <f t="shared" si="1"/>
        <v>2025</v>
      </c>
      <c r="I70" s="18" t="str">
        <f>IFERROR(__xludf.DUMMYFUNCTION("IF(REGEXMATCH(T70,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IF(REGEXMATCH(T70, ""(?i)\bBrasília\b""), ""Distrito Federal, Brasil"",
REGEXEXTRACT(T70,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70" s="30" t="s">
        <v>223</v>
      </c>
      <c r="K70" s="24" t="s">
        <v>224</v>
      </c>
      <c r="L70" s="24" t="s">
        <v>76</v>
      </c>
      <c r="M70" s="25" t="s">
        <v>225</v>
      </c>
      <c r="N70" s="18" t="s">
        <v>226</v>
      </c>
      <c r="O70" s="17" t="s">
        <v>28</v>
      </c>
      <c r="P70" s="17" t="s">
        <v>95</v>
      </c>
      <c r="Q70" s="26">
        <v>45961.0</v>
      </c>
      <c r="R70" s="17" t="s">
        <v>30</v>
      </c>
      <c r="S70" s="27" t="str">
        <f t="shared" si="3"/>
        <v>Aqui</v>
      </c>
      <c r="T70" s="29" t="s">
        <v>227</v>
      </c>
      <c r="U70" s="29"/>
    </row>
    <row r="71">
      <c r="A71" s="16">
        <v>69.0</v>
      </c>
      <c r="B71" s="17" t="s">
        <v>23</v>
      </c>
      <c r="C71" s="18" t="str">
        <f>IFERROR(__xludf.DUMMYFUNCTION("IF(B71="""","""",IF(OR(
  REGEXMATCH(B71,""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REGEXMATCH(B71,""Notícia|Reportagem|Artigo de opinião|Verbete"")
),""Difusão"","""")))
"),"Difusão")</f>
        <v>Difusão</v>
      </c>
      <c r="D71" s="19" t="str">
        <f>IFERROR(__xludf.DUMMYFUNCTION("IF(B71="""","""",IF(OR(
  REGEXMATCH(B71,""Performance|Instalação|Álbum|Música|Poema|Livro|Filme|Documentário|Recitação|Espetáculo|Peça|Intervenção|Desfile|Fotografia|Exposição|Charge|Grafite|Leitura pública|Fabricação de cachaça artesanal""),
  REGEXMATC"&amp;"H(B71,""dança|teatral|artístico|musical|artística"")
),""Manifestação artístico-cultural"",
IF(OR(
  REGEXMATCH(B71,""Crônica|Série|Reportagem|Podcast|Audiotour|Entrevista|Vídeo|Rádio|Notícia|Artigo de opinião|Coletiva de imprensa""),
  REGEXMATCH(B71,""m"&amp;"idiática"")
),""Produção midiática"","""")))
"),"Produção midiática")</f>
        <v>Produção midiática</v>
      </c>
      <c r="E71" s="20" t="str">
        <f>IFERROR(__xludf.DUMMYFUNCTION("IF(B71="""","""",IF(OR(
  REGEXMATCH(B71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REGEXMATCH(B71,""público|Imediato|artística|teatral|memória|Ação popular"")
),""Público Imediato"",
IF(REGEXMATCH(B71,""Música|Álbum|Filme|Documentário|S"&amp;"érie|Podcast|Rádio|Audiotour|Entrevista|Reportagem|Crônica|Relatório|Abaixo-assinado|Manifesto|Petição|Poema|Livro|Fotografia|Curta|Live|Webinário|Charge|Leitura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71" s="20" t="str">
        <f>IFERROR(__xludf.DUMMYFUNCTION("IF(B71="""","""",IF(OR(
  REGEXMATCH(B71,""Live|Webinário|Virtual|Verbete""),
  REGEXMATCH(B71,""online"")
),""Virtual"",
IF(REGEXMATCH(B71,""Música|Álbum|Filme|Documentário|Série|Podcast|Rádio|Audiotour|Episódio|Reportagem|Curta|Charge|Vídeo|Entrevista|N"&amp;"otícia|Artigo de opinião""),
""Midiático"",
IF(REGEXMATCH(B71,""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71" s="21" t="str">
        <f>IFERROR(__xludf.DUMMYFUNCTION("IF(C71=""rememoração"", ""Insira a data manualmente"", IF(C71=""difusão"", 
 IF(NOT(ISERROR(REGEXEXTRACT(T71, ""(\d{1,2}) jan\. 2025""))), 
  TEXT(DATE(2025,1,REGEXEXTRACT(T71, ""(\d{1,2}) jan\. 2025"")), ""dd/mm/yyyy""),
 IF(NOT(ISERROR(REGEXEXTRACT(T71,"&amp;" ""(\d{1,2}) fev\. 2025""))), 
  TEXT(DATE(2025,2,REGEXEXTRACT(T71, ""(\d{1,2}) fev\. 2025"")), ""dd/mm/yyyy""),
 IF(NOT(ISERROR(REGEXEXTRACT(T71, ""(\d{1,2}) mar\. 2025""))), 
  TEXT(DATE(2025,3,REGEXEXTRACT(T71, ""(\d{1,2}) mar\. 2025"")), ""dd/mm/yyyy"&amp;"""),
 IF(NOT(ISERROR(REGEXEXTRACT(T71, ""(\d{1,2}) abr\. 2025""))), 
  TEXT(DATE(2025,4,REGEXEXTRACT(T71, ""(\d{1,2}) abr\. 2025"")), ""dd/mm/yyyy""),
 IF(NOT(ISERROR(REGEXEXTRACT(T71, ""(\d{1,2}) (mai|maio)\. 2025""))), 
  TEXT(DATE(2025,5,REGEXEXTRACT(T"&amp;"71, ""(\d{1,2}) (mai|maio)\. 2025"")), ""dd/mm/yyyy""),
 IF(NOT(ISERROR(REGEXEXTRACT(T71, ""(\d{1,2}) jun\. 2025""))), 
  TEXT(DATE(2025,6,REGEXEXTRACT(T71, ""(\d{1,2}) jun\. 2025"")), ""dd/mm/yyyy""),
 IF(NOT(ISERROR(REGEXEXTRACT(T71, ""(\d{1,2}) jul\. 2"&amp;"025""))), 
  TEXT(DATE(2025,7,REGEXEXTRACT(T71, ""(\d{1,2}) jul\. 2025"")), ""dd/mm/yyyy""),
 IF(NOT(ISERROR(REGEXEXTRACT(T71, ""(\d{1,2}) ago\. 2025""))), 
  TEXT(DATE(2025,8,REGEXEXTRACT(T71, ""(\d{1,2}) ago\. 2025"")), ""dd/mm/yyyy""),
 IF(NOT(ISERROR("&amp;"REGEXEXTRACT(T71, ""(\d{1,2}) set\. 2025""))), 
  TEXT(DATE(2025,9,REGEXEXTRACT(T71, ""(\d{1,2}) set\. 2025"")), ""dd/mm/yyyy""),
 IF(NOT(ISERROR(REGEXEXTRACT(T71, ""(\d{1,2}) out\. 2025""))), 
  TEXT(DATE(2025,10,REGEXEXTRACT(T71, ""(\d{1,2}) out\. 2025"&amp;""")), ""dd/mm/yyyy""),
 IF(NOT(ISERROR(REGEXEXTRACT(T71, ""(\d{1,2}) nov\. 2025""))), 
  TEXT(DATE(2025,11,REGEXEXTRACT(T71, ""(\d{1,2}) nov\. 2025"")), ""dd/mm/yyyy""),
 IF(NOT(ISERROR(REGEXEXTRACT(T71, ""(\d{1,2}) dez\. 2025""))), 
  TEXT(DATE(2025,12,R"&amp;"EGEXEXTRACT(T71, ""(\d{1,2}) dez\. 2025"")), ""dd/mm/yyyy""),
 ""Insira a data manualmente"")))))))))))), """"))"),"31/10/2025")</f>
        <v>31/10/2025</v>
      </c>
      <c r="H71" s="22">
        <f t="shared" si="1"/>
        <v>2025</v>
      </c>
      <c r="I71" s="18" t="str">
        <f>IFERROR(__xludf.DUMMYFUNCTION("IF(REGEXMATCH(T71,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IF(REGEXMATCH(T71, ""(?i)\bBrasília\b""), ""Distrito Federal, Brasil"",
REGEXEXTRACT(T71,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71" s="30" t="s">
        <v>220</v>
      </c>
      <c r="K71" s="24" t="s">
        <v>228</v>
      </c>
      <c r="L71" s="24" t="s">
        <v>26</v>
      </c>
      <c r="M71" s="25" t="s">
        <v>27</v>
      </c>
      <c r="N71" s="18" t="s">
        <v>229</v>
      </c>
      <c r="O71" s="17" t="s">
        <v>28</v>
      </c>
      <c r="P71" s="17" t="s">
        <v>95</v>
      </c>
      <c r="Q71" s="26">
        <v>45961.0</v>
      </c>
      <c r="R71" s="17" t="s">
        <v>30</v>
      </c>
      <c r="S71" s="27" t="str">
        <f t="shared" si="3"/>
        <v>Aqui</v>
      </c>
      <c r="T71" s="29" t="s">
        <v>230</v>
      </c>
      <c r="U71" s="29"/>
    </row>
    <row r="72">
      <c r="A72" s="16">
        <v>70.0</v>
      </c>
      <c r="B72" s="17" t="s">
        <v>156</v>
      </c>
      <c r="C72" s="18" t="str">
        <f>IFERROR(__xludf.DUMMYFUNCTION("IF(B72="""","""",IF(OR(
  REGEXMATCH(B72,""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REGEXMATCH(B72,""Notícia|Reportagem|Artigo de opinião|Verbete"")
),""Difusão"","""")))
"),"Rememoração")</f>
        <v>Rememoração</v>
      </c>
      <c r="D72" s="19" t="str">
        <f>IFERROR(__xludf.DUMMYFUNCTION("IF(B72="""","""",IF(OR(
  REGEXMATCH(B72,""Performance|Instalação|Álbum|Música|Poema|Livro|Filme|Documentário|Recitação|Espetáculo|Peça|Intervenção|Desfile|Fotografia|Exposição|Charge|Grafite|Leitura pública|Fabricação de cachaça artesanal""),
  REGEXMATC"&amp;"H(B72,""dança|teatral|artístico|musical|artística"")
),""Manifestação artístico-cultural"",
IF(OR(
  REGEXMATCH(B72,""Crônica|Série|Reportagem|Podcast|Audiotour|Entrevista|Vídeo|Rádio|Notícia|Artigo de opinião|Coletiva de imprensa""),
  REGEXMATCH(B72,""m"&amp;"idiática"")
),""Produção midiática"","""")))
"),"Manifestação artístico-cultural")</f>
        <v>Manifestação artístico-cultural</v>
      </c>
      <c r="E72" s="20" t="str">
        <f>IFERROR(__xludf.DUMMYFUNCTION("IF(B72="""","""",IF(OR(
  REGEXMATCH(B72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REGEXMATCH(B72,""público|Imediato|artística|teatral|memória|Ação popular"")
),""Público Imediato"",
IF(REGEXMATCH(B72,""Música|Álbum|Filme|Documentário|S"&amp;"érie|Podcast|Rádio|Audiotour|Entrevista|Reportagem|Crônica|Relatório|Abaixo-assinado|Manifesto|Petição|Poema|Livro|Fotografia|Curta|Live|Webinário|Charge|Leitura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72" s="20" t="str">
        <f>IFERROR(__xludf.DUMMYFUNCTION("IF(B72="""","""",IF(OR(
  REGEXMATCH(B72,""Live|Webinário|Virtual|Verbete""),
  REGEXMATCH(B72,""online"")
),""Virtual"",
IF(REGEXMATCH(B72,""Música|Álbum|Filme|Documentário|Série|Podcast|Rádio|Audiotour|Episódio|Reportagem|Curta|Charge|Vídeo|Entrevista|N"&amp;"otícia|Artigo de opinião""),
""Midiático"",
IF(REGEXMATCH(B72,""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72" s="21">
        <v>45961.0</v>
      </c>
      <c r="H72" s="22">
        <f t="shared" si="1"/>
        <v>2025</v>
      </c>
      <c r="I72" s="18" t="str">
        <f>IFERROR(__xludf.DUMMYFUNCTION("IF(REGEXMATCH(T72,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IF(REGEXMATCH(T72, ""(?i)\bBrasília\b""), ""Distrito Federal, Brasil"",
REGEXEXTRACT(T72,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72" s="30" t="s">
        <v>198</v>
      </c>
      <c r="K72" s="24"/>
      <c r="L72" s="24" t="s">
        <v>76</v>
      </c>
      <c r="M72" s="25" t="s">
        <v>200</v>
      </c>
      <c r="N72" s="18" t="s">
        <v>144</v>
      </c>
      <c r="O72" s="17" t="s">
        <v>28</v>
      </c>
      <c r="P72" s="17" t="s">
        <v>95</v>
      </c>
      <c r="Q72" s="26">
        <v>45961.0</v>
      </c>
      <c r="R72" s="17" t="s">
        <v>30</v>
      </c>
      <c r="S72" s="27" t="str">
        <f t="shared" si="3"/>
        <v>Aqui</v>
      </c>
      <c r="T72" s="29" t="s">
        <v>231</v>
      </c>
      <c r="U72" s="29"/>
    </row>
    <row r="73">
      <c r="A73" s="16">
        <v>71.0</v>
      </c>
      <c r="B73" s="17" t="s">
        <v>156</v>
      </c>
      <c r="C73" s="18" t="str">
        <f>IFERROR(__xludf.DUMMYFUNCTION("IF(B73="""","""",IF(OR(
  REGEXMATCH(B73,""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REGEXMATCH(B73,""Notícia|Reportagem|Artigo de opinião|Verbete"")
),""Difusão"","""")))
"),"Rememoração")</f>
        <v>Rememoração</v>
      </c>
      <c r="D73" s="19" t="str">
        <f>IFERROR(__xludf.DUMMYFUNCTION("IF(B73="""","""",IF(OR(
  REGEXMATCH(B73,""Performance|Instalação|Álbum|Música|Poema|Livro|Filme|Documentário|Recitação|Espetáculo|Peça|Intervenção|Desfile|Fotografia|Exposição|Charge|Grafite|Leitura pública|Fabricação de cachaça artesanal""),
  REGEXMATC"&amp;"H(B73,""dança|teatral|artístico|musical|artística"")
),""Manifestação artístico-cultural"",
IF(OR(
  REGEXMATCH(B73,""Crônica|Série|Reportagem|Podcast|Audiotour|Entrevista|Vídeo|Rádio|Notícia|Artigo de opinião|Coletiva de imprensa""),
  REGEXMATCH(B73,""m"&amp;"idiática"")
),""Produção midiática"","""")))
"),"Manifestação artístico-cultural")</f>
        <v>Manifestação artístico-cultural</v>
      </c>
      <c r="E73" s="20" t="str">
        <f>IFERROR(__xludf.DUMMYFUNCTION("IF(B73="""","""",IF(OR(
  REGEXMATCH(B73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REGEXMATCH(B73,""público|Imediato|artística|teatral|memória|Ação popular"")
),""Público Imediato"",
IF(REGEXMATCH(B73,""Música|Álbum|Filme|Documentário|S"&amp;"érie|Podcast|Rádio|Audiotour|Entrevista|Reportagem|Crônica|Relatório|Abaixo-assinado|Manifesto|Petição|Poema|Livro|Fotografia|Curta|Live|Webinário|Charge|Leitura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73" s="20" t="str">
        <f>IFERROR(__xludf.DUMMYFUNCTION("IF(B73="""","""",IF(OR(
  REGEXMATCH(B73,""Live|Webinário|Virtual|Verbete""),
  REGEXMATCH(B73,""online"")
),""Virtual"",
IF(REGEXMATCH(B73,""Música|Álbum|Filme|Documentário|Série|Podcast|Rádio|Audiotour|Episódio|Reportagem|Curta|Charge|Vídeo|Entrevista|N"&amp;"otícia|Artigo de opinião""),
""Midiático"",
IF(REGEXMATCH(B73,""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73" s="21">
        <v>45961.0</v>
      </c>
      <c r="H73" s="22">
        <f t="shared" si="1"/>
        <v>2025</v>
      </c>
      <c r="I73" s="18" t="str">
        <f>IFERROR(__xludf.DUMMYFUNCTION("IF(REGEXMATCH(T73,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IF(REGEXMATCH(T73, ""(?i)\bBrasília\b""), ""Distrito Federal, Brasil"",
REGEXEXTRACT(T73,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73" s="30" t="s">
        <v>198</v>
      </c>
      <c r="K73" s="24" t="s">
        <v>232</v>
      </c>
      <c r="L73" s="24" t="s">
        <v>76</v>
      </c>
      <c r="M73" s="25" t="s">
        <v>200</v>
      </c>
      <c r="N73" s="18" t="s">
        <v>144</v>
      </c>
      <c r="O73" s="17" t="s">
        <v>28</v>
      </c>
      <c r="P73" s="17" t="s">
        <v>95</v>
      </c>
      <c r="Q73" s="26">
        <v>45961.0</v>
      </c>
      <c r="R73" s="17" t="s">
        <v>30</v>
      </c>
      <c r="S73" s="27" t="str">
        <f t="shared" si="3"/>
        <v>Aqui</v>
      </c>
      <c r="T73" s="29" t="s">
        <v>233</v>
      </c>
      <c r="U73" s="29"/>
    </row>
    <row r="74">
      <c r="A74" s="16">
        <v>72.0</v>
      </c>
      <c r="B74" s="17" t="s">
        <v>156</v>
      </c>
      <c r="C74" s="18" t="str">
        <f>IFERROR(__xludf.DUMMYFUNCTION("IF(B74="""","""",IF(OR(
  REGEXMATCH(B74,""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REGEXMATCH(B74,""Notícia|Reportagem|Artigo de opinião|Verbete"")
),""Difusão"","""")))
"),"Rememoração")</f>
        <v>Rememoração</v>
      </c>
      <c r="D74" s="19" t="str">
        <f>IFERROR(__xludf.DUMMYFUNCTION("IF(B74="""","""",IF(OR(
  REGEXMATCH(B74,""Performance|Instalação|Álbum|Música|Poema|Livro|Filme|Documentário|Recitação|Espetáculo|Peça|Intervenção|Desfile|Fotografia|Exposição|Charge|Grafite|Leitura pública|Fabricação de cachaça artesanal""),
  REGEXMATC"&amp;"H(B74,""dança|teatral|artístico|musical|artística"")
),""Manifestação artístico-cultural"",
IF(OR(
  REGEXMATCH(B74,""Crônica|Série|Reportagem|Podcast|Audiotour|Entrevista|Vídeo|Rádio|Notícia|Artigo de opinião|Coletiva de imprensa""),
  REGEXMATCH(B74,""m"&amp;"idiática"")
),""Produção midiática"","""")))
"),"Manifestação artístico-cultural")</f>
        <v>Manifestação artístico-cultural</v>
      </c>
      <c r="E74" s="20" t="str">
        <f>IFERROR(__xludf.DUMMYFUNCTION("IF(B74="""","""",IF(OR(
  REGEXMATCH(B74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REGEXMATCH(B74,""público|Imediato|artística|teatral|memória|Ação popular"")
),""Público Imediato"",
IF(REGEXMATCH(B74,""Música|Álbum|Filme|Documentário|S"&amp;"érie|Podcast|Rádio|Audiotour|Entrevista|Reportagem|Crônica|Relatório|Abaixo-assinado|Manifesto|Petição|Poema|Livro|Fotografia|Curta|Live|Webinário|Charge|Leitura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74" s="20" t="str">
        <f>IFERROR(__xludf.DUMMYFUNCTION("IF(B74="""","""",IF(OR(
  REGEXMATCH(B74,""Live|Webinário|Virtual|Verbete""),
  REGEXMATCH(B74,""online"")
),""Virtual"",
IF(REGEXMATCH(B74,""Música|Álbum|Filme|Documentário|Série|Podcast|Rádio|Audiotour|Episódio|Reportagem|Curta|Charge|Vídeo|Entrevista|N"&amp;"otícia|Artigo de opinião""),
""Midiático"",
IF(REGEXMATCH(B74,""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74" s="21">
        <v>45962.0</v>
      </c>
      <c r="H74" s="22">
        <f t="shared" si="1"/>
        <v>2025</v>
      </c>
      <c r="I74" s="18" t="str">
        <f>IFERROR(__xludf.DUMMYFUNCTION("IF(REGEXMATCH(T74,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IF(REGEXMATCH(T74, ""(?i)\bBrasília\b""), ""Distrito Federal, Brasil"",
REGEXEXTRACT(T74,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74" s="30" t="s">
        <v>234</v>
      </c>
      <c r="K74" s="24" t="s">
        <v>235</v>
      </c>
      <c r="L74" s="24" t="s">
        <v>76</v>
      </c>
      <c r="M74" s="25" t="s">
        <v>200</v>
      </c>
      <c r="N74" s="18" t="s">
        <v>144</v>
      </c>
      <c r="O74" s="17" t="s">
        <v>28</v>
      </c>
      <c r="P74" s="17" t="s">
        <v>95</v>
      </c>
      <c r="Q74" s="26">
        <v>45963.0</v>
      </c>
      <c r="R74" s="17" t="s">
        <v>30</v>
      </c>
      <c r="S74" s="27" t="str">
        <f t="shared" si="3"/>
        <v>Aqui</v>
      </c>
      <c r="T74" s="29" t="s">
        <v>236</v>
      </c>
      <c r="U74" s="29"/>
    </row>
    <row r="75">
      <c r="A75" s="16">
        <v>73.0</v>
      </c>
      <c r="B75" s="17" t="s">
        <v>237</v>
      </c>
      <c r="C75" s="18" t="str">
        <f>IFERROR(__xludf.DUMMYFUNCTION("IF(B75="""","""",IF(OR(
  REGEXMATCH(B75,""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REGEXMATCH(B75,""Notícia|Reportagem|Artigo de opinião|Verbete"")
),""Difusão"","""")))
"),"Rememoração")</f>
        <v>Rememoração</v>
      </c>
      <c r="D75" s="19" t="str">
        <f>IFERROR(__xludf.DUMMYFUNCTION("IF(B75="""","""",IF(OR(
  REGEXMATCH(B75,""Performance|Instalação|Álbum|Música|Poema|Livro|Filme|Documentário|Recitação|Espetáculo|Peça|Intervenção|Desfile|Fotografia|Exposição|Charge|Grafite|Leitura pública|Fabricação de cachaça artesanal""),
  REGEXMATC"&amp;"H(B75,""dança|teatral|artístico|musical|artística"")
),""Manifestação artístico-cultural"",
IF(OR(
  REGEXMATCH(B75,""Crônica|Série|Reportagem|Podcast|Audiotour|Entrevista|Vídeo|Rádio|Notícia|Artigo de opinião|Coletiva de imprensa""),
  REGEXMATCH(B75,""m"&amp;"idiática"")
),""Produção midiática"","""")))
"),"")</f>
        <v/>
      </c>
      <c r="E75" s="20" t="str">
        <f>IFERROR(__xludf.DUMMYFUNCTION("IF(B75="""","""",IF(OR(
  REGEXMATCH(B75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REGEXMATCH(B75,""público|Imediato|artística|teatral|memória|Ação popular"")
),""Público Imediato"",
IF(REGEXMATCH(B75,""Música|Álbum|Filme|Documentário|S"&amp;"érie|Podcast|Rádio|Audiotour|Entrevista|Reportagem|Crônica|Relatório|Abaixo-assinado|Manifesto|Petição|Poema|Livro|Fotografia|Curta|Live|Webinário|Charge|Leitura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Imediato")</f>
        <v>Público Imediato</v>
      </c>
      <c r="F75" s="20" t="str">
        <f>IFERROR(__xludf.DUMMYFUNCTION("IF(B75="""","""",IF(OR(
  REGEXMATCH(B75,""Live|Webinário|Virtual|Verbete""),
  REGEXMATCH(B75,""online"")
),""Virtual"",
IF(REGEXMATCH(B75,""Música|Álbum|Filme|Documentário|Série|Podcast|Rádio|Audiotour|Episódio|Reportagem|Curta|Charge|Vídeo|Entrevista|N"&amp;"otícia|Artigo de opinião""),
""Midiático"",
IF(REGEXMATCH(B75,""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75" s="21">
        <v>45961.0</v>
      </c>
      <c r="H75" s="22">
        <f t="shared" si="1"/>
        <v>2025</v>
      </c>
      <c r="I75" s="18" t="str">
        <f>IFERROR(__xludf.DUMMYFUNCTION("IF(REGEXMATCH(T75,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IF(REGEXMATCH(T75, ""(?i)\bBrasília\b""), ""Distrito Federal, Brasil"",
REGEXEXTRACT(T75,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75" s="30" t="s">
        <v>238</v>
      </c>
      <c r="K75" s="24" t="s">
        <v>239</v>
      </c>
      <c r="L75" s="24" t="s">
        <v>76</v>
      </c>
      <c r="M75" s="25" t="s">
        <v>240</v>
      </c>
      <c r="N75" s="18" t="s">
        <v>144</v>
      </c>
      <c r="O75" s="17" t="s">
        <v>28</v>
      </c>
      <c r="P75" s="17" t="s">
        <v>95</v>
      </c>
      <c r="Q75" s="26">
        <v>45963.0</v>
      </c>
      <c r="R75" s="17" t="s">
        <v>30</v>
      </c>
      <c r="S75" s="27" t="str">
        <f t="shared" si="3"/>
        <v>Aqui</v>
      </c>
      <c r="T75" s="29" t="s">
        <v>241</v>
      </c>
      <c r="U75" s="29"/>
    </row>
    <row r="76">
      <c r="A76" s="16">
        <v>74.0</v>
      </c>
      <c r="B76" s="17" t="s">
        <v>156</v>
      </c>
      <c r="C76" s="18" t="str">
        <f>IFERROR(__xludf.DUMMYFUNCTION("IF(B76="""","""",IF(OR(
  REGEXMATCH(B76,""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REGEXMATCH(B76,""Notícia|Reportagem|Artigo de opinião|Verbete"")
),""Difusão"","""")))
"),"Rememoração")</f>
        <v>Rememoração</v>
      </c>
      <c r="D76" s="19" t="str">
        <f>IFERROR(__xludf.DUMMYFUNCTION("IF(B76="""","""",IF(OR(
  REGEXMATCH(B76,""Performance|Instalação|Álbum|Música|Poema|Livro|Filme|Documentário|Recitação|Espetáculo|Peça|Intervenção|Desfile|Fotografia|Exposição|Charge|Grafite|Leitura pública|Fabricação de cachaça artesanal""),
  REGEXMATC"&amp;"H(B76,""dança|teatral|artístico|musical|artística"")
),""Manifestação artístico-cultural"",
IF(OR(
  REGEXMATCH(B76,""Crônica|Série|Reportagem|Podcast|Audiotour|Entrevista|Vídeo|Rádio|Notícia|Artigo de opinião|Coletiva de imprensa""),
  REGEXMATCH(B76,""m"&amp;"idiática"")
),""Produção midiática"","""")))
"),"Manifestação artístico-cultural")</f>
        <v>Manifestação artístico-cultural</v>
      </c>
      <c r="E76" s="20" t="str">
        <f>IFERROR(__xludf.DUMMYFUNCTION("IF(B76="""","""",IF(OR(
  REGEXMATCH(B76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REGEXMATCH(B76,""público|Imediato|artística|teatral|memória|Ação popular"")
),""Público Imediato"",
IF(REGEXMATCH(B76,""Música|Álbum|Filme|Documentário|S"&amp;"érie|Podcast|Rádio|Audiotour|Entrevista|Reportagem|Crônica|Relatório|Abaixo-assinado|Manifesto|Petição|Poema|Livro|Fotografia|Curta|Live|Webinário|Charge|Leitura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76" s="20" t="str">
        <f>IFERROR(__xludf.DUMMYFUNCTION("IF(B76="""","""",IF(OR(
  REGEXMATCH(B76,""Live|Webinário|Virtual|Verbete""),
  REGEXMATCH(B76,""online"")
),""Virtual"",
IF(REGEXMATCH(B76,""Música|Álbum|Filme|Documentário|Série|Podcast|Rádio|Audiotour|Episódio|Reportagem|Curta|Charge|Vídeo|Entrevista|N"&amp;"otícia|Artigo de opinião""),
""Midiático"",
IF(REGEXMATCH(B76,""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76" s="21">
        <v>45961.0</v>
      </c>
      <c r="H76" s="22">
        <f t="shared" si="1"/>
        <v>2025</v>
      </c>
      <c r="I76" s="18" t="str">
        <f>IFERROR(__xludf.DUMMYFUNCTION("IF(REGEXMATCH(T76,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IF(REGEXMATCH(T76, ""(?i)\bBrasília\b""), ""Distrito Federal, Brasil"",
REGEXEXTRACT(T76,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76" s="30" t="s">
        <v>242</v>
      </c>
      <c r="K76" s="24" t="s">
        <v>243</v>
      </c>
      <c r="L76" s="24" t="s">
        <v>76</v>
      </c>
      <c r="M76" s="25" t="s">
        <v>200</v>
      </c>
      <c r="N76" s="18" t="s">
        <v>144</v>
      </c>
      <c r="O76" s="17" t="s">
        <v>28</v>
      </c>
      <c r="P76" s="17" t="s">
        <v>95</v>
      </c>
      <c r="Q76" s="26">
        <v>45963.0</v>
      </c>
      <c r="R76" s="17" t="s">
        <v>30</v>
      </c>
      <c r="S76" s="27" t="str">
        <f t="shared" si="3"/>
        <v>Aqui</v>
      </c>
      <c r="T76" s="29" t="s">
        <v>244</v>
      </c>
      <c r="U76" s="29"/>
    </row>
    <row r="77">
      <c r="A77" s="16">
        <v>75.0</v>
      </c>
      <c r="B77" s="17" t="s">
        <v>245</v>
      </c>
      <c r="C77" s="18" t="str">
        <f>IFERROR(__xludf.DUMMYFUNCTION("IF(B77="""","""",IF(OR(
  REGEXMATCH(B77,""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REGEXMATCH(B77,""Notícia|Reportagem|Artigo de opinião|Verbete"")
),""Difusão"","""")))
"),"Rememoração")</f>
        <v>Rememoração</v>
      </c>
      <c r="D77" s="19" t="str">
        <f>IFERROR(__xludf.DUMMYFUNCTION("IF(B77="""","""",IF(OR(
  REGEXMATCH(B77,""Performance|Instalação|Álbum|Música|Poema|Livro|Filme|Documentário|Recitação|Espetáculo|Peça|Intervenção|Desfile|Fotografia|Exposição|Charge|Grafite|Leitura pública|Fabricação de cachaça artesanal""),
  REGEXMATC"&amp;"H(B77,""dança|teatral|artístico|musical|artística"")
),""Manifestação artístico-cultural"",
IF(OR(
  REGEXMATCH(B77,""Crônica|Série|Reportagem|Podcast|Audiotour|Entrevista|Vídeo|Rádio|Notícia|Artigo de opinião|Coletiva de imprensa""),
  REGEXMATCH(B77,""m"&amp;"idiática"")
),""Produção midiática"","""")))
"),"Produção midiática")</f>
        <v>Produção midiática</v>
      </c>
      <c r="E77" s="20" t="str">
        <f>IFERROR(__xludf.DUMMYFUNCTION("IF(B77="""","""",IF(OR(
  REGEXMATCH(B77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REGEXMATCH(B77,""público|Imediato|artística|teatral|memória|Ação popular"")
),""Público Imediato"",
IF(REGEXMATCH(B77,""Música|Álbum|Filme|Documentário|S"&amp;"érie|Podcast|Rádio|Audiotour|Entrevista|Reportagem|Crônica|Relatório|Abaixo-assinado|Manifesto|Petição|Poema|Livro|Fotografia|Curta|Live|Webinário|Charge|Leitura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77" s="20" t="str">
        <f>IFERROR(__xludf.DUMMYFUNCTION("IF(B77="""","""",IF(OR(
  REGEXMATCH(B77,""Live|Webinário|Virtual|Verbete""),
  REGEXMATCH(B77,""online"")
),""Virtual"",
IF(REGEXMATCH(B77,""Música|Álbum|Filme|Documentário|Série|Podcast|Rádio|Audiotour|Episódio|Reportagem|Curta|Charge|Vídeo|Entrevista|N"&amp;"otícia|Artigo de opinião""),
""Midiático"",
IF(REGEXMATCH(B77,""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77" s="21">
        <v>45961.0</v>
      </c>
      <c r="H77" s="22">
        <f t="shared" si="1"/>
        <v>2025</v>
      </c>
      <c r="I77" s="18" t="str">
        <f>IFERROR(__xludf.DUMMYFUNCTION("IF(REGEXMATCH(T77,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IF(REGEXMATCH(T77, ""(?i)\bBrasília\b""), ""Distrito Federal, Brasil"",
REGEXEXTRACT(T77,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77" s="30" t="s">
        <v>140</v>
      </c>
      <c r="K77" s="24"/>
      <c r="L77" s="24" t="s">
        <v>194</v>
      </c>
      <c r="M77" s="25" t="s">
        <v>143</v>
      </c>
      <c r="N77" s="18" t="s">
        <v>144</v>
      </c>
      <c r="O77" s="17" t="s">
        <v>28</v>
      </c>
      <c r="P77" s="17" t="s">
        <v>95</v>
      </c>
      <c r="Q77" s="26">
        <v>45963.0</v>
      </c>
      <c r="R77" s="17" t="s">
        <v>30</v>
      </c>
      <c r="S77" s="27" t="str">
        <f t="shared" si="3"/>
        <v>Aqui</v>
      </c>
      <c r="T77" s="29" t="s">
        <v>246</v>
      </c>
      <c r="U77" s="29"/>
    </row>
    <row r="78">
      <c r="A78" s="16">
        <v>76.0</v>
      </c>
      <c r="B78" s="17" t="s">
        <v>156</v>
      </c>
      <c r="C78" s="18" t="str">
        <f>IFERROR(__xludf.DUMMYFUNCTION("IF(B78="""","""",IF(OR(
  REGEXMATCH(B78,""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REGEXMATCH(B78,""Notícia|Reportagem|Artigo de opinião|Verbete"")
),""Difusão"","""")))
"),"Rememoração")</f>
        <v>Rememoração</v>
      </c>
      <c r="D78" s="19" t="str">
        <f>IFERROR(__xludf.DUMMYFUNCTION("IF(B78="""","""",IF(OR(
  REGEXMATCH(B78,""Performance|Instalação|Álbum|Música|Poema|Livro|Filme|Documentário|Recitação|Espetáculo|Peça|Intervenção|Desfile|Fotografia|Exposição|Charge|Grafite|Leitura pública|Fabricação de cachaça artesanal""),
  REGEXMATC"&amp;"H(B78,""dança|teatral|artístico|musical|artística"")
),""Manifestação artístico-cultural"",
IF(OR(
  REGEXMATCH(B78,""Crônica|Série|Reportagem|Podcast|Audiotour|Entrevista|Vídeo|Rádio|Notícia|Artigo de opinião|Coletiva de imprensa""),
  REGEXMATCH(B78,""m"&amp;"idiática"")
),""Produção midiática"","""")))
"),"Manifestação artístico-cultural")</f>
        <v>Manifestação artístico-cultural</v>
      </c>
      <c r="E78" s="20" t="str">
        <f>IFERROR(__xludf.DUMMYFUNCTION("IF(B78="""","""",IF(OR(
  REGEXMATCH(B78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REGEXMATCH(B78,""público|Imediato|artística|teatral|memória|Ação popular"")
),""Público Imediato"",
IF(REGEXMATCH(B78,""Música|Álbum|Filme|Documentário|S"&amp;"érie|Podcast|Rádio|Audiotour|Entrevista|Reportagem|Crônica|Relatório|Abaixo-assinado|Manifesto|Petição|Poema|Livro|Fotografia|Curta|Live|Webinário|Charge|Leitura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78" s="20" t="str">
        <f>IFERROR(__xludf.DUMMYFUNCTION("IF(B78="""","""",IF(OR(
  REGEXMATCH(B78,""Live|Webinário|Virtual|Verbete""),
  REGEXMATCH(B78,""online"")
),""Virtual"",
IF(REGEXMATCH(B78,""Música|Álbum|Filme|Documentário|Série|Podcast|Rádio|Audiotour|Episódio|Reportagem|Curta|Charge|Vídeo|Entrevista|N"&amp;"otícia|Artigo de opinião""),
""Midiático"",
IF(REGEXMATCH(B78,""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"),"Presencial/Físico")</f>
        <v>Presencial/Físico</v>
      </c>
      <c r="G78" s="21">
        <v>45961.0</v>
      </c>
      <c r="H78" s="22">
        <f t="shared" si="1"/>
        <v>2025</v>
      </c>
      <c r="I78" s="18" t="str">
        <f>IFERROR(__xludf.DUMMYFUNCTION("IF(REGEXMATCH(T78,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IF(REGEXMATCH(T78, ""(?i)\bBrasília\b""), ""Distrito Federal, Brasil"",
REGEXEXTRACT(T78,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78" s="30" t="s">
        <v>175</v>
      </c>
      <c r="K78" s="24" t="s">
        <v>247</v>
      </c>
      <c r="L78" s="24" t="s">
        <v>76</v>
      </c>
      <c r="M78" s="25" t="s">
        <v>200</v>
      </c>
      <c r="N78" s="18" t="s">
        <v>177</v>
      </c>
      <c r="O78" s="17" t="s">
        <v>28</v>
      </c>
      <c r="P78" s="17" t="s">
        <v>95</v>
      </c>
      <c r="Q78" s="26">
        <v>45963.0</v>
      </c>
      <c r="R78" s="17" t="s">
        <v>30</v>
      </c>
      <c r="S78" s="27" t="str">
        <f t="shared" si="3"/>
        <v>Aqui</v>
      </c>
      <c r="T78" s="29" t="s">
        <v>248</v>
      </c>
      <c r="U78" s="29"/>
    </row>
    <row r="79">
      <c r="A79" s="16">
        <v>77.0</v>
      </c>
      <c r="B79" s="17" t="s">
        <v>23</v>
      </c>
      <c r="C79" s="18" t="str">
        <f>IFERROR(__xludf.DUMMYFUNCTION("IF(B79="""","""",IF(OR(
  REGEXMATCH(B79,""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REGEXMATCH(B79,""Notícia|Reportagem|Artigo de opinião|Verbete"")
),""Difusão"","""")))
"),"Difusão")</f>
        <v>Difusão</v>
      </c>
      <c r="D79" s="19" t="str">
        <f>IFERROR(__xludf.DUMMYFUNCTION("IF(B79="""","""",IF(OR(
  REGEXMATCH(B79,""Performance|Instalação|Álbum|Música|Poema|Livro|Filme|Documentário|Recitação|Espetáculo|Peça|Intervenção|Desfile|Fotografia|Exposição|Charge|Grafite|Leitura pública|Fabricação de cachaça artesanal""),
  REGEXMATC"&amp;"H(B79,""dança|teatral|artístico|musical|artística"")
),""Manifestação artístico-cultural"",
IF(OR(
  REGEXMATCH(B79,""Crônica|Série|Reportagem|Podcast|Audiotour|Entrevista|Vídeo|Rádio|Notícia|Artigo de opinião|Coletiva de imprensa""),
  REGEXMATCH(B79,""m"&amp;"idiática"")
),""Produção midiática"","""")))
"),"Produção midiática")</f>
        <v>Produção midiática</v>
      </c>
      <c r="E79" s="20" t="str">
        <f>IFERROR(__xludf.DUMMYFUNCTION("IF(B79="""","""",IF(OR(
  REGEXMATCH(B79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REGEXMATCH(B79,""público|Imediato|artística|teatral|memória|Ação popular"")
),""Público Imediato"",
IF(REGEXMATCH(B79,""Música|Álbum|Filme|Documentário|S"&amp;"érie|Podcast|Rádio|Audiotour|Entrevista|Reportagem|Crônica|Relatório|Abaixo-assinado|Manifesto|Petição|Poema|Livro|Fotografia|Curta|Live|Webinário|Charge|Leitura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79" s="20" t="str">
        <f>IFERROR(__xludf.DUMMYFUNCTION("IF(B79="""","""",IF(OR(
  REGEXMATCH(B79,""Live|Webinário|Virtual|Verbete""),
  REGEXMATCH(B79,""online"")
),""Virtual"",
IF(REGEXMATCH(B79,""Música|Álbum|Filme|Documentário|Série|Podcast|Rádio|Audiotour|Episódio|Reportagem|Curta|Charge|Vídeo|Entrevista|N"&amp;"otícia|Artigo de opinião""),
""Midiático"",
IF(REGEXMATCH(B79,""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79" s="21" t="str">
        <f>IFERROR(__xludf.DUMMYFUNCTION("IF(C79=""rememoração"", ""Insira a data manualmente"", IF(C79=""difusão"", 
 IF(NOT(ISERROR(REGEXEXTRACT(T79, ""(\d{1,2}) jan\. 2025""))), 
  TEXT(DATE(2025,1,REGEXEXTRACT(T79, ""(\d{1,2}) jan\. 2025"")), ""dd/mm/yyyy""),
 IF(NOT(ISERROR(REGEXEXTRACT(T79,"&amp;" ""(\d{1,2}) fev\. 2025""))), 
  TEXT(DATE(2025,2,REGEXEXTRACT(T79, ""(\d{1,2}) fev\. 2025"")), ""dd/mm/yyyy""),
 IF(NOT(ISERROR(REGEXEXTRACT(T79, ""(\d{1,2}) mar\. 2025""))), 
  TEXT(DATE(2025,3,REGEXEXTRACT(T79, ""(\d{1,2}) mar\. 2025"")), ""dd/mm/yyyy"&amp;"""),
 IF(NOT(ISERROR(REGEXEXTRACT(T79, ""(\d{1,2}) abr\. 2025""))), 
  TEXT(DATE(2025,4,REGEXEXTRACT(T79, ""(\d{1,2}) abr\. 2025"")), ""dd/mm/yyyy""),
 IF(NOT(ISERROR(REGEXEXTRACT(T79, ""(\d{1,2}) (mai|maio)\. 2025""))), 
  TEXT(DATE(2025,5,REGEXEXTRACT(T"&amp;"79, ""(\d{1,2}) (mai|maio)\. 2025"")), ""dd/mm/yyyy""),
 IF(NOT(ISERROR(REGEXEXTRACT(T79, ""(\d{1,2}) jun\. 2025""))), 
  TEXT(DATE(2025,6,REGEXEXTRACT(T79, ""(\d{1,2}) jun\. 2025"")), ""dd/mm/yyyy""),
 IF(NOT(ISERROR(REGEXEXTRACT(T79, ""(\d{1,2}) jul\. 2"&amp;"025""))), 
  TEXT(DATE(2025,7,REGEXEXTRACT(T79, ""(\d{1,2}) jul\. 2025"")), ""dd/mm/yyyy""),
 IF(NOT(ISERROR(REGEXEXTRACT(T79, ""(\d{1,2}) ago\. 2025""))), 
  TEXT(DATE(2025,8,REGEXEXTRACT(T79, ""(\d{1,2}) ago\. 2025"")), ""dd/mm/yyyy""),
 IF(NOT(ISERROR("&amp;"REGEXEXTRACT(T79, ""(\d{1,2}) set\. 2025""))), 
  TEXT(DATE(2025,9,REGEXEXTRACT(T79, ""(\d{1,2}) set\. 2025"")), ""dd/mm/yyyy""),
 IF(NOT(ISERROR(REGEXEXTRACT(T79, ""(\d{1,2}) out\. 2025""))), 
  TEXT(DATE(2025,10,REGEXEXTRACT(T79, ""(\d{1,2}) out\. 2025"&amp;""")), ""dd/mm/yyyy""),
 IF(NOT(ISERROR(REGEXEXTRACT(T79, ""(\d{1,2}) nov\. 2025""))), 
  TEXT(DATE(2025,11,REGEXEXTRACT(T79, ""(\d{1,2}) nov\. 2025"")), ""dd/mm/yyyy""),
 IF(NOT(ISERROR(REGEXEXTRACT(T79, ""(\d{1,2}) dez\. 2025""))), 
  TEXT(DATE(2025,12,R"&amp;"EGEXEXTRACT(T79, ""(\d{1,2}) dez\. 2025"")), ""dd/mm/yyyy""),
 ""Insira a data manualmente"")))))))))))), """"))"),"29/10/2025")</f>
        <v>29/10/2025</v>
      </c>
      <c r="H79" s="22">
        <f t="shared" si="1"/>
        <v>2025</v>
      </c>
      <c r="I79" s="18" t="str">
        <f>IFERROR(__xludf.DUMMYFUNCTION("IF(REGEXMATCH(T79,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IF(REGEXMATCH(T79, ""(?i)\bBrasília\b""), ""Distrito Federal, Brasil"",
REGEXEXTRACT(T79,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79" s="30" t="s">
        <v>249</v>
      </c>
      <c r="K79" s="24" t="s">
        <v>250</v>
      </c>
      <c r="L79" s="24" t="s">
        <v>26</v>
      </c>
      <c r="M79" s="25" t="s">
        <v>27</v>
      </c>
      <c r="N79" s="18" t="str">
        <f>IF(C79="difusão", J79, IF(C79="rememoração", "Inserir fonte manualmente", ""))</f>
        <v>Kintê Notícias</v>
      </c>
      <c r="O79" s="17" t="s">
        <v>28</v>
      </c>
      <c r="P79" s="17" t="s">
        <v>251</v>
      </c>
      <c r="Q79" s="26">
        <v>45963.0</v>
      </c>
      <c r="R79" s="17" t="s">
        <v>30</v>
      </c>
      <c r="S79" s="27" t="str">
        <f t="shared" si="3"/>
        <v>Aqui</v>
      </c>
      <c r="T79" s="29" t="s">
        <v>252</v>
      </c>
      <c r="U79" s="29"/>
    </row>
    <row r="80">
      <c r="A80" s="16">
        <v>78.0</v>
      </c>
      <c r="B80" s="17" t="s">
        <v>253</v>
      </c>
      <c r="C80" s="18" t="str">
        <f>IFERROR(__xludf.DUMMYFUNCTION("IF(B80="""","""",IF(OR(
  REGEXMATCH(B80,""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REGEXMATCH(B80,""Notícia|Reportagem|Artigo de opinião|Verbete"")
),""Difusão"","""")))
"),"Rememoração")</f>
        <v>Rememoração</v>
      </c>
      <c r="D80" s="19" t="str">
        <f>IFERROR(__xludf.DUMMYFUNCTION("IF(B80="""","""",IF(OR(
  REGEXMATCH(B80,""Performance|Instalação|Álbum|Música|Poema|Livro|Filme|Documentário|Recitação|Espetáculo|Peça|Intervenção|Desfile|Fotografia|Exposição|Charge|Grafite|Leitura pública|Fabricação de cachaça artesanal""),
  REGEXMATC"&amp;"H(B80,""dança|teatral|artístico|musical|artística"")
),""Manifestação artístico-cultural"",
IF(OR(
  REGEXMATCH(B80,""Crônica|Série|Reportagem|Podcast|Audiotour|Entrevista|Vídeo|Rádio|Notícia|Artigo de opinião|Coletiva de imprensa""),
  REGEXMATCH(B80,""m"&amp;"idiática"")
),""Produção midiática"","""")))
"),"")</f>
        <v/>
      </c>
      <c r="E80" s="20" t="str">
        <f>IFERROR(__xludf.DUMMYFUNCTION("IF(B80="""","""",IF(OR(
  REGEXMATCH(B80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REGEXMATCH(B80,""público|Imediato|artística|teatral|memória|Ação popular"")
),""Público Imediato"",
IF(REGEXMATCH(B80,""Música|Álbum|Filme|Documentário|S"&amp;"érie|Podcast|Rádio|Audiotour|Entrevista|Reportagem|Crônica|Relatório|Abaixo-assinado|Manifesto|Petição|Poema|Livro|Fotografia|Curta|Live|Webinário|Charge|Leitura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80" s="20" t="str">
        <f>IFERROR(__xludf.DUMMYFUNCTION("IF(B80="""","""",IF(OR(
  REGEXMATCH(B80,""Live|Webinário|Virtual|Verbete""),
  REGEXMATCH(B80,""online"")
),""Virtual"",
IF(REGEXMATCH(B80,""Música|Álbum|Filme|Documentário|Série|Podcast|Rádio|Audiotour|Episódio|Reportagem|Curta|Charge|Vídeo|Entrevista|N"&amp;"otícia|Artigo de opinião""),
""Midiático"",
IF(REGEXMATCH(B80,""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f>
        <v/>
      </c>
      <c r="G80" s="35">
        <v>45960.0</v>
      </c>
      <c r="H80" s="22">
        <f t="shared" si="1"/>
        <v>2025</v>
      </c>
      <c r="I80" s="18" t="str">
        <f>IFERROR(__xludf.DUMMYFUNCTION("IF(REGEXMATCH(T80,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IF(REGEXMATCH(T80, ""(?i)\bBrasília\b""), ""Distrito Federal, Brasil"",
REGEXEXTRACT(T80,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80" s="30" t="s">
        <v>254</v>
      </c>
      <c r="K80" s="24" t="s">
        <v>255</v>
      </c>
      <c r="L80" s="24" t="s">
        <v>189</v>
      </c>
      <c r="M80" s="25" t="s">
        <v>27</v>
      </c>
      <c r="N80" s="18" t="s">
        <v>256</v>
      </c>
      <c r="O80" s="17" t="s">
        <v>28</v>
      </c>
      <c r="P80" s="17" t="s">
        <v>251</v>
      </c>
      <c r="Q80" s="26">
        <v>45963.0</v>
      </c>
      <c r="R80" s="17" t="s">
        <v>30</v>
      </c>
      <c r="S80" s="27" t="str">
        <f t="shared" si="3"/>
        <v>Aqui</v>
      </c>
      <c r="T80" s="29" t="s">
        <v>257</v>
      </c>
      <c r="U80" s="29"/>
    </row>
    <row r="81">
      <c r="A81" s="16">
        <v>79.0</v>
      </c>
      <c r="B81" s="17" t="s">
        <v>258</v>
      </c>
      <c r="C81" s="18" t="str">
        <f>IFERROR(__xludf.DUMMYFUNCTION("IF(B81="""","""",IF(OR(
  REGEXMATCH(B81,""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REGEXMATCH(B81,""Notícia|Reportagem|Artigo de opinião|Verbete"")
),""Difusão"","""")))
"),"Difusão")</f>
        <v>Difusão</v>
      </c>
      <c r="D81" s="19" t="str">
        <f>IFERROR(__xludf.DUMMYFUNCTION("IF(B81="""","""",IF(OR(
  REGEXMATCH(B81,""Performance|Instalação|Álbum|Música|Poema|Livro|Filme|Documentário|Recitação|Espetáculo|Peça|Intervenção|Desfile|Fotografia|Exposição|Charge|Grafite|Leitura pública|Fabricação de cachaça artesanal""),
  REGEXMATC"&amp;"H(B81,""dança|teatral|artístico|musical|artística"")
),""Manifestação artístico-cultural"",
IF(OR(
  REGEXMATCH(B81,""Crônica|Série|Reportagem|Podcast|Audiotour|Entrevista|Vídeo|Rádio|Notícia|Artigo de opinião|Coletiva de imprensa""),
  REGEXMATCH(B81,""m"&amp;"idiática"")
),""Produção midiática"","""")))
"),"")</f>
        <v/>
      </c>
      <c r="E81" s="20" t="str">
        <f>IFERROR(__xludf.DUMMYFUNCTION("IF(B81="""","""",IF(OR(
  REGEXMATCH(B81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REGEXMATCH(B81,""público|Imediato|artística|teatral|memória|Ação popular"")
),""Público Imediato"",
IF(REGEXMATCH(B81,""Música|Álbum|Filme|Documentário|S"&amp;"érie|Podcast|Rádio|Audiotour|Entrevista|Reportagem|Crônica|Relatório|Abaixo-assinado|Manifesto|Petição|Poema|Livro|Fotografia|Curta|Live|Webinário|Charge|Leitura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81" s="20" t="str">
        <f>IFERROR(__xludf.DUMMYFUNCTION("IF(B81="""","""",IF(OR(
  REGEXMATCH(B81,""Live|Webinário|Virtual|Verbete""),
  REGEXMATCH(B81,""online"")
),""Virtual"",
IF(REGEXMATCH(B81,""Música|Álbum|Filme|Documentário|Série|Podcast|Rádio|Audiotour|Episódio|Reportagem|Curta|Charge|Vídeo|Entrevista|N"&amp;"otícia|Artigo de opinião""),
""Midiático"",
IF(REGEXMATCH(B81,""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"),"Virtual")</f>
        <v>Virtual</v>
      </c>
      <c r="G81" s="21" t="str">
        <f>IFERROR(__xludf.DUMMYFUNCTION("IF(C81=""rememoração"", ""Insira a data manualmente"", IF(C81=""difusão"", 
 IF(NOT(ISERROR(REGEXEXTRACT(T81, ""(\d{1,2}) jan\. 2025""))), 
  TEXT(DATE(2025,1,REGEXEXTRACT(T81, ""(\d{1,2}) jan\. 2025"")), ""dd/mm/yyyy""),
 IF(NOT(ISERROR(REGEXEXTRACT(T81,"&amp;" ""(\d{1,2}) fev\. 2025""))), 
  TEXT(DATE(2025,2,REGEXEXTRACT(T81, ""(\d{1,2}) fev\. 2025"")), ""dd/mm/yyyy""),
 IF(NOT(ISERROR(REGEXEXTRACT(T81, ""(\d{1,2}) mar\. 2025""))), 
  TEXT(DATE(2025,3,REGEXEXTRACT(T81, ""(\d{1,2}) mar\. 2025"")), ""dd/mm/yyyy"&amp;"""),
 IF(NOT(ISERROR(REGEXEXTRACT(T81, ""(\d{1,2}) abr\. 2025""))), 
  TEXT(DATE(2025,4,REGEXEXTRACT(T81, ""(\d{1,2}) abr\. 2025"")), ""dd/mm/yyyy""),
 IF(NOT(ISERROR(REGEXEXTRACT(T81, ""(\d{1,2}) (mai|maio)\. 2025""))), 
  TEXT(DATE(2025,5,REGEXEXTRACT(T"&amp;"81, ""(\d{1,2}) (mai|maio)\. 2025"")), ""dd/mm/yyyy""),
 IF(NOT(ISERROR(REGEXEXTRACT(T81, ""(\d{1,2}) jun\. 2025""))), 
  TEXT(DATE(2025,6,REGEXEXTRACT(T81, ""(\d{1,2}) jun\. 2025"")), ""dd/mm/yyyy""),
 IF(NOT(ISERROR(REGEXEXTRACT(T81, ""(\d{1,2}) jul\. 2"&amp;"025""))), 
  TEXT(DATE(2025,7,REGEXEXTRACT(T81, ""(\d{1,2}) jul\. 2025"")), ""dd/mm/yyyy""),
 IF(NOT(ISERROR(REGEXEXTRACT(T81, ""(\d{1,2}) ago\. 2025""))), 
  TEXT(DATE(2025,8,REGEXEXTRACT(T81, ""(\d{1,2}) ago\. 2025"")), ""dd/mm/yyyy""),
 IF(NOT(ISERROR("&amp;"REGEXEXTRACT(T81, ""(\d{1,2}) set\. 2025""))), 
  TEXT(DATE(2025,9,REGEXEXTRACT(T81, ""(\d{1,2}) set\. 2025"")), ""dd/mm/yyyy""),
 IF(NOT(ISERROR(REGEXEXTRACT(T81, ""(\d{1,2}) out\. 2025""))), 
  TEXT(DATE(2025,10,REGEXEXTRACT(T81, ""(\d{1,2}) out\. 2025"&amp;""")), ""dd/mm/yyyy""),
 IF(NOT(ISERROR(REGEXEXTRACT(T81, ""(\d{1,2}) nov\. 2025""))), 
  TEXT(DATE(2025,11,REGEXEXTRACT(T81, ""(\d{1,2}) nov\. 2025"")), ""dd/mm/yyyy""),
 IF(NOT(ISERROR(REGEXEXTRACT(T81, ""(\d{1,2}) dez\. 2025""))), 
  TEXT(DATE(2025,12,R"&amp;"EGEXEXTRACT(T81, ""(\d{1,2}) dez\. 2025"")), ""dd/mm/yyyy""),
 ""Insira a data manualmente"")))))))))))), """"))"),"02/11/2025")</f>
        <v>02/11/2025</v>
      </c>
      <c r="H81" s="22">
        <f t="shared" si="1"/>
        <v>2025</v>
      </c>
      <c r="I81" s="18" t="s">
        <v>259</v>
      </c>
      <c r="J81" s="30" t="s">
        <v>260</v>
      </c>
      <c r="K81" s="24" t="s">
        <v>261</v>
      </c>
      <c r="L81" s="24" t="s">
        <v>189</v>
      </c>
      <c r="M81" s="25" t="s">
        <v>27</v>
      </c>
      <c r="N81" s="18" t="str">
        <f t="shared" ref="N81:N109" si="6">IF(C81="difusão", J81, IF(C81="rememoração", "Inserir fonte manualmente", ""))</f>
        <v>Wikipedia</v>
      </c>
      <c r="O81" s="17" t="s">
        <v>28</v>
      </c>
      <c r="P81" s="17" t="s">
        <v>251</v>
      </c>
      <c r="Q81" s="26">
        <v>45963.0</v>
      </c>
      <c r="R81" s="17" t="s">
        <v>30</v>
      </c>
      <c r="S81" s="27" t="str">
        <f t="shared" si="3"/>
        <v>Aqui</v>
      </c>
      <c r="T81" s="29" t="s">
        <v>262</v>
      </c>
      <c r="U81" s="29"/>
    </row>
    <row r="82">
      <c r="A82" s="16">
        <v>80.0</v>
      </c>
      <c r="B82" s="17" t="s">
        <v>23</v>
      </c>
      <c r="C82" s="18" t="str">
        <f>IFERROR(__xludf.DUMMYFUNCTION("IF(B82="""","""",IF(OR(
  REGEXMATCH(B82,""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REGEXMATCH(B82,""Notícia|Reportagem|Artigo de opinião|Verbete"")
),""Difusão"","""")))
"),"Difusão")</f>
        <v>Difusão</v>
      </c>
      <c r="D82" s="19" t="str">
        <f>IFERROR(__xludf.DUMMYFUNCTION("IF(B82="""","""",IF(OR(
  REGEXMATCH(B82,""Performance|Instalação|Álbum|Música|Poema|Livro|Filme|Documentário|Recitação|Espetáculo|Peça|Intervenção|Desfile|Fotografia|Exposição|Charge|Grafite|Leitura pública|Fabricação de cachaça artesanal""),
  REGEXMATC"&amp;"H(B82,""dança|teatral|artístico|musical|artística"")
),""Manifestação artístico-cultural"",
IF(OR(
  REGEXMATCH(B82,""Crônica|Série|Reportagem|Podcast|Audiotour|Entrevista|Vídeo|Rádio|Notícia|Artigo de opinião|Coletiva de imprensa""),
  REGEXMATCH(B82,""m"&amp;"idiática"")
),""Produção midiática"","""")))
"),"Produção midiática")</f>
        <v>Produção midiática</v>
      </c>
      <c r="E82" s="20" t="str">
        <f>IFERROR(__xludf.DUMMYFUNCTION("IF(B82="""","""",IF(OR(
  REGEXMATCH(B82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REGEXMATCH(B82,""público|Imediato|artística|teatral|memória|Ação popular"")
),""Público Imediato"",
IF(REGEXMATCH(B82,""Música|Álbum|Filme|Documentário|S"&amp;"érie|Podcast|Rádio|Audiotour|Entrevista|Reportagem|Crônica|Relatório|Abaixo-assinado|Manifesto|Petição|Poema|Livro|Fotografia|Curta|Live|Webinário|Charge|Leitura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82" s="20" t="str">
        <f>IFERROR(__xludf.DUMMYFUNCTION("IF(B82="""","""",IF(OR(
  REGEXMATCH(B82,""Live|Webinário|Virtual|Verbete""),
  REGEXMATCH(B82,""online"")
),""Virtual"",
IF(REGEXMATCH(B82,""Música|Álbum|Filme|Documentário|Série|Podcast|Rádio|Audiotour|Episódio|Reportagem|Curta|Charge|Vídeo|Entrevista|N"&amp;"otícia|Artigo de opinião""),
""Midiático"",
IF(REGEXMATCH(B82,""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82" s="21" t="str">
        <f>IFERROR(__xludf.DUMMYFUNCTION("IF(C82=""rememoração"", ""Insira a data manualmente"", IF(C82=""difusão"", 
 IF(NOT(ISERROR(REGEXEXTRACT(T82, ""(\d{1,2}) jan\. 2025""))), 
  TEXT(DATE(2025,1,REGEXEXTRACT(T82, ""(\d{1,2}) jan\. 2025"")), ""dd/mm/yyyy""),
 IF(NOT(ISERROR(REGEXEXTRACT(T82,"&amp;" ""(\d{1,2}) fev\. 2025""))), 
  TEXT(DATE(2025,2,REGEXEXTRACT(T82, ""(\d{1,2}) fev\. 2025"")), ""dd/mm/yyyy""),
 IF(NOT(ISERROR(REGEXEXTRACT(T82, ""(\d{1,2}) mar\. 2025""))), 
  TEXT(DATE(2025,3,REGEXEXTRACT(T82, ""(\d{1,2}) mar\. 2025"")), ""dd/mm/yyyy"&amp;"""),
 IF(NOT(ISERROR(REGEXEXTRACT(T82, ""(\d{1,2}) abr\. 2025""))), 
  TEXT(DATE(2025,4,REGEXEXTRACT(T82, ""(\d{1,2}) abr\. 2025"")), ""dd/mm/yyyy""),
 IF(NOT(ISERROR(REGEXEXTRACT(T82, ""(\d{1,2}) (mai|maio)\. 2025""))), 
  TEXT(DATE(2025,5,REGEXEXTRACT(T"&amp;"82, ""(\d{1,2}) (mai|maio)\. 2025"")), ""dd/mm/yyyy""),
 IF(NOT(ISERROR(REGEXEXTRACT(T82, ""(\d{1,2}) jun\. 2025""))), 
  TEXT(DATE(2025,6,REGEXEXTRACT(T82, ""(\d{1,2}) jun\. 2025"")), ""dd/mm/yyyy""),
 IF(NOT(ISERROR(REGEXEXTRACT(T82, ""(\d{1,2}) jul\. 2"&amp;"025""))), 
  TEXT(DATE(2025,7,REGEXEXTRACT(T82, ""(\d{1,2}) jul\. 2025"")), ""dd/mm/yyyy""),
 IF(NOT(ISERROR(REGEXEXTRACT(T82, ""(\d{1,2}) ago\. 2025""))), 
  TEXT(DATE(2025,8,REGEXEXTRACT(T82, ""(\d{1,2}) ago\. 2025"")), ""dd/mm/yyyy""),
 IF(NOT(ISERROR("&amp;"REGEXEXTRACT(T82, ""(\d{1,2}) set\. 2025""))), 
  TEXT(DATE(2025,9,REGEXEXTRACT(T82, ""(\d{1,2}) set\. 2025"")), ""dd/mm/yyyy""),
 IF(NOT(ISERROR(REGEXEXTRACT(T82, ""(\d{1,2}) out\. 2025""))), 
  TEXT(DATE(2025,10,REGEXEXTRACT(T82, ""(\d{1,2}) out\. 2025"&amp;""")), ""dd/mm/yyyy""),
 IF(NOT(ISERROR(REGEXEXTRACT(T82, ""(\d{1,2}) nov\. 2025""))), 
  TEXT(DATE(2025,11,REGEXEXTRACT(T82, ""(\d{1,2}) nov\. 2025"")), ""dd/mm/yyyy""),
 IF(NOT(ISERROR(REGEXEXTRACT(T82, ""(\d{1,2}) dez\. 2025""))), 
  TEXT(DATE(2025,12,R"&amp;"EGEXEXTRACT(T82, ""(\d{1,2}) dez\. 2025"")), ""dd/mm/yyyy""),
 ""Insira a data manualmente"")))))))))))), """"))"),"28/10/2025")</f>
        <v>28/10/2025</v>
      </c>
      <c r="H82" s="22">
        <f t="shared" si="1"/>
        <v>2025</v>
      </c>
      <c r="I82" s="18" t="str">
        <f>IFERROR(__xludf.DUMMYFUNCTION("IF(REGEXMATCH(T82,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IF(REGEXMATCH(T82, ""(?i)\bBrasília\b""), ""Distrito Federal, Brasil"",
REGEXEXTRACT(T82,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82" s="30" t="s">
        <v>263</v>
      </c>
      <c r="K82" s="24" t="s">
        <v>264</v>
      </c>
      <c r="L82" s="24" t="s">
        <v>26</v>
      </c>
      <c r="M82" s="25" t="s">
        <v>27</v>
      </c>
      <c r="N82" s="18" t="str">
        <f t="shared" si="6"/>
        <v> Portal do Governo do Estado do Rio de Janeiro</v>
      </c>
      <c r="O82" s="17" t="s">
        <v>28</v>
      </c>
      <c r="P82" s="17" t="s">
        <v>251</v>
      </c>
      <c r="Q82" s="26">
        <v>45963.0</v>
      </c>
      <c r="R82" s="17" t="s">
        <v>30</v>
      </c>
      <c r="S82" s="27" t="str">
        <f t="shared" si="3"/>
        <v>Aqui</v>
      </c>
      <c r="T82" s="29" t="s">
        <v>265</v>
      </c>
      <c r="U82" s="29"/>
    </row>
    <row r="83">
      <c r="A83" s="16">
        <v>81.0</v>
      </c>
      <c r="B83" s="17" t="s">
        <v>23</v>
      </c>
      <c r="C83" s="18" t="str">
        <f>IFERROR(__xludf.DUMMYFUNCTION("IF(B83="""","""",IF(OR(
  REGEXMATCH(B83,""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REGEXMATCH(B83,""Notícia|Reportagem|Artigo de opinião|Verbete"")
),""Difusão"","""")))
"),"Difusão")</f>
        <v>Difusão</v>
      </c>
      <c r="D83" s="19" t="str">
        <f>IFERROR(__xludf.DUMMYFUNCTION("IF(B83="""","""",IF(OR(
  REGEXMATCH(B83,""Performance|Instalação|Álbum|Música|Poema|Livro|Filme|Documentário|Recitação|Espetáculo|Peça|Intervenção|Desfile|Fotografia|Exposição|Charge|Grafite|Leitura pública|Fabricação de cachaça artesanal""),
  REGEXMATC"&amp;"H(B83,""dança|teatral|artístico|musical|artística"")
),""Manifestação artístico-cultural"",
IF(OR(
  REGEXMATCH(B83,""Crônica|Série|Reportagem|Podcast|Audiotour|Entrevista|Vídeo|Rádio|Notícia|Artigo de opinião|Coletiva de imprensa""),
  REGEXMATCH(B83,""m"&amp;"idiática"")
),""Produção midiática"","""")))
"),"Produção midiática")</f>
        <v>Produção midiática</v>
      </c>
      <c r="E83" s="20" t="str">
        <f>IFERROR(__xludf.DUMMYFUNCTION("IF(B83="""","""",IF(OR(
  REGEXMATCH(B83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REGEXMATCH(B83,""público|Imediato|artística|teatral|memória|Ação popular"")
),""Público Imediato"",
IF(REGEXMATCH(B83,""Música|Álbum|Filme|Documentário|S"&amp;"érie|Podcast|Rádio|Audiotour|Entrevista|Reportagem|Crônica|Relatório|Abaixo-assinado|Manifesto|Petição|Poema|Livro|Fotografia|Curta|Live|Webinário|Charge|Leitura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83" s="20" t="str">
        <f>IFERROR(__xludf.DUMMYFUNCTION("IF(B83="""","""",IF(OR(
  REGEXMATCH(B83,""Live|Webinário|Virtual|Verbete""),
  REGEXMATCH(B83,""online"")
),""Virtual"",
IF(REGEXMATCH(B83,""Música|Álbum|Filme|Documentário|Série|Podcast|Rádio|Audiotour|Episódio|Reportagem|Curta|Charge|Vídeo|Entrevista|N"&amp;"otícia|Artigo de opinião""),
""Midiático"",
IF(REGEXMATCH(B83,""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83" s="21" t="str">
        <f>IFERROR(__xludf.DUMMYFUNCTION("IF(C83=""rememoração"", ""Insira a data manualmente"", IF(C83=""difusão"", 
 IF(NOT(ISERROR(REGEXEXTRACT(T83, ""(\d{1,2}) jan\. 2025""))), 
  TEXT(DATE(2025,1,REGEXEXTRACT(T83, ""(\d{1,2}) jan\. 2025"")), ""dd/mm/yyyy""),
 IF(NOT(ISERROR(REGEXEXTRACT(T83,"&amp;" ""(\d{1,2}) fev\. 2025""))), 
  TEXT(DATE(2025,2,REGEXEXTRACT(T83, ""(\d{1,2}) fev\. 2025"")), ""dd/mm/yyyy""),
 IF(NOT(ISERROR(REGEXEXTRACT(T83, ""(\d{1,2}) mar\. 2025""))), 
  TEXT(DATE(2025,3,REGEXEXTRACT(T83, ""(\d{1,2}) mar\. 2025"")), ""dd/mm/yyyy"&amp;"""),
 IF(NOT(ISERROR(REGEXEXTRACT(T83, ""(\d{1,2}) abr\. 2025""))), 
  TEXT(DATE(2025,4,REGEXEXTRACT(T83, ""(\d{1,2}) abr\. 2025"")), ""dd/mm/yyyy""),
 IF(NOT(ISERROR(REGEXEXTRACT(T83, ""(\d{1,2}) (mai|maio)\. 2025""))), 
  TEXT(DATE(2025,5,REGEXEXTRACT(T"&amp;"83, ""(\d{1,2}) (mai|maio)\. 2025"")), ""dd/mm/yyyy""),
 IF(NOT(ISERROR(REGEXEXTRACT(T83, ""(\d{1,2}) jun\. 2025""))), 
  TEXT(DATE(2025,6,REGEXEXTRACT(T83, ""(\d{1,2}) jun\. 2025"")), ""dd/mm/yyyy""),
 IF(NOT(ISERROR(REGEXEXTRACT(T83, ""(\d{1,2}) jul\. 2"&amp;"025""))), 
  TEXT(DATE(2025,7,REGEXEXTRACT(T83, ""(\d{1,2}) jul\. 2025"")), ""dd/mm/yyyy""),
 IF(NOT(ISERROR(REGEXEXTRACT(T83, ""(\d{1,2}) ago\. 2025""))), 
  TEXT(DATE(2025,8,REGEXEXTRACT(T83, ""(\d{1,2}) ago\. 2025"")), ""dd/mm/yyyy""),
 IF(NOT(ISERROR("&amp;"REGEXEXTRACT(T83, ""(\d{1,2}) set\. 2025""))), 
  TEXT(DATE(2025,9,REGEXEXTRACT(T83, ""(\d{1,2}) set\. 2025"")), ""dd/mm/yyyy""),
 IF(NOT(ISERROR(REGEXEXTRACT(T83, ""(\d{1,2}) out\. 2025""))), 
  TEXT(DATE(2025,10,REGEXEXTRACT(T83, ""(\d{1,2}) out\. 2025"&amp;""")), ""dd/mm/yyyy""),
 IF(NOT(ISERROR(REGEXEXTRACT(T83, ""(\d{1,2}) nov\. 2025""))), 
  TEXT(DATE(2025,11,REGEXEXTRACT(T83, ""(\d{1,2}) nov\. 2025"")), ""dd/mm/yyyy""),
 IF(NOT(ISERROR(REGEXEXTRACT(T83, ""(\d{1,2}) dez\. 2025""))), 
  TEXT(DATE(2025,12,R"&amp;"EGEXEXTRACT(T83, ""(\d{1,2}) dez\. 2025"")), ""dd/mm/yyyy""),
 ""Insira a data manualmente"")))))))))))), """"))"),"29/10/2025")</f>
        <v>29/10/2025</v>
      </c>
      <c r="H83" s="22">
        <f t="shared" si="1"/>
        <v>2025</v>
      </c>
      <c r="I83" s="18" t="str">
        <f>IFERROR(__xludf.DUMMYFUNCTION("IF(REGEXMATCH(T83,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IF(REGEXMATCH(T83, ""(?i)\bBrasília\b""), ""Distrito Federal, Brasil"",
REGEXEXTRACT(T83,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83" s="30" t="s">
        <v>266</v>
      </c>
      <c r="K83" s="24" t="s">
        <v>267</v>
      </c>
      <c r="L83" s="24" t="s">
        <v>26</v>
      </c>
      <c r="M83" s="25" t="s">
        <v>27</v>
      </c>
      <c r="N83" s="18" t="str">
        <f t="shared" si="6"/>
        <v>Central Única dos Trabalhadores (CUT)</v>
      </c>
      <c r="O83" s="17" t="s">
        <v>28</v>
      </c>
      <c r="P83" s="17" t="s">
        <v>251</v>
      </c>
      <c r="Q83" s="26">
        <v>45963.0</v>
      </c>
      <c r="R83" s="17" t="s">
        <v>30</v>
      </c>
      <c r="S83" s="27" t="str">
        <f t="shared" si="3"/>
        <v>Aqui</v>
      </c>
      <c r="T83" s="29" t="s">
        <v>268</v>
      </c>
      <c r="U83" s="29"/>
    </row>
    <row r="84">
      <c r="A84" s="16">
        <v>82.0</v>
      </c>
      <c r="B84" s="17" t="s">
        <v>23</v>
      </c>
      <c r="C84" s="18" t="str">
        <f>IFERROR(__xludf.DUMMYFUNCTION("IF(B84="""","""",IF(OR(
  REGEXMATCH(B84,""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REGEXMATCH(B84,""Notícia|Reportagem|Artigo de opinião|Verbete"")
),""Difusão"","""")))
"),"Difusão")</f>
        <v>Difusão</v>
      </c>
      <c r="D84" s="19" t="str">
        <f>IFERROR(__xludf.DUMMYFUNCTION("IF(B84="""","""",IF(OR(
  REGEXMATCH(B84,""Performance|Instalação|Álbum|Música|Poema|Livro|Filme|Documentário|Recitação|Espetáculo|Peça|Intervenção|Desfile|Fotografia|Exposição|Charge|Grafite|Leitura pública|Fabricação de cachaça artesanal""),
  REGEXMATC"&amp;"H(B84,""dança|teatral|artístico|musical|artística"")
),""Manifestação artístico-cultural"",
IF(OR(
  REGEXMATCH(B84,""Crônica|Série|Reportagem|Podcast|Audiotour|Entrevista|Vídeo|Rádio|Notícia|Artigo de opinião|Coletiva de imprensa""),
  REGEXMATCH(B84,""m"&amp;"idiática"")
),""Produção midiática"","""")))
"),"Produção midiática")</f>
        <v>Produção midiática</v>
      </c>
      <c r="E84" s="20" t="str">
        <f>IFERROR(__xludf.DUMMYFUNCTION("IF(B84="""","""",IF(OR(
  REGEXMATCH(B84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REGEXMATCH(B84,""público|Imediato|artística|teatral|memória|Ação popular"")
),""Público Imediato"",
IF(REGEXMATCH(B84,""Música|Álbum|Filme|Documentário|S"&amp;"érie|Podcast|Rádio|Audiotour|Entrevista|Reportagem|Crônica|Relatório|Abaixo-assinado|Manifesto|Petição|Poema|Livro|Fotografia|Curta|Live|Webinário|Charge|Leitura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84" s="20" t="str">
        <f>IFERROR(__xludf.DUMMYFUNCTION("IF(B84="""","""",IF(OR(
  REGEXMATCH(B84,""Live|Webinário|Virtual|Verbete""),
  REGEXMATCH(B84,""online"")
),""Virtual"",
IF(REGEXMATCH(B84,""Música|Álbum|Filme|Documentário|Série|Podcast|Rádio|Audiotour|Episódio|Reportagem|Curta|Charge|Vídeo|Entrevista|N"&amp;"otícia|Artigo de opinião""),
""Midiático"",
IF(REGEXMATCH(B84,""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84" s="21" t="str">
        <f>IFERROR(__xludf.DUMMYFUNCTION("IF(C84=""rememoração"", ""Insira a data manualmente"", IF(C84=""difusão"", 
 IF(NOT(ISERROR(REGEXEXTRACT(T84, ""(\d{1,2}) jan\. 2025""))), 
  TEXT(DATE(2025,1,REGEXEXTRACT(T84, ""(\d{1,2}) jan\. 2025"")), ""dd/mm/yyyy""),
 IF(NOT(ISERROR(REGEXEXTRACT(T84,"&amp;" ""(\d{1,2}) fev\. 2025""))), 
  TEXT(DATE(2025,2,REGEXEXTRACT(T84, ""(\d{1,2}) fev\. 2025"")), ""dd/mm/yyyy""),
 IF(NOT(ISERROR(REGEXEXTRACT(T84, ""(\d{1,2}) mar\. 2025""))), 
  TEXT(DATE(2025,3,REGEXEXTRACT(T84, ""(\d{1,2}) mar\. 2025"")), ""dd/mm/yyyy"&amp;"""),
 IF(NOT(ISERROR(REGEXEXTRACT(T84, ""(\d{1,2}) abr\. 2025""))), 
  TEXT(DATE(2025,4,REGEXEXTRACT(T84, ""(\d{1,2}) abr\. 2025"")), ""dd/mm/yyyy""),
 IF(NOT(ISERROR(REGEXEXTRACT(T84, ""(\d{1,2}) (mai|maio)\. 2025""))), 
  TEXT(DATE(2025,5,REGEXEXTRACT(T"&amp;"84, ""(\d{1,2}) (mai|maio)\. 2025"")), ""dd/mm/yyyy""),
 IF(NOT(ISERROR(REGEXEXTRACT(T84, ""(\d{1,2}) jun\. 2025""))), 
  TEXT(DATE(2025,6,REGEXEXTRACT(T84, ""(\d{1,2}) jun\. 2025"")), ""dd/mm/yyyy""),
 IF(NOT(ISERROR(REGEXEXTRACT(T84, ""(\d{1,2}) jul\. 2"&amp;"025""))), 
  TEXT(DATE(2025,7,REGEXEXTRACT(T84, ""(\d{1,2}) jul\. 2025"")), ""dd/mm/yyyy""),
 IF(NOT(ISERROR(REGEXEXTRACT(T84, ""(\d{1,2}) ago\. 2025""))), 
  TEXT(DATE(2025,8,REGEXEXTRACT(T84, ""(\d{1,2}) ago\. 2025"")), ""dd/mm/yyyy""),
 IF(NOT(ISERROR("&amp;"REGEXEXTRACT(T84, ""(\d{1,2}) set\. 2025""))), 
  TEXT(DATE(2025,9,REGEXEXTRACT(T84, ""(\d{1,2}) set\. 2025"")), ""dd/mm/yyyy""),
 IF(NOT(ISERROR(REGEXEXTRACT(T84, ""(\d{1,2}) out\. 2025""))), 
  TEXT(DATE(2025,10,REGEXEXTRACT(T84, ""(\d{1,2}) out\. 2025"&amp;""")), ""dd/mm/yyyy""),
 IF(NOT(ISERROR(REGEXEXTRACT(T84, ""(\d{1,2}) nov\. 2025""))), 
  TEXT(DATE(2025,11,REGEXEXTRACT(T84, ""(\d{1,2}) nov\. 2025"")), ""dd/mm/yyyy""),
 IF(NOT(ISERROR(REGEXEXTRACT(T84, ""(\d{1,2}) dez\. 2025""))), 
  TEXT(DATE(2025,12,R"&amp;"EGEXEXTRACT(T84, ""(\d{1,2}) dez\. 2025"")), ""dd/mm/yyyy""),
 ""Insira a data manualmente"")))))))))))), """"))"),"30/10/2025")</f>
        <v>30/10/2025</v>
      </c>
      <c r="H84" s="22">
        <f t="shared" si="1"/>
        <v>2025</v>
      </c>
      <c r="I84" s="18" t="str">
        <f>IFERROR(__xludf.DUMMYFUNCTION("IF(REGEXMATCH(T84,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IF(REGEXMATCH(T84, ""(?i)\bBrasília\b""), ""Distrito Federal, Brasil"",
REGEXEXTRACT(T84,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84" s="30" t="s">
        <v>32</v>
      </c>
      <c r="K84" s="24" t="s">
        <v>269</v>
      </c>
      <c r="L84" s="24" t="s">
        <v>26</v>
      </c>
      <c r="M84" s="25" t="s">
        <v>27</v>
      </c>
      <c r="N84" s="18" t="str">
        <f t="shared" si="6"/>
        <v>Agência Brasil</v>
      </c>
      <c r="O84" s="17" t="s">
        <v>28</v>
      </c>
      <c r="P84" s="17" t="s">
        <v>251</v>
      </c>
      <c r="Q84" s="26">
        <v>45963.0</v>
      </c>
      <c r="R84" s="17" t="s">
        <v>30</v>
      </c>
      <c r="S84" s="27" t="str">
        <f t="shared" si="3"/>
        <v>Aqui</v>
      </c>
      <c r="T84" s="29" t="s">
        <v>270</v>
      </c>
      <c r="U84" s="29"/>
    </row>
    <row r="85">
      <c r="A85" s="16">
        <v>83.0</v>
      </c>
      <c r="B85" s="17" t="s">
        <v>23</v>
      </c>
      <c r="C85" s="18" t="str">
        <f>IFERROR(__xludf.DUMMYFUNCTION("IF(B85="""","""",IF(OR(
  REGEXMATCH(B85,""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REGEXMATCH(B85,""Notícia|Reportagem|Artigo de opinião|Verbete"")
),""Difusão"","""")))
"),"Difusão")</f>
        <v>Difusão</v>
      </c>
      <c r="D85" s="19" t="str">
        <f>IFERROR(__xludf.DUMMYFUNCTION("IF(B85="""","""",IF(OR(
  REGEXMATCH(B85,""Performance|Instalação|Álbum|Música|Poema|Livro|Filme|Documentário|Recitação|Espetáculo|Peça|Intervenção|Desfile|Fotografia|Exposição|Charge|Grafite|Leitura pública|Fabricação de cachaça artesanal""),
  REGEXMATC"&amp;"H(B85,""dança|teatral|artístico|musical|artística"")
),""Manifestação artístico-cultural"",
IF(OR(
  REGEXMATCH(B85,""Crônica|Série|Reportagem|Podcast|Audiotour|Entrevista|Vídeo|Rádio|Notícia|Artigo de opinião|Coletiva de imprensa""),
  REGEXMATCH(B85,""m"&amp;"idiática"")
),""Produção midiática"","""")))
"),"Produção midiática")</f>
        <v>Produção midiática</v>
      </c>
      <c r="E85" s="20" t="str">
        <f>IFERROR(__xludf.DUMMYFUNCTION("IF(B85="""","""",IF(OR(
  REGEXMATCH(B85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REGEXMATCH(B85,""público|Imediato|artística|teatral|memória|Ação popular"")
),""Público Imediato"",
IF(REGEXMATCH(B85,""Música|Álbum|Filme|Documentário|S"&amp;"érie|Podcast|Rádio|Audiotour|Entrevista|Reportagem|Crônica|Relatório|Abaixo-assinado|Manifesto|Petição|Poema|Livro|Fotografia|Curta|Live|Webinário|Charge|Leitura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85" s="20" t="str">
        <f>IFERROR(__xludf.DUMMYFUNCTION("IF(B85="""","""",IF(OR(
  REGEXMATCH(B85,""Live|Webinário|Virtual|Verbete""),
  REGEXMATCH(B85,""online"")
),""Virtual"",
IF(REGEXMATCH(B85,""Música|Álbum|Filme|Documentário|Série|Podcast|Rádio|Audiotour|Episódio|Reportagem|Curta|Charge|Vídeo|Entrevista|N"&amp;"otícia|Artigo de opinião""),
""Midiático"",
IF(REGEXMATCH(B85,""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85" s="21" t="str">
        <f>IFERROR(__xludf.DUMMYFUNCTION("IF(C85=""rememoração"", ""Insira a data manualmente"", IF(C85=""difusão"", 
 IF(NOT(ISERROR(REGEXEXTRACT(T85, ""(\d{1,2}) jan\. 2025""))), 
  TEXT(DATE(2025,1,REGEXEXTRACT(T85, ""(\d{1,2}) jan\. 2025"")), ""dd/mm/yyyy""),
 IF(NOT(ISERROR(REGEXEXTRACT(T85,"&amp;" ""(\d{1,2}) fev\. 2025""))), 
  TEXT(DATE(2025,2,REGEXEXTRACT(T85, ""(\d{1,2}) fev\. 2025"")), ""dd/mm/yyyy""),
 IF(NOT(ISERROR(REGEXEXTRACT(T85, ""(\d{1,2}) mar\. 2025""))), 
  TEXT(DATE(2025,3,REGEXEXTRACT(T85, ""(\d{1,2}) mar\. 2025"")), ""dd/mm/yyyy"&amp;"""),
 IF(NOT(ISERROR(REGEXEXTRACT(T85, ""(\d{1,2}) abr\. 2025""))), 
  TEXT(DATE(2025,4,REGEXEXTRACT(T85, ""(\d{1,2}) abr\. 2025"")), ""dd/mm/yyyy""),
 IF(NOT(ISERROR(REGEXEXTRACT(T85, ""(\d{1,2}) (mai|maio)\. 2025""))), 
  TEXT(DATE(2025,5,REGEXEXTRACT(T"&amp;"85, ""(\d{1,2}) (mai|maio)\. 2025"")), ""dd/mm/yyyy""),
 IF(NOT(ISERROR(REGEXEXTRACT(T85, ""(\d{1,2}) jun\. 2025""))), 
  TEXT(DATE(2025,6,REGEXEXTRACT(T85, ""(\d{1,2}) jun\. 2025"")), ""dd/mm/yyyy""),
 IF(NOT(ISERROR(REGEXEXTRACT(T85, ""(\d{1,2}) jul\. 2"&amp;"025""))), 
  TEXT(DATE(2025,7,REGEXEXTRACT(T85, ""(\d{1,2}) jul\. 2025"")), ""dd/mm/yyyy""),
 IF(NOT(ISERROR(REGEXEXTRACT(T85, ""(\d{1,2}) ago\. 2025""))), 
  TEXT(DATE(2025,8,REGEXEXTRACT(T85, ""(\d{1,2}) ago\. 2025"")), ""dd/mm/yyyy""),
 IF(NOT(ISERROR("&amp;"REGEXEXTRACT(T85, ""(\d{1,2}) set\. 2025""))), 
  TEXT(DATE(2025,9,REGEXEXTRACT(T85, ""(\d{1,2}) set\. 2025"")), ""dd/mm/yyyy""),
 IF(NOT(ISERROR(REGEXEXTRACT(T85, ""(\d{1,2}) out\. 2025""))), 
  TEXT(DATE(2025,10,REGEXEXTRACT(T85, ""(\d{1,2}) out\. 2025"&amp;""")), ""dd/mm/yyyy""),
 IF(NOT(ISERROR(REGEXEXTRACT(T85, ""(\d{1,2}) nov\. 2025""))), 
  TEXT(DATE(2025,11,REGEXEXTRACT(T85, ""(\d{1,2}) nov\. 2025"")), ""dd/mm/yyyy""),
 IF(NOT(ISERROR(REGEXEXTRACT(T85, ""(\d{1,2}) dez\. 2025""))), 
  TEXT(DATE(2025,12,R"&amp;"EGEXEXTRACT(T85, ""(\d{1,2}) dez\. 2025"")), ""dd/mm/yyyy""),
 ""Insira a data manualmente"")))))))))))), """"))"),"28/10/2025")</f>
        <v>28/10/2025</v>
      </c>
      <c r="H85" s="22">
        <f t="shared" si="1"/>
        <v>2025</v>
      </c>
      <c r="I85" s="18" t="str">
        <f>IFERROR(__xludf.DUMMYFUNCTION("IF(REGEXMATCH(T85,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IF(REGEXMATCH(T85, ""(?i)\bBrasília\b""), ""Distrito Federal, Brasil"",
REGEXEXTRACT(T85,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85" s="30" t="s">
        <v>32</v>
      </c>
      <c r="K85" s="24" t="s">
        <v>271</v>
      </c>
      <c r="L85" s="24" t="s">
        <v>26</v>
      </c>
      <c r="M85" s="25" t="s">
        <v>27</v>
      </c>
      <c r="N85" s="18" t="str">
        <f t="shared" si="6"/>
        <v>Agência Brasil</v>
      </c>
      <c r="O85" s="17" t="s">
        <v>28</v>
      </c>
      <c r="P85" s="17" t="s">
        <v>251</v>
      </c>
      <c r="Q85" s="26">
        <v>45963.0</v>
      </c>
      <c r="R85" s="17" t="s">
        <v>30</v>
      </c>
      <c r="S85" s="27" t="str">
        <f t="shared" si="3"/>
        <v>Aqui</v>
      </c>
      <c r="T85" s="29" t="s">
        <v>272</v>
      </c>
      <c r="U85" s="29"/>
    </row>
    <row r="86">
      <c r="A86" s="16">
        <v>84.0</v>
      </c>
      <c r="B86" s="17" t="s">
        <v>23</v>
      </c>
      <c r="C86" s="18" t="str">
        <f>IFERROR(__xludf.DUMMYFUNCTION("IF(B86="""","""",IF(OR(
  REGEXMATCH(B86,""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REGEXMATCH(B86,""Notícia|Reportagem|Artigo de opinião|Verbete"")
),""Difusão"","""")))
"),"Difusão")</f>
        <v>Difusão</v>
      </c>
      <c r="D86" s="19" t="str">
        <f>IFERROR(__xludf.DUMMYFUNCTION("IF(B86="""","""",IF(OR(
  REGEXMATCH(B86,""Performance|Instalação|Álbum|Música|Poema|Livro|Filme|Documentário|Recitação|Espetáculo|Peça|Intervenção|Desfile|Fotografia|Exposição|Charge|Grafite|Leitura pública|Fabricação de cachaça artesanal""),
  REGEXMATC"&amp;"H(B86,""dança|teatral|artístico|musical|artística"")
),""Manifestação artístico-cultural"",
IF(OR(
  REGEXMATCH(B86,""Crônica|Série|Reportagem|Podcast|Audiotour|Entrevista|Vídeo|Rádio|Notícia|Artigo de opinião|Coletiva de imprensa""),
  REGEXMATCH(B86,""m"&amp;"idiática"")
),""Produção midiática"","""")))
"),"Produção midiática")</f>
        <v>Produção midiática</v>
      </c>
      <c r="E86" s="20" t="str">
        <f>IFERROR(__xludf.DUMMYFUNCTION("IF(B86="""","""",IF(OR(
  REGEXMATCH(B86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REGEXMATCH(B86,""público|Imediato|artística|teatral|memória|Ação popular"")
),""Público Imediato"",
IF(REGEXMATCH(B86,""Música|Álbum|Filme|Documentário|S"&amp;"érie|Podcast|Rádio|Audiotour|Entrevista|Reportagem|Crônica|Relatório|Abaixo-assinado|Manifesto|Petição|Poema|Livro|Fotografia|Curta|Live|Webinário|Charge|Leitura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86" s="20" t="str">
        <f>IFERROR(__xludf.DUMMYFUNCTION("IF(B86="""","""",IF(OR(
  REGEXMATCH(B86,""Live|Webinário|Virtual|Verbete""),
  REGEXMATCH(B86,""online"")
),""Virtual"",
IF(REGEXMATCH(B86,""Música|Álbum|Filme|Documentário|Série|Podcast|Rádio|Audiotour|Episódio|Reportagem|Curta|Charge|Vídeo|Entrevista|N"&amp;"otícia|Artigo de opinião""),
""Midiático"",
IF(REGEXMATCH(B86,""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86" s="21" t="str">
        <f>IFERROR(__xludf.DUMMYFUNCTION("IF(C86=""rememoração"", ""Insira a data manualmente"", IF(C86=""difusão"", 
 IF(NOT(ISERROR(REGEXEXTRACT(T86, ""(\d{1,2}) jan\. 2025""))), 
  TEXT(DATE(2025,1,REGEXEXTRACT(T86, ""(\d{1,2}) jan\. 2025"")), ""dd/mm/yyyy""),
 IF(NOT(ISERROR(REGEXEXTRACT(T86,"&amp;" ""(\d{1,2}) fev\. 2025""))), 
  TEXT(DATE(2025,2,REGEXEXTRACT(T86, ""(\d{1,2}) fev\. 2025"")), ""dd/mm/yyyy""),
 IF(NOT(ISERROR(REGEXEXTRACT(T86, ""(\d{1,2}) mar\. 2025""))), 
  TEXT(DATE(2025,3,REGEXEXTRACT(T86, ""(\d{1,2}) mar\. 2025"")), ""dd/mm/yyyy"&amp;"""),
 IF(NOT(ISERROR(REGEXEXTRACT(T86, ""(\d{1,2}) abr\. 2025""))), 
  TEXT(DATE(2025,4,REGEXEXTRACT(T86, ""(\d{1,2}) abr\. 2025"")), ""dd/mm/yyyy""),
 IF(NOT(ISERROR(REGEXEXTRACT(T86, ""(\d{1,2}) (mai|maio)\. 2025""))), 
  TEXT(DATE(2025,5,REGEXEXTRACT(T"&amp;"86, ""(\d{1,2}) (mai|maio)\. 2025"")), ""dd/mm/yyyy""),
 IF(NOT(ISERROR(REGEXEXTRACT(T86, ""(\d{1,2}) jun\. 2025""))), 
  TEXT(DATE(2025,6,REGEXEXTRACT(T86, ""(\d{1,2}) jun\. 2025"")), ""dd/mm/yyyy""),
 IF(NOT(ISERROR(REGEXEXTRACT(T86, ""(\d{1,2}) jul\. 2"&amp;"025""))), 
  TEXT(DATE(2025,7,REGEXEXTRACT(T86, ""(\d{1,2}) jul\. 2025"")), ""dd/mm/yyyy""),
 IF(NOT(ISERROR(REGEXEXTRACT(T86, ""(\d{1,2}) ago\. 2025""))), 
  TEXT(DATE(2025,8,REGEXEXTRACT(T86, ""(\d{1,2}) ago\. 2025"")), ""dd/mm/yyyy""),
 IF(NOT(ISERROR("&amp;"REGEXEXTRACT(T86, ""(\d{1,2}) set\. 2025""))), 
  TEXT(DATE(2025,9,REGEXEXTRACT(T86, ""(\d{1,2}) set\. 2025"")), ""dd/mm/yyyy""),
 IF(NOT(ISERROR(REGEXEXTRACT(T86, ""(\d{1,2}) out\. 2025""))), 
  TEXT(DATE(2025,10,REGEXEXTRACT(T86, ""(\d{1,2}) out\. 2025"&amp;""")), ""dd/mm/yyyy""),
 IF(NOT(ISERROR(REGEXEXTRACT(T86, ""(\d{1,2}) nov\. 2025""))), 
  TEXT(DATE(2025,11,REGEXEXTRACT(T86, ""(\d{1,2}) nov\. 2025"")), ""dd/mm/yyyy""),
 IF(NOT(ISERROR(REGEXEXTRACT(T86, ""(\d{1,2}) dez\. 2025""))), 
  TEXT(DATE(2025,12,R"&amp;"EGEXEXTRACT(T86, ""(\d{1,2}) dez\. 2025"")), ""dd/mm/yyyy""),
 ""Insira a data manualmente"")))))))))))), """"))"),"29/10/2025")</f>
        <v>29/10/2025</v>
      </c>
      <c r="H86" s="22">
        <f t="shared" si="1"/>
        <v>2025</v>
      </c>
      <c r="I86" s="18" t="str">
        <f>IFERROR(__xludf.DUMMYFUNCTION("IF(REGEXMATCH(T86,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IF(REGEXMATCH(T86, ""(?i)\bBrasília\b""), ""Distrito Federal, Brasil"",
REGEXEXTRACT(T86,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86" s="30" t="s">
        <v>273</v>
      </c>
      <c r="K86" s="24" t="s">
        <v>274</v>
      </c>
      <c r="L86" s="24" t="s">
        <v>26</v>
      </c>
      <c r="M86" s="25" t="s">
        <v>27</v>
      </c>
      <c r="N86" s="18" t="str">
        <f t="shared" si="6"/>
        <v>CNN Brasil</v>
      </c>
      <c r="O86" s="17" t="s">
        <v>28</v>
      </c>
      <c r="P86" s="17" t="s">
        <v>251</v>
      </c>
      <c r="Q86" s="26">
        <v>45963.0</v>
      </c>
      <c r="R86" s="17" t="s">
        <v>30</v>
      </c>
      <c r="S86" s="27" t="str">
        <f t="shared" si="3"/>
        <v>Aqui</v>
      </c>
      <c r="T86" s="29" t="s">
        <v>275</v>
      </c>
      <c r="U86" s="29"/>
    </row>
    <row r="87">
      <c r="A87" s="16">
        <v>85.0</v>
      </c>
      <c r="B87" s="17" t="s">
        <v>23</v>
      </c>
      <c r="C87" s="18" t="str">
        <f>IFERROR(__xludf.DUMMYFUNCTION("IF(B87="""","""",IF(OR(
  REGEXMATCH(B87,""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REGEXMATCH(B87,""Notícia|Reportagem|Artigo de opinião|Verbete"")
),""Difusão"","""")))
"),"Difusão")</f>
        <v>Difusão</v>
      </c>
      <c r="D87" s="19" t="str">
        <f>IFERROR(__xludf.DUMMYFUNCTION("IF(B87="""","""",IF(OR(
  REGEXMATCH(B87,""Performance|Instalação|Álbum|Música|Poema|Livro|Filme|Documentário|Recitação|Espetáculo|Peça|Intervenção|Desfile|Fotografia|Exposição|Charge|Grafite|Leitura pública|Fabricação de cachaça artesanal""),
  REGEXMATC"&amp;"H(B87,""dança|teatral|artístico|musical|artística"")
),""Manifestação artístico-cultural"",
IF(OR(
  REGEXMATCH(B87,""Crônica|Série|Reportagem|Podcast|Audiotour|Entrevista|Vídeo|Rádio|Notícia|Artigo de opinião|Coletiva de imprensa""),
  REGEXMATCH(B87,""m"&amp;"idiática"")
),""Produção midiática"","""")))
"),"Produção midiática")</f>
        <v>Produção midiática</v>
      </c>
      <c r="E87" s="20" t="str">
        <f>IFERROR(__xludf.DUMMYFUNCTION("IF(B87="""","""",IF(OR(
  REGEXMATCH(B87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REGEXMATCH(B87,""público|Imediato|artística|teatral|memória|Ação popular"")
),""Público Imediato"",
IF(REGEXMATCH(B87,""Música|Álbum|Filme|Documentário|S"&amp;"érie|Podcast|Rádio|Audiotour|Entrevista|Reportagem|Crônica|Relatório|Abaixo-assinado|Manifesto|Petição|Poema|Livro|Fotografia|Curta|Live|Webinário|Charge|Leitura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87" s="20" t="str">
        <f>IFERROR(__xludf.DUMMYFUNCTION("IF(B87="""","""",IF(OR(
  REGEXMATCH(B87,""Live|Webinário|Virtual|Verbete""),
  REGEXMATCH(B87,""online"")
),""Virtual"",
IF(REGEXMATCH(B87,""Música|Álbum|Filme|Documentário|Série|Podcast|Rádio|Audiotour|Episódio|Reportagem|Curta|Charge|Vídeo|Entrevista|N"&amp;"otícia|Artigo de opinião""),
""Midiático"",
IF(REGEXMATCH(B87,""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87" s="21" t="str">
        <f>IFERROR(__xludf.DUMMYFUNCTION("IF(C87=""rememoração"", ""Insira a data manualmente"", IF(C87=""difusão"", 
 IF(NOT(ISERROR(REGEXEXTRACT(T87, ""(\d{1,2}) jan\. 2025""))), 
  TEXT(DATE(2025,1,REGEXEXTRACT(T87, ""(\d{1,2}) jan\. 2025"")), ""dd/mm/yyyy""),
 IF(NOT(ISERROR(REGEXEXTRACT(T87,"&amp;" ""(\d{1,2}) fev\. 2025""))), 
  TEXT(DATE(2025,2,REGEXEXTRACT(T87, ""(\d{1,2}) fev\. 2025"")), ""dd/mm/yyyy""),
 IF(NOT(ISERROR(REGEXEXTRACT(T87, ""(\d{1,2}) mar\. 2025""))), 
  TEXT(DATE(2025,3,REGEXEXTRACT(T87, ""(\d{1,2}) mar\. 2025"")), ""dd/mm/yyyy"&amp;"""),
 IF(NOT(ISERROR(REGEXEXTRACT(T87, ""(\d{1,2}) abr\. 2025""))), 
  TEXT(DATE(2025,4,REGEXEXTRACT(T87, ""(\d{1,2}) abr\. 2025"")), ""dd/mm/yyyy""),
 IF(NOT(ISERROR(REGEXEXTRACT(T87, ""(\d{1,2}) (mai|maio)\. 2025""))), 
  TEXT(DATE(2025,5,REGEXEXTRACT(T"&amp;"87, ""(\d{1,2}) (mai|maio)\. 2025"")), ""dd/mm/yyyy""),
 IF(NOT(ISERROR(REGEXEXTRACT(T87, ""(\d{1,2}) jun\. 2025""))), 
  TEXT(DATE(2025,6,REGEXEXTRACT(T87, ""(\d{1,2}) jun\. 2025"")), ""dd/mm/yyyy""),
 IF(NOT(ISERROR(REGEXEXTRACT(T87, ""(\d{1,2}) jul\. 2"&amp;"025""))), 
  TEXT(DATE(2025,7,REGEXEXTRACT(T87, ""(\d{1,2}) jul\. 2025"")), ""dd/mm/yyyy""),
 IF(NOT(ISERROR(REGEXEXTRACT(T87, ""(\d{1,2}) ago\. 2025""))), 
  TEXT(DATE(2025,8,REGEXEXTRACT(T87, ""(\d{1,2}) ago\. 2025"")), ""dd/mm/yyyy""),
 IF(NOT(ISERROR("&amp;"REGEXEXTRACT(T87, ""(\d{1,2}) set\. 2025""))), 
  TEXT(DATE(2025,9,REGEXEXTRACT(T87, ""(\d{1,2}) set\. 2025"")), ""dd/mm/yyyy""),
 IF(NOT(ISERROR(REGEXEXTRACT(T87, ""(\d{1,2}) out\. 2025""))), 
  TEXT(DATE(2025,10,REGEXEXTRACT(T87, ""(\d{1,2}) out\. 2025"&amp;""")), ""dd/mm/yyyy""),
 IF(NOT(ISERROR(REGEXEXTRACT(T87, ""(\d{1,2}) nov\. 2025""))), 
  TEXT(DATE(2025,11,REGEXEXTRACT(T87, ""(\d{1,2}) nov\. 2025"")), ""dd/mm/yyyy""),
 IF(NOT(ISERROR(REGEXEXTRACT(T87, ""(\d{1,2}) dez\. 2025""))), 
  TEXT(DATE(2025,12,R"&amp;"EGEXEXTRACT(T87, ""(\d{1,2}) dez\. 2025"")), ""dd/mm/yyyy""),
 ""Insira a data manualmente"")))))))))))), """"))"),"29/10/2025")</f>
        <v>29/10/2025</v>
      </c>
      <c r="H87" s="22">
        <f t="shared" si="1"/>
        <v>2025</v>
      </c>
      <c r="I87" s="18" t="str">
        <f>IFERROR(__xludf.DUMMYFUNCTION("IF(REGEXMATCH(T87,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IF(REGEXMATCH(T87, ""(?i)\bBrasília\b""), ""Distrito Federal, Brasil"",
REGEXEXTRACT(T87,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manualmente"")"),"São Paulo, Brasil")</f>
        <v>São Paulo, Brasil</v>
      </c>
      <c r="J87" s="30" t="s">
        <v>48</v>
      </c>
      <c r="K87" s="24" t="s">
        <v>276</v>
      </c>
      <c r="L87" s="24" t="s">
        <v>26</v>
      </c>
      <c r="M87" s="25" t="s">
        <v>27</v>
      </c>
      <c r="N87" s="18" t="str">
        <f t="shared" si="6"/>
        <v>Folha de S. Paulo</v>
      </c>
      <c r="O87" s="17" t="s">
        <v>28</v>
      </c>
      <c r="P87" s="17" t="s">
        <v>251</v>
      </c>
      <c r="Q87" s="26">
        <v>45963.0</v>
      </c>
      <c r="R87" s="17" t="s">
        <v>37</v>
      </c>
      <c r="S87" s="27" t="str">
        <f t="shared" si="3"/>
        <v>Aqui</v>
      </c>
      <c r="T87" s="29" t="s">
        <v>277</v>
      </c>
      <c r="U87" s="29"/>
    </row>
    <row r="88">
      <c r="A88" s="16">
        <v>86.0</v>
      </c>
      <c r="B88" s="17" t="s">
        <v>23</v>
      </c>
      <c r="C88" s="18" t="str">
        <f>IFERROR(__xludf.DUMMYFUNCTION("IF(B88="""","""",IF(OR(
  REGEXMATCH(B88,""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REGEXMATCH(B88,""Notícia|Reportagem|Artigo de opinião|Verbete"")
),""Difusão"","""")))
"),"Difusão")</f>
        <v>Difusão</v>
      </c>
      <c r="D88" s="19" t="str">
        <f>IFERROR(__xludf.DUMMYFUNCTION("IF(B88="""","""",IF(OR(
  REGEXMATCH(B88,""Performance|Instalação|Álbum|Música|Poema|Livro|Filme|Documentário|Recitação|Espetáculo|Peça|Intervenção|Desfile|Fotografia|Exposição|Charge|Grafite|Leitura pública|Fabricação de cachaça artesanal""),
  REGEXMATC"&amp;"H(B88,""dança|teatral|artístico|musical|artística"")
),""Manifestação artístico-cultural"",
IF(OR(
  REGEXMATCH(B88,""Crônica|Série|Reportagem|Podcast|Audiotour|Entrevista|Vídeo|Rádio|Notícia|Artigo de opinião|Coletiva de imprensa""),
  REGEXMATCH(B88,""m"&amp;"idiática"")
),""Produção midiática"","""")))
"),"Produção midiática")</f>
        <v>Produção midiática</v>
      </c>
      <c r="E88" s="20" t="str">
        <f>IFERROR(__xludf.DUMMYFUNCTION("IF(B88="""","""",IF(OR(
  REGEXMATCH(B88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REGEXMATCH(B88,""público|Imediato|artística|teatral|memória|Ação popular"")
),""Público Imediato"",
IF(REGEXMATCH(B88,""Música|Álbum|Filme|Documentário|S"&amp;"érie|Podcast|Rádio|Audiotour|Entrevista|Reportagem|Crônica|Relatório|Abaixo-assinado|Manifesto|Petição|Poema|Livro|Fotografia|Curta|Live|Webinário|Charge|Leitura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88" s="20" t="str">
        <f>IFERROR(__xludf.DUMMYFUNCTION("IF(B88="""","""",IF(OR(
  REGEXMATCH(B88,""Live|Webinário|Virtual|Verbete""),
  REGEXMATCH(B88,""online"")
),""Virtual"",
IF(REGEXMATCH(B88,""Música|Álbum|Filme|Documentário|Série|Podcast|Rádio|Audiotour|Episódio|Reportagem|Curta|Charge|Vídeo|Entrevista|N"&amp;"otícia|Artigo de opinião""),
""Midiático"",
IF(REGEXMATCH(B88,""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88" s="21" t="str">
        <f>IFERROR(__xludf.DUMMYFUNCTION("IF(C88=""rememoração"", ""Insira a data manualmente"", IF(C88=""difusão"", 
 IF(NOT(ISERROR(REGEXEXTRACT(T88, ""(\d{1,2}) jan\. 2025""))), 
  TEXT(DATE(2025,1,REGEXEXTRACT(T88, ""(\d{1,2}) jan\. 2025"")), ""dd/mm/yyyy""),
 IF(NOT(ISERROR(REGEXEXTRACT(T88,"&amp;" ""(\d{1,2}) fev\. 2025""))), 
  TEXT(DATE(2025,2,REGEXEXTRACT(T88, ""(\d{1,2}) fev\. 2025"")), ""dd/mm/yyyy""),
 IF(NOT(ISERROR(REGEXEXTRACT(T88, ""(\d{1,2}) mar\. 2025""))), 
  TEXT(DATE(2025,3,REGEXEXTRACT(T88, ""(\d{1,2}) mar\. 2025"")), ""dd/mm/yyyy"&amp;"""),
 IF(NOT(ISERROR(REGEXEXTRACT(T88, ""(\d{1,2}) abr\. 2025""))), 
  TEXT(DATE(2025,4,REGEXEXTRACT(T88, ""(\d{1,2}) abr\. 2025"")), ""dd/mm/yyyy""),
 IF(NOT(ISERROR(REGEXEXTRACT(T88, ""(\d{1,2}) (mai|maio)\. 2025""))), 
  TEXT(DATE(2025,5,REGEXEXTRACT(T"&amp;"88, ""(\d{1,2}) (mai|maio)\. 2025"")), ""dd/mm/yyyy""),
 IF(NOT(ISERROR(REGEXEXTRACT(T88, ""(\d{1,2}) jun\. 2025""))), 
  TEXT(DATE(2025,6,REGEXEXTRACT(T88, ""(\d{1,2}) jun\. 2025"")), ""dd/mm/yyyy""),
 IF(NOT(ISERROR(REGEXEXTRACT(T88, ""(\d{1,2}) jul\. 2"&amp;"025""))), 
  TEXT(DATE(2025,7,REGEXEXTRACT(T88, ""(\d{1,2}) jul\. 2025"")), ""dd/mm/yyyy""),
 IF(NOT(ISERROR(REGEXEXTRACT(T88, ""(\d{1,2}) ago\. 2025""))), 
  TEXT(DATE(2025,8,REGEXEXTRACT(T88, ""(\d{1,2}) ago\. 2025"")), ""dd/mm/yyyy""),
 IF(NOT(ISERROR("&amp;"REGEXEXTRACT(T88, ""(\d{1,2}) set\. 2025""))), 
  TEXT(DATE(2025,9,REGEXEXTRACT(T88, ""(\d{1,2}) set\. 2025"")), ""dd/mm/yyyy""),
 IF(NOT(ISERROR(REGEXEXTRACT(T88, ""(\d{1,2}) out\. 2025""))), 
  TEXT(DATE(2025,10,REGEXEXTRACT(T88, ""(\d{1,2}) out\. 2025"&amp;""")), ""dd/mm/yyyy""),
 IF(NOT(ISERROR(REGEXEXTRACT(T88, ""(\d{1,2}) nov\. 2025""))), 
  TEXT(DATE(2025,11,REGEXEXTRACT(T88, ""(\d{1,2}) nov\. 2025"")), ""dd/mm/yyyy""),
 IF(NOT(ISERROR(REGEXEXTRACT(T88, ""(\d{1,2}) dez\. 2025""))), 
  TEXT(DATE(2025,12,R"&amp;"EGEXEXTRACT(T88, ""(\d{1,2}) dez\. 2025"")), ""dd/mm/yyyy""),
 ""Insira a data manualmente"")))))))))))), """"))"),"29/10/2025")</f>
        <v>29/10/2025</v>
      </c>
      <c r="H88" s="22">
        <f t="shared" si="1"/>
        <v>2025</v>
      </c>
      <c r="I88" s="18" t="str">
        <f>IFERROR(__xludf.DUMMYFUNCTION("IF(REGEXMATCH(T88,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IF(REGEXMATCH(T88, ""(?i)\bBrasília\b""), ""Distrito Federal, Brasil"",
REGEXEXTRACT(T88,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88" s="30" t="s">
        <v>263</v>
      </c>
      <c r="K88" s="24" t="s">
        <v>278</v>
      </c>
      <c r="L88" s="24" t="s">
        <v>26</v>
      </c>
      <c r="M88" s="25" t="s">
        <v>27</v>
      </c>
      <c r="N88" s="18" t="str">
        <f t="shared" si="6"/>
        <v> Portal do Governo do Estado do Rio de Janeiro</v>
      </c>
      <c r="O88" s="17" t="s">
        <v>28</v>
      </c>
      <c r="P88" s="17" t="s">
        <v>251</v>
      </c>
      <c r="Q88" s="26">
        <v>45963.0</v>
      </c>
      <c r="R88" s="17" t="s">
        <v>30</v>
      </c>
      <c r="S88" s="27" t="str">
        <f t="shared" si="3"/>
        <v>Aqui</v>
      </c>
      <c r="T88" s="29" t="s">
        <v>279</v>
      </c>
      <c r="U88" s="29"/>
    </row>
    <row r="89">
      <c r="A89" s="16">
        <v>87.0</v>
      </c>
      <c r="B89" s="17" t="s">
        <v>23</v>
      </c>
      <c r="C89" s="18" t="str">
        <f>IFERROR(__xludf.DUMMYFUNCTION("IF(B89="""","""",IF(OR(
  REGEXMATCH(B89,""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REGEXMATCH(B89,""Notícia|Reportagem|Artigo de opinião|Verbete"")
),""Difusão"","""")))
"),"Difusão")</f>
        <v>Difusão</v>
      </c>
      <c r="D89" s="19" t="str">
        <f>IFERROR(__xludf.DUMMYFUNCTION("IF(B89="""","""",IF(OR(
  REGEXMATCH(B89,""Performance|Instalação|Álbum|Música|Poema|Livro|Filme|Documentário|Recitação|Espetáculo|Peça|Intervenção|Desfile|Fotografia|Exposição|Charge|Grafite|Leitura pública|Fabricação de cachaça artesanal""),
  REGEXMATC"&amp;"H(B89,""dança|teatral|artístico|musical|artística"")
),""Manifestação artístico-cultural"",
IF(OR(
  REGEXMATCH(B89,""Crônica|Série|Reportagem|Podcast|Audiotour|Entrevista|Vídeo|Rádio|Notícia|Artigo de opinião|Coletiva de imprensa""),
  REGEXMATCH(B89,""m"&amp;"idiática"")
),""Produção midiática"","""")))
"),"Produção midiática")</f>
        <v>Produção midiática</v>
      </c>
      <c r="E89" s="20" t="str">
        <f>IFERROR(__xludf.DUMMYFUNCTION("IF(B89="""","""",IF(OR(
  REGEXMATCH(B89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REGEXMATCH(B89,""público|Imediato|artística|teatral|memória|Ação popular"")
),""Público Imediato"",
IF(REGEXMATCH(B89,""Música|Álbum|Filme|Documentário|S"&amp;"érie|Podcast|Rádio|Audiotour|Entrevista|Reportagem|Crônica|Relatório|Abaixo-assinado|Manifesto|Petição|Poema|Livro|Fotografia|Curta|Live|Webinário|Charge|Leitura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89" s="20" t="str">
        <f>IFERROR(__xludf.DUMMYFUNCTION("IF(B89="""","""",IF(OR(
  REGEXMATCH(B89,""Live|Webinário|Virtual|Verbete""),
  REGEXMATCH(B89,""online"")
),""Virtual"",
IF(REGEXMATCH(B89,""Música|Álbum|Filme|Documentário|Série|Podcast|Rádio|Audiotour|Episódio|Reportagem|Curta|Charge|Vídeo|Entrevista|N"&amp;"otícia|Artigo de opinião""),
""Midiático"",
IF(REGEXMATCH(B89,""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89" s="21" t="str">
        <f>IFERROR(__xludf.DUMMYFUNCTION("IF(C89=""rememoração"", ""Insira a data manualmente"", IF(C89=""difusão"", 
 IF(NOT(ISERROR(REGEXEXTRACT(T89, ""(\d{1,2}) jan\. 2025""))), 
  TEXT(DATE(2025,1,REGEXEXTRACT(T89, ""(\d{1,2}) jan\. 2025"")), ""dd/mm/yyyy""),
 IF(NOT(ISERROR(REGEXEXTRACT(T89,"&amp;" ""(\d{1,2}) fev\. 2025""))), 
  TEXT(DATE(2025,2,REGEXEXTRACT(T89, ""(\d{1,2}) fev\. 2025"")), ""dd/mm/yyyy""),
 IF(NOT(ISERROR(REGEXEXTRACT(T89, ""(\d{1,2}) mar\. 2025""))), 
  TEXT(DATE(2025,3,REGEXEXTRACT(T89, ""(\d{1,2}) mar\. 2025"")), ""dd/mm/yyyy"&amp;"""),
 IF(NOT(ISERROR(REGEXEXTRACT(T89, ""(\d{1,2}) abr\. 2025""))), 
  TEXT(DATE(2025,4,REGEXEXTRACT(T89, ""(\d{1,2}) abr\. 2025"")), ""dd/mm/yyyy""),
 IF(NOT(ISERROR(REGEXEXTRACT(T89, ""(\d{1,2}) (mai|maio)\. 2025""))), 
  TEXT(DATE(2025,5,REGEXEXTRACT(T"&amp;"89, ""(\d{1,2}) (mai|maio)\. 2025"")), ""dd/mm/yyyy""),
 IF(NOT(ISERROR(REGEXEXTRACT(T89, ""(\d{1,2}) jun\. 2025""))), 
  TEXT(DATE(2025,6,REGEXEXTRACT(T89, ""(\d{1,2}) jun\. 2025"")), ""dd/mm/yyyy""),
 IF(NOT(ISERROR(REGEXEXTRACT(T89, ""(\d{1,2}) jul\. 2"&amp;"025""))), 
  TEXT(DATE(2025,7,REGEXEXTRACT(T89, ""(\d{1,2}) jul\. 2025"")), ""dd/mm/yyyy""),
 IF(NOT(ISERROR(REGEXEXTRACT(T89, ""(\d{1,2}) ago\. 2025""))), 
  TEXT(DATE(2025,8,REGEXEXTRACT(T89, ""(\d{1,2}) ago\. 2025"")), ""dd/mm/yyyy""),
 IF(NOT(ISERROR("&amp;"REGEXEXTRACT(T89, ""(\d{1,2}) set\. 2025""))), 
  TEXT(DATE(2025,9,REGEXEXTRACT(T89, ""(\d{1,2}) set\. 2025"")), ""dd/mm/yyyy""),
 IF(NOT(ISERROR(REGEXEXTRACT(T89, ""(\d{1,2}) out\. 2025""))), 
  TEXT(DATE(2025,10,REGEXEXTRACT(T89, ""(\d{1,2}) out\. 2025"&amp;""")), ""dd/mm/yyyy""),
 IF(NOT(ISERROR(REGEXEXTRACT(T89, ""(\d{1,2}) nov\. 2025""))), 
  TEXT(DATE(2025,11,REGEXEXTRACT(T89, ""(\d{1,2}) nov\. 2025"")), ""dd/mm/yyyy""),
 IF(NOT(ISERROR(REGEXEXTRACT(T89, ""(\d{1,2}) dez\. 2025""))), 
  TEXT(DATE(2025,12,R"&amp;"EGEXEXTRACT(T89, ""(\d{1,2}) dez\. 2025"")), ""dd/mm/yyyy""),
 ""Insira a data manualmente"")))))))))))), """"))"),"30/10/2025")</f>
        <v>30/10/2025</v>
      </c>
      <c r="H89" s="22">
        <f t="shared" si="1"/>
        <v>2025</v>
      </c>
      <c r="I89" s="18" t="str">
        <f>IFERROR(__xludf.DUMMYFUNCTION("IF(REGEXMATCH(T89,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IF(REGEXMATCH(T89, ""(?i)\bBrasília\b""), ""Distrito Federal, Brasil"",
REGEXEXTRACT(T89,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manualmente"")"),"Distrito Federal, Brasil")</f>
        <v>Distrito Federal, Brasil</v>
      </c>
      <c r="J89" s="30" t="s">
        <v>32</v>
      </c>
      <c r="K89" s="24" t="s">
        <v>280</v>
      </c>
      <c r="L89" s="24" t="s">
        <v>26</v>
      </c>
      <c r="M89" s="25" t="s">
        <v>27</v>
      </c>
      <c r="N89" s="18" t="str">
        <f t="shared" si="6"/>
        <v>Agência Brasil</v>
      </c>
      <c r="O89" s="17" t="s">
        <v>28</v>
      </c>
      <c r="P89" s="17" t="s">
        <v>251</v>
      </c>
      <c r="Q89" s="26">
        <v>45963.0</v>
      </c>
      <c r="R89" s="17" t="s">
        <v>30</v>
      </c>
      <c r="S89" s="27" t="str">
        <f t="shared" si="3"/>
        <v>Aqui</v>
      </c>
      <c r="T89" s="29" t="s">
        <v>281</v>
      </c>
      <c r="U89" s="29"/>
    </row>
    <row r="90">
      <c r="A90" s="16">
        <v>88.0</v>
      </c>
      <c r="B90" s="17" t="s">
        <v>23</v>
      </c>
      <c r="C90" s="18" t="str">
        <f>IFERROR(__xludf.DUMMYFUNCTION("IF(B90="""","""",IF(OR(
  REGEXMATCH(B90,""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REGEXMATCH(B90,""Notícia|Reportagem|Artigo de opinião|Verbete"")
),""Difusão"","""")))
"),"Difusão")</f>
        <v>Difusão</v>
      </c>
      <c r="D90" s="19" t="str">
        <f>IFERROR(__xludf.DUMMYFUNCTION("IF(B90="""","""",IF(OR(
  REGEXMATCH(B90,""Performance|Instalação|Álbum|Música|Poema|Livro|Filme|Documentário|Recitação|Espetáculo|Peça|Intervenção|Desfile|Fotografia|Exposição|Charge|Grafite|Leitura pública|Fabricação de cachaça artesanal""),
  REGEXMATC"&amp;"H(B90,""dança|teatral|artístico|musical|artística"")
),""Manifestação artístico-cultural"",
IF(OR(
  REGEXMATCH(B90,""Crônica|Série|Reportagem|Podcast|Audiotour|Entrevista|Vídeo|Rádio|Notícia|Artigo de opinião|Coletiva de imprensa""),
  REGEXMATCH(B90,""m"&amp;"idiática"")
),""Produção midiática"","""")))
"),"Produção midiática")</f>
        <v>Produção midiática</v>
      </c>
      <c r="E90" s="20" t="str">
        <f>IFERROR(__xludf.DUMMYFUNCTION("IF(B90="""","""",IF(OR(
  REGEXMATCH(B90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REGEXMATCH(B90,""público|Imediato|artística|teatral|memória|Ação popular"")
),""Público Imediato"",
IF(REGEXMATCH(B90,""Música|Álbum|Filme|Documentário|S"&amp;"érie|Podcast|Rádio|Audiotour|Entrevista|Reportagem|Crônica|Relatório|Abaixo-assinado|Manifesto|Petição|Poema|Livro|Fotografia|Curta|Live|Webinário|Charge|Leitura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90" s="20" t="str">
        <f>IFERROR(__xludf.DUMMYFUNCTION("IF(B90="""","""",IF(OR(
  REGEXMATCH(B90,""Live|Webinário|Virtual|Verbete""),
  REGEXMATCH(B90,""online"")
),""Virtual"",
IF(REGEXMATCH(B90,""Música|Álbum|Filme|Documentário|Série|Podcast|Rádio|Audiotour|Episódio|Reportagem|Curta|Charge|Vídeo|Entrevista|N"&amp;"otícia|Artigo de opinião""),
""Midiático"",
IF(REGEXMATCH(B90,""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90" s="21" t="str">
        <f>IFERROR(__xludf.DUMMYFUNCTION("IF(C90=""rememoração"", ""Insira a data manualmente"", IF(C90=""difusão"", 
 IF(NOT(ISERROR(REGEXEXTRACT(T90, ""(\d{1,2}) jan\. 2025""))), 
  TEXT(DATE(2025,1,REGEXEXTRACT(T90, ""(\d{1,2}) jan\. 2025"")), ""dd/mm/yyyy""),
 IF(NOT(ISERROR(REGEXEXTRACT(T90,"&amp;" ""(\d{1,2}) fev\. 2025""))), 
  TEXT(DATE(2025,2,REGEXEXTRACT(T90, ""(\d{1,2}) fev\. 2025"")), ""dd/mm/yyyy""),
 IF(NOT(ISERROR(REGEXEXTRACT(T90, ""(\d{1,2}) mar\. 2025""))), 
  TEXT(DATE(2025,3,REGEXEXTRACT(T90, ""(\d{1,2}) mar\. 2025"")), ""dd/mm/yyyy"&amp;"""),
 IF(NOT(ISERROR(REGEXEXTRACT(T90, ""(\d{1,2}) abr\. 2025""))), 
  TEXT(DATE(2025,4,REGEXEXTRACT(T90, ""(\d{1,2}) abr\. 2025"")), ""dd/mm/yyyy""),
 IF(NOT(ISERROR(REGEXEXTRACT(T90, ""(\d{1,2}) (mai|maio)\. 2025""))), 
  TEXT(DATE(2025,5,REGEXEXTRACT(T"&amp;"90, ""(\d{1,2}) (mai|maio)\. 2025"")), ""dd/mm/yyyy""),
 IF(NOT(ISERROR(REGEXEXTRACT(T90, ""(\d{1,2}) jun\. 2025""))), 
  TEXT(DATE(2025,6,REGEXEXTRACT(T90, ""(\d{1,2}) jun\. 2025"")), ""dd/mm/yyyy""),
 IF(NOT(ISERROR(REGEXEXTRACT(T90, ""(\d{1,2}) jul\. 2"&amp;"025""))), 
  TEXT(DATE(2025,7,REGEXEXTRACT(T90, ""(\d{1,2}) jul\. 2025"")), ""dd/mm/yyyy""),
 IF(NOT(ISERROR(REGEXEXTRACT(T90, ""(\d{1,2}) ago\. 2025""))), 
  TEXT(DATE(2025,8,REGEXEXTRACT(T90, ""(\d{1,2}) ago\. 2025"")), ""dd/mm/yyyy""),
 IF(NOT(ISERROR("&amp;"REGEXEXTRACT(T90, ""(\d{1,2}) set\. 2025""))), 
  TEXT(DATE(2025,9,REGEXEXTRACT(T90, ""(\d{1,2}) set\. 2025"")), ""dd/mm/yyyy""),
 IF(NOT(ISERROR(REGEXEXTRACT(T90, ""(\d{1,2}) out\. 2025""))), 
  TEXT(DATE(2025,10,REGEXEXTRACT(T90, ""(\d{1,2}) out\. 2025"&amp;""")), ""dd/mm/yyyy""),
 IF(NOT(ISERROR(REGEXEXTRACT(T90, ""(\d{1,2}) nov\. 2025""))), 
  TEXT(DATE(2025,11,REGEXEXTRACT(T90, ""(\d{1,2}) nov\. 2025"")), ""dd/mm/yyyy""),
 IF(NOT(ISERROR(REGEXEXTRACT(T90, ""(\d{1,2}) dez\. 2025""))), 
  TEXT(DATE(2025,12,R"&amp;"EGEXEXTRACT(T90, ""(\d{1,2}) dez\. 2025"")), ""dd/mm/yyyy""),
 ""Insira a data manualmente"")))))))))))), """"))"),"29/10/2025")</f>
        <v>29/10/2025</v>
      </c>
      <c r="H90" s="22">
        <f t="shared" si="1"/>
        <v>2025</v>
      </c>
      <c r="I90" s="18" t="str">
        <f>IFERROR(__xludf.DUMMYFUNCTION("IF(REGEXMATCH(T90,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IF(REGEXMATCH(T90, ""(?i)\bBrasília\b""), ""Distrito Federal, Brasil"",
REGEXEXTRACT(T90,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90" s="30" t="s">
        <v>32</v>
      </c>
      <c r="K90" s="24" t="s">
        <v>282</v>
      </c>
      <c r="L90" s="24" t="s">
        <v>26</v>
      </c>
      <c r="M90" s="25" t="s">
        <v>27</v>
      </c>
      <c r="N90" s="18" t="str">
        <f t="shared" si="6"/>
        <v>Agência Brasil</v>
      </c>
      <c r="O90" s="17" t="s">
        <v>28</v>
      </c>
      <c r="P90" s="17" t="s">
        <v>251</v>
      </c>
      <c r="Q90" s="26">
        <v>45963.0</v>
      </c>
      <c r="R90" s="17" t="s">
        <v>30</v>
      </c>
      <c r="S90" s="27" t="str">
        <f t="shared" si="3"/>
        <v>Aqui</v>
      </c>
      <c r="T90" s="29" t="s">
        <v>283</v>
      </c>
      <c r="U90" s="29"/>
    </row>
    <row r="91">
      <c r="A91" s="16">
        <v>89.0</v>
      </c>
      <c r="B91" s="17" t="s">
        <v>23</v>
      </c>
      <c r="C91" s="18" t="str">
        <f>IFERROR(__xludf.DUMMYFUNCTION("IF(B91="""","""",IF(OR(
  REGEXMATCH(B91,""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REGEXMATCH(B91,""Notícia|Reportagem|Artigo de opinião|Verbete"")
),""Difusão"","""")))
"),"Difusão")</f>
        <v>Difusão</v>
      </c>
      <c r="D91" s="19" t="str">
        <f>IFERROR(__xludf.DUMMYFUNCTION("IF(B91="""","""",IF(OR(
  REGEXMATCH(B91,""Performance|Instalação|Álbum|Música|Poema|Livro|Filme|Documentário|Recitação|Espetáculo|Peça|Intervenção|Desfile|Fotografia|Exposição|Charge|Grafite|Leitura pública|Fabricação de cachaça artesanal""),
  REGEXMATC"&amp;"H(B91,""dança|teatral|artístico|musical|artística"")
),""Manifestação artístico-cultural"",
IF(OR(
  REGEXMATCH(B91,""Crônica|Série|Reportagem|Podcast|Audiotour|Entrevista|Vídeo|Rádio|Notícia|Artigo de opinião|Coletiva de imprensa""),
  REGEXMATCH(B91,""m"&amp;"idiática"")
),""Produção midiática"","""")))
"),"Produção midiática")</f>
        <v>Produção midiática</v>
      </c>
      <c r="E91" s="20" t="str">
        <f>IFERROR(__xludf.DUMMYFUNCTION("IF(B91="""","""",IF(OR(
  REGEXMATCH(B91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REGEXMATCH(B91,""público|Imediato|artística|teatral|memória|Ação popular"")
),""Público Imediato"",
IF(REGEXMATCH(B91,""Música|Álbum|Filme|Documentário|S"&amp;"érie|Podcast|Rádio|Audiotour|Entrevista|Reportagem|Crônica|Relatório|Abaixo-assinado|Manifesto|Petição|Poema|Livro|Fotografia|Curta|Live|Webinário|Charge|Leitura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91" s="20" t="str">
        <f>IFERROR(__xludf.DUMMYFUNCTION("IF(B91="""","""",IF(OR(
  REGEXMATCH(B91,""Live|Webinário|Virtual|Verbete""),
  REGEXMATCH(B91,""online"")
),""Virtual"",
IF(REGEXMATCH(B91,""Música|Álbum|Filme|Documentário|Série|Podcast|Rádio|Audiotour|Episódio|Reportagem|Curta|Charge|Vídeo|Entrevista|N"&amp;"otícia|Artigo de opinião""),
""Midiático"",
IF(REGEXMATCH(B91,""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91" s="21" t="str">
        <f>IFERROR(__xludf.DUMMYFUNCTION("IF(C91=""rememoração"", ""Insira a data manualmente"", IF(C91=""difusão"", 
 IF(NOT(ISERROR(REGEXEXTRACT(T91, ""(\d{1,2}) jan\. 2025""))), 
  TEXT(DATE(2025,1,REGEXEXTRACT(T91, ""(\d{1,2}) jan\. 2025"")), ""dd/mm/yyyy""),
 IF(NOT(ISERROR(REGEXEXTRACT(T91,"&amp;" ""(\d{1,2}) fev\. 2025""))), 
  TEXT(DATE(2025,2,REGEXEXTRACT(T91, ""(\d{1,2}) fev\. 2025"")), ""dd/mm/yyyy""),
 IF(NOT(ISERROR(REGEXEXTRACT(T91, ""(\d{1,2}) mar\. 2025""))), 
  TEXT(DATE(2025,3,REGEXEXTRACT(T91, ""(\d{1,2}) mar\. 2025"")), ""dd/mm/yyyy"&amp;"""),
 IF(NOT(ISERROR(REGEXEXTRACT(T91, ""(\d{1,2}) abr\. 2025""))), 
  TEXT(DATE(2025,4,REGEXEXTRACT(T91, ""(\d{1,2}) abr\. 2025"")), ""dd/mm/yyyy""),
 IF(NOT(ISERROR(REGEXEXTRACT(T91, ""(\d{1,2}) (mai|maio)\. 2025""))), 
  TEXT(DATE(2025,5,REGEXEXTRACT(T"&amp;"91, ""(\d{1,2}) (mai|maio)\. 2025"")), ""dd/mm/yyyy""),
 IF(NOT(ISERROR(REGEXEXTRACT(T91, ""(\d{1,2}) jun\. 2025""))), 
  TEXT(DATE(2025,6,REGEXEXTRACT(T91, ""(\d{1,2}) jun\. 2025"")), ""dd/mm/yyyy""),
 IF(NOT(ISERROR(REGEXEXTRACT(T91, ""(\d{1,2}) jul\. 2"&amp;"025""))), 
  TEXT(DATE(2025,7,REGEXEXTRACT(T91, ""(\d{1,2}) jul\. 2025"")), ""dd/mm/yyyy""),
 IF(NOT(ISERROR(REGEXEXTRACT(T91, ""(\d{1,2}) ago\. 2025""))), 
  TEXT(DATE(2025,8,REGEXEXTRACT(T91, ""(\d{1,2}) ago\. 2025"")), ""dd/mm/yyyy""),
 IF(NOT(ISERROR("&amp;"REGEXEXTRACT(T91, ""(\d{1,2}) set\. 2025""))), 
  TEXT(DATE(2025,9,REGEXEXTRACT(T91, ""(\d{1,2}) set\. 2025"")), ""dd/mm/yyyy""),
 IF(NOT(ISERROR(REGEXEXTRACT(T91, ""(\d{1,2}) out\. 2025""))), 
  TEXT(DATE(2025,10,REGEXEXTRACT(T91, ""(\d{1,2}) out\. 2025"&amp;""")), ""dd/mm/yyyy""),
 IF(NOT(ISERROR(REGEXEXTRACT(T91, ""(\d{1,2}) nov\. 2025""))), 
  TEXT(DATE(2025,11,REGEXEXTRACT(T91, ""(\d{1,2}) nov\. 2025"")), ""dd/mm/yyyy""),
 IF(NOT(ISERROR(REGEXEXTRACT(T91, ""(\d{1,2}) dez\. 2025""))), 
  TEXT(DATE(2025,12,R"&amp;"EGEXEXTRACT(T91, ""(\d{1,2}) dez\. 2025"")), ""dd/mm/yyyy""),
 ""Insira a data manualmente"")))))))))))), """"))"),"28/10/2025")</f>
        <v>28/10/2025</v>
      </c>
      <c r="H91" s="22">
        <f t="shared" si="1"/>
        <v>2025</v>
      </c>
      <c r="I91" s="18" t="str">
        <f>IFERROR(__xludf.DUMMYFUNCTION("IF(REGEXMATCH(T91,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IF(REGEXMATCH(T91, ""(?i)\bBrasília\b""), ""Distrito Federal, Brasil"",
REGEXEXTRACT(T91,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91" s="30" t="s">
        <v>32</v>
      </c>
      <c r="K91" s="24" t="s">
        <v>284</v>
      </c>
      <c r="L91" s="24" t="s">
        <v>26</v>
      </c>
      <c r="M91" s="25" t="s">
        <v>27</v>
      </c>
      <c r="N91" s="18" t="str">
        <f t="shared" si="6"/>
        <v>Agência Brasil</v>
      </c>
      <c r="O91" s="17" t="s">
        <v>28</v>
      </c>
      <c r="P91" s="17" t="s">
        <v>251</v>
      </c>
      <c r="Q91" s="26">
        <v>45963.0</v>
      </c>
      <c r="R91" s="17" t="s">
        <v>30</v>
      </c>
      <c r="S91" s="27" t="str">
        <f t="shared" si="3"/>
        <v>Aqui</v>
      </c>
      <c r="T91" s="29" t="s">
        <v>285</v>
      </c>
      <c r="U91" s="29"/>
    </row>
    <row r="92">
      <c r="A92" s="16">
        <v>90.0</v>
      </c>
      <c r="B92" s="17" t="s">
        <v>23</v>
      </c>
      <c r="C92" s="18" t="str">
        <f>IFERROR(__xludf.DUMMYFUNCTION("IF(B92="""","""",IF(OR(
  REGEXMATCH(B92,""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REGEXMATCH(B92,""Notícia|Reportagem|Artigo de opinião|Verbete"")
),""Difusão"","""")))
"),"Difusão")</f>
        <v>Difusão</v>
      </c>
      <c r="D92" s="19" t="str">
        <f>IFERROR(__xludf.DUMMYFUNCTION("IF(B92="""","""",IF(OR(
  REGEXMATCH(B92,""Performance|Instalação|Álbum|Música|Poema|Livro|Filme|Documentário|Recitação|Espetáculo|Peça|Intervenção|Desfile|Fotografia|Exposição|Charge|Grafite|Leitura pública|Fabricação de cachaça artesanal""),
  REGEXMATC"&amp;"H(B92,""dança|teatral|artístico|musical|artística"")
),""Manifestação artístico-cultural"",
IF(OR(
  REGEXMATCH(B92,""Crônica|Série|Reportagem|Podcast|Audiotour|Entrevista|Vídeo|Rádio|Notícia|Artigo de opinião|Coletiva de imprensa""),
  REGEXMATCH(B92,""m"&amp;"idiática"")
),""Produção midiática"","""")))
"),"Produção midiática")</f>
        <v>Produção midiática</v>
      </c>
      <c r="E92" s="20" t="str">
        <f>IFERROR(__xludf.DUMMYFUNCTION("IF(B92="""","""",IF(OR(
  REGEXMATCH(B92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REGEXMATCH(B92,""público|Imediato|artística|teatral|memória|Ação popular"")
),""Público Imediato"",
IF(REGEXMATCH(B92,""Música|Álbum|Filme|Documentário|S"&amp;"érie|Podcast|Rádio|Audiotour|Entrevista|Reportagem|Crônica|Relatório|Abaixo-assinado|Manifesto|Petição|Poema|Livro|Fotografia|Curta|Live|Webinário|Charge|Leitura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92" s="20" t="str">
        <f>IFERROR(__xludf.DUMMYFUNCTION("IF(B92="""","""",IF(OR(
  REGEXMATCH(B92,""Live|Webinário|Virtual|Verbete""),
  REGEXMATCH(B92,""online"")
),""Virtual"",
IF(REGEXMATCH(B92,""Música|Álbum|Filme|Documentário|Série|Podcast|Rádio|Audiotour|Episódio|Reportagem|Curta|Charge|Vídeo|Entrevista|N"&amp;"otícia|Artigo de opinião""),
""Midiático"",
IF(REGEXMATCH(B92,""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92" s="21" t="str">
        <f>IFERROR(__xludf.DUMMYFUNCTION("IF(C92=""rememoração"", ""Insira a data manualmente"", IF(C92=""difusão"", 
 IF(NOT(ISERROR(REGEXEXTRACT(T92, ""(\d{1,2}) jan\. 2025""))), 
  TEXT(DATE(2025,1,REGEXEXTRACT(T92, ""(\d{1,2}) jan\. 2025"")), ""dd/mm/yyyy""),
 IF(NOT(ISERROR(REGEXEXTRACT(T92,"&amp;" ""(\d{1,2}) fev\. 2025""))), 
  TEXT(DATE(2025,2,REGEXEXTRACT(T92, ""(\d{1,2}) fev\. 2025"")), ""dd/mm/yyyy""),
 IF(NOT(ISERROR(REGEXEXTRACT(T92, ""(\d{1,2}) mar\. 2025""))), 
  TEXT(DATE(2025,3,REGEXEXTRACT(T92, ""(\d{1,2}) mar\. 2025"")), ""dd/mm/yyyy"&amp;"""),
 IF(NOT(ISERROR(REGEXEXTRACT(T92, ""(\d{1,2}) abr\. 2025""))), 
  TEXT(DATE(2025,4,REGEXEXTRACT(T92, ""(\d{1,2}) abr\. 2025"")), ""dd/mm/yyyy""),
 IF(NOT(ISERROR(REGEXEXTRACT(T92, ""(\d{1,2}) (mai|maio)\. 2025""))), 
  TEXT(DATE(2025,5,REGEXEXTRACT(T"&amp;"92, ""(\d{1,2}) (mai|maio)\. 2025"")), ""dd/mm/yyyy""),
 IF(NOT(ISERROR(REGEXEXTRACT(T92, ""(\d{1,2}) jun\. 2025""))), 
  TEXT(DATE(2025,6,REGEXEXTRACT(T92, ""(\d{1,2}) jun\. 2025"")), ""dd/mm/yyyy""),
 IF(NOT(ISERROR(REGEXEXTRACT(T92, ""(\d{1,2}) jul\. 2"&amp;"025""))), 
  TEXT(DATE(2025,7,REGEXEXTRACT(T92, ""(\d{1,2}) jul\. 2025"")), ""dd/mm/yyyy""),
 IF(NOT(ISERROR(REGEXEXTRACT(T92, ""(\d{1,2}) ago\. 2025""))), 
  TEXT(DATE(2025,8,REGEXEXTRACT(T92, ""(\d{1,2}) ago\. 2025"")), ""dd/mm/yyyy""),
 IF(NOT(ISERROR("&amp;"REGEXEXTRACT(T92, ""(\d{1,2}) set\. 2025""))), 
  TEXT(DATE(2025,9,REGEXEXTRACT(T92, ""(\d{1,2}) set\. 2025"")), ""dd/mm/yyyy""),
 IF(NOT(ISERROR(REGEXEXTRACT(T92, ""(\d{1,2}) out\. 2025""))), 
  TEXT(DATE(2025,10,REGEXEXTRACT(T92, ""(\d{1,2}) out\. 2025"&amp;""")), ""dd/mm/yyyy""),
 IF(NOT(ISERROR(REGEXEXTRACT(T92, ""(\d{1,2}) nov\. 2025""))), 
  TEXT(DATE(2025,11,REGEXEXTRACT(T92, ""(\d{1,2}) nov\. 2025"")), ""dd/mm/yyyy""),
 IF(NOT(ISERROR(REGEXEXTRACT(T92, ""(\d{1,2}) dez\. 2025""))), 
  TEXT(DATE(2025,12,R"&amp;"EGEXEXTRACT(T92, ""(\d{1,2}) dez\. 2025"")), ""dd/mm/yyyy""),
 ""Insira a data manualmente"")))))))))))), """"))"),"31/10/2025")</f>
        <v>31/10/2025</v>
      </c>
      <c r="H92" s="22">
        <f t="shared" si="1"/>
        <v>2025</v>
      </c>
      <c r="I92" s="18" t="str">
        <f>IFERROR(__xludf.DUMMYFUNCTION("IF(REGEXMATCH(T92,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IF(REGEXMATCH(T92, ""(?i)\bBrasília\b""), ""Distrito Federal, Brasil"",
REGEXEXTRACT(T92,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92" s="30" t="s">
        <v>32</v>
      </c>
      <c r="K92" s="24" t="s">
        <v>286</v>
      </c>
      <c r="L92" s="24" t="s">
        <v>26</v>
      </c>
      <c r="M92" s="25" t="s">
        <v>27</v>
      </c>
      <c r="N92" s="18" t="str">
        <f t="shared" si="6"/>
        <v>Agência Brasil</v>
      </c>
      <c r="O92" s="17" t="s">
        <v>28</v>
      </c>
      <c r="P92" s="17" t="s">
        <v>251</v>
      </c>
      <c r="Q92" s="26">
        <v>45963.0</v>
      </c>
      <c r="R92" s="17" t="s">
        <v>30</v>
      </c>
      <c r="S92" s="27" t="str">
        <f t="shared" si="3"/>
        <v>Aqui</v>
      </c>
      <c r="T92" s="29" t="s">
        <v>287</v>
      </c>
      <c r="U92" s="29"/>
    </row>
    <row r="93">
      <c r="A93" s="16">
        <v>91.0</v>
      </c>
      <c r="B93" s="17" t="s">
        <v>23</v>
      </c>
      <c r="C93" s="18" t="str">
        <f>IFERROR(__xludf.DUMMYFUNCTION("IF(B93="""","""",IF(OR(
  REGEXMATCH(B93,""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REGEXMATCH(B93,""Notícia|Reportagem|Artigo de opinião|Verbete"")
),""Difusão"","""")))
"),"Difusão")</f>
        <v>Difusão</v>
      </c>
      <c r="D93" s="19" t="str">
        <f>IFERROR(__xludf.DUMMYFUNCTION("IF(B93="""","""",IF(OR(
  REGEXMATCH(B93,""Performance|Instalação|Álbum|Música|Poema|Livro|Filme|Documentário|Recitação|Espetáculo|Peça|Intervenção|Desfile|Fotografia|Exposição|Charge|Grafite|Leitura pública|Fabricação de cachaça artesanal""),
  REGEXMATC"&amp;"H(B93,""dança|teatral|artístico|musical|artística"")
),""Manifestação artístico-cultural"",
IF(OR(
  REGEXMATCH(B93,""Crônica|Série|Reportagem|Podcast|Audiotour|Entrevista|Vídeo|Rádio|Notícia|Artigo de opinião|Coletiva de imprensa""),
  REGEXMATCH(B93,""m"&amp;"idiática"")
),""Produção midiática"","""")))
"),"Produção midiática")</f>
        <v>Produção midiática</v>
      </c>
      <c r="E93" s="20" t="str">
        <f>IFERROR(__xludf.DUMMYFUNCTION("IF(B93="""","""",IF(OR(
  REGEXMATCH(B93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REGEXMATCH(B93,""público|Imediato|artística|teatral|memória|Ação popular"")
),""Público Imediato"",
IF(REGEXMATCH(B93,""Música|Álbum|Filme|Documentário|S"&amp;"érie|Podcast|Rádio|Audiotour|Entrevista|Reportagem|Crônica|Relatório|Abaixo-assinado|Manifesto|Petição|Poema|Livro|Fotografia|Curta|Live|Webinário|Charge|Leitura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93" s="20" t="str">
        <f>IFERROR(__xludf.DUMMYFUNCTION("IF(B93="""","""",IF(OR(
  REGEXMATCH(B93,""Live|Webinário|Virtual|Verbete""),
  REGEXMATCH(B93,""online"")
),""Virtual"",
IF(REGEXMATCH(B93,""Música|Álbum|Filme|Documentário|Série|Podcast|Rádio|Audiotour|Episódio|Reportagem|Curta|Charge|Vídeo|Entrevista|N"&amp;"otícia|Artigo de opinião""),
""Midiático"",
IF(REGEXMATCH(B93,""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93" s="21" t="str">
        <f>IFERROR(__xludf.DUMMYFUNCTION("IF(C93=""rememoração"", ""Insira a data manualmente"", IF(C93=""difusão"", 
 IF(NOT(ISERROR(REGEXEXTRACT(T93, ""(\d{1,2}) jan\. 2025""))), 
  TEXT(DATE(2025,1,REGEXEXTRACT(T93, ""(\d{1,2}) jan\. 2025"")), ""dd/mm/yyyy""),
 IF(NOT(ISERROR(REGEXEXTRACT(T93,"&amp;" ""(\d{1,2}) fev\. 2025""))), 
  TEXT(DATE(2025,2,REGEXEXTRACT(T93, ""(\d{1,2}) fev\. 2025"")), ""dd/mm/yyyy""),
 IF(NOT(ISERROR(REGEXEXTRACT(T93, ""(\d{1,2}) mar\. 2025""))), 
  TEXT(DATE(2025,3,REGEXEXTRACT(T93, ""(\d{1,2}) mar\. 2025"")), ""dd/mm/yyyy"&amp;"""),
 IF(NOT(ISERROR(REGEXEXTRACT(T93, ""(\d{1,2}) abr\. 2025""))), 
  TEXT(DATE(2025,4,REGEXEXTRACT(T93, ""(\d{1,2}) abr\. 2025"")), ""dd/mm/yyyy""),
 IF(NOT(ISERROR(REGEXEXTRACT(T93, ""(\d{1,2}) (mai|maio)\. 2025""))), 
  TEXT(DATE(2025,5,REGEXEXTRACT(T"&amp;"93, ""(\d{1,2}) (mai|maio)\. 2025"")), ""dd/mm/yyyy""),
 IF(NOT(ISERROR(REGEXEXTRACT(T93, ""(\d{1,2}) jun\. 2025""))), 
  TEXT(DATE(2025,6,REGEXEXTRACT(T93, ""(\d{1,2}) jun\. 2025"")), ""dd/mm/yyyy""),
 IF(NOT(ISERROR(REGEXEXTRACT(T93, ""(\d{1,2}) jul\. 2"&amp;"025""))), 
  TEXT(DATE(2025,7,REGEXEXTRACT(T93, ""(\d{1,2}) jul\. 2025"")), ""dd/mm/yyyy""),
 IF(NOT(ISERROR(REGEXEXTRACT(T93, ""(\d{1,2}) ago\. 2025""))), 
  TEXT(DATE(2025,8,REGEXEXTRACT(T93, ""(\d{1,2}) ago\. 2025"")), ""dd/mm/yyyy""),
 IF(NOT(ISERROR("&amp;"REGEXEXTRACT(T93, ""(\d{1,2}) set\. 2025""))), 
  TEXT(DATE(2025,9,REGEXEXTRACT(T93, ""(\d{1,2}) set\. 2025"")), ""dd/mm/yyyy""),
 IF(NOT(ISERROR(REGEXEXTRACT(T93, ""(\d{1,2}) out\. 2025""))), 
  TEXT(DATE(2025,10,REGEXEXTRACT(T93, ""(\d{1,2}) out\. 2025"&amp;""")), ""dd/mm/yyyy""),
 IF(NOT(ISERROR(REGEXEXTRACT(T93, ""(\d{1,2}) nov\. 2025""))), 
  TEXT(DATE(2025,11,REGEXEXTRACT(T93, ""(\d{1,2}) nov\. 2025"")), ""dd/mm/yyyy""),
 IF(NOT(ISERROR(REGEXEXTRACT(T93, ""(\d{1,2}) dez\. 2025""))), 
  TEXT(DATE(2025,12,R"&amp;"EGEXEXTRACT(T93, ""(\d{1,2}) dez\. 2025"")), ""dd/mm/yyyy""),
 ""Insira a data manualmente"")))))))))))), """"))"),"31/10/2025")</f>
        <v>31/10/2025</v>
      </c>
      <c r="H93" s="22">
        <f t="shared" si="1"/>
        <v>2025</v>
      </c>
      <c r="I93" s="18" t="str">
        <f>IFERROR(__xludf.DUMMYFUNCTION("IF(REGEXMATCH(T93,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IF(REGEXMATCH(T93, ""(?i)\bBrasília\b""), ""Distrito Federal, Brasil"",
REGEXEXTRACT(T93,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93" s="30" t="s">
        <v>32</v>
      </c>
      <c r="K93" s="24" t="s">
        <v>288</v>
      </c>
      <c r="L93" s="24" t="s">
        <v>26</v>
      </c>
      <c r="M93" s="25" t="s">
        <v>27</v>
      </c>
      <c r="N93" s="18" t="str">
        <f t="shared" si="6"/>
        <v>Agência Brasil</v>
      </c>
      <c r="O93" s="17" t="s">
        <v>28</v>
      </c>
      <c r="P93" s="17" t="s">
        <v>251</v>
      </c>
      <c r="Q93" s="26">
        <v>45963.0</v>
      </c>
      <c r="R93" s="17" t="s">
        <v>30</v>
      </c>
      <c r="S93" s="27" t="str">
        <f t="shared" si="3"/>
        <v>Aqui</v>
      </c>
      <c r="T93" s="29" t="s">
        <v>289</v>
      </c>
      <c r="U93" s="29"/>
    </row>
    <row r="94">
      <c r="A94" s="16">
        <v>92.0</v>
      </c>
      <c r="B94" s="17" t="s">
        <v>23</v>
      </c>
      <c r="C94" s="18" t="str">
        <f>IFERROR(__xludf.DUMMYFUNCTION("IF(B94="""","""",IF(OR(
  REGEXMATCH(B94,""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REGEXMATCH(B94,""Notícia|Reportagem|Artigo de opinião|Verbete"")
),""Difusão"","""")))
"),"Difusão")</f>
        <v>Difusão</v>
      </c>
      <c r="D94" s="19" t="str">
        <f>IFERROR(__xludf.DUMMYFUNCTION("IF(B94="""","""",IF(OR(
  REGEXMATCH(B94,""Performance|Instalação|Álbum|Música|Poema|Livro|Filme|Documentário|Recitação|Espetáculo|Peça|Intervenção|Desfile|Fotografia|Exposição|Charge|Grafite|Leitura pública|Fabricação de cachaça artesanal""),
  REGEXMATC"&amp;"H(B94,""dança|teatral|artístico|musical|artística"")
),""Manifestação artístico-cultural"",
IF(OR(
  REGEXMATCH(B94,""Crônica|Série|Reportagem|Podcast|Audiotour|Entrevista|Vídeo|Rádio|Notícia|Artigo de opinião|Coletiva de imprensa""),
  REGEXMATCH(B94,""m"&amp;"idiática"")
),""Produção midiática"","""")))
"),"Produção midiática")</f>
        <v>Produção midiática</v>
      </c>
      <c r="E94" s="20" t="str">
        <f>IFERROR(__xludf.DUMMYFUNCTION("IF(B94="""","""",IF(OR(
  REGEXMATCH(B94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REGEXMATCH(B94,""público|Imediato|artística|teatral|memória|Ação popular"")
),""Público Imediato"",
IF(REGEXMATCH(B94,""Música|Álbum|Filme|Documentário|S"&amp;"érie|Podcast|Rádio|Audiotour|Entrevista|Reportagem|Crônica|Relatório|Abaixo-assinado|Manifesto|Petição|Poema|Livro|Fotografia|Curta|Live|Webinário|Charge|Leitura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94" s="20" t="str">
        <f>IFERROR(__xludf.DUMMYFUNCTION("IF(B94="""","""",IF(OR(
  REGEXMATCH(B94,""Live|Webinário|Virtual|Verbete""),
  REGEXMATCH(B94,""online"")
),""Virtual"",
IF(REGEXMATCH(B94,""Música|Álbum|Filme|Documentário|Série|Podcast|Rádio|Audiotour|Episódio|Reportagem|Curta|Charge|Vídeo|Entrevista|N"&amp;"otícia|Artigo de opinião""),
""Midiático"",
IF(REGEXMATCH(B94,""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94" s="21" t="str">
        <f>IFERROR(__xludf.DUMMYFUNCTION("IF(C94=""rememoração"", ""Insira a data manualmente"", IF(C94=""difusão"", 
 IF(NOT(ISERROR(REGEXEXTRACT(T94, ""(\d{1,2}) jan\. 2025""))), 
  TEXT(DATE(2025,1,REGEXEXTRACT(T94, ""(\d{1,2}) jan\. 2025"")), ""dd/mm/yyyy""),
 IF(NOT(ISERROR(REGEXEXTRACT(T94,"&amp;" ""(\d{1,2}) fev\. 2025""))), 
  TEXT(DATE(2025,2,REGEXEXTRACT(T94, ""(\d{1,2}) fev\. 2025"")), ""dd/mm/yyyy""),
 IF(NOT(ISERROR(REGEXEXTRACT(T94, ""(\d{1,2}) mar\. 2025""))), 
  TEXT(DATE(2025,3,REGEXEXTRACT(T94, ""(\d{1,2}) mar\. 2025"")), ""dd/mm/yyyy"&amp;"""),
 IF(NOT(ISERROR(REGEXEXTRACT(T94, ""(\d{1,2}) abr\. 2025""))), 
  TEXT(DATE(2025,4,REGEXEXTRACT(T94, ""(\d{1,2}) abr\. 2025"")), ""dd/mm/yyyy""),
 IF(NOT(ISERROR(REGEXEXTRACT(T94, ""(\d{1,2}) (mai|maio)\. 2025""))), 
  TEXT(DATE(2025,5,REGEXEXTRACT(T"&amp;"94, ""(\d{1,2}) (mai|maio)\. 2025"")), ""dd/mm/yyyy""),
 IF(NOT(ISERROR(REGEXEXTRACT(T94, ""(\d{1,2}) jun\. 2025""))), 
  TEXT(DATE(2025,6,REGEXEXTRACT(T94, ""(\d{1,2}) jun\. 2025"")), ""dd/mm/yyyy""),
 IF(NOT(ISERROR(REGEXEXTRACT(T94, ""(\d{1,2}) jul\. 2"&amp;"025""))), 
  TEXT(DATE(2025,7,REGEXEXTRACT(T94, ""(\d{1,2}) jul\. 2025"")), ""dd/mm/yyyy""),
 IF(NOT(ISERROR(REGEXEXTRACT(T94, ""(\d{1,2}) ago\. 2025""))), 
  TEXT(DATE(2025,8,REGEXEXTRACT(T94, ""(\d{1,2}) ago\. 2025"")), ""dd/mm/yyyy""),
 IF(NOT(ISERROR("&amp;"REGEXEXTRACT(T94, ""(\d{1,2}) set\. 2025""))), 
  TEXT(DATE(2025,9,REGEXEXTRACT(T94, ""(\d{1,2}) set\. 2025"")), ""dd/mm/yyyy""),
 IF(NOT(ISERROR(REGEXEXTRACT(T94, ""(\d{1,2}) out\. 2025""))), 
  TEXT(DATE(2025,10,REGEXEXTRACT(T94, ""(\d{1,2}) out\. 2025"&amp;""")), ""dd/mm/yyyy""),
 IF(NOT(ISERROR(REGEXEXTRACT(T94, ""(\d{1,2}) nov\. 2025""))), 
  TEXT(DATE(2025,11,REGEXEXTRACT(T94, ""(\d{1,2}) nov\. 2025"")), ""dd/mm/yyyy""),
 IF(NOT(ISERROR(REGEXEXTRACT(T94, ""(\d{1,2}) dez\. 2025""))), 
  TEXT(DATE(2025,12,R"&amp;"EGEXEXTRACT(T94, ""(\d{1,2}) dez\. 2025"")), ""dd/mm/yyyy""),
 ""Insira a data manualmente"")))))))))))), """"))"),"30/10/2025")</f>
        <v>30/10/2025</v>
      </c>
      <c r="H94" s="22">
        <f t="shared" si="1"/>
        <v>2025</v>
      </c>
      <c r="I94" s="18" t="str">
        <f>IFERROR(__xludf.DUMMYFUNCTION("IF(REGEXMATCH(T94,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IF(REGEXMATCH(T94, ""(?i)\bBrasília\b""), ""Distrito Federal, Brasil"",
REGEXEXTRACT(T94,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94" s="30" t="s">
        <v>32</v>
      </c>
      <c r="K94" s="24" t="s">
        <v>290</v>
      </c>
      <c r="L94" s="24" t="s">
        <v>26</v>
      </c>
      <c r="M94" s="25" t="s">
        <v>27</v>
      </c>
      <c r="N94" s="18" t="str">
        <f t="shared" si="6"/>
        <v>Agência Brasil</v>
      </c>
      <c r="O94" s="17" t="s">
        <v>28</v>
      </c>
      <c r="P94" s="17" t="s">
        <v>251</v>
      </c>
      <c r="Q94" s="26">
        <v>45963.0</v>
      </c>
      <c r="R94" s="17" t="s">
        <v>30</v>
      </c>
      <c r="S94" s="27" t="str">
        <f t="shared" si="3"/>
        <v>Aqui</v>
      </c>
      <c r="T94" s="29" t="s">
        <v>291</v>
      </c>
      <c r="U94" s="29"/>
    </row>
    <row r="95">
      <c r="A95" s="16">
        <v>93.0</v>
      </c>
      <c r="B95" s="17" t="s">
        <v>23</v>
      </c>
      <c r="C95" s="18" t="str">
        <f>IFERROR(__xludf.DUMMYFUNCTION("IF(B95="""","""",IF(OR(
  REGEXMATCH(B95,""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REGEXMATCH(B95,""Notícia|Reportagem|Artigo de opinião|Verbete"")
),""Difusão"","""")))
"),"Difusão")</f>
        <v>Difusão</v>
      </c>
      <c r="D95" s="19" t="str">
        <f>IFERROR(__xludf.DUMMYFUNCTION("IF(B95="""","""",IF(OR(
  REGEXMATCH(B95,""Performance|Instalação|Álbum|Música|Poema|Livro|Filme|Documentário|Recitação|Espetáculo|Peça|Intervenção|Desfile|Fotografia|Exposição|Charge|Grafite|Leitura pública|Fabricação de cachaça artesanal""),
  REGEXMATC"&amp;"H(B95,""dança|teatral|artístico|musical|artística"")
),""Manifestação artístico-cultural"",
IF(OR(
  REGEXMATCH(B95,""Crônica|Série|Reportagem|Podcast|Audiotour|Entrevista|Vídeo|Rádio|Notícia|Artigo de opinião|Coletiva de imprensa""),
  REGEXMATCH(B95,""m"&amp;"idiática"")
),""Produção midiática"","""")))
"),"Produção midiática")</f>
        <v>Produção midiática</v>
      </c>
      <c r="E95" s="20" t="str">
        <f>IFERROR(__xludf.DUMMYFUNCTION("IF(B95="""","""",IF(OR(
  REGEXMATCH(B95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REGEXMATCH(B95,""público|Imediato|artística|teatral|memória|Ação popular"")
),""Público Imediato"",
IF(REGEXMATCH(B95,""Música|Álbum|Filme|Documentário|S"&amp;"érie|Podcast|Rádio|Audiotour|Entrevista|Reportagem|Crônica|Relatório|Abaixo-assinado|Manifesto|Petição|Poema|Livro|Fotografia|Curta|Live|Webinário|Charge|Leitura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95" s="20" t="str">
        <f>IFERROR(__xludf.DUMMYFUNCTION("IF(B95="""","""",IF(OR(
  REGEXMATCH(B95,""Live|Webinário|Virtual|Verbete""),
  REGEXMATCH(B95,""online"")
),""Virtual"",
IF(REGEXMATCH(B95,""Música|Álbum|Filme|Documentário|Série|Podcast|Rádio|Audiotour|Episódio|Reportagem|Curta|Charge|Vídeo|Entrevista|N"&amp;"otícia|Artigo de opinião""),
""Midiático"",
IF(REGEXMATCH(B95,""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95" s="21" t="str">
        <f>IFERROR(__xludf.DUMMYFUNCTION("IF(C95=""rememoração"", ""Insira a data manualmente"", IF(C95=""difusão"", 
 IF(NOT(ISERROR(REGEXEXTRACT(T95, ""(\d{1,2}) jan\. 2025""))), 
  TEXT(DATE(2025,1,REGEXEXTRACT(T95, ""(\d{1,2}) jan\. 2025"")), ""dd/mm/yyyy""),
 IF(NOT(ISERROR(REGEXEXTRACT(T95,"&amp;" ""(\d{1,2}) fev\. 2025""))), 
  TEXT(DATE(2025,2,REGEXEXTRACT(T95, ""(\d{1,2}) fev\. 2025"")), ""dd/mm/yyyy""),
 IF(NOT(ISERROR(REGEXEXTRACT(T95, ""(\d{1,2}) mar\. 2025""))), 
  TEXT(DATE(2025,3,REGEXEXTRACT(T95, ""(\d{1,2}) mar\. 2025"")), ""dd/mm/yyyy"&amp;"""),
 IF(NOT(ISERROR(REGEXEXTRACT(T95, ""(\d{1,2}) abr\. 2025""))), 
  TEXT(DATE(2025,4,REGEXEXTRACT(T95, ""(\d{1,2}) abr\. 2025"")), ""dd/mm/yyyy""),
 IF(NOT(ISERROR(REGEXEXTRACT(T95, ""(\d{1,2}) (mai|maio)\. 2025""))), 
  TEXT(DATE(2025,5,REGEXEXTRACT(T"&amp;"95, ""(\d{1,2}) (mai|maio)\. 2025"")), ""dd/mm/yyyy""),
 IF(NOT(ISERROR(REGEXEXTRACT(T95, ""(\d{1,2}) jun\. 2025""))), 
  TEXT(DATE(2025,6,REGEXEXTRACT(T95, ""(\d{1,2}) jun\. 2025"")), ""dd/mm/yyyy""),
 IF(NOT(ISERROR(REGEXEXTRACT(T95, ""(\d{1,2}) jul\. 2"&amp;"025""))), 
  TEXT(DATE(2025,7,REGEXEXTRACT(T95, ""(\d{1,2}) jul\. 2025"")), ""dd/mm/yyyy""),
 IF(NOT(ISERROR(REGEXEXTRACT(T95, ""(\d{1,2}) ago\. 2025""))), 
  TEXT(DATE(2025,8,REGEXEXTRACT(T95, ""(\d{1,2}) ago\. 2025"")), ""dd/mm/yyyy""),
 IF(NOT(ISERROR("&amp;"REGEXEXTRACT(T95, ""(\d{1,2}) set\. 2025""))), 
  TEXT(DATE(2025,9,REGEXEXTRACT(T95, ""(\d{1,2}) set\. 2025"")), ""dd/mm/yyyy""),
 IF(NOT(ISERROR(REGEXEXTRACT(T95, ""(\d{1,2}) out\. 2025""))), 
  TEXT(DATE(2025,10,REGEXEXTRACT(T95, ""(\d{1,2}) out\. 2025"&amp;""")), ""dd/mm/yyyy""),
 IF(NOT(ISERROR(REGEXEXTRACT(T95, ""(\d{1,2}) nov\. 2025""))), 
  TEXT(DATE(2025,11,REGEXEXTRACT(T95, ""(\d{1,2}) nov\. 2025"")), ""dd/mm/yyyy""),
 IF(NOT(ISERROR(REGEXEXTRACT(T95, ""(\d{1,2}) dez\. 2025""))), 
  TEXT(DATE(2025,12,R"&amp;"EGEXEXTRACT(T95, ""(\d{1,2}) dez\. 2025"")), ""dd/mm/yyyy""),
 ""Insira a data manualmente"")))))))))))), """"))"),"29/10/2025")</f>
        <v>29/10/2025</v>
      </c>
      <c r="H95" s="22">
        <f t="shared" si="1"/>
        <v>2025</v>
      </c>
      <c r="I95" s="18" t="str">
        <f>IFERROR(__xludf.DUMMYFUNCTION("IF(REGEXMATCH(T95,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IF(REGEXMATCH(T95, ""(?i)\bBrasília\b""), ""Distrito Federal, Brasil"",
REGEXEXTRACT(T95,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95" s="30" t="s">
        <v>32</v>
      </c>
      <c r="K95" s="24" t="s">
        <v>292</v>
      </c>
      <c r="L95" s="24" t="s">
        <v>26</v>
      </c>
      <c r="M95" s="25" t="s">
        <v>27</v>
      </c>
      <c r="N95" s="18" t="str">
        <f t="shared" si="6"/>
        <v>Agência Brasil</v>
      </c>
      <c r="O95" s="17" t="s">
        <v>28</v>
      </c>
      <c r="P95" s="17" t="s">
        <v>251</v>
      </c>
      <c r="Q95" s="26">
        <v>45963.0</v>
      </c>
      <c r="R95" s="17" t="s">
        <v>30</v>
      </c>
      <c r="S95" s="27" t="str">
        <f t="shared" si="3"/>
        <v>Aqui</v>
      </c>
      <c r="T95" s="29" t="s">
        <v>293</v>
      </c>
      <c r="U95" s="29"/>
    </row>
    <row r="96">
      <c r="A96" s="16">
        <v>94.0</v>
      </c>
      <c r="B96" s="17" t="s">
        <v>23</v>
      </c>
      <c r="C96" s="18" t="str">
        <f>IFERROR(__xludf.DUMMYFUNCTION("IF(B96="""","""",IF(OR(
  REGEXMATCH(B96,""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REGEXMATCH(B96,""Notícia|Reportagem|Artigo de opinião|Verbete"")
),""Difusão"","""")))
"),"Difusão")</f>
        <v>Difusão</v>
      </c>
      <c r="D96" s="19" t="str">
        <f>IFERROR(__xludf.DUMMYFUNCTION("IF(B96="""","""",IF(OR(
  REGEXMATCH(B96,""Performance|Instalação|Álbum|Música|Poema|Livro|Filme|Documentário|Recitação|Espetáculo|Peça|Intervenção|Desfile|Fotografia|Exposição|Charge|Grafite|Leitura pública|Fabricação de cachaça artesanal""),
  REGEXMATC"&amp;"H(B96,""dança|teatral|artístico|musical|artística"")
),""Manifestação artístico-cultural"",
IF(OR(
  REGEXMATCH(B96,""Crônica|Série|Reportagem|Podcast|Audiotour|Entrevista|Vídeo|Rádio|Notícia|Artigo de opinião|Coletiva de imprensa""),
  REGEXMATCH(B96,""m"&amp;"idiática"")
),""Produção midiática"","""")))
"),"Produção midiática")</f>
        <v>Produção midiática</v>
      </c>
      <c r="E96" s="20" t="str">
        <f>IFERROR(__xludf.DUMMYFUNCTION("IF(B96="""","""",IF(OR(
  REGEXMATCH(B96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REGEXMATCH(B96,""público|Imediato|artística|teatral|memória|Ação popular"")
),""Público Imediato"",
IF(REGEXMATCH(B96,""Música|Álbum|Filme|Documentário|S"&amp;"érie|Podcast|Rádio|Audiotour|Entrevista|Reportagem|Crônica|Relatório|Abaixo-assinado|Manifesto|Petição|Poema|Livro|Fotografia|Curta|Live|Webinário|Charge|Leitura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96" s="20" t="str">
        <f>IFERROR(__xludf.DUMMYFUNCTION("IF(B96="""","""",IF(OR(
  REGEXMATCH(B96,""Live|Webinário|Virtual|Verbete""),
  REGEXMATCH(B96,""online"")
),""Virtual"",
IF(REGEXMATCH(B96,""Música|Álbum|Filme|Documentário|Série|Podcast|Rádio|Audiotour|Episódio|Reportagem|Curta|Charge|Vídeo|Entrevista|N"&amp;"otícia|Artigo de opinião""),
""Midiático"",
IF(REGEXMATCH(B96,""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96" s="21" t="str">
        <f>IFERROR(__xludf.DUMMYFUNCTION("IF(C96=""rememoração"", ""Insira a data manualmente"", IF(C96=""difusão"", 
 IF(NOT(ISERROR(REGEXEXTRACT(T96, ""(\d{1,2}) jan\. 2025""))), 
  TEXT(DATE(2025,1,REGEXEXTRACT(T96, ""(\d{1,2}) jan\. 2025"")), ""dd/mm/yyyy""),
 IF(NOT(ISERROR(REGEXEXTRACT(T96,"&amp;" ""(\d{1,2}) fev\. 2025""))), 
  TEXT(DATE(2025,2,REGEXEXTRACT(T96, ""(\d{1,2}) fev\. 2025"")), ""dd/mm/yyyy""),
 IF(NOT(ISERROR(REGEXEXTRACT(T96, ""(\d{1,2}) mar\. 2025""))), 
  TEXT(DATE(2025,3,REGEXEXTRACT(T96, ""(\d{1,2}) mar\. 2025"")), ""dd/mm/yyyy"&amp;"""),
 IF(NOT(ISERROR(REGEXEXTRACT(T96, ""(\d{1,2}) abr\. 2025""))), 
  TEXT(DATE(2025,4,REGEXEXTRACT(T96, ""(\d{1,2}) abr\. 2025"")), ""dd/mm/yyyy""),
 IF(NOT(ISERROR(REGEXEXTRACT(T96, ""(\d{1,2}) (mai|maio)\. 2025""))), 
  TEXT(DATE(2025,5,REGEXEXTRACT(T"&amp;"96, ""(\d{1,2}) (mai|maio)\. 2025"")), ""dd/mm/yyyy""),
 IF(NOT(ISERROR(REGEXEXTRACT(T96, ""(\d{1,2}) jun\. 2025""))), 
  TEXT(DATE(2025,6,REGEXEXTRACT(T96, ""(\d{1,2}) jun\. 2025"")), ""dd/mm/yyyy""),
 IF(NOT(ISERROR(REGEXEXTRACT(T96, ""(\d{1,2}) jul\. 2"&amp;"025""))), 
  TEXT(DATE(2025,7,REGEXEXTRACT(T96, ""(\d{1,2}) jul\. 2025"")), ""dd/mm/yyyy""),
 IF(NOT(ISERROR(REGEXEXTRACT(T96, ""(\d{1,2}) ago\. 2025""))), 
  TEXT(DATE(2025,8,REGEXEXTRACT(T96, ""(\d{1,2}) ago\. 2025"")), ""dd/mm/yyyy""),
 IF(NOT(ISERROR("&amp;"REGEXEXTRACT(T96, ""(\d{1,2}) set\. 2025""))), 
  TEXT(DATE(2025,9,REGEXEXTRACT(T96, ""(\d{1,2}) set\. 2025"")), ""dd/mm/yyyy""),
 IF(NOT(ISERROR(REGEXEXTRACT(T96, ""(\d{1,2}) out\. 2025""))), 
  TEXT(DATE(2025,10,REGEXEXTRACT(T96, ""(\d{1,2}) out\. 2025"&amp;""")), ""dd/mm/yyyy""),
 IF(NOT(ISERROR(REGEXEXTRACT(T96, ""(\d{1,2}) nov\. 2025""))), 
  TEXT(DATE(2025,11,REGEXEXTRACT(T96, ""(\d{1,2}) nov\. 2025"")), ""dd/mm/yyyy""),
 IF(NOT(ISERROR(REGEXEXTRACT(T96, ""(\d{1,2}) dez\. 2025""))), 
  TEXT(DATE(2025,12,R"&amp;"EGEXEXTRACT(T96, ""(\d{1,2}) dez\. 2025"")), ""dd/mm/yyyy""),
 ""Insira a data manualmente"")))))))))))), """"))"),"29/10/2025")</f>
        <v>29/10/2025</v>
      </c>
      <c r="H96" s="22">
        <f t="shared" si="1"/>
        <v>2025</v>
      </c>
      <c r="I96" s="18" t="str">
        <f>IFERROR(__xludf.DUMMYFUNCTION("IF(REGEXMATCH(T96,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IF(REGEXMATCH(T96, ""(?i)\bBrasília\b""), ""Distrito Federal, Brasil"",
REGEXEXTRACT(T96,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manualmente"")"),"Rio de Janeiro, Brasil")</f>
        <v>Rio de Janeiro, Brasil</v>
      </c>
      <c r="J96" s="30" t="s">
        <v>32</v>
      </c>
      <c r="K96" s="24" t="s">
        <v>294</v>
      </c>
      <c r="L96" s="24" t="s">
        <v>26</v>
      </c>
      <c r="M96" s="25" t="s">
        <v>27</v>
      </c>
      <c r="N96" s="18" t="str">
        <f t="shared" si="6"/>
        <v>Agência Brasil</v>
      </c>
      <c r="O96" s="17" t="s">
        <v>28</v>
      </c>
      <c r="P96" s="17" t="s">
        <v>251</v>
      </c>
      <c r="Q96" s="26">
        <v>45963.0</v>
      </c>
      <c r="R96" s="17" t="s">
        <v>30</v>
      </c>
      <c r="S96" s="27" t="str">
        <f t="shared" si="3"/>
        <v>Aqui</v>
      </c>
      <c r="T96" s="29" t="s">
        <v>295</v>
      </c>
      <c r="U96" s="29"/>
    </row>
    <row r="97">
      <c r="A97" s="16">
        <v>95.0</v>
      </c>
      <c r="B97" s="17" t="s">
        <v>23</v>
      </c>
      <c r="C97" s="18" t="str">
        <f>IFERROR(__xludf.DUMMYFUNCTION("IF(B97="""","""",IF(OR(
  REGEXMATCH(B97,""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REGEXMATCH(B97,""Notícia|Reportagem|Artigo de opinião|Verbete"")
),""Difusão"","""")))
"),"Difusão")</f>
        <v>Difusão</v>
      </c>
      <c r="D97" s="19" t="str">
        <f>IFERROR(__xludf.DUMMYFUNCTION("IF(B97="""","""",IF(OR(
  REGEXMATCH(B97,""Performance|Instalação|Álbum|Música|Poema|Livro|Filme|Documentário|Recitação|Espetáculo|Peça|Intervenção|Desfile|Fotografia|Exposição|Charge|Grafite|Leitura pública|Fabricação de cachaça artesanal""),
  REGEXMATC"&amp;"H(B97,""dança|teatral|artístico|musical|artística"")
),""Manifestação artístico-cultural"",
IF(OR(
  REGEXMATCH(B97,""Crônica|Série|Reportagem|Podcast|Audiotour|Entrevista|Vídeo|Rádio|Notícia|Artigo de opinião|Coletiva de imprensa""),
  REGEXMATCH(B97,""m"&amp;"idiática"")
),""Produção midiática"","""")))
"),"Produção midiática")</f>
        <v>Produção midiática</v>
      </c>
      <c r="E97" s="20" t="str">
        <f>IFERROR(__xludf.DUMMYFUNCTION("IF(B97="""","""",IF(OR(
  REGEXMATCH(B97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REGEXMATCH(B97,""público|Imediato|artística|teatral|memória|Ação popular"")
),""Público Imediato"",
IF(REGEXMATCH(B97,""Música|Álbum|Filme|Documentário|S"&amp;"érie|Podcast|Rádio|Audiotour|Entrevista|Reportagem|Crônica|Relatório|Abaixo-assinado|Manifesto|Petição|Poema|Livro|Fotografia|Curta|Live|Webinário|Charge|Leitura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97" s="20" t="str">
        <f>IFERROR(__xludf.DUMMYFUNCTION("IF(B97="""","""",IF(OR(
  REGEXMATCH(B97,""Live|Webinário|Virtual|Verbete""),
  REGEXMATCH(B97,""online"")
),""Virtual"",
IF(REGEXMATCH(B97,""Música|Álbum|Filme|Documentário|Série|Podcast|Rádio|Audiotour|Episódio|Reportagem|Curta|Charge|Vídeo|Entrevista|N"&amp;"otícia|Artigo de opinião""),
""Midiático"",
IF(REGEXMATCH(B97,""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97" s="21" t="str">
        <f>IFERROR(__xludf.DUMMYFUNCTION("IF(C97=""rememoração"", ""Insira a data manualmente"", IF(C97=""difusão"", 
 IF(NOT(ISERROR(REGEXEXTRACT(T97, ""(\d{1,2}) jan\. 2025""))), 
  TEXT(DATE(2025,1,REGEXEXTRACT(T97, ""(\d{1,2}) jan\. 2025"")), ""dd/mm/yyyy""),
 IF(NOT(ISERROR(REGEXEXTRACT(T97,"&amp;" ""(\d{1,2}) fev\. 2025""))), 
  TEXT(DATE(2025,2,REGEXEXTRACT(T97, ""(\d{1,2}) fev\. 2025"")), ""dd/mm/yyyy""),
 IF(NOT(ISERROR(REGEXEXTRACT(T97, ""(\d{1,2}) mar\. 2025""))), 
  TEXT(DATE(2025,3,REGEXEXTRACT(T97, ""(\d{1,2}) mar\. 2025"")), ""dd/mm/yyyy"&amp;"""),
 IF(NOT(ISERROR(REGEXEXTRACT(T97, ""(\d{1,2}) abr\. 2025""))), 
  TEXT(DATE(2025,4,REGEXEXTRACT(T97, ""(\d{1,2}) abr\. 2025"")), ""dd/mm/yyyy""),
 IF(NOT(ISERROR(REGEXEXTRACT(T97, ""(\d{1,2}) (mai|maio)\. 2025""))), 
  TEXT(DATE(2025,5,REGEXEXTRACT(T"&amp;"97, ""(\d{1,2}) (mai|maio)\. 2025"")), ""dd/mm/yyyy""),
 IF(NOT(ISERROR(REGEXEXTRACT(T97, ""(\d{1,2}) jun\. 2025""))), 
  TEXT(DATE(2025,6,REGEXEXTRACT(T97, ""(\d{1,2}) jun\. 2025"")), ""dd/mm/yyyy""),
 IF(NOT(ISERROR(REGEXEXTRACT(T97, ""(\d{1,2}) jul\. 2"&amp;"025""))), 
  TEXT(DATE(2025,7,REGEXEXTRACT(T97, ""(\d{1,2}) jul\. 2025"")), ""dd/mm/yyyy""),
 IF(NOT(ISERROR(REGEXEXTRACT(T97, ""(\d{1,2}) ago\. 2025""))), 
  TEXT(DATE(2025,8,REGEXEXTRACT(T97, ""(\d{1,2}) ago\. 2025"")), ""dd/mm/yyyy""),
 IF(NOT(ISERROR("&amp;"REGEXEXTRACT(T97, ""(\d{1,2}) set\. 2025""))), 
  TEXT(DATE(2025,9,REGEXEXTRACT(T97, ""(\d{1,2}) set\. 2025"")), ""dd/mm/yyyy""),
 IF(NOT(ISERROR(REGEXEXTRACT(T97, ""(\d{1,2}) out\. 2025""))), 
  TEXT(DATE(2025,10,REGEXEXTRACT(T97, ""(\d{1,2}) out\. 2025"&amp;""")), ""dd/mm/yyyy""),
 IF(NOT(ISERROR(REGEXEXTRACT(T97, ""(\d{1,2}) nov\. 2025""))), 
  TEXT(DATE(2025,11,REGEXEXTRACT(T97, ""(\d{1,2}) nov\. 2025"")), ""dd/mm/yyyy""),
 IF(NOT(ISERROR(REGEXEXTRACT(T97, ""(\d{1,2}) dez\. 2025""))), 
  TEXT(DATE(2025,12,R"&amp;"EGEXEXTRACT(T97, ""(\d{1,2}) dez\. 2025"")), ""dd/mm/yyyy""),
 ""Insira a data manualmente"")))))))))))), """"))"),"29/10/2025")</f>
        <v>29/10/2025</v>
      </c>
      <c r="H97" s="22">
        <f t="shared" si="1"/>
        <v>2025</v>
      </c>
      <c r="I97" s="18" t="str">
        <f>IFERROR(__xludf.DUMMYFUNCTION("IF(REGEXMATCH(T97, ""(?i)\b(Brasília|Acre|Alagoas|Amapá|Amazonas|Bahia|Ceará|Distrito Federal|Espírito Santo|Goiás|Maranhão|Mato Grosso|Mato Grosso do Sul|Minas Gerais|Pará|Paraíba|Paraná|Pernambuco|Piauí|Rio de Janeiro|Rio Grande do Norte|Rio Grande do S"&amp;"ul|Rondônia|Roraima|Santa Catarina|São Paulo|Sergipe|Tocantins)\b""),
IF(REGEXMATCH(T97, ""(?i)\bBrasília\b""), ""Distrito Federal, Brasil"",
REGEXEXTRACT(T97, ""(?i)\b(Acre|Alagoas|Amapá|Amazonas|Bahia|Ceará|Distrito Federal|Espírito Santo|Goiás|Maranhão"&amp;"|Mato Grosso|Mato Grosso do Sul|Minas Gerais|Pará|Paraíba|Paraná|Pernambuco|Piauí|Rio de Janeiro|Rio Grande do Norte|Rio Grande do Sul|Rondônia|Roraima|Santa Catarina|São Paulo|Sergipe|Tocantins)\b"")&amp; "", Brasil""),
""Inserir local manualmente"")"),"Distrito Federal, Brasil")</f>
        <v>Distrito Federal, Brasil</v>
      </c>
      <c r="J97" s="30" t="s">
        <v>32</v>
      </c>
      <c r="K97" s="24" t="s">
        <v>296</v>
      </c>
      <c r="L97" s="24" t="s">
        <v>26</v>
      </c>
      <c r="M97" s="25" t="s">
        <v>27</v>
      </c>
      <c r="N97" s="18" t="str">
        <f t="shared" si="6"/>
        <v>Agência Brasil</v>
      </c>
      <c r="O97" s="17" t="s">
        <v>28</v>
      </c>
      <c r="P97" s="17" t="s">
        <v>251</v>
      </c>
      <c r="Q97" s="26">
        <v>45963.0</v>
      </c>
      <c r="R97" s="17" t="s">
        <v>30</v>
      </c>
      <c r="S97" s="27" t="str">
        <f t="shared" si="3"/>
        <v>Aqui</v>
      </c>
      <c r="T97" s="29" t="s">
        <v>297</v>
      </c>
      <c r="U97" s="29"/>
    </row>
    <row r="98">
      <c r="A98" s="16">
        <v>96.0</v>
      </c>
      <c r="B98" s="17" t="s">
        <v>23</v>
      </c>
      <c r="C98" s="18" t="str">
        <f>IFERROR(__xludf.DUMMYFUNCTION("IF(B98="""","""",IF(OR(
  REGEXMATCH(B98,""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REGEXMATCH(B98,""Notícia|Reportagem|Artigo de opinião|Verbete"")
),""Difusão"","""")))
"),"Difusão")</f>
        <v>Difusão</v>
      </c>
      <c r="D98" s="19" t="str">
        <f>IFERROR(__xludf.DUMMYFUNCTION("IF(B98="""","""",IF(OR(
  REGEXMATCH(B98,""Performance|Instalação|Álbum|Música|Poema|Livro|Filme|Documentário|Recitação|Espetáculo|Peça|Intervenção|Desfile|Fotografia|Exposição|Charge|Grafite|Leitura pública|Fabricação de cachaça artesanal""),
  REGEXMATC"&amp;"H(B98,""dança|teatral|artístico|musical|artística"")
),""Manifestação artístico-cultural"",
IF(OR(
  REGEXMATCH(B98,""Crônica|Série|Reportagem|Podcast|Audiotour|Entrevista|Vídeo|Rádio|Notícia|Artigo de opinião|Coletiva de imprensa""),
  REGEXMATCH(B98,""m"&amp;"idiática"")
),""Produção midiática"","""")))
"),"Produção midiática")</f>
        <v>Produção midiática</v>
      </c>
      <c r="E98" s="20" t="str">
        <f>IFERROR(__xludf.DUMMYFUNCTION("IF(B98="""","""",IF(OR(
  REGEXMATCH(B98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REGEXMATCH(B98,""público|Imediato|artística|teatral|memória|Ação popular"")
),""Público Imediato"",
IF(REGEXMATCH(B98,""Música|Álbum|Filme|Documentário|S"&amp;"érie|Podcast|Rádio|Audiotour|Entrevista|Reportagem|Crônica|Relatório|Abaixo-assinado|Manifesto|Petição|Poema|Livro|Fotografia|Curta|Live|Webinário|Charge|Leitura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98" s="20" t="str">
        <f>IFERROR(__xludf.DUMMYFUNCTION("IF(B98="""","""",IF(OR(
  REGEXMATCH(B98,""Live|Webinário|Virtual|Verbete""),
  REGEXMATCH(B98,""online"")
),""Virtual"",
IF(REGEXMATCH(B98,""Música|Álbum|Filme|Documentário|Série|Podcast|Rádio|Audiotour|Episódio|Reportagem|Curta|Charge|Vídeo|Entrevista|N"&amp;"otícia|Artigo de opinião""),
""Midiático"",
IF(REGEXMATCH(B98,""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98" s="21" t="str">
        <f>IFERROR(__xludf.DUMMYFUNCTION("IF(C98=""rememoração"", ""Insira a data manualmente"", IF(C98=""difusão"", 
 IF(NOT(ISERROR(REGEXEXTRACT(T98, ""(\d{1,2}) jan\. 2025""))), 
  TEXT(DATE(2025,1,REGEXEXTRACT(T98, ""(\d{1,2}) jan\. 2025"")), ""dd/mm/yyyy""),
 IF(NOT(ISERROR(REGEXEXTRACT(T98,"&amp;" ""(\d{1,2}) fev\. 2025""))), 
  TEXT(DATE(2025,2,REGEXEXTRACT(T98, ""(\d{1,2}) fev\. 2025"")), ""dd/mm/yyyy""),
 IF(NOT(ISERROR(REGEXEXTRACT(T98, ""(\d{1,2}) mar\. 2025""))), 
  TEXT(DATE(2025,3,REGEXEXTRACT(T98, ""(\d{1,2}) mar\. 2025"")), ""dd/mm/yyyy"&amp;"""),
 IF(NOT(ISERROR(REGEXEXTRACT(T98, ""(\d{1,2}) abr\. 2025""))), 
  TEXT(DATE(2025,4,REGEXEXTRACT(T98, ""(\d{1,2}) abr\. 2025"")), ""dd/mm/yyyy""),
 IF(NOT(ISERROR(REGEXEXTRACT(T98, ""(\d{1,2}) (mai|maio)\. 2025""))), 
  TEXT(DATE(2025,5,REGEXEXTRACT(T"&amp;"98, ""(\d{1,2}) (mai|maio)\. 2025"")), ""dd/mm/yyyy""),
 IF(NOT(ISERROR(REGEXEXTRACT(T98, ""(\d{1,2}) jun\. 2025""))), 
  TEXT(DATE(2025,6,REGEXEXTRACT(T98, ""(\d{1,2}) jun\. 2025"")), ""dd/mm/yyyy""),
 IF(NOT(ISERROR(REGEXEXTRACT(T98, ""(\d{1,2}) jul\. 2"&amp;"025""))), 
  TEXT(DATE(2025,7,REGEXEXTRACT(T98, ""(\d{1,2}) jul\. 2025"")), ""dd/mm/yyyy""),
 IF(NOT(ISERROR(REGEXEXTRACT(T98, ""(\d{1,2}) ago\. 2025""))), 
  TEXT(DATE(2025,8,REGEXEXTRACT(T98, ""(\d{1,2}) ago\. 2025"")), ""dd/mm/yyyy""),
 IF(NOT(ISERROR("&amp;"REGEXEXTRACT(T98, ""(\d{1,2}) set\. 2025""))), 
  TEXT(DATE(2025,9,REGEXEXTRACT(T98, ""(\d{1,2}) set\. 2025"")), ""dd/mm/yyyy""),
 IF(NOT(ISERROR(REGEXEXTRACT(T98, ""(\d{1,2}) out\. 2025""))), 
  TEXT(DATE(2025,10,REGEXEXTRACT(T98, ""(\d{1,2}) out\. 2025"&amp;""")), ""dd/mm/yyyy""),
 IF(NOT(ISERROR(REGEXEXTRACT(T98, ""(\d{1,2}) nov\. 2025""))), 
  TEXT(DATE(2025,11,REGEXEXTRACT(T98, ""(\d{1,2}) nov\. 2025"")), ""dd/mm/yyyy""),
 IF(NOT(ISERROR(REGEXEXTRACT(T98, ""(\d{1,2}) dez\. 2025""))), 
  TEXT(DATE(2025,12,R"&amp;"EGEXEXTRACT(T98, ""(\d{1,2}) dez\. 2025"")), ""dd/mm/yyyy""),
 ""Insira a data manualmente"")))))))))))), """"))"),"31/10/2025")</f>
        <v>31/10/2025</v>
      </c>
      <c r="H98" s="22">
        <f t="shared" si="1"/>
        <v>2025</v>
      </c>
      <c r="I98" s="18" t="s">
        <v>298</v>
      </c>
      <c r="J98" s="30" t="s">
        <v>93</v>
      </c>
      <c r="K98" s="24" t="s">
        <v>299</v>
      </c>
      <c r="L98" s="24" t="s">
        <v>26</v>
      </c>
      <c r="M98" s="25" t="s">
        <v>27</v>
      </c>
      <c r="N98" s="18" t="str">
        <f t="shared" si="6"/>
        <v>Gazeta do Povo</v>
      </c>
      <c r="O98" s="17" t="s">
        <v>28</v>
      </c>
      <c r="P98" s="17" t="s">
        <v>251</v>
      </c>
      <c r="Q98" s="26">
        <v>45963.0</v>
      </c>
      <c r="R98" s="17" t="s">
        <v>37</v>
      </c>
      <c r="S98" s="27" t="str">
        <f t="shared" si="3"/>
        <v>Aqui</v>
      </c>
      <c r="T98" s="29" t="s">
        <v>300</v>
      </c>
      <c r="U98" s="29"/>
    </row>
    <row r="99">
      <c r="A99" s="16">
        <v>97.0</v>
      </c>
      <c r="B99" s="17" t="s">
        <v>23</v>
      </c>
      <c r="C99" s="18" t="str">
        <f>IFERROR(__xludf.DUMMYFUNCTION("IF(B99="""","""",IF(OR(
  REGEXMATCH(B99,""Performance|\bInstalação|\bFaixa|\bProtesto|\bÁlbum|\bMúsica|\bRelatório|\bCrônica|\bAbaixo-assinado|\bManifesto|\bLivro|\bPetição|\bExposição|\bParalisação|\bAto|\bPoema|\bManifestação|\bRebelião|\bFilme|\bDocum"&amp;"entário|\bSérie|\bFotografia|\bEntrevista|\bMobilização|\bRecitação|\bEspetáculo|\bLeitura pública|\bPeça|\bCurta-metragem|\bEscracho|\bDocumento|\bColetiva de imprensa|\bVídeo|\bSeminário|\bCharge|\bLançamento|\bGrafite|\bMarcha|\bRoda de conversa|\bVisi"&amp;"ta mediada|\bLive|\bWebinário|\bJornada|\bDebate|\bIntervenção artística|\bFabricação de cachaça artesanal|\bRoteiro de memória|\bRoteiro de Memória|\bPalestra|\bAto parlamentar|\bFestival|\bDesfile de samba|\bPodcast|\bMesa|\bAudiotour|\bAula|\bRádio|\bC"&amp;"arta pública|\bNota de pesar|\bNota de repúdio|Ação popular|\bNota técnica"")
),""Rememoração"",
IF(OR(
  REGEXMATCH(B99,""Notícia|Reportagem|Artigo de opinião|Verbete"")
),""Difusão"","""")))
"),"Difusão")</f>
        <v>Difusão</v>
      </c>
      <c r="D99" s="19" t="str">
        <f>IFERROR(__xludf.DUMMYFUNCTION("IF(B99="""","""",IF(OR(
  REGEXMATCH(B99,""Performance|Instalação|Álbum|Música|Poema|Livro|Filme|Documentário|Recitação|Espetáculo|Peça|Intervenção|Desfile|Fotografia|Exposição|Charge|Grafite|Leitura pública|Fabricação de cachaça artesanal""),
  REGEXMATC"&amp;"H(B99,""dança|teatral|artístico|musical|artística"")
),""Manifestação artístico-cultural"",
IF(OR(
  REGEXMATCH(B99,""Crônica|Série|Reportagem|Podcast|Audiotour|Entrevista|Vídeo|Rádio|Notícia|Artigo de opinião|Coletiva de imprensa""),
  REGEXMATCH(B99,""m"&amp;"idiática"")
),""Produção midiática"","""")))
"),"Produção midiática")</f>
        <v>Produção midiática</v>
      </c>
      <c r="E99" s="20" t="str">
        <f>IFERROR(__xludf.DUMMYFUNCTION("IF(B99="""","""",IF(OR(
  REGEXMATCH(B99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REGEXMATCH(B99,""público|Imediato|artística|teatral|memória|Ação popular"")
),""Público Imediato"",
IF(REGEXMATCH(B99,""Música|Álbum|Filme|Documentário|S"&amp;"érie|Podcast|Rádio|Audiotour|Entrevista|Reportagem|Crônica|Relatório|Abaixo-assinado|Manifesto|Petição|Poema|Livro|Fotografia|Curta|Live|Webinário|Charge|Leitura pública|Vídeo|Notícia|Nota de pesar|Carta pública|Artigo de opinião|Nota de repúdio|Verbete|N"&amp;"ota técnica""),
""Público Mediado"","""")))
"),"Público Mediado")</f>
        <v>Público Mediado</v>
      </c>
      <c r="F99" s="20" t="str">
        <f>IFERROR(__xludf.DUMMYFUNCTION("IF(B99="""","""",IF(OR(
  REGEXMATCH(B99,""Live|Webinário|Virtual|Verbete""),
  REGEXMATCH(B99,""online"")
),""Virtual"",
IF(REGEXMATCH(B99,""Música|Álbum|Filme|Documentário|Série|Podcast|Rádio|Audiotour|Episódio|Reportagem|Curta|Charge|Vídeo|Entrevista|N"&amp;"otícia|Artigo de opinião""),
""Midiático"",
IF(REGEXMATCH(B99,""Performance|Instalação|Protesto|Manifestação|Ato|Paralisação|Marcha|Exposição|Mobilização|Recitação|Espetáculo|Coletiva|Visita|Roda|Debate|Seminário|Palestra|Aula|Mesa|Jornada|Festival|Escrac"&amp;"ho|Peça|Intervenção|Desfile|Livro|Poema|Fotografia|Relatório|Abaixo-assinado|Manifesto|Petição|Crônica|Roteiro|Grafite|Cartaz|Cartaz/Faixa|Faixa|Rebelião|Fabricação de cachaça artesanal|Leitura pública|Ação popular""),
""Presencial/Físico"",""""))))
"),"Midiático")</f>
        <v>Midiático</v>
      </c>
      <c r="G99" s="21" t="str">
        <f>IFERROR(__xludf.DUMMYFUNCTION("IF(C99=""rememoração"", ""Insira a data manualmente"", IF(C99=""difusão"", 
 IF(NOT(ISERROR(REGEXEXTRACT(T99, ""(\d{1,2}) jan\. 2025""))), 
  TEXT(DATE(2025,1,REGEXEXTRACT(T99, ""(\d{1,2}) jan\. 2025"")), ""dd/mm/yyyy""),
 IF(NOT(ISERROR(REGEXEXTRACT(T99,"&amp;" ""(\d{1,2}) fev\. 2025""))), 
  TEXT(DATE(2025,2,REGEXEXTRACT(T99, ""(\d{1,2}) fev\. 2025"")), ""dd/mm/yyyy""),
 IF(NOT(ISERROR(REGEXEXTRACT(T99, ""(\d{1,2}) mar\. 2025""))), 
  TEXT(DATE(2025,3,REGEXEXTRACT(T99, ""(\d{1,2}) mar\. 2025"")), ""dd/mm/yyyy"&amp;"""),
 IF(NOT(ISERROR(REGEXEXTRACT(T99, ""(\d{1,2}) abr\. 2025""))), 
  TEXT(DATE(2025,4,REGEXEXTRACT(T99, ""(\d{1,2}) abr\. 2025"")), ""dd/mm/yyyy""),
 IF(NOT(ISERROR(REGEXEXTRACT(T99, ""(\d{1,2}) (mai|maio)\. 2025""))), 
  TEXT(DATE(2025,5,REGEXEXTRACT(T"&amp;"99, ""(\d{1,2}) (mai|maio)\. 2025"")), ""dd/mm/yyyy""),
 IF(NOT(ISERROR(REGEXEXTRACT(T99, ""(\d{1,2}) jun\. 2025""))), 
  TEXT(DATE(2025,6,REGEXEXTRACT(T99, ""(\d{1,2}) jun\. 2025"")), ""dd/mm/yyyy""),
 IF(NOT(ISERROR(REGEXEXTRACT(T99, ""(\d{1,2}) jul\. 2"&amp;"025""))), 
  TEXT(DATE(2025,7,REGEXEXTRACT(T99, ""(\d{1,2}) jul\. 2025"")), ""dd/mm/yyyy""),
 IF(NOT(ISERROR(REGEXEXTRACT(T99, ""(\d{1,2}) ago\. 2025""))), 
  TEXT(DATE(2025,8,REGEXEXTRACT(T99, ""(\d{1,2}) ago\. 2025"")), ""dd/mm/yyyy""),
 IF(NOT(ISERROR("&amp;"REGEXEXTRACT(T99, ""(\d{1,2}) set\. 2025""))), 
  TEXT(DATE(2025,9,REGEXEXTRACT(T99, ""(\d{1,2}) set\. 2025"")), ""dd/mm/yyyy""),
 IF(NOT(ISERROR(REGEXEXTRACT(T99, ""(\d{1,2}) out\. 2025""))), 
  TEXT(DATE(2025,10,REGEXEXTRACT(T99, ""(\d{1,2}) out\. 2025"&amp;""")), ""dd/mm/yyyy""),
 IF(NOT(ISERROR(REGEXEXTRACT(T99, ""(\d{1,2}) nov\. 2025""))), 
  TEXT(DATE(2025,11,REGEXEXTRACT(T99, ""(\d{1,2}) nov\. 2025"")), ""dd/mm/yyyy""),
 IF(NOT(ISERROR(REGEXEXTRACT(T99, ""(\d{1,2}) dez\. 2025""))), 
  TEXT(DATE(2025,12,R"&amp;"EGEXEXTRACT(T99, ""(\d{1,2}) dez\. 2025"")), ""dd/mm/yyyy""),
 ""Insira a data manualmente"")))))))))))), """"))"),"28/10/2025")</f>
        <v>28/10/2025</v>
      </c>
      <c r="H99" s="22">
        <f t="shared" si="1"/>
        <v>2025</v>
      </c>
      <c r="I99" s="18" t="s">
        <v>301</v>
      </c>
      <c r="J99" s="30" t="s">
        <v>302</v>
      </c>
      <c r="K99" s="24" t="s">
        <v>303</v>
      </c>
      <c r="L99" s="24" t="s">
        <v>26</v>
      </c>
      <c r="M99" s="25" t="s">
        <v>27</v>
      </c>
      <c r="N99" s="18" t="str">
        <f t="shared" si="6"/>
        <v>Coordenadoria de Imprensa do Tribunal de Justiça do Estado Pará</v>
      </c>
      <c r="O99" s="17" t="s">
        <v>28</v>
      </c>
      <c r="P99" s="17" t="s">
        <v>251</v>
      </c>
      <c r="Q99" s="26">
        <v>45963.0</v>
      </c>
      <c r="R99" s="17" t="s">
        <v>30</v>
      </c>
      <c r="S99" s="27" t="str">
        <f t="shared" si="3"/>
        <v>Aqui</v>
      </c>
      <c r="T99" s="29" t="s">
        <v>304</v>
      </c>
      <c r="U99" s="29"/>
    </row>
    <row r="100">
      <c r="A100" s="16">
        <v>98.0</v>
      </c>
      <c r="B100" s="17" t="s">
        <v>23</v>
      </c>
      <c r="C100" s="18" t="str">
        <f>IFERROR(__xludf.DUMMYFUNCTION("IF(B100="""","""",IF(OR(
  REGEXMATCH(B100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REGEXMATCH(B100,""Notícia|Reportagem|Artigo de opinião|Verbete"")
),""Difusão"","""")))
"),"Difusão")</f>
        <v>Difusão</v>
      </c>
      <c r="D100" s="19" t="str">
        <f>IFERROR(__xludf.DUMMYFUNCTION("IF(B100="""","""",IF(OR(
  REGEXMATCH(B100,""Performance|Instalação|Álbum|Música|Poema|Livro|Filme|Documentário|Recitação|Espetáculo|Peça|Intervenção|Desfile|Fotografia|Exposição|Charge|Grafite|Leitura pública|Fabricação de cachaça artesanal""),
  REGEXMA"&amp;"TCH(B100,""dança|teatral|artístico|musical|artística"")
),""Manifestação artístico-cultural"",
IF(OR(
  REGEXMATCH(B100,""Crônica|Série|Reportagem|Podcast|Audiotour|Entrevista|Vídeo|Rádio|Notícia|Artigo de opinião|Coletiva de imprensa""),
  REGEXMATCH(B10"&amp;"0,""midiática"")
),""Produção midiática"","""")))
"),"Produção midiática")</f>
        <v>Produção midiática</v>
      </c>
      <c r="E100" s="20" t="str">
        <f>IFERROR(__xludf.DUMMYFUNCTION("IF(B100="""","""",IF(OR(
  REGEXMATCH(B100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REGEXMATCH(B100,""público|Imediato|artística|teatral|memória|Ação popular"")
),""Público Imediato"",
IF(REGEXMATCH(B100,""Música|Álbum|Filme|Documentár"&amp;"io|Série|Podcast|Rádio|Audiotour|Entrevista|Reportagem|Crônica|Relatório|Abaixo-assinado|Manifesto|Petição|Poema|Livro|Fotografia|Curta|Live|Webinário|Charge|Leitura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00" s="20" t="str">
        <f>IFERROR(__xludf.DUMMYFUNCTION("IF(B100="""","""",IF(OR(
  REGEXMATCH(B100,""Live|Webinário|Virtual|Verbete""),
  REGEXMATCH(B100,""online"")
),""Virtual"",
IF(REGEXMATCH(B100,""Música|Álbum|Filme|Documentário|Série|Podcast|Rádio|Audiotour|Episódio|Reportagem|Curta|Charge|Vídeo|Entrevis"&amp;"ta|Notícia|Artigo de opinião""),
""Midiático"",
IF(REGEXMATCH(B100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00" s="21" t="str">
        <f>IFERROR(__xludf.DUMMYFUNCTION("IF(C100=""rememoração"", ""Insira a data manualmente"", IF(C100=""difusão"", 
 IF(NOT(ISERROR(REGEXEXTRACT(T100, ""(\d{1,2}) jan\. 2025""))), 
  TEXT(DATE(2025,1,REGEXEXTRACT(T100, ""(\d{1,2}) jan\. 2025"")), ""dd/mm/yyyy""),
 IF(NOT(ISERROR(REGEXEXTRACT("&amp;"T100, ""(\d{1,2}) fev\. 2025""))), 
  TEXT(DATE(2025,2,REGEXEXTRACT(T100, ""(\d{1,2}) fev\. 2025"")), ""dd/mm/yyyy""),
 IF(NOT(ISERROR(REGEXEXTRACT(T100, ""(\d{1,2}) mar\. 2025""))), 
  TEXT(DATE(2025,3,REGEXEXTRACT(T100, ""(\d{1,2}) mar\. 2025"")), ""dd/"&amp;"mm/yyyy""),
 IF(NOT(ISERROR(REGEXEXTRACT(T100, ""(\d{1,2}) abr\. 2025""))), 
  TEXT(DATE(2025,4,REGEXEXTRACT(T100, ""(\d{1,2}) abr\. 2025"")), ""dd/mm/yyyy""),
 IF(NOT(ISERROR(REGEXEXTRACT(T100, ""(\d{1,2}) (mai|maio)\. 2025""))), 
  TEXT(DATE(2025,5,REGE"&amp;"XEXTRACT(T100, ""(\d{1,2}) (mai|maio)\. 2025"")), ""dd/mm/yyyy""),
 IF(NOT(ISERROR(REGEXEXTRACT(T100, ""(\d{1,2}) jun\. 2025""))), 
  TEXT(DATE(2025,6,REGEXEXTRACT(T100, ""(\d{1,2}) jun\. 2025"")), ""dd/mm/yyyy""),
 IF(NOT(ISERROR(REGEXEXTRACT(T100, ""(\d"&amp;"{1,2}) jul\. 2025""))), 
  TEXT(DATE(2025,7,REGEXEXTRACT(T100, ""(\d{1,2}) jul\. 2025"")), ""dd/mm/yyyy""),
 IF(NOT(ISERROR(REGEXEXTRACT(T100, ""(\d{1,2}) ago\. 2025""))), 
  TEXT(DATE(2025,8,REGEXEXTRACT(T100, ""(\d{1,2}) ago\. 2025"")), ""dd/mm/yyyy""),"&amp;"
 IF(NOT(ISERROR(REGEXEXTRACT(T100, ""(\d{1,2}) set\. 2025""))), 
  TEXT(DATE(2025,9,REGEXEXTRACT(T100, ""(\d{1,2}) set\. 2025"")), ""dd/mm/yyyy""),
 IF(NOT(ISERROR(REGEXEXTRACT(T100, ""(\d{1,2}) out\. 2025""))), 
  TEXT(DATE(2025,10,REGEXEXTRACT(T100, """&amp;"(\d{1,2}) out\. 2025"")), ""dd/mm/yyyy""),
 IF(NOT(ISERROR(REGEXEXTRACT(T100, ""(\d{1,2}) nov\. 2025""))), 
  TEXT(DATE(2025,11,REGEXEXTRACT(T100, ""(\d{1,2}) nov\. 2025"")), ""dd/mm/yyyy""),
 IF(NOT(ISERROR(REGEXEXTRACT(T100, ""(\d{1,2}) dez\. 2025""))),"&amp;" 
  TEXT(DATE(2025,12,REGEXEXTRACT(T100, ""(\d{1,2}) dez\. 2025"")), ""dd/mm/yyyy""),
 ""Insira a data manualmente"")))))))))))), """"))"),"31/10/2025")</f>
        <v>31/10/2025</v>
      </c>
      <c r="H100" s="22">
        <f t="shared" si="1"/>
        <v>2025</v>
      </c>
      <c r="I100" s="18" t="str">
        <f>IFERROR(__xludf.DUMMYFUNCTION("IF(REGEXMATCH(T100,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IF(REGEXMATCH(T100, ""(?i)\bBrasília\b""), ""Distrito Federal, Brasil"",
REGEXEXTRACT(T100,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00" s="30" t="s">
        <v>32</v>
      </c>
      <c r="K100" s="24" t="s">
        <v>305</v>
      </c>
      <c r="L100" s="24" t="s">
        <v>26</v>
      </c>
      <c r="M100" s="25" t="s">
        <v>27</v>
      </c>
      <c r="N100" s="18" t="str">
        <f t="shared" si="6"/>
        <v>Agência Brasil</v>
      </c>
      <c r="O100" s="17" t="s">
        <v>28</v>
      </c>
      <c r="P100" s="17" t="s">
        <v>251</v>
      </c>
      <c r="Q100" s="26">
        <v>45963.0</v>
      </c>
      <c r="R100" s="17" t="s">
        <v>30</v>
      </c>
      <c r="S100" s="27" t="str">
        <f t="shared" si="3"/>
        <v>Aqui</v>
      </c>
      <c r="T100" s="29" t="s">
        <v>306</v>
      </c>
      <c r="U100" s="29"/>
    </row>
    <row r="101">
      <c r="A101" s="16">
        <v>99.0</v>
      </c>
      <c r="B101" s="17" t="s">
        <v>23</v>
      </c>
      <c r="C101" s="18" t="str">
        <f>IFERROR(__xludf.DUMMYFUNCTION("IF(B101="""","""",IF(OR(
  REGEXMATCH(B101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REGEXMATCH(B101,""Notícia|Reportagem|Artigo de opinião|Verbete"")
),""Difusão"","""")))
"),"Difusão")</f>
        <v>Difusão</v>
      </c>
      <c r="D101" s="19" t="str">
        <f>IFERROR(__xludf.DUMMYFUNCTION("IF(B101="""","""",IF(OR(
  REGEXMATCH(B101,""Performance|Instalação|Álbum|Música|Poema|Livro|Filme|Documentário|Recitação|Espetáculo|Peça|Intervenção|Desfile|Fotografia|Exposição|Charge|Grafite|Leitura pública|Fabricação de cachaça artesanal""),
  REGEXMA"&amp;"TCH(B101,""dança|teatral|artístico|musical|artística"")
),""Manifestação artístico-cultural"",
IF(OR(
  REGEXMATCH(B101,""Crônica|Série|Reportagem|Podcast|Audiotour|Entrevista|Vídeo|Rádio|Notícia|Artigo de opinião|Coletiva de imprensa""),
  REGEXMATCH(B10"&amp;"1,""midiática"")
),""Produção midiática"","""")))
"),"Produção midiática")</f>
        <v>Produção midiática</v>
      </c>
      <c r="E101" s="20" t="str">
        <f>IFERROR(__xludf.DUMMYFUNCTION("IF(B101="""","""",IF(OR(
  REGEXMATCH(B101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REGEXMATCH(B101,""público|Imediato|artística|teatral|memória|Ação popular"")
),""Público Imediato"",
IF(REGEXMATCH(B101,""Música|Álbum|Filme|Documentár"&amp;"io|Série|Podcast|Rádio|Audiotour|Entrevista|Reportagem|Crônica|Relatório|Abaixo-assinado|Manifesto|Petição|Poema|Livro|Fotografia|Curta|Live|Webinário|Charge|Leitura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01" s="20" t="str">
        <f>IFERROR(__xludf.DUMMYFUNCTION("IF(B101="""","""",IF(OR(
  REGEXMATCH(B101,""Live|Webinário|Virtual|Verbete""),
  REGEXMATCH(B101,""online"")
),""Virtual"",
IF(REGEXMATCH(B101,""Música|Álbum|Filme|Documentário|Série|Podcast|Rádio|Audiotour|Episódio|Reportagem|Curta|Charge|Vídeo|Entrevis"&amp;"ta|Notícia|Artigo de opinião""),
""Midiático"",
IF(REGEXMATCH(B101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01" s="21" t="str">
        <f>IFERROR(__xludf.DUMMYFUNCTION("IF(C101=""rememoração"", ""Insira a data manualmente"", IF(C101=""difusão"", 
 IF(NOT(ISERROR(REGEXEXTRACT(T101, ""(\d{1,2}) jan\. 2025""))), 
  TEXT(DATE(2025,1,REGEXEXTRACT(T101, ""(\d{1,2}) jan\. 2025"")), ""dd/mm/yyyy""),
 IF(NOT(ISERROR(REGEXEXTRACT("&amp;"T101, ""(\d{1,2}) fev\. 2025""))), 
  TEXT(DATE(2025,2,REGEXEXTRACT(T101, ""(\d{1,2}) fev\. 2025"")), ""dd/mm/yyyy""),
 IF(NOT(ISERROR(REGEXEXTRACT(T101, ""(\d{1,2}) mar\. 2025""))), 
  TEXT(DATE(2025,3,REGEXEXTRACT(T101, ""(\d{1,2}) mar\. 2025"")), ""dd/"&amp;"mm/yyyy""),
 IF(NOT(ISERROR(REGEXEXTRACT(T101, ""(\d{1,2}) abr\. 2025""))), 
  TEXT(DATE(2025,4,REGEXEXTRACT(T101, ""(\d{1,2}) abr\. 2025"")), ""dd/mm/yyyy""),
 IF(NOT(ISERROR(REGEXEXTRACT(T101, ""(\d{1,2}) (mai|maio)\. 2025""))), 
  TEXT(DATE(2025,5,REGE"&amp;"XEXTRACT(T101, ""(\d{1,2}) (mai|maio)\. 2025"")), ""dd/mm/yyyy""),
 IF(NOT(ISERROR(REGEXEXTRACT(T101, ""(\d{1,2}) jun\. 2025""))), 
  TEXT(DATE(2025,6,REGEXEXTRACT(T101, ""(\d{1,2}) jun\. 2025"")), ""dd/mm/yyyy""),
 IF(NOT(ISERROR(REGEXEXTRACT(T101, ""(\d"&amp;"{1,2}) jul\. 2025""))), 
  TEXT(DATE(2025,7,REGEXEXTRACT(T101, ""(\d{1,2}) jul\. 2025"")), ""dd/mm/yyyy""),
 IF(NOT(ISERROR(REGEXEXTRACT(T101, ""(\d{1,2}) ago\. 2025""))), 
  TEXT(DATE(2025,8,REGEXEXTRACT(T101, ""(\d{1,2}) ago\. 2025"")), ""dd/mm/yyyy""),"&amp;"
 IF(NOT(ISERROR(REGEXEXTRACT(T101, ""(\d{1,2}) set\. 2025""))), 
  TEXT(DATE(2025,9,REGEXEXTRACT(T101, ""(\d{1,2}) set\. 2025"")), ""dd/mm/yyyy""),
 IF(NOT(ISERROR(REGEXEXTRACT(T101, ""(\d{1,2}) out\. 2025""))), 
  TEXT(DATE(2025,10,REGEXEXTRACT(T101, """&amp;"(\d{1,2}) out\. 2025"")), ""dd/mm/yyyy""),
 IF(NOT(ISERROR(REGEXEXTRACT(T101, ""(\d{1,2}) nov\. 2025""))), 
  TEXT(DATE(2025,11,REGEXEXTRACT(T101, ""(\d{1,2}) nov\. 2025"")), ""dd/mm/yyyy""),
 IF(NOT(ISERROR(REGEXEXTRACT(T101, ""(\d{1,2}) dez\. 2025""))),"&amp;" 
  TEXT(DATE(2025,12,REGEXEXTRACT(T101, ""(\d{1,2}) dez\. 2025"")), ""dd/mm/yyyy""),
 ""Insira a data manualmente"")))))))))))), """"))"),"30/10/2025")</f>
        <v>30/10/2025</v>
      </c>
      <c r="H101" s="22">
        <f t="shared" si="1"/>
        <v>2025</v>
      </c>
      <c r="I101" s="18" t="str">
        <f>IFERROR(__xludf.DUMMYFUNCTION("IF(REGEXMATCH(T101,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IF(REGEXMATCH(T101, ""(?i)\bBrasília\b""), ""Distrito Federal, Brasil"",
REGEXEXTRACT(T101,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01" s="30" t="s">
        <v>32</v>
      </c>
      <c r="K101" s="24" t="s">
        <v>307</v>
      </c>
      <c r="L101" s="24" t="s">
        <v>26</v>
      </c>
      <c r="M101" s="25" t="s">
        <v>27</v>
      </c>
      <c r="N101" s="18" t="str">
        <f t="shared" si="6"/>
        <v>Agência Brasil</v>
      </c>
      <c r="O101" s="17" t="s">
        <v>28</v>
      </c>
      <c r="P101" s="17" t="s">
        <v>251</v>
      </c>
      <c r="Q101" s="26">
        <v>45963.0</v>
      </c>
      <c r="R101" s="17" t="s">
        <v>30</v>
      </c>
      <c r="S101" s="27" t="str">
        <f t="shared" si="3"/>
        <v>Aqui</v>
      </c>
      <c r="T101" s="29" t="s">
        <v>308</v>
      </c>
      <c r="U101" s="29"/>
    </row>
    <row r="102">
      <c r="A102" s="16">
        <v>100.0</v>
      </c>
      <c r="B102" s="17" t="s">
        <v>23</v>
      </c>
      <c r="C102" s="18" t="str">
        <f>IFERROR(__xludf.DUMMYFUNCTION("IF(B102="""","""",IF(OR(
  REGEXMATCH(B102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REGEXMATCH(B102,""Notícia|Reportagem|Artigo de opinião|Verbete"")
),""Difusão"","""")))
"),"Difusão")</f>
        <v>Difusão</v>
      </c>
      <c r="D102" s="19" t="str">
        <f>IFERROR(__xludf.DUMMYFUNCTION("IF(B102="""","""",IF(OR(
  REGEXMATCH(B102,""Performance|Instalação|Álbum|Música|Poema|Livro|Filme|Documentário|Recitação|Espetáculo|Peça|Intervenção|Desfile|Fotografia|Exposição|Charge|Grafite|Leitura pública|Fabricação de cachaça artesanal""),
  REGEXMA"&amp;"TCH(B102,""dança|teatral|artístico|musical|artística"")
),""Manifestação artístico-cultural"",
IF(OR(
  REGEXMATCH(B102,""Crônica|Série|Reportagem|Podcast|Audiotour|Entrevista|Vídeo|Rádio|Notícia|Artigo de opinião|Coletiva de imprensa""),
  REGEXMATCH(B10"&amp;"2,""midiática"")
),""Produção midiática"","""")))
"),"Produção midiática")</f>
        <v>Produção midiática</v>
      </c>
      <c r="E102" s="20" t="str">
        <f>IFERROR(__xludf.DUMMYFUNCTION("IF(B102="""","""",IF(OR(
  REGEXMATCH(B102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REGEXMATCH(B102,""público|Imediato|artística|teatral|memória|Ação popular"")
),""Público Imediato"",
IF(REGEXMATCH(B102,""Música|Álbum|Filme|Documentár"&amp;"io|Série|Podcast|Rádio|Audiotour|Entrevista|Reportagem|Crônica|Relatório|Abaixo-assinado|Manifesto|Petição|Poema|Livro|Fotografia|Curta|Live|Webinário|Charge|Leitura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02" s="20" t="str">
        <f>IFERROR(__xludf.DUMMYFUNCTION("IF(B102="""","""",IF(OR(
  REGEXMATCH(B102,""Live|Webinário|Virtual|Verbete""),
  REGEXMATCH(B102,""online"")
),""Virtual"",
IF(REGEXMATCH(B102,""Música|Álbum|Filme|Documentário|Série|Podcast|Rádio|Audiotour|Episódio|Reportagem|Curta|Charge|Vídeo|Entrevis"&amp;"ta|Notícia|Artigo de opinião""),
""Midiático"",
IF(REGEXMATCH(B102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02" s="21" t="str">
        <f>IFERROR(__xludf.DUMMYFUNCTION("IF(C102=""rememoração"", ""Insira a data manualmente"", IF(C102=""difusão"", 
 IF(NOT(ISERROR(REGEXEXTRACT(T102, ""(\d{1,2}) jan\. 2025""))), 
  TEXT(DATE(2025,1,REGEXEXTRACT(T102, ""(\d{1,2}) jan\. 2025"")), ""dd/mm/yyyy""),
 IF(NOT(ISERROR(REGEXEXTRACT("&amp;"T102, ""(\d{1,2}) fev\. 2025""))), 
  TEXT(DATE(2025,2,REGEXEXTRACT(T102, ""(\d{1,2}) fev\. 2025"")), ""dd/mm/yyyy""),
 IF(NOT(ISERROR(REGEXEXTRACT(T102, ""(\d{1,2}) mar\. 2025""))), 
  TEXT(DATE(2025,3,REGEXEXTRACT(T102, ""(\d{1,2}) mar\. 2025"")), ""dd/"&amp;"mm/yyyy""),
 IF(NOT(ISERROR(REGEXEXTRACT(T102, ""(\d{1,2}) abr\. 2025""))), 
  TEXT(DATE(2025,4,REGEXEXTRACT(T102, ""(\d{1,2}) abr\. 2025"")), ""dd/mm/yyyy""),
 IF(NOT(ISERROR(REGEXEXTRACT(T102, ""(\d{1,2}) (mai|maio)\. 2025""))), 
  TEXT(DATE(2025,5,REGE"&amp;"XEXTRACT(T102, ""(\d{1,2}) (mai|maio)\. 2025"")), ""dd/mm/yyyy""),
 IF(NOT(ISERROR(REGEXEXTRACT(T102, ""(\d{1,2}) jun\. 2025""))), 
  TEXT(DATE(2025,6,REGEXEXTRACT(T102, ""(\d{1,2}) jun\. 2025"")), ""dd/mm/yyyy""),
 IF(NOT(ISERROR(REGEXEXTRACT(T102, ""(\d"&amp;"{1,2}) jul\. 2025""))), 
  TEXT(DATE(2025,7,REGEXEXTRACT(T102, ""(\d{1,2}) jul\. 2025"")), ""dd/mm/yyyy""),
 IF(NOT(ISERROR(REGEXEXTRACT(T102, ""(\d{1,2}) ago\. 2025""))), 
  TEXT(DATE(2025,8,REGEXEXTRACT(T102, ""(\d{1,2}) ago\. 2025"")), ""dd/mm/yyyy""),"&amp;"
 IF(NOT(ISERROR(REGEXEXTRACT(T102, ""(\d{1,2}) set\. 2025""))), 
  TEXT(DATE(2025,9,REGEXEXTRACT(T102, ""(\d{1,2}) set\. 2025"")), ""dd/mm/yyyy""),
 IF(NOT(ISERROR(REGEXEXTRACT(T102, ""(\d{1,2}) out\. 2025""))), 
  TEXT(DATE(2025,10,REGEXEXTRACT(T102, """&amp;"(\d{1,2}) out\. 2025"")), ""dd/mm/yyyy""),
 IF(NOT(ISERROR(REGEXEXTRACT(T102, ""(\d{1,2}) nov\. 2025""))), 
  TEXT(DATE(2025,11,REGEXEXTRACT(T102, ""(\d{1,2}) nov\. 2025"")), ""dd/mm/yyyy""),
 IF(NOT(ISERROR(REGEXEXTRACT(T102, ""(\d{1,2}) dez\. 2025""))),"&amp;" 
  TEXT(DATE(2025,12,REGEXEXTRACT(T102, ""(\d{1,2}) dez\. 2025"")), ""dd/mm/yyyy""),
 ""Insira a data manualmente"")))))))))))), """"))"),"29/10/2025")</f>
        <v>29/10/2025</v>
      </c>
      <c r="H102" s="22">
        <f t="shared" si="1"/>
        <v>2025</v>
      </c>
      <c r="I102" s="18" t="str">
        <f>IFERROR(__xludf.DUMMYFUNCTION("IF(REGEXMATCH(T102,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IF(REGEXMATCH(T102, ""(?i)\bBrasília\b""), ""Distrito Federal, Brasil"",
REGEXEXTRACT(T102,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02" s="30" t="s">
        <v>32</v>
      </c>
      <c r="K102" s="24" t="s">
        <v>309</v>
      </c>
      <c r="L102" s="24" t="s">
        <v>26</v>
      </c>
      <c r="M102" s="25" t="s">
        <v>27</v>
      </c>
      <c r="N102" s="18" t="str">
        <f t="shared" si="6"/>
        <v>Agência Brasil</v>
      </c>
      <c r="O102" s="17" t="s">
        <v>28</v>
      </c>
      <c r="P102" s="17" t="s">
        <v>251</v>
      </c>
      <c r="Q102" s="26">
        <v>45963.0</v>
      </c>
      <c r="R102" s="17" t="s">
        <v>30</v>
      </c>
      <c r="S102" s="27" t="str">
        <f t="shared" si="3"/>
        <v>Aqui</v>
      </c>
      <c r="T102" s="29" t="s">
        <v>310</v>
      </c>
      <c r="U102" s="29"/>
    </row>
    <row r="103">
      <c r="A103" s="16">
        <v>101.0</v>
      </c>
      <c r="B103" s="17" t="s">
        <v>23</v>
      </c>
      <c r="C103" s="18" t="str">
        <f>IFERROR(__xludf.DUMMYFUNCTION("IF(B103="""","""",IF(OR(
  REGEXMATCH(B103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REGEXMATCH(B103,""Notícia|Reportagem|Artigo de opinião|Verbete"")
),""Difusão"","""")))
"),"Difusão")</f>
        <v>Difusão</v>
      </c>
      <c r="D103" s="19" t="str">
        <f>IFERROR(__xludf.DUMMYFUNCTION("IF(B103="""","""",IF(OR(
  REGEXMATCH(B103,""Performance|Instalação|Álbum|Música|Poema|Livro|Filme|Documentário|Recitação|Espetáculo|Peça|Intervenção|Desfile|Fotografia|Exposição|Charge|Grafite|Leitura pública|Fabricação de cachaça artesanal""),
  REGEXMA"&amp;"TCH(B103,""dança|teatral|artístico|musical|artística"")
),""Manifestação artístico-cultural"",
IF(OR(
  REGEXMATCH(B103,""Crônica|Série|Reportagem|Podcast|Audiotour|Entrevista|Vídeo|Rádio|Notícia|Artigo de opinião|Coletiva de imprensa""),
  REGEXMATCH(B10"&amp;"3,""midiática"")
),""Produção midiática"","""")))
"),"Produção midiática")</f>
        <v>Produção midiática</v>
      </c>
      <c r="E103" s="20" t="str">
        <f>IFERROR(__xludf.DUMMYFUNCTION("IF(B103="""","""",IF(OR(
  REGEXMATCH(B103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REGEXMATCH(B103,""público|Imediato|artística|teatral|memória|Ação popular"")
),""Público Imediato"",
IF(REGEXMATCH(B103,""Música|Álbum|Filme|Documentár"&amp;"io|Série|Podcast|Rádio|Audiotour|Entrevista|Reportagem|Crônica|Relatório|Abaixo-assinado|Manifesto|Petição|Poema|Livro|Fotografia|Curta|Live|Webinário|Charge|Leitura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03" s="20" t="str">
        <f>IFERROR(__xludf.DUMMYFUNCTION("IF(B103="""","""",IF(OR(
  REGEXMATCH(B103,""Live|Webinário|Virtual|Verbete""),
  REGEXMATCH(B103,""online"")
),""Virtual"",
IF(REGEXMATCH(B103,""Música|Álbum|Filme|Documentário|Série|Podcast|Rádio|Audiotour|Episódio|Reportagem|Curta|Charge|Vídeo|Entrevis"&amp;"ta|Notícia|Artigo de opinião""),
""Midiático"",
IF(REGEXMATCH(B103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03" s="21" t="str">
        <f>IFERROR(__xludf.DUMMYFUNCTION("IF(C103=""rememoração"", ""Insira a data manualmente"", IF(C103=""difusão"", 
 IF(NOT(ISERROR(REGEXEXTRACT(T103, ""(\d{1,2}) jan\. 2025""))), 
  TEXT(DATE(2025,1,REGEXEXTRACT(T103, ""(\d{1,2}) jan\. 2025"")), ""dd/mm/yyyy""),
 IF(NOT(ISERROR(REGEXEXTRACT("&amp;"T103, ""(\d{1,2}) fev\. 2025""))), 
  TEXT(DATE(2025,2,REGEXEXTRACT(T103, ""(\d{1,2}) fev\. 2025"")), ""dd/mm/yyyy""),
 IF(NOT(ISERROR(REGEXEXTRACT(T103, ""(\d{1,2}) mar\. 2025""))), 
  TEXT(DATE(2025,3,REGEXEXTRACT(T103, ""(\d{1,2}) mar\. 2025"")), ""dd/"&amp;"mm/yyyy""),
 IF(NOT(ISERROR(REGEXEXTRACT(T103, ""(\d{1,2}) abr\. 2025""))), 
  TEXT(DATE(2025,4,REGEXEXTRACT(T103, ""(\d{1,2}) abr\. 2025"")), ""dd/mm/yyyy""),
 IF(NOT(ISERROR(REGEXEXTRACT(T103, ""(\d{1,2}) (mai|maio)\. 2025""))), 
  TEXT(DATE(2025,5,REGE"&amp;"XEXTRACT(T103, ""(\d{1,2}) (mai|maio)\. 2025"")), ""dd/mm/yyyy""),
 IF(NOT(ISERROR(REGEXEXTRACT(T103, ""(\d{1,2}) jun\. 2025""))), 
  TEXT(DATE(2025,6,REGEXEXTRACT(T103, ""(\d{1,2}) jun\. 2025"")), ""dd/mm/yyyy""),
 IF(NOT(ISERROR(REGEXEXTRACT(T103, ""(\d"&amp;"{1,2}) jul\. 2025""))), 
  TEXT(DATE(2025,7,REGEXEXTRACT(T103, ""(\d{1,2}) jul\. 2025"")), ""dd/mm/yyyy""),
 IF(NOT(ISERROR(REGEXEXTRACT(T103, ""(\d{1,2}) ago\. 2025""))), 
  TEXT(DATE(2025,8,REGEXEXTRACT(T103, ""(\d{1,2}) ago\. 2025"")), ""dd/mm/yyyy""),"&amp;"
 IF(NOT(ISERROR(REGEXEXTRACT(T103, ""(\d{1,2}) set\. 2025""))), 
  TEXT(DATE(2025,9,REGEXEXTRACT(T103, ""(\d{1,2}) set\. 2025"")), ""dd/mm/yyyy""),
 IF(NOT(ISERROR(REGEXEXTRACT(T103, ""(\d{1,2}) out\. 2025""))), 
  TEXT(DATE(2025,10,REGEXEXTRACT(T103, """&amp;"(\d{1,2}) out\. 2025"")), ""dd/mm/yyyy""),
 IF(NOT(ISERROR(REGEXEXTRACT(T103, ""(\d{1,2}) nov\. 2025""))), 
  TEXT(DATE(2025,11,REGEXEXTRACT(T103, ""(\d{1,2}) nov\. 2025"")), ""dd/mm/yyyy""),
 IF(NOT(ISERROR(REGEXEXTRACT(T103, ""(\d{1,2}) dez\. 2025""))),"&amp;" 
  TEXT(DATE(2025,12,REGEXEXTRACT(T103, ""(\d{1,2}) dez\. 2025"")), ""dd/mm/yyyy""),
 ""Insira a data manualmente"")))))))))))), """"))"),"02/11/2025")</f>
        <v>02/11/2025</v>
      </c>
      <c r="H103" s="22">
        <f t="shared" si="1"/>
        <v>2025</v>
      </c>
      <c r="I103" s="18" t="str">
        <f>IFERROR(__xludf.DUMMYFUNCTION("IF(REGEXMATCH(T103,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IF(REGEXMATCH(T103, ""(?i)\bBrasília\b""), ""Distrito Federal, Brasil"",
REGEXEXTRACT(T103,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103" s="30" t="s">
        <v>32</v>
      </c>
      <c r="K103" s="24" t="s">
        <v>311</v>
      </c>
      <c r="L103" s="24" t="s">
        <v>26</v>
      </c>
      <c r="M103" s="25" t="s">
        <v>27</v>
      </c>
      <c r="N103" s="18" t="str">
        <f t="shared" si="6"/>
        <v>Agência Brasil</v>
      </c>
      <c r="O103" s="17" t="s">
        <v>28</v>
      </c>
      <c r="P103" s="17" t="s">
        <v>251</v>
      </c>
      <c r="Q103" s="26">
        <v>45963.0</v>
      </c>
      <c r="R103" s="17" t="s">
        <v>30</v>
      </c>
      <c r="S103" s="27" t="str">
        <f t="shared" si="3"/>
        <v>Aqui</v>
      </c>
      <c r="T103" s="29" t="s">
        <v>312</v>
      </c>
      <c r="U103" s="29"/>
    </row>
    <row r="104">
      <c r="A104" s="16">
        <v>102.0</v>
      </c>
      <c r="B104" s="17" t="s">
        <v>23</v>
      </c>
      <c r="C104" s="18" t="str">
        <f>IFERROR(__xludf.DUMMYFUNCTION("IF(B104="""","""",IF(OR(
  REGEXMATCH(B104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REGEXMATCH(B104,""Notícia|Reportagem|Artigo de opinião|Verbete"")
),""Difusão"","""")))
"),"Difusão")</f>
        <v>Difusão</v>
      </c>
      <c r="D104" s="19" t="str">
        <f>IFERROR(__xludf.DUMMYFUNCTION("IF(B104="""","""",IF(OR(
  REGEXMATCH(B104,""Performance|Instalação|Álbum|Música|Poema|Livro|Filme|Documentário|Recitação|Espetáculo|Peça|Intervenção|Desfile|Fotografia|Exposição|Charge|Grafite|Leitura pública|Fabricação de cachaça artesanal""),
  REGEXMA"&amp;"TCH(B104,""dança|teatral|artístico|musical|artística"")
),""Manifestação artístico-cultural"",
IF(OR(
  REGEXMATCH(B104,""Crônica|Série|Reportagem|Podcast|Audiotour|Entrevista|Vídeo|Rádio|Notícia|Artigo de opinião|Coletiva de imprensa""),
  REGEXMATCH(B10"&amp;"4,""midiática"")
),""Produção midiática"","""")))
"),"Produção midiática")</f>
        <v>Produção midiática</v>
      </c>
      <c r="E104" s="20" t="str">
        <f>IFERROR(__xludf.DUMMYFUNCTION("IF(B104="""","""",IF(OR(
  REGEXMATCH(B104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REGEXMATCH(B104,""público|Imediato|artística|teatral|memória|Ação popular"")
),""Público Imediato"",
IF(REGEXMATCH(B104,""Música|Álbum|Filme|Documentár"&amp;"io|Série|Podcast|Rádio|Audiotour|Entrevista|Reportagem|Crônica|Relatório|Abaixo-assinado|Manifesto|Petição|Poema|Livro|Fotografia|Curta|Live|Webinário|Charge|Leitura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04" s="20" t="str">
        <f>IFERROR(__xludf.DUMMYFUNCTION("IF(B104="""","""",IF(OR(
  REGEXMATCH(B104,""Live|Webinário|Virtual|Verbete""),
  REGEXMATCH(B104,""online"")
),""Virtual"",
IF(REGEXMATCH(B104,""Música|Álbum|Filme|Documentário|Série|Podcast|Rádio|Audiotour|Episódio|Reportagem|Curta|Charge|Vídeo|Entrevis"&amp;"ta|Notícia|Artigo de opinião""),
""Midiático"",
IF(REGEXMATCH(B104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04" s="21" t="str">
        <f>IFERROR(__xludf.DUMMYFUNCTION("IF(C104=""rememoração"", ""Insira a data manualmente"", IF(C104=""difusão"", 
 IF(NOT(ISERROR(REGEXEXTRACT(T104, ""(\d{1,2}) jan\. 2025""))), 
  TEXT(DATE(2025,1,REGEXEXTRACT(T104, ""(\d{1,2}) jan\. 2025"")), ""dd/mm/yyyy""),
 IF(NOT(ISERROR(REGEXEXTRACT("&amp;"T104, ""(\d{1,2}) fev\. 2025""))), 
  TEXT(DATE(2025,2,REGEXEXTRACT(T104, ""(\d{1,2}) fev\. 2025"")), ""dd/mm/yyyy""),
 IF(NOT(ISERROR(REGEXEXTRACT(T104, ""(\d{1,2}) mar\. 2025""))), 
  TEXT(DATE(2025,3,REGEXEXTRACT(T104, ""(\d{1,2}) mar\. 2025"")), ""dd/"&amp;"mm/yyyy""),
 IF(NOT(ISERROR(REGEXEXTRACT(T104, ""(\d{1,2}) abr\. 2025""))), 
  TEXT(DATE(2025,4,REGEXEXTRACT(T104, ""(\d{1,2}) abr\. 2025"")), ""dd/mm/yyyy""),
 IF(NOT(ISERROR(REGEXEXTRACT(T104, ""(\d{1,2}) (mai|maio)\. 2025""))), 
  TEXT(DATE(2025,5,REGE"&amp;"XEXTRACT(T104, ""(\d{1,2}) (mai|maio)\. 2025"")), ""dd/mm/yyyy""),
 IF(NOT(ISERROR(REGEXEXTRACT(T104, ""(\d{1,2}) jun\. 2025""))), 
  TEXT(DATE(2025,6,REGEXEXTRACT(T104, ""(\d{1,2}) jun\. 2025"")), ""dd/mm/yyyy""),
 IF(NOT(ISERROR(REGEXEXTRACT(T104, ""(\d"&amp;"{1,2}) jul\. 2025""))), 
  TEXT(DATE(2025,7,REGEXEXTRACT(T104, ""(\d{1,2}) jul\. 2025"")), ""dd/mm/yyyy""),
 IF(NOT(ISERROR(REGEXEXTRACT(T104, ""(\d{1,2}) ago\. 2025""))), 
  TEXT(DATE(2025,8,REGEXEXTRACT(T104, ""(\d{1,2}) ago\. 2025"")), ""dd/mm/yyyy""),"&amp;"
 IF(NOT(ISERROR(REGEXEXTRACT(T104, ""(\d{1,2}) set\. 2025""))), 
  TEXT(DATE(2025,9,REGEXEXTRACT(T104, ""(\d{1,2}) set\. 2025"")), ""dd/mm/yyyy""),
 IF(NOT(ISERROR(REGEXEXTRACT(T104, ""(\d{1,2}) out\. 2025""))), 
  TEXT(DATE(2025,10,REGEXEXTRACT(T104, """&amp;"(\d{1,2}) out\. 2025"")), ""dd/mm/yyyy""),
 IF(NOT(ISERROR(REGEXEXTRACT(T104, ""(\d{1,2}) nov\. 2025""))), 
  TEXT(DATE(2025,11,REGEXEXTRACT(T104, ""(\d{1,2}) nov\. 2025"")), ""dd/mm/yyyy""),
 IF(NOT(ISERROR(REGEXEXTRACT(T104, ""(\d{1,2}) dez\. 2025""))),"&amp;" 
  TEXT(DATE(2025,12,REGEXEXTRACT(T104, ""(\d{1,2}) dez\. 2025"")), ""dd/mm/yyyy""),
 ""Insira a data manualmente"")))))))))))), """"))"),"29/10/2025")</f>
        <v>29/10/2025</v>
      </c>
      <c r="H104" s="22">
        <f t="shared" si="1"/>
        <v>2025</v>
      </c>
      <c r="I104" s="18" t="str">
        <f>IFERROR(__xludf.DUMMYFUNCTION("IF(REGEXMATCH(T104,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IF(REGEXMATCH(T104, ""(?i)\bBrasília\b""), ""Distrito Federal, Brasil"",
REGEXEXTRACT(T104,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04" s="30" t="s">
        <v>263</v>
      </c>
      <c r="K104" s="24" t="s">
        <v>313</v>
      </c>
      <c r="L104" s="24" t="s">
        <v>26</v>
      </c>
      <c r="M104" s="25" t="s">
        <v>27</v>
      </c>
      <c r="N104" s="18" t="str">
        <f t="shared" si="6"/>
        <v> Portal do Governo do Estado do Rio de Janeiro</v>
      </c>
      <c r="O104" s="17" t="s">
        <v>28</v>
      </c>
      <c r="P104" s="17" t="s">
        <v>251</v>
      </c>
      <c r="Q104" s="26">
        <v>45963.0</v>
      </c>
      <c r="R104" s="17" t="s">
        <v>30</v>
      </c>
      <c r="S104" s="27" t="str">
        <f t="shared" si="3"/>
        <v>Aqui</v>
      </c>
      <c r="T104" s="29" t="s">
        <v>314</v>
      </c>
      <c r="U104" s="29"/>
    </row>
    <row r="105">
      <c r="A105" s="16">
        <v>103.0</v>
      </c>
      <c r="B105" s="17" t="s">
        <v>23</v>
      </c>
      <c r="C105" s="18" t="str">
        <f>IFERROR(__xludf.DUMMYFUNCTION("IF(B105="""","""",IF(OR(
  REGEXMATCH(B105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REGEXMATCH(B105,""Notícia|Reportagem|Artigo de opinião|Verbete"")
),""Difusão"","""")))
"),"Difusão")</f>
        <v>Difusão</v>
      </c>
      <c r="D105" s="19" t="str">
        <f>IFERROR(__xludf.DUMMYFUNCTION("IF(B105="""","""",IF(OR(
  REGEXMATCH(B105,""Performance|Instalação|Álbum|Música|Poema|Livro|Filme|Documentário|Recitação|Espetáculo|Peça|Intervenção|Desfile|Fotografia|Exposição|Charge|Grafite|Leitura pública|Fabricação de cachaça artesanal""),
  REGEXMA"&amp;"TCH(B105,""dança|teatral|artístico|musical|artística"")
),""Manifestação artístico-cultural"",
IF(OR(
  REGEXMATCH(B105,""Crônica|Série|Reportagem|Podcast|Audiotour|Entrevista|Vídeo|Rádio|Notícia|Artigo de opinião|Coletiva de imprensa""),
  REGEXMATCH(B10"&amp;"5,""midiática"")
),""Produção midiática"","""")))
"),"Produção midiática")</f>
        <v>Produção midiática</v>
      </c>
      <c r="E105" s="20" t="str">
        <f>IFERROR(__xludf.DUMMYFUNCTION("IF(B105="""","""",IF(OR(
  REGEXMATCH(B105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REGEXMATCH(B105,""público|Imediato|artística|teatral|memória|Ação popular"")
),""Público Imediato"",
IF(REGEXMATCH(B105,""Música|Álbum|Filme|Documentár"&amp;"io|Série|Podcast|Rádio|Audiotour|Entrevista|Reportagem|Crônica|Relatório|Abaixo-assinado|Manifesto|Petição|Poema|Livro|Fotografia|Curta|Live|Webinário|Charge|Leitura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05" s="20" t="str">
        <f>IFERROR(__xludf.DUMMYFUNCTION("IF(B105="""","""",IF(OR(
  REGEXMATCH(B105,""Live|Webinário|Virtual|Verbete""),
  REGEXMATCH(B105,""online"")
),""Virtual"",
IF(REGEXMATCH(B105,""Música|Álbum|Filme|Documentário|Série|Podcast|Rádio|Audiotour|Episódio|Reportagem|Curta|Charge|Vídeo|Entrevis"&amp;"ta|Notícia|Artigo de opinião""),
""Midiático"",
IF(REGEXMATCH(B105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05" s="21" t="str">
        <f>IFERROR(__xludf.DUMMYFUNCTION("IF(C105=""rememoração"", ""Insira a data manualmente"", IF(C105=""difusão"", 
 IF(NOT(ISERROR(REGEXEXTRACT(T105, ""(\d{1,2}) jan\. 2025""))), 
  TEXT(DATE(2025,1,REGEXEXTRACT(T105, ""(\d{1,2}) jan\. 2025"")), ""dd/mm/yyyy""),
 IF(NOT(ISERROR(REGEXEXTRACT("&amp;"T105, ""(\d{1,2}) fev\. 2025""))), 
  TEXT(DATE(2025,2,REGEXEXTRACT(T105, ""(\d{1,2}) fev\. 2025"")), ""dd/mm/yyyy""),
 IF(NOT(ISERROR(REGEXEXTRACT(T105, ""(\d{1,2}) mar\. 2025""))), 
  TEXT(DATE(2025,3,REGEXEXTRACT(T105, ""(\d{1,2}) mar\. 2025"")), ""dd/"&amp;"mm/yyyy""),
 IF(NOT(ISERROR(REGEXEXTRACT(T105, ""(\d{1,2}) abr\. 2025""))), 
  TEXT(DATE(2025,4,REGEXEXTRACT(T105, ""(\d{1,2}) abr\. 2025"")), ""dd/mm/yyyy""),
 IF(NOT(ISERROR(REGEXEXTRACT(T105, ""(\d{1,2}) (mai|maio)\. 2025""))), 
  TEXT(DATE(2025,5,REGE"&amp;"XEXTRACT(T105, ""(\d{1,2}) (mai|maio)\. 2025"")), ""dd/mm/yyyy""),
 IF(NOT(ISERROR(REGEXEXTRACT(T105, ""(\d{1,2}) jun\. 2025""))), 
  TEXT(DATE(2025,6,REGEXEXTRACT(T105, ""(\d{1,2}) jun\. 2025"")), ""dd/mm/yyyy""),
 IF(NOT(ISERROR(REGEXEXTRACT(T105, ""(\d"&amp;"{1,2}) jul\. 2025""))), 
  TEXT(DATE(2025,7,REGEXEXTRACT(T105, ""(\d{1,2}) jul\. 2025"")), ""dd/mm/yyyy""),
 IF(NOT(ISERROR(REGEXEXTRACT(T105, ""(\d{1,2}) ago\. 2025""))), 
  TEXT(DATE(2025,8,REGEXEXTRACT(T105, ""(\d{1,2}) ago\. 2025"")), ""dd/mm/yyyy""),"&amp;"
 IF(NOT(ISERROR(REGEXEXTRACT(T105, ""(\d{1,2}) set\. 2025""))), 
  TEXT(DATE(2025,9,REGEXEXTRACT(T105, ""(\d{1,2}) set\. 2025"")), ""dd/mm/yyyy""),
 IF(NOT(ISERROR(REGEXEXTRACT(T105, ""(\d{1,2}) out\. 2025""))), 
  TEXT(DATE(2025,10,REGEXEXTRACT(T105, """&amp;"(\d{1,2}) out\. 2025"")), ""dd/mm/yyyy""),
 IF(NOT(ISERROR(REGEXEXTRACT(T105, ""(\d{1,2}) nov\. 2025""))), 
  TEXT(DATE(2025,11,REGEXEXTRACT(T105, ""(\d{1,2}) nov\. 2025"")), ""dd/mm/yyyy""),
 IF(NOT(ISERROR(REGEXEXTRACT(T105, ""(\d{1,2}) dez\. 2025""))),"&amp;" 
  TEXT(DATE(2025,12,REGEXEXTRACT(T105, ""(\d{1,2}) dez\. 2025"")), ""dd/mm/yyyy""),
 ""Insira a data manualmente"")))))))))))), """"))"),"02/11/2025")</f>
        <v>02/11/2025</v>
      </c>
      <c r="H105" s="22">
        <f t="shared" si="1"/>
        <v>2025</v>
      </c>
      <c r="I105" s="18" t="str">
        <f>IFERROR(__xludf.DUMMYFUNCTION("IF(REGEXMATCH(T105,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IF(REGEXMATCH(T105, ""(?i)\bBrasília\b""), ""Distrito Federal, Brasil"",
REGEXEXTRACT(T105,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05" s="30" t="s">
        <v>315</v>
      </c>
      <c r="K105" s="24" t="s">
        <v>316</v>
      </c>
      <c r="L105" s="24" t="s">
        <v>26</v>
      </c>
      <c r="M105" s="25" t="s">
        <v>27</v>
      </c>
      <c r="N105" s="18" t="str">
        <f t="shared" si="6"/>
        <v>Brasil de Fato</v>
      </c>
      <c r="O105" s="17" t="s">
        <v>28</v>
      </c>
      <c r="P105" s="17" t="s">
        <v>251</v>
      </c>
      <c r="Q105" s="26">
        <v>45963.0</v>
      </c>
      <c r="R105" s="17" t="s">
        <v>30</v>
      </c>
      <c r="S105" s="27" t="str">
        <f t="shared" si="3"/>
        <v>Aqui</v>
      </c>
      <c r="T105" s="29" t="s">
        <v>317</v>
      </c>
      <c r="U105" s="29"/>
    </row>
    <row r="106">
      <c r="A106" s="16">
        <v>104.0</v>
      </c>
      <c r="B106" s="17" t="s">
        <v>23</v>
      </c>
      <c r="C106" s="18" t="str">
        <f>IFERROR(__xludf.DUMMYFUNCTION("IF(B106="""","""",IF(OR(
  REGEXMATCH(B106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REGEXMATCH(B106,""Notícia|Reportagem|Artigo de opinião|Verbete"")
),""Difusão"","""")))
"),"Difusão")</f>
        <v>Difusão</v>
      </c>
      <c r="D106" s="19" t="str">
        <f>IFERROR(__xludf.DUMMYFUNCTION("IF(B106="""","""",IF(OR(
  REGEXMATCH(B106,""Performance|Instalação|Álbum|Música|Poema|Livro|Filme|Documentário|Recitação|Espetáculo|Peça|Intervenção|Desfile|Fotografia|Exposição|Charge|Grafite|Leitura pública|Fabricação de cachaça artesanal""),
  REGEXMA"&amp;"TCH(B106,""dança|teatral|artístico|musical|artística"")
),""Manifestação artístico-cultural"",
IF(OR(
  REGEXMATCH(B106,""Crônica|Série|Reportagem|Podcast|Audiotour|Entrevista|Vídeo|Rádio|Notícia|Artigo de opinião|Coletiva de imprensa""),
  REGEXMATCH(B10"&amp;"6,""midiática"")
),""Produção midiática"","""")))
"),"Produção midiática")</f>
        <v>Produção midiática</v>
      </c>
      <c r="E106" s="20" t="str">
        <f>IFERROR(__xludf.DUMMYFUNCTION("IF(B106="""","""",IF(OR(
  REGEXMATCH(B106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REGEXMATCH(B106,""público|Imediato|artística|teatral|memória|Ação popular"")
),""Público Imediato"",
IF(REGEXMATCH(B106,""Música|Álbum|Filme|Documentár"&amp;"io|Série|Podcast|Rádio|Audiotour|Entrevista|Reportagem|Crônica|Relatório|Abaixo-assinado|Manifesto|Petição|Poema|Livro|Fotografia|Curta|Live|Webinário|Charge|Leitura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06" s="20" t="str">
        <f>IFERROR(__xludf.DUMMYFUNCTION("IF(B106="""","""",IF(OR(
  REGEXMATCH(B106,""Live|Webinário|Virtual|Verbete""),
  REGEXMATCH(B106,""online"")
),""Virtual"",
IF(REGEXMATCH(B106,""Música|Álbum|Filme|Documentário|Série|Podcast|Rádio|Audiotour|Episódio|Reportagem|Curta|Charge|Vídeo|Entrevis"&amp;"ta|Notícia|Artigo de opinião""),
""Midiático"",
IF(REGEXMATCH(B106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06" s="21" t="str">
        <f>IFERROR(__xludf.DUMMYFUNCTION("IF(C106=""rememoração"", ""Insira a data manualmente"", IF(C106=""difusão"", 
 IF(NOT(ISERROR(REGEXEXTRACT(T106, ""(\d{1,2}) jan\. 2025""))), 
  TEXT(DATE(2025,1,REGEXEXTRACT(T106, ""(\d{1,2}) jan\. 2025"")), ""dd/mm/yyyy""),
 IF(NOT(ISERROR(REGEXEXTRACT("&amp;"T106, ""(\d{1,2}) fev\. 2025""))), 
  TEXT(DATE(2025,2,REGEXEXTRACT(T106, ""(\d{1,2}) fev\. 2025"")), ""dd/mm/yyyy""),
 IF(NOT(ISERROR(REGEXEXTRACT(T106, ""(\d{1,2}) mar\. 2025""))), 
  TEXT(DATE(2025,3,REGEXEXTRACT(T106, ""(\d{1,2}) mar\. 2025"")), ""dd/"&amp;"mm/yyyy""),
 IF(NOT(ISERROR(REGEXEXTRACT(T106, ""(\d{1,2}) abr\. 2025""))), 
  TEXT(DATE(2025,4,REGEXEXTRACT(T106, ""(\d{1,2}) abr\. 2025"")), ""dd/mm/yyyy""),
 IF(NOT(ISERROR(REGEXEXTRACT(T106, ""(\d{1,2}) (mai|maio)\. 2025""))), 
  TEXT(DATE(2025,5,REGE"&amp;"XEXTRACT(T106, ""(\d{1,2}) (mai|maio)\. 2025"")), ""dd/mm/yyyy""),
 IF(NOT(ISERROR(REGEXEXTRACT(T106, ""(\d{1,2}) jun\. 2025""))), 
  TEXT(DATE(2025,6,REGEXEXTRACT(T106, ""(\d{1,2}) jun\. 2025"")), ""dd/mm/yyyy""),
 IF(NOT(ISERROR(REGEXEXTRACT(T106, ""(\d"&amp;"{1,2}) jul\. 2025""))), 
  TEXT(DATE(2025,7,REGEXEXTRACT(T106, ""(\d{1,2}) jul\. 2025"")), ""dd/mm/yyyy""),
 IF(NOT(ISERROR(REGEXEXTRACT(T106, ""(\d{1,2}) ago\. 2025""))), 
  TEXT(DATE(2025,8,REGEXEXTRACT(T106, ""(\d{1,2}) ago\. 2025"")), ""dd/mm/yyyy""),"&amp;"
 IF(NOT(ISERROR(REGEXEXTRACT(T106, ""(\d{1,2}) set\. 2025""))), 
  TEXT(DATE(2025,9,REGEXEXTRACT(T106, ""(\d{1,2}) set\. 2025"")), ""dd/mm/yyyy""),
 IF(NOT(ISERROR(REGEXEXTRACT(T106, ""(\d{1,2}) out\. 2025""))), 
  TEXT(DATE(2025,10,REGEXEXTRACT(T106, """&amp;"(\d{1,2}) out\. 2025"")), ""dd/mm/yyyy""),
 IF(NOT(ISERROR(REGEXEXTRACT(T106, ""(\d{1,2}) nov\. 2025""))), 
  TEXT(DATE(2025,11,REGEXEXTRACT(T106, ""(\d{1,2}) nov\. 2025"")), ""dd/mm/yyyy""),
 IF(NOT(ISERROR(REGEXEXTRACT(T106, ""(\d{1,2}) dez\. 2025""))),"&amp;" 
  TEXT(DATE(2025,12,REGEXEXTRACT(T106, ""(\d{1,2}) dez\. 2025"")), ""dd/mm/yyyy""),
 ""Insira a data manualmente"")))))))))))), """"))"),"31/10/2025")</f>
        <v>31/10/2025</v>
      </c>
      <c r="H106" s="22">
        <f t="shared" si="1"/>
        <v>2025</v>
      </c>
      <c r="I106" s="18" t="str">
        <f>IFERROR(__xludf.DUMMYFUNCTION("IF(REGEXMATCH(T106,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IF(REGEXMATCH(T106, ""(?i)\bBrasília\b""), ""Distrito Federal, Brasil"",
REGEXEXTRACT(T106,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06" s="30" t="s">
        <v>318</v>
      </c>
      <c r="K106" s="24" t="s">
        <v>319</v>
      </c>
      <c r="L106" s="24" t="s">
        <v>26</v>
      </c>
      <c r="M106" s="25" t="s">
        <v>27</v>
      </c>
      <c r="N106" s="18" t="str">
        <f t="shared" si="6"/>
        <v>Ordem dos Advogados do Rio de Janeiro</v>
      </c>
      <c r="O106" s="17" t="s">
        <v>28</v>
      </c>
      <c r="P106" s="17" t="s">
        <v>251</v>
      </c>
      <c r="Q106" s="26">
        <v>45963.0</v>
      </c>
      <c r="R106" s="17" t="s">
        <v>30</v>
      </c>
      <c r="S106" s="27" t="str">
        <f t="shared" si="3"/>
        <v>Aqui</v>
      </c>
      <c r="T106" s="29" t="s">
        <v>320</v>
      </c>
      <c r="U106" s="29"/>
    </row>
    <row r="107">
      <c r="A107" s="16">
        <v>105.0</v>
      </c>
      <c r="B107" s="17" t="s">
        <v>23</v>
      </c>
      <c r="C107" s="18" t="str">
        <f>IFERROR(__xludf.DUMMYFUNCTION("IF(B107="""","""",IF(OR(
  REGEXMATCH(B107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REGEXMATCH(B107,""Notícia|Reportagem|Artigo de opinião|Verbete"")
),""Difusão"","""")))
"),"Difusão")</f>
        <v>Difusão</v>
      </c>
      <c r="D107" s="19" t="str">
        <f>IFERROR(__xludf.DUMMYFUNCTION("IF(B107="""","""",IF(OR(
  REGEXMATCH(B107,""Performance|Instalação|Álbum|Música|Poema|Livro|Filme|Documentário|Recitação|Espetáculo|Peça|Intervenção|Desfile|Fotografia|Exposição|Charge|Grafite|Leitura pública|Fabricação de cachaça artesanal""),
  REGEXMA"&amp;"TCH(B107,""dança|teatral|artístico|musical|artística"")
),""Manifestação artístico-cultural"",
IF(OR(
  REGEXMATCH(B107,""Crônica|Série|Reportagem|Podcast|Audiotour|Entrevista|Vídeo|Rádio|Notícia|Artigo de opinião|Coletiva de imprensa""),
  REGEXMATCH(B10"&amp;"7,""midiática"")
),""Produção midiática"","""")))
"),"Produção midiática")</f>
        <v>Produção midiática</v>
      </c>
      <c r="E107" s="20" t="str">
        <f>IFERROR(__xludf.DUMMYFUNCTION("IF(B107="""","""",IF(OR(
  REGEXMATCH(B107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REGEXMATCH(B107,""público|Imediato|artística|teatral|memória|Ação popular"")
),""Público Imediato"",
IF(REGEXMATCH(B107,""Música|Álbum|Filme|Documentár"&amp;"io|Série|Podcast|Rádio|Audiotour|Entrevista|Reportagem|Crônica|Relatório|Abaixo-assinado|Manifesto|Petição|Poema|Livro|Fotografia|Curta|Live|Webinário|Charge|Leitura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07" s="20" t="str">
        <f>IFERROR(__xludf.DUMMYFUNCTION("IF(B107="""","""",IF(OR(
  REGEXMATCH(B107,""Live|Webinário|Virtual|Verbete""),
  REGEXMATCH(B107,""online"")
),""Virtual"",
IF(REGEXMATCH(B107,""Música|Álbum|Filme|Documentário|Série|Podcast|Rádio|Audiotour|Episódio|Reportagem|Curta|Charge|Vídeo|Entrevis"&amp;"ta|Notícia|Artigo de opinião""),
""Midiático"",
IF(REGEXMATCH(B107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07" s="21" t="str">
        <f>IFERROR(__xludf.DUMMYFUNCTION("IF(C107=""rememoração"", ""Insira a data manualmente"", IF(C107=""difusão"", 
 IF(NOT(ISERROR(REGEXEXTRACT(T107, ""(\d{1,2}) jan\. 2025""))), 
  TEXT(DATE(2025,1,REGEXEXTRACT(T107, ""(\d{1,2}) jan\. 2025"")), ""dd/mm/yyyy""),
 IF(NOT(ISERROR(REGEXEXTRACT("&amp;"T107, ""(\d{1,2}) fev\. 2025""))), 
  TEXT(DATE(2025,2,REGEXEXTRACT(T107, ""(\d{1,2}) fev\. 2025"")), ""dd/mm/yyyy""),
 IF(NOT(ISERROR(REGEXEXTRACT(T107, ""(\d{1,2}) mar\. 2025""))), 
  TEXT(DATE(2025,3,REGEXEXTRACT(T107, ""(\d{1,2}) mar\. 2025"")), ""dd/"&amp;"mm/yyyy""),
 IF(NOT(ISERROR(REGEXEXTRACT(T107, ""(\d{1,2}) abr\. 2025""))), 
  TEXT(DATE(2025,4,REGEXEXTRACT(T107, ""(\d{1,2}) abr\. 2025"")), ""dd/mm/yyyy""),
 IF(NOT(ISERROR(REGEXEXTRACT(T107, ""(\d{1,2}) (mai|maio)\. 2025""))), 
  TEXT(DATE(2025,5,REGE"&amp;"XEXTRACT(T107, ""(\d{1,2}) (mai|maio)\. 2025"")), ""dd/mm/yyyy""),
 IF(NOT(ISERROR(REGEXEXTRACT(T107, ""(\d{1,2}) jun\. 2025""))), 
  TEXT(DATE(2025,6,REGEXEXTRACT(T107, ""(\d{1,2}) jun\. 2025"")), ""dd/mm/yyyy""),
 IF(NOT(ISERROR(REGEXEXTRACT(T107, ""(\d"&amp;"{1,2}) jul\. 2025""))), 
  TEXT(DATE(2025,7,REGEXEXTRACT(T107, ""(\d{1,2}) jul\. 2025"")), ""dd/mm/yyyy""),
 IF(NOT(ISERROR(REGEXEXTRACT(T107, ""(\d{1,2}) ago\. 2025""))), 
  TEXT(DATE(2025,8,REGEXEXTRACT(T107, ""(\d{1,2}) ago\. 2025"")), ""dd/mm/yyyy""),"&amp;"
 IF(NOT(ISERROR(REGEXEXTRACT(T107, ""(\d{1,2}) set\. 2025""))), 
  TEXT(DATE(2025,9,REGEXEXTRACT(T107, ""(\d{1,2}) set\. 2025"")), ""dd/mm/yyyy""),
 IF(NOT(ISERROR(REGEXEXTRACT(T107, ""(\d{1,2}) out\. 2025""))), 
  TEXT(DATE(2025,10,REGEXEXTRACT(T107, """&amp;"(\d{1,2}) out\. 2025"")), ""dd/mm/yyyy""),
 IF(NOT(ISERROR(REGEXEXTRACT(T107, ""(\d{1,2}) nov\. 2025""))), 
  TEXT(DATE(2025,11,REGEXEXTRACT(T107, ""(\d{1,2}) nov\. 2025"")), ""dd/mm/yyyy""),
 IF(NOT(ISERROR(REGEXEXTRACT(T107, ""(\d{1,2}) dez\. 2025""))),"&amp;" 
  TEXT(DATE(2025,12,REGEXEXTRACT(T107, ""(\d{1,2}) dez\. 2025"")), ""dd/mm/yyyy""),
 ""Insira a data manualmente"")))))))))))), """"))"),"02/11/2025")</f>
        <v>02/11/2025</v>
      </c>
      <c r="H107" s="22">
        <f t="shared" si="1"/>
        <v>2025</v>
      </c>
      <c r="I107" s="18" t="str">
        <f>IFERROR(__xludf.DUMMYFUNCTION("IF(REGEXMATCH(T107,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IF(REGEXMATCH(T107, ""(?i)\bBrasília\b""), ""Distrito Federal, Brasil"",
REGEXEXTRACT(T107,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07" s="30" t="s">
        <v>32</v>
      </c>
      <c r="K107" s="24" t="s">
        <v>321</v>
      </c>
      <c r="L107" s="24" t="s">
        <v>26</v>
      </c>
      <c r="M107" s="25" t="s">
        <v>27</v>
      </c>
      <c r="N107" s="18" t="str">
        <f t="shared" si="6"/>
        <v>Agência Brasil</v>
      </c>
      <c r="O107" s="17" t="s">
        <v>28</v>
      </c>
      <c r="P107" s="17" t="s">
        <v>251</v>
      </c>
      <c r="Q107" s="26">
        <v>45963.0</v>
      </c>
      <c r="R107" s="17" t="s">
        <v>30</v>
      </c>
      <c r="S107" s="27" t="str">
        <f t="shared" si="3"/>
        <v>Aqui</v>
      </c>
      <c r="T107" s="29" t="s">
        <v>322</v>
      </c>
      <c r="U107" s="29"/>
    </row>
    <row r="108">
      <c r="A108" s="16">
        <v>106.0</v>
      </c>
      <c r="B108" s="17" t="s">
        <v>23</v>
      </c>
      <c r="C108" s="18" t="str">
        <f>IFERROR(__xludf.DUMMYFUNCTION("IF(B108="""","""",IF(OR(
  REGEXMATCH(B108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REGEXMATCH(B108,""Notícia|Reportagem|Artigo de opinião|Verbete"")
),""Difusão"","""")))
"),"Difusão")</f>
        <v>Difusão</v>
      </c>
      <c r="D108" s="19" t="str">
        <f>IFERROR(__xludf.DUMMYFUNCTION("IF(B108="""","""",IF(OR(
  REGEXMATCH(B108,""Performance|Instalação|Álbum|Música|Poema|Livro|Filme|Documentário|Recitação|Espetáculo|Peça|Intervenção|Desfile|Fotografia|Exposição|Charge|Grafite|Leitura pública|Fabricação de cachaça artesanal""),
  REGEXMA"&amp;"TCH(B108,""dança|teatral|artístico|musical|artística"")
),""Manifestação artístico-cultural"",
IF(OR(
  REGEXMATCH(B108,""Crônica|Série|Reportagem|Podcast|Audiotour|Entrevista|Vídeo|Rádio|Notícia|Artigo de opinião|Coletiva de imprensa""),
  REGEXMATCH(B10"&amp;"8,""midiática"")
),""Produção midiática"","""")))
"),"Produção midiática")</f>
        <v>Produção midiática</v>
      </c>
      <c r="E108" s="20" t="str">
        <f>IFERROR(__xludf.DUMMYFUNCTION("IF(B108="""","""",IF(OR(
  REGEXMATCH(B108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REGEXMATCH(B108,""público|Imediato|artística|teatral|memória|Ação popular"")
),""Público Imediato"",
IF(REGEXMATCH(B108,""Música|Álbum|Filme|Documentár"&amp;"io|Série|Podcast|Rádio|Audiotour|Entrevista|Reportagem|Crônica|Relatório|Abaixo-assinado|Manifesto|Petição|Poema|Livro|Fotografia|Curta|Live|Webinário|Charge|Leitura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08" s="20" t="str">
        <f>IFERROR(__xludf.DUMMYFUNCTION("IF(B108="""","""",IF(OR(
  REGEXMATCH(B108,""Live|Webinário|Virtual|Verbete""),
  REGEXMATCH(B108,""online"")
),""Virtual"",
IF(REGEXMATCH(B108,""Música|Álbum|Filme|Documentário|Série|Podcast|Rádio|Audiotour|Episódio|Reportagem|Curta|Charge|Vídeo|Entrevis"&amp;"ta|Notícia|Artigo de opinião""),
""Midiático"",
IF(REGEXMATCH(B108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08" s="21" t="str">
        <f>IFERROR(__xludf.DUMMYFUNCTION("IF(C108=""rememoração"", ""Insira a data manualmente"", IF(C108=""difusão"", 
 IF(NOT(ISERROR(REGEXEXTRACT(T108, ""(\d{1,2}) jan\. 2025""))), 
  TEXT(DATE(2025,1,REGEXEXTRACT(T108, ""(\d{1,2}) jan\. 2025"")), ""dd/mm/yyyy""),
 IF(NOT(ISERROR(REGEXEXTRACT("&amp;"T108, ""(\d{1,2}) fev\. 2025""))), 
  TEXT(DATE(2025,2,REGEXEXTRACT(T108, ""(\d{1,2}) fev\. 2025"")), ""dd/mm/yyyy""),
 IF(NOT(ISERROR(REGEXEXTRACT(T108, ""(\d{1,2}) mar\. 2025""))), 
  TEXT(DATE(2025,3,REGEXEXTRACT(T108, ""(\d{1,2}) mar\. 2025"")), ""dd/"&amp;"mm/yyyy""),
 IF(NOT(ISERROR(REGEXEXTRACT(T108, ""(\d{1,2}) abr\. 2025""))), 
  TEXT(DATE(2025,4,REGEXEXTRACT(T108, ""(\d{1,2}) abr\. 2025"")), ""dd/mm/yyyy""),
 IF(NOT(ISERROR(REGEXEXTRACT(T108, ""(\d{1,2}) (mai|maio)\. 2025""))), 
  TEXT(DATE(2025,5,REGE"&amp;"XEXTRACT(T108, ""(\d{1,2}) (mai|maio)\. 2025"")), ""dd/mm/yyyy""),
 IF(NOT(ISERROR(REGEXEXTRACT(T108, ""(\d{1,2}) jun\. 2025""))), 
  TEXT(DATE(2025,6,REGEXEXTRACT(T108, ""(\d{1,2}) jun\. 2025"")), ""dd/mm/yyyy""),
 IF(NOT(ISERROR(REGEXEXTRACT(T108, ""(\d"&amp;"{1,2}) jul\. 2025""))), 
  TEXT(DATE(2025,7,REGEXEXTRACT(T108, ""(\d{1,2}) jul\. 2025"")), ""dd/mm/yyyy""),
 IF(NOT(ISERROR(REGEXEXTRACT(T108, ""(\d{1,2}) ago\. 2025""))), 
  TEXT(DATE(2025,8,REGEXEXTRACT(T108, ""(\d{1,2}) ago\. 2025"")), ""dd/mm/yyyy""),"&amp;"
 IF(NOT(ISERROR(REGEXEXTRACT(T108, ""(\d{1,2}) set\. 2025""))), 
  TEXT(DATE(2025,9,REGEXEXTRACT(T108, ""(\d{1,2}) set\. 2025"")), ""dd/mm/yyyy""),
 IF(NOT(ISERROR(REGEXEXTRACT(T108, ""(\d{1,2}) out\. 2025""))), 
  TEXT(DATE(2025,10,REGEXEXTRACT(T108, """&amp;"(\d{1,2}) out\. 2025"")), ""dd/mm/yyyy""),
 IF(NOT(ISERROR(REGEXEXTRACT(T108, ""(\d{1,2}) nov\. 2025""))), 
  TEXT(DATE(2025,11,REGEXEXTRACT(T108, ""(\d{1,2}) nov\. 2025"")), ""dd/mm/yyyy""),
 IF(NOT(ISERROR(REGEXEXTRACT(T108, ""(\d{1,2}) dez\. 2025""))),"&amp;" 
  TEXT(DATE(2025,12,REGEXEXTRACT(T108, ""(\d{1,2}) dez\. 2025"")), ""dd/mm/yyyy""),
 ""Insira a data manualmente"")))))))))))), """"))"),"30/10/2025")</f>
        <v>30/10/2025</v>
      </c>
      <c r="H108" s="22">
        <f t="shared" si="1"/>
        <v>2025</v>
      </c>
      <c r="I108" s="18" t="str">
        <f>IFERROR(__xludf.DUMMYFUNCTION("IF(REGEXMATCH(T108,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IF(REGEXMATCH(T108, ""(?i)\bBrasília\b""), ""Distrito Federal, Brasil"",
REGEXEXTRACT(T108,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108" s="30" t="s">
        <v>323</v>
      </c>
      <c r="K108" s="24" t="s">
        <v>324</v>
      </c>
      <c r="L108" s="24" t="s">
        <v>26</v>
      </c>
      <c r="M108" s="25" t="s">
        <v>27</v>
      </c>
      <c r="N108" s="18" t="str">
        <f t="shared" si="6"/>
        <v>O Estado de S. Paulo</v>
      </c>
      <c r="O108" s="17" t="s">
        <v>28</v>
      </c>
      <c r="P108" s="17" t="s">
        <v>251</v>
      </c>
      <c r="Q108" s="26">
        <v>45963.0</v>
      </c>
      <c r="R108" s="17" t="s">
        <v>37</v>
      </c>
      <c r="S108" s="27" t="str">
        <f t="shared" si="3"/>
        <v>Aqui</v>
      </c>
      <c r="T108" s="29" t="s">
        <v>325</v>
      </c>
      <c r="U108" s="29"/>
    </row>
    <row r="109">
      <c r="A109" s="16">
        <v>107.0</v>
      </c>
      <c r="B109" s="17" t="s">
        <v>128</v>
      </c>
      <c r="C109" s="18" t="str">
        <f>IFERROR(__xludf.DUMMYFUNCTION("IF(B109="""","""",IF(OR(
  REGEXMATCH(B109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REGEXMATCH(B109,""Notícia|Reportagem|Artigo de opinião|Verbete"")
),""Difusão"","""")))
"),"Difusão")</f>
        <v>Difusão</v>
      </c>
      <c r="D109" s="19" t="str">
        <f>IFERROR(__xludf.DUMMYFUNCTION("IF(B109="""","""",IF(OR(
  REGEXMATCH(B109,""Performance|Instalação|Álbum|Música|Poema|Livro|Filme|Documentário|Recitação|Espetáculo|Peça|Intervenção|Desfile|Fotografia|Exposição|Charge|Grafite|Leitura pública|Fabricação de cachaça artesanal""),
  REGEXMA"&amp;"TCH(B109,""dança|teatral|artístico|musical|artística"")
),""Manifestação artístico-cultural"",
IF(OR(
  REGEXMATCH(B109,""Crônica|Série|Reportagem|Podcast|Audiotour|Entrevista|Vídeo|Rádio|Notícia|Artigo de opinião|Coletiva de imprensa""),
  REGEXMATCH(B10"&amp;"9,""midiática"")
),""Produção midiática"","""")))
"),"Produção midiática")</f>
        <v>Produção midiática</v>
      </c>
      <c r="E109" s="20" t="str">
        <f>IFERROR(__xludf.DUMMYFUNCTION("IF(B109="""","""",IF(OR(
  REGEXMATCH(B109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REGEXMATCH(B109,""público|Imediato|artística|teatral|memória|Ação popular"")
),""Público Imediato"",
IF(REGEXMATCH(B109,""Música|Álbum|Filme|Documentár"&amp;"io|Série|Podcast|Rádio|Audiotour|Entrevista|Reportagem|Crônica|Relatório|Abaixo-assinado|Manifesto|Petição|Poema|Livro|Fotografia|Curta|Live|Webinário|Charge|Leitura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09" s="20" t="str">
        <f>IFERROR(__xludf.DUMMYFUNCTION("IF(B109="""","""",IF(OR(
  REGEXMATCH(B109,""Live|Webinário|Virtual|Verbete""),
  REGEXMATCH(B109,""online"")
),""Virtual"",
IF(REGEXMATCH(B109,""Música|Álbum|Filme|Documentário|Série|Podcast|Rádio|Audiotour|Episódio|Reportagem|Curta|Charge|Vídeo|Entrevis"&amp;"ta|Notícia|Artigo de opinião""),
""Midiático"",
IF(REGEXMATCH(B109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09" s="21" t="str">
        <f>IFERROR(__xludf.DUMMYFUNCTION("IF(C109=""rememoração"", ""Insira a data manualmente"", IF(C109=""difusão"", 
 IF(NOT(ISERROR(REGEXEXTRACT(T109, ""(\d{1,2}) jan\. 2025""))), 
  TEXT(DATE(2025,1,REGEXEXTRACT(T109, ""(\d{1,2}) jan\. 2025"")), ""dd/mm/yyyy""),
 IF(NOT(ISERROR(REGEXEXTRACT("&amp;"T109, ""(\d{1,2}) fev\. 2025""))), 
  TEXT(DATE(2025,2,REGEXEXTRACT(T109, ""(\d{1,2}) fev\. 2025"")), ""dd/mm/yyyy""),
 IF(NOT(ISERROR(REGEXEXTRACT(T109, ""(\d{1,2}) mar\. 2025""))), 
  TEXT(DATE(2025,3,REGEXEXTRACT(T109, ""(\d{1,2}) mar\. 2025"")), ""dd/"&amp;"mm/yyyy""),
 IF(NOT(ISERROR(REGEXEXTRACT(T109, ""(\d{1,2}) abr\. 2025""))), 
  TEXT(DATE(2025,4,REGEXEXTRACT(T109, ""(\d{1,2}) abr\. 2025"")), ""dd/mm/yyyy""),
 IF(NOT(ISERROR(REGEXEXTRACT(T109, ""(\d{1,2}) (mai|maio)\. 2025""))), 
  TEXT(DATE(2025,5,REGE"&amp;"XEXTRACT(T109, ""(\d{1,2}) (mai|maio)\. 2025"")), ""dd/mm/yyyy""),
 IF(NOT(ISERROR(REGEXEXTRACT(T109, ""(\d{1,2}) jun\. 2025""))), 
  TEXT(DATE(2025,6,REGEXEXTRACT(T109, ""(\d{1,2}) jun\. 2025"")), ""dd/mm/yyyy""),
 IF(NOT(ISERROR(REGEXEXTRACT(T109, ""(\d"&amp;"{1,2}) jul\. 2025""))), 
  TEXT(DATE(2025,7,REGEXEXTRACT(T109, ""(\d{1,2}) jul\. 2025"")), ""dd/mm/yyyy""),
 IF(NOT(ISERROR(REGEXEXTRACT(T109, ""(\d{1,2}) ago\. 2025""))), 
  TEXT(DATE(2025,8,REGEXEXTRACT(T109, ""(\d{1,2}) ago\. 2025"")), ""dd/mm/yyyy""),"&amp;"
 IF(NOT(ISERROR(REGEXEXTRACT(T109, ""(\d{1,2}) set\. 2025""))), 
  TEXT(DATE(2025,9,REGEXEXTRACT(T109, ""(\d{1,2}) set\. 2025"")), ""dd/mm/yyyy""),
 IF(NOT(ISERROR(REGEXEXTRACT(T109, ""(\d{1,2}) out\. 2025""))), 
  TEXT(DATE(2025,10,REGEXEXTRACT(T109, """&amp;"(\d{1,2}) out\. 2025"")), ""dd/mm/yyyy""),
 IF(NOT(ISERROR(REGEXEXTRACT(T109, ""(\d{1,2}) nov\. 2025""))), 
  TEXT(DATE(2025,11,REGEXEXTRACT(T109, ""(\d{1,2}) nov\. 2025"")), ""dd/mm/yyyy""),
 IF(NOT(ISERROR(REGEXEXTRACT(T109, ""(\d{1,2}) dez\. 2025""))),"&amp;" 
  TEXT(DATE(2025,12,REGEXEXTRACT(T109, ""(\d{1,2}) dez\. 2025"")), ""dd/mm/yyyy""),
 ""Insira a data manualmente"")))))))))))), """"))"),"30/10/2025")</f>
        <v>30/10/2025</v>
      </c>
      <c r="H109" s="22">
        <f t="shared" si="1"/>
        <v>2025</v>
      </c>
      <c r="I109" s="18" t="str">
        <f>IFERROR(__xludf.DUMMYFUNCTION("IF(REGEXMATCH(T109,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IF(REGEXMATCH(T109, ""(?i)\bBrasília\b""), ""Distrito Federal, Brasil"",
REGEXEXTRACT(T109,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109" s="30" t="s">
        <v>315</v>
      </c>
      <c r="K109" s="24" t="s">
        <v>326</v>
      </c>
      <c r="L109" s="24" t="s">
        <v>26</v>
      </c>
      <c r="M109" s="25" t="s">
        <v>27</v>
      </c>
      <c r="N109" s="18" t="str">
        <f t="shared" si="6"/>
        <v>Brasil de Fato</v>
      </c>
      <c r="O109" s="17" t="s">
        <v>28</v>
      </c>
      <c r="P109" s="17" t="s">
        <v>251</v>
      </c>
      <c r="Q109" s="26">
        <v>45963.0</v>
      </c>
      <c r="R109" s="17" t="s">
        <v>30</v>
      </c>
      <c r="S109" s="27" t="str">
        <f t="shared" si="3"/>
        <v>Aqui</v>
      </c>
      <c r="T109" s="29" t="s">
        <v>327</v>
      </c>
      <c r="U109" s="29"/>
    </row>
    <row r="110">
      <c r="A110" s="16">
        <v>108.0</v>
      </c>
      <c r="B110" s="17" t="s">
        <v>156</v>
      </c>
      <c r="C110" s="18" t="str">
        <f>IFERROR(__xludf.DUMMYFUNCTION("IF(B110="""","""",IF(OR(
  REGEXMATCH(B110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REGEXMATCH(B110,""Notícia|Reportagem|Artigo de opinião|Verbete"")
),""Difusão"","""")))
"),"Rememoração")</f>
        <v>Rememoração</v>
      </c>
      <c r="D110" s="19" t="str">
        <f>IFERROR(__xludf.DUMMYFUNCTION("IF(B110="""","""",IF(OR(
  REGEXMATCH(B110,""Performance|Instalação|Álbum|Música|Poema|Livro|Filme|Documentário|Recitação|Espetáculo|Peça|Intervenção|Desfile|Fotografia|Exposição|Charge|Grafite|Leitura pública|Fabricação de cachaça artesanal""),
  REGEXMA"&amp;"TCH(B110,""dança|teatral|artístico|musical|artística"")
),""Manifestação artístico-cultural"",
IF(OR(
  REGEXMATCH(B110,""Crônica|Série|Reportagem|Podcast|Audiotour|Entrevista|Vídeo|Rádio|Notícia|Artigo de opinião|Coletiva de imprensa""),
  REGEXMATCH(B11"&amp;"0,""midiática"")
),""Produção midiática"","""")))
"),"Manifestação artístico-cultural")</f>
        <v>Manifestação artístico-cultural</v>
      </c>
      <c r="E110" s="20" t="str">
        <f>IFERROR(__xludf.DUMMYFUNCTION("IF(B110="""","""",IF(OR(
  REGEXMATCH(B110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REGEXMATCH(B110,""público|Imediato|artística|teatral|memória|Ação popular"")
),""Público Imediato"",
IF(REGEXMATCH(B110,""Música|Álbum|Filme|Documentár"&amp;"io|Série|Podcast|Rádio|Audiotour|Entrevista|Reportagem|Crônica|Relatório|Abaixo-assinado|Manifesto|Petição|Poema|Livro|Fotografia|Curta|Live|Webinário|Charge|Leitura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10" s="20" t="str">
        <f>IFERROR(__xludf.DUMMYFUNCTION("IF(B110="""","""",IF(OR(
  REGEXMATCH(B110,""Live|Webinário|Virtual|Verbete""),
  REGEXMATCH(B110,""online"")
),""Virtual"",
IF(REGEXMATCH(B110,""Música|Álbum|Filme|Documentário|Série|Podcast|Rádio|Audiotour|Episódio|Reportagem|Curta|Charge|Vídeo|Entrevis"&amp;"ta|Notícia|Artigo de opinião""),
""Midiático"",
IF(REGEXMATCH(B110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"),"Presencial/Físico")</f>
        <v>Presencial/Físico</v>
      </c>
      <c r="G110" s="21">
        <v>45962.0</v>
      </c>
      <c r="H110" s="22">
        <f t="shared" si="1"/>
        <v>2025</v>
      </c>
      <c r="I110" s="18" t="str">
        <f>IFERROR(__xludf.DUMMYFUNCTION("IF(REGEXMATCH(T110,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IF(REGEXMATCH(T110, ""(?i)\bBrasília\b""), ""Distrito Federal, Brasil"",
REGEXEXTRACT(T110,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10" s="30" t="s">
        <v>32</v>
      </c>
      <c r="K110" s="24" t="s">
        <v>328</v>
      </c>
      <c r="L110" s="24" t="s">
        <v>26</v>
      </c>
      <c r="M110" s="25" t="s">
        <v>27</v>
      </c>
      <c r="N110" s="18" t="s">
        <v>32</v>
      </c>
      <c r="O110" s="17" t="s">
        <v>28</v>
      </c>
      <c r="P110" s="17" t="s">
        <v>251</v>
      </c>
      <c r="Q110" s="26">
        <v>45963.0</v>
      </c>
      <c r="R110" s="17" t="s">
        <v>30</v>
      </c>
      <c r="S110" s="36" t="str">
        <f t="shared" si="3"/>
        <v>#VALUE!</v>
      </c>
      <c r="T110" s="29" t="s">
        <v>329</v>
      </c>
      <c r="U110" s="29"/>
    </row>
    <row r="111">
      <c r="A111" s="16">
        <v>109.0</v>
      </c>
      <c r="B111" s="17" t="s">
        <v>23</v>
      </c>
      <c r="C111" s="18" t="str">
        <f>IFERROR(__xludf.DUMMYFUNCTION("IF(B111="""","""",IF(OR(
  REGEXMATCH(B111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REGEXMATCH(B111,""Notícia|Reportagem|Artigo de opinião|Verbete"")
),""Difusão"","""")))
"),"Difusão")</f>
        <v>Difusão</v>
      </c>
      <c r="D111" s="19" t="str">
        <f>IFERROR(__xludf.DUMMYFUNCTION("IF(B111="""","""",IF(OR(
  REGEXMATCH(B111,""Performance|Instalação|Álbum|Música|Poema|Livro|Filme|Documentário|Recitação|Espetáculo|Peça|Intervenção|Desfile|Fotografia|Exposição|Charge|Grafite|Leitura pública|Fabricação de cachaça artesanal""),
  REGEXMA"&amp;"TCH(B111,""dança|teatral|artístico|musical|artística"")
),""Manifestação artístico-cultural"",
IF(OR(
  REGEXMATCH(B111,""Crônica|Série|Reportagem|Podcast|Audiotour|Entrevista|Vídeo|Rádio|Notícia|Artigo de opinião|Coletiva de imprensa""),
  REGEXMATCH(B11"&amp;"1,""midiática"")
),""Produção midiática"","""")))
"),"Produção midiática")</f>
        <v>Produção midiática</v>
      </c>
      <c r="E111" s="20" t="str">
        <f>IFERROR(__xludf.DUMMYFUNCTION("IF(B111="""","""",IF(OR(
  REGEXMATCH(B111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REGEXMATCH(B111,""público|Imediato|artística|teatral|memória|Ação popular"")
),""Público Imediato"",
IF(REGEXMATCH(B111,""Música|Álbum|Filme|Documentár"&amp;"io|Série|Podcast|Rádio|Audiotour|Entrevista|Reportagem|Crônica|Relatório|Abaixo-assinado|Manifesto|Petição|Poema|Livro|Fotografia|Curta|Live|Webinário|Charge|Leitura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11" s="20" t="str">
        <f>IFERROR(__xludf.DUMMYFUNCTION("IF(B111="""","""",IF(OR(
  REGEXMATCH(B111,""Live|Webinário|Virtual|Verbete""),
  REGEXMATCH(B111,""online"")
),""Virtual"",
IF(REGEXMATCH(B111,""Música|Álbum|Filme|Documentário|Série|Podcast|Rádio|Audiotour|Episódio|Reportagem|Curta|Charge|Vídeo|Entrevis"&amp;"ta|Notícia|Artigo de opinião""),
""Midiático"",
IF(REGEXMATCH(B111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11" s="21" t="str">
        <f>IFERROR(__xludf.DUMMYFUNCTION("IF(C111=""rememoração"", ""Insira a data manualmente"", IF(C111=""difusão"", 
 IF(NOT(ISERROR(REGEXEXTRACT(T111, ""(\d{1,2}) jan\. 2025""))), 
  TEXT(DATE(2025,1,REGEXEXTRACT(T111, ""(\d{1,2}) jan\. 2025"")), ""dd/mm/yyyy""),
 IF(NOT(ISERROR(REGEXEXTRACT("&amp;"T111, ""(\d{1,2}) fev\. 2025""))), 
  TEXT(DATE(2025,2,REGEXEXTRACT(T111, ""(\d{1,2}) fev\. 2025"")), ""dd/mm/yyyy""),
 IF(NOT(ISERROR(REGEXEXTRACT(T111, ""(\d{1,2}) mar\. 2025""))), 
  TEXT(DATE(2025,3,REGEXEXTRACT(T111, ""(\d{1,2}) mar\. 2025"")), ""dd/"&amp;"mm/yyyy""),
 IF(NOT(ISERROR(REGEXEXTRACT(T111, ""(\d{1,2}) abr\. 2025""))), 
  TEXT(DATE(2025,4,REGEXEXTRACT(T111, ""(\d{1,2}) abr\. 2025"")), ""dd/mm/yyyy""),
 IF(NOT(ISERROR(REGEXEXTRACT(T111, ""(\d{1,2}) (mai|maio)\. 2025""))), 
  TEXT(DATE(2025,5,REGE"&amp;"XEXTRACT(T111, ""(\d{1,2}) (mai|maio)\. 2025"")), ""dd/mm/yyyy""),
 IF(NOT(ISERROR(REGEXEXTRACT(T111, ""(\d{1,2}) jun\. 2025""))), 
  TEXT(DATE(2025,6,REGEXEXTRACT(T111, ""(\d{1,2}) jun\. 2025"")), ""dd/mm/yyyy""),
 IF(NOT(ISERROR(REGEXEXTRACT(T111, ""(\d"&amp;"{1,2}) jul\. 2025""))), 
  TEXT(DATE(2025,7,REGEXEXTRACT(T111, ""(\d{1,2}) jul\. 2025"")), ""dd/mm/yyyy""),
 IF(NOT(ISERROR(REGEXEXTRACT(T111, ""(\d{1,2}) ago\. 2025""))), 
  TEXT(DATE(2025,8,REGEXEXTRACT(T111, ""(\d{1,2}) ago\. 2025"")), ""dd/mm/yyyy""),"&amp;"
 IF(NOT(ISERROR(REGEXEXTRACT(T111, ""(\d{1,2}) set\. 2025""))), 
  TEXT(DATE(2025,9,REGEXEXTRACT(T111, ""(\d{1,2}) set\. 2025"")), ""dd/mm/yyyy""),
 IF(NOT(ISERROR(REGEXEXTRACT(T111, ""(\d{1,2}) out\. 2025""))), 
  TEXT(DATE(2025,10,REGEXEXTRACT(T111, """&amp;"(\d{1,2}) out\. 2025"")), ""dd/mm/yyyy""),
 IF(NOT(ISERROR(REGEXEXTRACT(T111, ""(\d{1,2}) nov\. 2025""))), 
  TEXT(DATE(2025,11,REGEXEXTRACT(T111, ""(\d{1,2}) nov\. 2025"")), ""dd/mm/yyyy""),
 IF(NOT(ISERROR(REGEXEXTRACT(T111, ""(\d{1,2}) dez\. 2025""))),"&amp;" 
  TEXT(DATE(2025,12,REGEXEXTRACT(T111, ""(\d{1,2}) dez\. 2025"")), ""dd/mm/yyyy""),
 ""Insira a data manualmente"")))))))))))), """"))"),"01/11/2025")</f>
        <v>01/11/2025</v>
      </c>
      <c r="H111" s="22">
        <f t="shared" si="1"/>
        <v>2025</v>
      </c>
      <c r="I111" s="18" t="str">
        <f>IFERROR(__xludf.DUMMYFUNCTION("IF(REGEXMATCH(T111,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IF(REGEXMATCH(T111, ""(?i)\bBrasília\b""), ""Distrito Federal, Brasil"",
REGEXEXTRACT(T111,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11" s="30" t="s">
        <v>32</v>
      </c>
      <c r="K111" s="24" t="s">
        <v>330</v>
      </c>
      <c r="L111" s="24" t="s">
        <v>26</v>
      </c>
      <c r="M111" s="25" t="s">
        <v>27</v>
      </c>
      <c r="N111" s="18" t="str">
        <f>IF(C111="difusão", J111, IF(C111="rememoração", "Inserir fonte manualmente", ""))</f>
        <v>Agência Brasil</v>
      </c>
      <c r="O111" s="17" t="s">
        <v>28</v>
      </c>
      <c r="P111" s="17" t="s">
        <v>251</v>
      </c>
      <c r="Q111" s="26">
        <v>45963.0</v>
      </c>
      <c r="R111" s="17" t="s">
        <v>30</v>
      </c>
      <c r="S111" s="27" t="str">
        <f t="shared" si="3"/>
        <v>Aqui</v>
      </c>
      <c r="T111" s="29" t="s">
        <v>331</v>
      </c>
      <c r="U111" s="29"/>
    </row>
    <row r="112">
      <c r="A112" s="16">
        <v>110.0</v>
      </c>
      <c r="B112" s="17" t="s">
        <v>156</v>
      </c>
      <c r="C112" s="18" t="str">
        <f>IFERROR(__xludf.DUMMYFUNCTION("IF(B112="""","""",IF(OR(
  REGEXMATCH(B112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REGEXMATCH(B112,""Notícia|Reportagem|Artigo de opinião|Verbete"")
),""Difusão"","""")))
"),"Rememoração")</f>
        <v>Rememoração</v>
      </c>
      <c r="D112" s="19" t="str">
        <f>IFERROR(__xludf.DUMMYFUNCTION("IF(B112="""","""",IF(OR(
  REGEXMATCH(B112,""Performance|Instalação|Álbum|Música|Poema|Livro|Filme|Documentário|Recitação|Espetáculo|Peça|Intervenção|Desfile|Fotografia|Exposição|Charge|Grafite|Leitura pública|Fabricação de cachaça artesanal""),
  REGEXMA"&amp;"TCH(B112,""dança|teatral|artístico|musical|artística"")
),""Manifestação artístico-cultural"",
IF(OR(
  REGEXMATCH(B112,""Crônica|Série|Reportagem|Podcast|Audiotour|Entrevista|Vídeo|Rádio|Notícia|Artigo de opinião|Coletiva de imprensa""),
  REGEXMATCH(B11"&amp;"2,""midiática"")
),""Produção midiática"","""")))
"),"Manifestação artístico-cultural")</f>
        <v>Manifestação artístico-cultural</v>
      </c>
      <c r="E112" s="20" t="str">
        <f>IFERROR(__xludf.DUMMYFUNCTION("IF(B112="""","""",IF(OR(
  REGEXMATCH(B112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REGEXMATCH(B112,""público|Imediato|artística|teatral|memória|Ação popular"")
),""Público Imediato"",
IF(REGEXMATCH(B112,""Música|Álbum|Filme|Documentár"&amp;"io|Série|Podcast|Rádio|Audiotour|Entrevista|Reportagem|Crônica|Relatório|Abaixo-assinado|Manifesto|Petição|Poema|Livro|Fotografia|Curta|Live|Webinário|Charge|Leitura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12" s="20" t="str">
        <f>IFERROR(__xludf.DUMMYFUNCTION("IF(B112="""","""",IF(OR(
  REGEXMATCH(B112,""Live|Webinário|Virtual|Verbete""),
  REGEXMATCH(B112,""online"")
),""Virtual"",
IF(REGEXMATCH(B112,""Música|Álbum|Filme|Documentário|Série|Podcast|Rádio|Audiotour|Episódio|Reportagem|Curta|Charge|Vídeo|Entrevis"&amp;"ta|Notícia|Artigo de opinião""),
""Midiático"",
IF(REGEXMATCH(B112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"),"Presencial/Físico")</f>
        <v>Presencial/Físico</v>
      </c>
      <c r="G112" s="21">
        <v>45961.0</v>
      </c>
      <c r="H112" s="22">
        <f t="shared" si="1"/>
        <v>2025</v>
      </c>
      <c r="I112" s="18" t="str">
        <f>IFERROR(__xludf.DUMMYFUNCTION("IF(REGEXMATCH(T112,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IF(REGEXMATCH(T112, ""(?i)\bBrasília\b""), ""Distrito Federal, Brasil"",
REGEXEXTRACT(T112,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12" s="30" t="s">
        <v>32</v>
      </c>
      <c r="K112" s="24" t="s">
        <v>332</v>
      </c>
      <c r="L112" s="24" t="s">
        <v>26</v>
      </c>
      <c r="M112" s="25" t="s">
        <v>27</v>
      </c>
      <c r="N112" s="18" t="s">
        <v>32</v>
      </c>
      <c r="O112" s="17" t="s">
        <v>28</v>
      </c>
      <c r="P112" s="17" t="s">
        <v>251</v>
      </c>
      <c r="Q112" s="26">
        <v>45963.0</v>
      </c>
      <c r="R112" s="17" t="s">
        <v>30</v>
      </c>
      <c r="S112" s="27" t="str">
        <f t="shared" si="3"/>
        <v>Aqui</v>
      </c>
      <c r="T112" s="29" t="s">
        <v>333</v>
      </c>
      <c r="U112" s="29"/>
    </row>
    <row r="113">
      <c r="A113" s="16">
        <v>111.0</v>
      </c>
      <c r="B113" s="17" t="s">
        <v>23</v>
      </c>
      <c r="C113" s="18" t="str">
        <f>IFERROR(__xludf.DUMMYFUNCTION("IF(B113="""","""",IF(OR(
  REGEXMATCH(B113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REGEXMATCH(B113,""Notícia|Reportagem|Artigo de opinião|Verbete"")
),""Difusão"","""")))
"),"Difusão")</f>
        <v>Difusão</v>
      </c>
      <c r="D113" s="19" t="str">
        <f>IFERROR(__xludf.DUMMYFUNCTION("IF(B113="""","""",IF(OR(
  REGEXMATCH(B113,""Performance|Instalação|Álbum|Música|Poema|Livro|Filme|Documentário|Recitação|Espetáculo|Peça|Intervenção|Desfile|Fotografia|Exposição|Charge|Grafite|Leitura pública|Fabricação de cachaça artesanal""),
  REGEXMA"&amp;"TCH(B113,""dança|teatral|artístico|musical|artística"")
),""Manifestação artístico-cultural"",
IF(OR(
  REGEXMATCH(B113,""Crônica|Série|Reportagem|Podcast|Audiotour|Entrevista|Vídeo|Rádio|Notícia|Artigo de opinião|Coletiva de imprensa""),
  REGEXMATCH(B11"&amp;"3,""midiática"")
),""Produção midiática"","""")))
"),"Produção midiática")</f>
        <v>Produção midiática</v>
      </c>
      <c r="E113" s="20" t="str">
        <f>IFERROR(__xludf.DUMMYFUNCTION("IF(B113="""","""",IF(OR(
  REGEXMATCH(B113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REGEXMATCH(B113,""público|Imediato|artística|teatral|memória|Ação popular"")
),""Público Imediato"",
IF(REGEXMATCH(B113,""Música|Álbum|Filme|Documentár"&amp;"io|Série|Podcast|Rádio|Audiotour|Entrevista|Reportagem|Crônica|Relatório|Abaixo-assinado|Manifesto|Petição|Poema|Livro|Fotografia|Curta|Live|Webinário|Charge|Leitura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13" s="20" t="str">
        <f>IFERROR(__xludf.DUMMYFUNCTION("IF(B113="""","""",IF(OR(
  REGEXMATCH(B113,""Live|Webinário|Virtual|Verbete""),
  REGEXMATCH(B113,""online"")
),""Virtual"",
IF(REGEXMATCH(B113,""Música|Álbum|Filme|Documentário|Série|Podcast|Rádio|Audiotour|Episódio|Reportagem|Curta|Charge|Vídeo|Entrevis"&amp;"ta|Notícia|Artigo de opinião""),
""Midiático"",
IF(REGEXMATCH(B113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13" s="21" t="str">
        <f>IFERROR(__xludf.DUMMYFUNCTION("IF(C113=""rememoração"", ""Insira a data manualmente"", IF(C113=""difusão"", 
 IF(NOT(ISERROR(REGEXEXTRACT(T113, ""(\d{1,2}) jan\. 2025""))), 
  TEXT(DATE(2025,1,REGEXEXTRACT(T113, ""(\d{1,2}) jan\. 2025"")), ""dd/mm/yyyy""),
 IF(NOT(ISERROR(REGEXEXTRACT("&amp;"T113, ""(\d{1,2}) fev\. 2025""))), 
  TEXT(DATE(2025,2,REGEXEXTRACT(T113, ""(\d{1,2}) fev\. 2025"")), ""dd/mm/yyyy""),
 IF(NOT(ISERROR(REGEXEXTRACT(T113, ""(\d{1,2}) mar\. 2025""))), 
  TEXT(DATE(2025,3,REGEXEXTRACT(T113, ""(\d{1,2}) mar\. 2025"")), ""dd/"&amp;"mm/yyyy""),
 IF(NOT(ISERROR(REGEXEXTRACT(T113, ""(\d{1,2}) abr\. 2025""))), 
  TEXT(DATE(2025,4,REGEXEXTRACT(T113, ""(\d{1,2}) abr\. 2025"")), ""dd/mm/yyyy""),
 IF(NOT(ISERROR(REGEXEXTRACT(T113, ""(\d{1,2}) (mai|maio)\. 2025""))), 
  TEXT(DATE(2025,5,REGE"&amp;"XEXTRACT(T113, ""(\d{1,2}) (mai|maio)\. 2025"")), ""dd/mm/yyyy""),
 IF(NOT(ISERROR(REGEXEXTRACT(T113, ""(\d{1,2}) jun\. 2025""))), 
  TEXT(DATE(2025,6,REGEXEXTRACT(T113, ""(\d{1,2}) jun\. 2025"")), ""dd/mm/yyyy""),
 IF(NOT(ISERROR(REGEXEXTRACT(T113, ""(\d"&amp;"{1,2}) jul\. 2025""))), 
  TEXT(DATE(2025,7,REGEXEXTRACT(T113, ""(\d{1,2}) jul\. 2025"")), ""dd/mm/yyyy""),
 IF(NOT(ISERROR(REGEXEXTRACT(T113, ""(\d{1,2}) ago\. 2025""))), 
  TEXT(DATE(2025,8,REGEXEXTRACT(T113, ""(\d{1,2}) ago\. 2025"")), ""dd/mm/yyyy""),"&amp;"
 IF(NOT(ISERROR(REGEXEXTRACT(T113, ""(\d{1,2}) set\. 2025""))), 
  TEXT(DATE(2025,9,REGEXEXTRACT(T113, ""(\d{1,2}) set\. 2025"")), ""dd/mm/yyyy""),
 IF(NOT(ISERROR(REGEXEXTRACT(T113, ""(\d{1,2}) out\. 2025""))), 
  TEXT(DATE(2025,10,REGEXEXTRACT(T113, """&amp;"(\d{1,2}) out\. 2025"")), ""dd/mm/yyyy""),
 IF(NOT(ISERROR(REGEXEXTRACT(T113, ""(\d{1,2}) nov\. 2025""))), 
  TEXT(DATE(2025,11,REGEXEXTRACT(T113, ""(\d{1,2}) nov\. 2025"")), ""dd/mm/yyyy""),
 IF(NOT(ISERROR(REGEXEXTRACT(T113, ""(\d{1,2}) dez\. 2025""))),"&amp;" 
  TEXT(DATE(2025,12,REGEXEXTRACT(T113, ""(\d{1,2}) dez\. 2025"")), ""dd/mm/yyyy""),
 ""Insira a data manualmente"")))))))))))), """"))"),"29/10/2025")</f>
        <v>29/10/2025</v>
      </c>
      <c r="H113" s="22">
        <f t="shared" si="1"/>
        <v>2025</v>
      </c>
      <c r="I113" s="18" t="str">
        <f>IFERROR(__xludf.DUMMYFUNCTION("IF(REGEXMATCH(T113,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IF(REGEXMATCH(T113, ""(?i)\bBrasília\b""), ""Distrito Federal, Brasil"",
REGEXEXTRACT(T113,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113" s="30" t="s">
        <v>48</v>
      </c>
      <c r="K113" s="24" t="s">
        <v>334</v>
      </c>
      <c r="L113" s="24" t="s">
        <v>26</v>
      </c>
      <c r="M113" s="25" t="s">
        <v>27</v>
      </c>
      <c r="N113" s="18" t="str">
        <f t="shared" ref="N113:N116" si="7">IF(C113="difusão", J113, IF(C113="rememoração", "Inserir fonte manualmente", ""))</f>
        <v>Folha de S. Paulo</v>
      </c>
      <c r="O113" s="17" t="s">
        <v>28</v>
      </c>
      <c r="P113" s="17" t="s">
        <v>251</v>
      </c>
      <c r="Q113" s="26">
        <v>45963.0</v>
      </c>
      <c r="R113" s="17" t="s">
        <v>37</v>
      </c>
      <c r="S113" s="27" t="str">
        <f t="shared" si="3"/>
        <v>Aqui</v>
      </c>
      <c r="T113" s="29" t="s">
        <v>335</v>
      </c>
      <c r="U113" s="29"/>
    </row>
    <row r="114">
      <c r="A114" s="16">
        <v>112.0</v>
      </c>
      <c r="B114" s="17" t="s">
        <v>23</v>
      </c>
      <c r="C114" s="18" t="str">
        <f>IFERROR(__xludf.DUMMYFUNCTION("IF(B114="""","""",IF(OR(
  REGEXMATCH(B114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REGEXMATCH(B114,""Notícia|Reportagem|Artigo de opinião|Verbete"")
),""Difusão"","""")))
"),"Difusão")</f>
        <v>Difusão</v>
      </c>
      <c r="D114" s="19" t="str">
        <f>IFERROR(__xludf.DUMMYFUNCTION("IF(B114="""","""",IF(OR(
  REGEXMATCH(B114,""Performance|Instalação|Álbum|Música|Poema|Livro|Filme|Documentário|Recitação|Espetáculo|Peça|Intervenção|Desfile|Fotografia|Exposição|Charge|Grafite|Leitura pública|Fabricação de cachaça artesanal""),
  REGEXMA"&amp;"TCH(B114,""dança|teatral|artístico|musical|artística"")
),""Manifestação artístico-cultural"",
IF(OR(
  REGEXMATCH(B114,""Crônica|Série|Reportagem|Podcast|Audiotour|Entrevista|Vídeo|Rádio|Notícia|Artigo de opinião|Coletiva de imprensa""),
  REGEXMATCH(B11"&amp;"4,""midiática"")
),""Produção midiática"","""")))
"),"Produção midiática")</f>
        <v>Produção midiática</v>
      </c>
      <c r="E114" s="20" t="str">
        <f>IFERROR(__xludf.DUMMYFUNCTION("IF(B114="""","""",IF(OR(
  REGEXMATCH(B114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REGEXMATCH(B114,""público|Imediato|artística|teatral|memória|Ação popular"")
),""Público Imediato"",
IF(REGEXMATCH(B114,""Música|Álbum|Filme|Documentár"&amp;"io|Série|Podcast|Rádio|Audiotour|Entrevista|Reportagem|Crônica|Relatório|Abaixo-assinado|Manifesto|Petição|Poema|Livro|Fotografia|Curta|Live|Webinário|Charge|Leitura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14" s="20" t="str">
        <f>IFERROR(__xludf.DUMMYFUNCTION("IF(B114="""","""",IF(OR(
  REGEXMATCH(B114,""Live|Webinário|Virtual|Verbete""),
  REGEXMATCH(B114,""online"")
),""Virtual"",
IF(REGEXMATCH(B114,""Música|Álbum|Filme|Documentário|Série|Podcast|Rádio|Audiotour|Episódio|Reportagem|Curta|Charge|Vídeo|Entrevis"&amp;"ta|Notícia|Artigo de opinião""),
""Midiático"",
IF(REGEXMATCH(B114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14" s="21" t="str">
        <f>IFERROR(__xludf.DUMMYFUNCTION("IF(C114=""rememoração"", ""Insira a data manualmente"", IF(C114=""difusão"", 
 IF(NOT(ISERROR(REGEXEXTRACT(T114, ""(\d{1,2}) jan\. 2025""))), 
  TEXT(DATE(2025,1,REGEXEXTRACT(T114, ""(\d{1,2}) jan\. 2025"")), ""dd/mm/yyyy""),
 IF(NOT(ISERROR(REGEXEXTRACT("&amp;"T114, ""(\d{1,2}) fev\. 2025""))), 
  TEXT(DATE(2025,2,REGEXEXTRACT(T114, ""(\d{1,2}) fev\. 2025"")), ""dd/mm/yyyy""),
 IF(NOT(ISERROR(REGEXEXTRACT(T114, ""(\d{1,2}) mar\. 2025""))), 
  TEXT(DATE(2025,3,REGEXEXTRACT(T114, ""(\d{1,2}) mar\. 2025"")), ""dd/"&amp;"mm/yyyy""),
 IF(NOT(ISERROR(REGEXEXTRACT(T114, ""(\d{1,2}) abr\. 2025""))), 
  TEXT(DATE(2025,4,REGEXEXTRACT(T114, ""(\d{1,2}) abr\. 2025"")), ""dd/mm/yyyy""),
 IF(NOT(ISERROR(REGEXEXTRACT(T114, ""(\d{1,2}) (mai|maio)\. 2025""))), 
  TEXT(DATE(2025,5,REGE"&amp;"XEXTRACT(T114, ""(\d{1,2}) (mai|maio)\. 2025"")), ""dd/mm/yyyy""),
 IF(NOT(ISERROR(REGEXEXTRACT(T114, ""(\d{1,2}) jun\. 2025""))), 
  TEXT(DATE(2025,6,REGEXEXTRACT(T114, ""(\d{1,2}) jun\. 2025"")), ""dd/mm/yyyy""),
 IF(NOT(ISERROR(REGEXEXTRACT(T114, ""(\d"&amp;"{1,2}) jul\. 2025""))), 
  TEXT(DATE(2025,7,REGEXEXTRACT(T114, ""(\d{1,2}) jul\. 2025"")), ""dd/mm/yyyy""),
 IF(NOT(ISERROR(REGEXEXTRACT(T114, ""(\d{1,2}) ago\. 2025""))), 
  TEXT(DATE(2025,8,REGEXEXTRACT(T114, ""(\d{1,2}) ago\. 2025"")), ""dd/mm/yyyy""),"&amp;"
 IF(NOT(ISERROR(REGEXEXTRACT(T114, ""(\d{1,2}) set\. 2025""))), 
  TEXT(DATE(2025,9,REGEXEXTRACT(T114, ""(\d{1,2}) set\. 2025"")), ""dd/mm/yyyy""),
 IF(NOT(ISERROR(REGEXEXTRACT(T114, ""(\d{1,2}) out\. 2025""))), 
  TEXT(DATE(2025,10,REGEXEXTRACT(T114, """&amp;"(\d{1,2}) out\. 2025"")), ""dd/mm/yyyy""),
 IF(NOT(ISERROR(REGEXEXTRACT(T114, ""(\d{1,2}) nov\. 2025""))), 
  TEXT(DATE(2025,11,REGEXEXTRACT(T114, ""(\d{1,2}) nov\. 2025"")), ""dd/mm/yyyy""),
 IF(NOT(ISERROR(REGEXEXTRACT(T114, ""(\d{1,2}) dez\. 2025""))),"&amp;" 
  TEXT(DATE(2025,12,REGEXEXTRACT(T114, ""(\d{1,2}) dez\. 2025"")), ""dd/mm/yyyy""),
 ""Insira a data manualmente"")))))))))))), """"))"),"28/10/2025")</f>
        <v>28/10/2025</v>
      </c>
      <c r="H114" s="22">
        <f t="shared" si="1"/>
        <v>2025</v>
      </c>
      <c r="I114" s="18" t="str">
        <f>IFERROR(__xludf.DUMMYFUNCTION("IF(REGEXMATCH(T114,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IF(REGEXMATCH(T114, ""(?i)\bBrasília\b""), ""Distrito Federal, Brasil"",
REGEXEXTRACT(T114,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14" s="30" t="s">
        <v>336</v>
      </c>
      <c r="K114" s="24" t="s">
        <v>337</v>
      </c>
      <c r="L114" s="24" t="s">
        <v>26</v>
      </c>
      <c r="M114" s="25" t="s">
        <v>27</v>
      </c>
      <c r="N114" s="18" t="str">
        <f t="shared" si="7"/>
        <v>G1</v>
      </c>
      <c r="O114" s="17" t="s">
        <v>28</v>
      </c>
      <c r="P114" s="17" t="s">
        <v>251</v>
      </c>
      <c r="Q114" s="26">
        <v>45964.0</v>
      </c>
      <c r="R114" s="17" t="s">
        <v>30</v>
      </c>
      <c r="S114" s="27" t="str">
        <f t="shared" si="3"/>
        <v>Aqui</v>
      </c>
      <c r="T114" s="29" t="s">
        <v>338</v>
      </c>
      <c r="U114" s="29"/>
    </row>
    <row r="115">
      <c r="A115" s="16">
        <v>113.0</v>
      </c>
      <c r="B115" s="17" t="s">
        <v>23</v>
      </c>
      <c r="C115" s="18" t="str">
        <f>IFERROR(__xludf.DUMMYFUNCTION("IF(B115="""","""",IF(OR(
  REGEXMATCH(B115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REGEXMATCH(B115,""Notícia|Reportagem|Artigo de opinião|Verbete"")
),""Difusão"","""")))
"),"Difusão")</f>
        <v>Difusão</v>
      </c>
      <c r="D115" s="19" t="str">
        <f>IFERROR(__xludf.DUMMYFUNCTION("IF(B115="""","""",IF(OR(
  REGEXMATCH(B115,""Performance|Instalação|Álbum|Música|Poema|Livro|Filme|Documentário|Recitação|Espetáculo|Peça|Intervenção|Desfile|Fotografia|Exposição|Charge|Grafite|Leitura pública|Fabricação de cachaça artesanal""),
  REGEXMA"&amp;"TCH(B115,""dança|teatral|artístico|musical|artística"")
),""Manifestação artístico-cultural"",
IF(OR(
  REGEXMATCH(B115,""Crônica|Série|Reportagem|Podcast|Audiotour|Entrevista|Vídeo|Rádio|Notícia|Artigo de opinião|Coletiva de imprensa""),
  REGEXMATCH(B11"&amp;"5,""midiática"")
),""Produção midiática"","""")))
"),"Produção midiática")</f>
        <v>Produção midiática</v>
      </c>
      <c r="E115" s="20" t="str">
        <f>IFERROR(__xludf.DUMMYFUNCTION("IF(B115="""","""",IF(OR(
  REGEXMATCH(B115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REGEXMATCH(B115,""público|Imediato|artística|teatral|memória|Ação popular"")
),""Público Imediato"",
IF(REGEXMATCH(B115,""Música|Álbum|Filme|Documentár"&amp;"io|Série|Podcast|Rádio|Audiotour|Entrevista|Reportagem|Crônica|Relatório|Abaixo-assinado|Manifesto|Petição|Poema|Livro|Fotografia|Curta|Live|Webinário|Charge|Leitura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15" s="20" t="str">
        <f>IFERROR(__xludf.DUMMYFUNCTION("IF(B115="""","""",IF(OR(
  REGEXMATCH(B115,""Live|Webinário|Virtual|Verbete""),
  REGEXMATCH(B115,""online"")
),""Virtual"",
IF(REGEXMATCH(B115,""Música|Álbum|Filme|Documentário|Série|Podcast|Rádio|Audiotour|Episódio|Reportagem|Curta|Charge|Vídeo|Entrevis"&amp;"ta|Notícia|Artigo de opinião""),
""Midiático"",
IF(REGEXMATCH(B115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15" s="21" t="str">
        <f>IFERROR(__xludf.DUMMYFUNCTION("IF(C115=""rememoração"", ""Insira a data manualmente"", IF(C115=""difusão"", 
 IF(NOT(ISERROR(REGEXEXTRACT(T115, ""(\d{1,2}) jan\. 2025""))), 
  TEXT(DATE(2025,1,REGEXEXTRACT(T115, ""(\d{1,2}) jan\. 2025"")), ""dd/mm/yyyy""),
 IF(NOT(ISERROR(REGEXEXTRACT("&amp;"T115, ""(\d{1,2}) fev\. 2025""))), 
  TEXT(DATE(2025,2,REGEXEXTRACT(T115, ""(\d{1,2}) fev\. 2025"")), ""dd/mm/yyyy""),
 IF(NOT(ISERROR(REGEXEXTRACT(T115, ""(\d{1,2}) mar\. 2025""))), 
  TEXT(DATE(2025,3,REGEXEXTRACT(T115, ""(\d{1,2}) mar\. 2025"")), ""dd/"&amp;"mm/yyyy""),
 IF(NOT(ISERROR(REGEXEXTRACT(T115, ""(\d{1,2}) abr\. 2025""))), 
  TEXT(DATE(2025,4,REGEXEXTRACT(T115, ""(\d{1,2}) abr\. 2025"")), ""dd/mm/yyyy""),
 IF(NOT(ISERROR(REGEXEXTRACT(T115, ""(\d{1,2}) (mai|maio)\. 2025""))), 
  TEXT(DATE(2025,5,REGE"&amp;"XEXTRACT(T115, ""(\d{1,2}) (mai|maio)\. 2025"")), ""dd/mm/yyyy""),
 IF(NOT(ISERROR(REGEXEXTRACT(T115, ""(\d{1,2}) jun\. 2025""))), 
  TEXT(DATE(2025,6,REGEXEXTRACT(T115, ""(\d{1,2}) jun\. 2025"")), ""dd/mm/yyyy""),
 IF(NOT(ISERROR(REGEXEXTRACT(T115, ""(\d"&amp;"{1,2}) jul\. 2025""))), 
  TEXT(DATE(2025,7,REGEXEXTRACT(T115, ""(\d{1,2}) jul\. 2025"")), ""dd/mm/yyyy""),
 IF(NOT(ISERROR(REGEXEXTRACT(T115, ""(\d{1,2}) ago\. 2025""))), 
  TEXT(DATE(2025,8,REGEXEXTRACT(T115, ""(\d{1,2}) ago\. 2025"")), ""dd/mm/yyyy""),"&amp;"
 IF(NOT(ISERROR(REGEXEXTRACT(T115, ""(\d{1,2}) set\. 2025""))), 
  TEXT(DATE(2025,9,REGEXEXTRACT(T115, ""(\d{1,2}) set\. 2025"")), ""dd/mm/yyyy""),
 IF(NOT(ISERROR(REGEXEXTRACT(T115, ""(\d{1,2}) out\. 2025""))), 
  TEXT(DATE(2025,10,REGEXEXTRACT(T115, """&amp;"(\d{1,2}) out\. 2025"")), ""dd/mm/yyyy""),
 IF(NOT(ISERROR(REGEXEXTRACT(T115, ""(\d{1,2}) nov\. 2025""))), 
  TEXT(DATE(2025,11,REGEXEXTRACT(T115, ""(\d{1,2}) nov\. 2025"")), ""dd/mm/yyyy""),
 IF(NOT(ISERROR(REGEXEXTRACT(T115, ""(\d{1,2}) dez\. 2025""))),"&amp;" 
  TEXT(DATE(2025,12,REGEXEXTRACT(T115, ""(\d{1,2}) dez\. 2025"")), ""dd/mm/yyyy""),
 ""Insira a data manualmente"")))))))))))), """"))"),"29/10/2025")</f>
        <v>29/10/2025</v>
      </c>
      <c r="H115" s="22">
        <f t="shared" si="1"/>
        <v>2025</v>
      </c>
      <c r="I115" s="18" t="str">
        <f>IFERROR(__xludf.DUMMYFUNCTION("IF(REGEXMATCH(T115,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IF(REGEXMATCH(T115, ""(?i)\bBrasília\b""), ""Distrito Federal, Brasil"",
REGEXEXTRACT(T115,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15" s="30" t="s">
        <v>273</v>
      </c>
      <c r="K115" s="24" t="s">
        <v>339</v>
      </c>
      <c r="L115" s="24" t="s">
        <v>26</v>
      </c>
      <c r="M115" s="25" t="s">
        <v>27</v>
      </c>
      <c r="N115" s="18" t="str">
        <f t="shared" si="7"/>
        <v>CNN Brasil</v>
      </c>
      <c r="O115" s="17" t="s">
        <v>28</v>
      </c>
      <c r="P115" s="17" t="s">
        <v>251</v>
      </c>
      <c r="Q115" s="26">
        <v>45964.0</v>
      </c>
      <c r="R115" s="17" t="s">
        <v>30</v>
      </c>
      <c r="S115" s="27" t="str">
        <f t="shared" si="3"/>
        <v>Aqui</v>
      </c>
      <c r="T115" s="29" t="s">
        <v>340</v>
      </c>
      <c r="U115" s="29"/>
    </row>
    <row r="116">
      <c r="A116" s="16">
        <v>114.0</v>
      </c>
      <c r="B116" s="17" t="s">
        <v>23</v>
      </c>
      <c r="C116" s="18" t="str">
        <f>IFERROR(__xludf.DUMMYFUNCTION("IF(B116="""","""",IF(OR(
  REGEXMATCH(B116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REGEXMATCH(B116,""Notícia|Reportagem|Artigo de opinião|Verbete"")
),""Difusão"","""")))
"),"Difusão")</f>
        <v>Difusão</v>
      </c>
      <c r="D116" s="19" t="str">
        <f>IFERROR(__xludf.DUMMYFUNCTION("IF(B116="""","""",IF(OR(
  REGEXMATCH(B116,""Performance|Instalação|Álbum|Música|Poema|Livro|Filme|Documentário|Recitação|Espetáculo|Peça|Intervenção|Desfile|Fotografia|Exposição|Charge|Grafite|Leitura pública|Fabricação de cachaça artesanal""),
  REGEXMA"&amp;"TCH(B116,""dança|teatral|artístico|musical|artística"")
),""Manifestação artístico-cultural"",
IF(OR(
  REGEXMATCH(B116,""Crônica|Série|Reportagem|Podcast|Audiotour|Entrevista|Vídeo|Rádio|Notícia|Artigo de opinião|Coletiva de imprensa""),
  REGEXMATCH(B11"&amp;"6,""midiática"")
),""Produção midiática"","""")))
"),"Produção midiática")</f>
        <v>Produção midiática</v>
      </c>
      <c r="E116" s="20" t="str">
        <f>IFERROR(__xludf.DUMMYFUNCTION("IF(B116="""","""",IF(OR(
  REGEXMATCH(B116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REGEXMATCH(B116,""público|Imediato|artística|teatral|memória|Ação popular"")
),""Público Imediato"",
IF(REGEXMATCH(B116,""Música|Álbum|Filme|Documentár"&amp;"io|Série|Podcast|Rádio|Audiotour|Entrevista|Reportagem|Crônica|Relatório|Abaixo-assinado|Manifesto|Petição|Poema|Livro|Fotografia|Curta|Live|Webinário|Charge|Leitura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16" s="20" t="str">
        <f>IFERROR(__xludf.DUMMYFUNCTION("IF(B116="""","""",IF(OR(
  REGEXMATCH(B116,""Live|Webinário|Virtual|Verbete""),
  REGEXMATCH(B116,""online"")
),""Virtual"",
IF(REGEXMATCH(B116,""Música|Álbum|Filme|Documentário|Série|Podcast|Rádio|Audiotour|Episódio|Reportagem|Curta|Charge|Vídeo|Entrevis"&amp;"ta|Notícia|Artigo de opinião""),
""Midiático"",
IF(REGEXMATCH(B116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16" s="21" t="str">
        <f>IFERROR(__xludf.DUMMYFUNCTION("IF(C116=""rememoração"", ""Insira a data manualmente"", IF(C116=""difusão"", 
 IF(NOT(ISERROR(REGEXEXTRACT(T116, ""(\d{1,2}) jan\. 2025""))), 
  TEXT(DATE(2025,1,REGEXEXTRACT(T116, ""(\d{1,2}) jan\. 2025"")), ""dd/mm/yyyy""),
 IF(NOT(ISERROR(REGEXEXTRACT("&amp;"T116, ""(\d{1,2}) fev\. 2025""))), 
  TEXT(DATE(2025,2,REGEXEXTRACT(T116, ""(\d{1,2}) fev\. 2025"")), ""dd/mm/yyyy""),
 IF(NOT(ISERROR(REGEXEXTRACT(T116, ""(\d{1,2}) mar\. 2025""))), 
  TEXT(DATE(2025,3,REGEXEXTRACT(T116, ""(\d{1,2}) mar\. 2025"")), ""dd/"&amp;"mm/yyyy""),
 IF(NOT(ISERROR(REGEXEXTRACT(T116, ""(\d{1,2}) abr\. 2025""))), 
  TEXT(DATE(2025,4,REGEXEXTRACT(T116, ""(\d{1,2}) abr\. 2025"")), ""dd/mm/yyyy""),
 IF(NOT(ISERROR(REGEXEXTRACT(T116, ""(\d{1,2}) (mai|maio)\. 2025""))), 
  TEXT(DATE(2025,5,REGE"&amp;"XEXTRACT(T116, ""(\d{1,2}) (mai|maio)\. 2025"")), ""dd/mm/yyyy""),
 IF(NOT(ISERROR(REGEXEXTRACT(T116, ""(\d{1,2}) jun\. 2025""))), 
  TEXT(DATE(2025,6,REGEXEXTRACT(T116, ""(\d{1,2}) jun\. 2025"")), ""dd/mm/yyyy""),
 IF(NOT(ISERROR(REGEXEXTRACT(T116, ""(\d"&amp;"{1,2}) jul\. 2025""))), 
  TEXT(DATE(2025,7,REGEXEXTRACT(T116, ""(\d{1,2}) jul\. 2025"")), ""dd/mm/yyyy""),
 IF(NOT(ISERROR(REGEXEXTRACT(T116, ""(\d{1,2}) ago\. 2025""))), 
  TEXT(DATE(2025,8,REGEXEXTRACT(T116, ""(\d{1,2}) ago\. 2025"")), ""dd/mm/yyyy""),"&amp;"
 IF(NOT(ISERROR(REGEXEXTRACT(T116, ""(\d{1,2}) set\. 2025""))), 
  TEXT(DATE(2025,9,REGEXEXTRACT(T116, ""(\d{1,2}) set\. 2025"")), ""dd/mm/yyyy""),
 IF(NOT(ISERROR(REGEXEXTRACT(T116, ""(\d{1,2}) out\. 2025""))), 
  TEXT(DATE(2025,10,REGEXEXTRACT(T116, """&amp;"(\d{1,2}) out\. 2025"")), ""dd/mm/yyyy""),
 IF(NOT(ISERROR(REGEXEXTRACT(T116, ""(\d{1,2}) nov\. 2025""))), 
  TEXT(DATE(2025,11,REGEXEXTRACT(T116, ""(\d{1,2}) nov\. 2025"")), ""dd/mm/yyyy""),
 IF(NOT(ISERROR(REGEXEXTRACT(T116, ""(\d{1,2}) dez\. 2025""))),"&amp;" 
  TEXT(DATE(2025,12,REGEXEXTRACT(T116, ""(\d{1,2}) dez\. 2025"")), ""dd/mm/yyyy""),
 ""Insira a data manualmente"")))))))))))), """"))"),"29/10/2025")</f>
        <v>29/10/2025</v>
      </c>
      <c r="H116" s="22">
        <f t="shared" si="1"/>
        <v>2025</v>
      </c>
      <c r="I116" s="18" t="str">
        <f>IFERROR(__xludf.DUMMYFUNCTION("IF(REGEXMATCH(T116,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IF(REGEXMATCH(T116, ""(?i)\bBrasília\b""), ""Distrito Federal, Brasil"",
REGEXEXTRACT(T116,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116" s="30" t="s">
        <v>341</v>
      </c>
      <c r="K116" s="24" t="s">
        <v>342</v>
      </c>
      <c r="L116" s="24" t="s">
        <v>26</v>
      </c>
      <c r="M116" s="25" t="s">
        <v>27</v>
      </c>
      <c r="N116" s="18" t="str">
        <f t="shared" si="7"/>
        <v>Exame</v>
      </c>
      <c r="O116" s="17" t="s">
        <v>28</v>
      </c>
      <c r="P116" s="17" t="s">
        <v>251</v>
      </c>
      <c r="Q116" s="26">
        <v>45964.0</v>
      </c>
      <c r="R116" s="17" t="s">
        <v>30</v>
      </c>
      <c r="S116" s="27" t="str">
        <f t="shared" si="3"/>
        <v>Aqui</v>
      </c>
      <c r="T116" s="29" t="s">
        <v>343</v>
      </c>
      <c r="U116" s="29"/>
    </row>
    <row r="117">
      <c r="A117" s="16">
        <v>115.0</v>
      </c>
      <c r="B117" s="17" t="s">
        <v>344</v>
      </c>
      <c r="C117" s="18" t="str">
        <f>IFERROR(__xludf.DUMMYFUNCTION("IF(B117="""","""",IF(OR(
  REGEXMATCH(B117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REGEXMATCH(B117,""Notícia|Reportagem|Artigo de opinião|Verbete"")
),""Difusão"","""")))
"),"Rememoração")</f>
        <v>Rememoração</v>
      </c>
      <c r="D117" s="19" t="str">
        <f>IFERROR(__xludf.DUMMYFUNCTION("IF(B117="""","""",IF(OR(
  REGEXMATCH(B117,""Performance|Instalação|Álbum|Música|Poema|Livro|Filme|Documentário|Recitação|Espetáculo|Peça|Intervenção|Desfile|Fotografia|Exposição|Charge|Grafite|Leitura pública|Fabricação de cachaça artesanal""),
  REGEXMA"&amp;"TCH(B117,""dança|teatral|artístico|musical|artística"")
),""Manifestação artístico-cultural"",
IF(OR(
  REGEXMATCH(B117,""Crônica|Série|Reportagem|Podcast|Audiotour|Entrevista|Vídeo|Rádio|Notícia|Artigo de opinião|Coletiva de imprensa""),
  REGEXMATCH(B11"&amp;"7,""midiática"")
),""Produção midiática"","""")))
"),"")</f>
        <v/>
      </c>
      <c r="E117" s="20" t="str">
        <f>IFERROR(__xludf.DUMMYFUNCTION("IF(B117="""","""",IF(OR(
  REGEXMATCH(B117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REGEXMATCH(B117,""público|Imediato|artística|teatral|memória|Ação popular"")
),""Público Imediato"",
IF(REGEXMATCH(B117,""Música|Álbum|Filme|Documentár"&amp;"io|Série|Podcast|Rádio|Audiotour|Entrevista|Reportagem|Crônica|Relatório|Abaixo-assinado|Manifesto|Petição|Poema|Livro|Fotografia|Curta|Live|Webinário|Charge|Leitura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17" s="20" t="str">
        <f>IFERROR(__xludf.DUMMYFUNCTION("IF(B117="""","""",IF(OR(
  REGEXMATCH(B117,""Live|Webinário|Virtual|Verbete""),
  REGEXMATCH(B117,""online"")
),""Virtual"",
IF(REGEXMATCH(B117,""Música|Álbum|Filme|Documentário|Série|Podcast|Rádio|Audiotour|Episódio|Reportagem|Curta|Charge|Vídeo|Entrevis"&amp;"ta|Notícia|Artigo de opinião""),
""Midiático"",
IF(REGEXMATCH(B117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117" s="21">
        <v>45960.0</v>
      </c>
      <c r="H117" s="22">
        <f t="shared" si="1"/>
        <v>2025</v>
      </c>
      <c r="I117" s="18" t="str">
        <f>IFERROR(__xludf.DUMMYFUNCTION("IF(REGEXMATCH(T117,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IF(REGEXMATCH(T117, ""(?i)\bBrasília\b""), ""Distrito Federal, Brasil"",
REGEXEXTRACT(T117,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117" s="30" t="s">
        <v>345</v>
      </c>
      <c r="K117" s="24" t="s">
        <v>346</v>
      </c>
      <c r="L117" s="24" t="s">
        <v>26</v>
      </c>
      <c r="M117" s="25" t="s">
        <v>27</v>
      </c>
      <c r="N117" s="18" t="s">
        <v>347</v>
      </c>
      <c r="O117" s="17" t="s">
        <v>28</v>
      </c>
      <c r="P117" s="17" t="s">
        <v>251</v>
      </c>
      <c r="Q117" s="26">
        <v>45964.0</v>
      </c>
      <c r="R117" s="17" t="s">
        <v>30</v>
      </c>
      <c r="S117" s="27" t="str">
        <f t="shared" si="3"/>
        <v>Aqui</v>
      </c>
      <c r="T117" s="29" t="s">
        <v>348</v>
      </c>
      <c r="U117" s="29"/>
    </row>
    <row r="118">
      <c r="A118" s="16">
        <v>116.0</v>
      </c>
      <c r="B118" s="17" t="s">
        <v>23</v>
      </c>
      <c r="C118" s="18" t="str">
        <f>IFERROR(__xludf.DUMMYFUNCTION("IF(B118="""","""",IF(OR(
  REGEXMATCH(B118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REGEXMATCH(B118,""Notícia|Reportagem|Artigo de opinião|Verbete"")
),""Difusão"","""")))
"),"Difusão")</f>
        <v>Difusão</v>
      </c>
      <c r="D118" s="19" t="str">
        <f>IFERROR(__xludf.DUMMYFUNCTION("IF(B118="""","""",IF(OR(
  REGEXMATCH(B118,""Performance|Instalação|Álbum|Música|Poema|Livro|Filme|Documentário|Recitação|Espetáculo|Peça|Intervenção|Desfile|Fotografia|Exposição|Charge|Grafite|Leitura pública|Fabricação de cachaça artesanal""),
  REGEXMA"&amp;"TCH(B118,""dança|teatral|artístico|musical|artística"")
),""Manifestação artístico-cultural"",
IF(OR(
  REGEXMATCH(B118,""Crônica|Série|Reportagem|Podcast|Audiotour|Entrevista|Vídeo|Rádio|Notícia|Artigo de opinião|Coletiva de imprensa""),
  REGEXMATCH(B11"&amp;"8,""midiática"")
),""Produção midiática"","""")))
"),"Produção midiática")</f>
        <v>Produção midiática</v>
      </c>
      <c r="E118" s="20" t="str">
        <f>IFERROR(__xludf.DUMMYFUNCTION("IF(B118="""","""",IF(OR(
  REGEXMATCH(B118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REGEXMATCH(B118,""público|Imediato|artística|teatral|memória|Ação popular"")
),""Público Imediato"",
IF(REGEXMATCH(B118,""Música|Álbum|Filme|Documentár"&amp;"io|Série|Podcast|Rádio|Audiotour|Entrevista|Reportagem|Crônica|Relatório|Abaixo-assinado|Manifesto|Petição|Poema|Livro|Fotografia|Curta|Live|Webinário|Charge|Leitura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18" s="20" t="str">
        <f>IFERROR(__xludf.DUMMYFUNCTION("IF(B118="""","""",IF(OR(
  REGEXMATCH(B118,""Live|Webinário|Virtual|Verbete""),
  REGEXMATCH(B118,""online"")
),""Virtual"",
IF(REGEXMATCH(B118,""Música|Álbum|Filme|Documentário|Série|Podcast|Rádio|Audiotour|Episódio|Reportagem|Curta|Charge|Vídeo|Entrevis"&amp;"ta|Notícia|Artigo de opinião""),
""Midiático"",
IF(REGEXMATCH(B118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18" s="21" t="str">
        <f>IFERROR(__xludf.DUMMYFUNCTION("IF(C118=""rememoração"", ""Insira a data manualmente"", IF(C118=""difusão"", 
 IF(NOT(ISERROR(REGEXEXTRACT(T118, ""(\d{1,2}) jan\. 2025""))), 
  TEXT(DATE(2025,1,REGEXEXTRACT(T118, ""(\d{1,2}) jan\. 2025"")), ""dd/mm/yyyy""),
 IF(NOT(ISERROR(REGEXEXTRACT("&amp;"T118, ""(\d{1,2}) fev\. 2025""))), 
  TEXT(DATE(2025,2,REGEXEXTRACT(T118, ""(\d{1,2}) fev\. 2025"")), ""dd/mm/yyyy""),
 IF(NOT(ISERROR(REGEXEXTRACT(T118, ""(\d{1,2}) mar\. 2025""))), 
  TEXT(DATE(2025,3,REGEXEXTRACT(T118, ""(\d{1,2}) mar\. 2025"")), ""dd/"&amp;"mm/yyyy""),
 IF(NOT(ISERROR(REGEXEXTRACT(T118, ""(\d{1,2}) abr\. 2025""))), 
  TEXT(DATE(2025,4,REGEXEXTRACT(T118, ""(\d{1,2}) abr\. 2025"")), ""dd/mm/yyyy""),
 IF(NOT(ISERROR(REGEXEXTRACT(T118, ""(\d{1,2}) (mai|maio)\. 2025""))), 
  TEXT(DATE(2025,5,REGE"&amp;"XEXTRACT(T118, ""(\d{1,2}) (mai|maio)\. 2025"")), ""dd/mm/yyyy""),
 IF(NOT(ISERROR(REGEXEXTRACT(T118, ""(\d{1,2}) jun\. 2025""))), 
  TEXT(DATE(2025,6,REGEXEXTRACT(T118, ""(\d{1,2}) jun\. 2025"")), ""dd/mm/yyyy""),
 IF(NOT(ISERROR(REGEXEXTRACT(T118, ""(\d"&amp;"{1,2}) jul\. 2025""))), 
  TEXT(DATE(2025,7,REGEXEXTRACT(T118, ""(\d{1,2}) jul\. 2025"")), ""dd/mm/yyyy""),
 IF(NOT(ISERROR(REGEXEXTRACT(T118, ""(\d{1,2}) ago\. 2025""))), 
  TEXT(DATE(2025,8,REGEXEXTRACT(T118, ""(\d{1,2}) ago\. 2025"")), ""dd/mm/yyyy""),"&amp;"
 IF(NOT(ISERROR(REGEXEXTRACT(T118, ""(\d{1,2}) set\. 2025""))), 
  TEXT(DATE(2025,9,REGEXEXTRACT(T118, ""(\d{1,2}) set\. 2025"")), ""dd/mm/yyyy""),
 IF(NOT(ISERROR(REGEXEXTRACT(T118, ""(\d{1,2}) out\. 2025""))), 
  TEXT(DATE(2025,10,REGEXEXTRACT(T118, """&amp;"(\d{1,2}) out\. 2025"")), ""dd/mm/yyyy""),
 IF(NOT(ISERROR(REGEXEXTRACT(T118, ""(\d{1,2}) nov\. 2025""))), 
  TEXT(DATE(2025,11,REGEXEXTRACT(T118, ""(\d{1,2}) nov\. 2025"")), ""dd/mm/yyyy""),
 IF(NOT(ISERROR(REGEXEXTRACT(T118, ""(\d{1,2}) dez\. 2025""))),"&amp;" 
  TEXT(DATE(2025,12,REGEXEXTRACT(T118, ""(\d{1,2}) dez\. 2025"")), ""dd/mm/yyyy""),
 ""Insira a data manualmente"")))))))))))), """"))"),"31/10/2025")</f>
        <v>31/10/2025</v>
      </c>
      <c r="H118" s="22">
        <f t="shared" si="1"/>
        <v>2025</v>
      </c>
      <c r="I118" s="18" t="str">
        <f>IFERROR(__xludf.DUMMYFUNCTION("IF(REGEXMATCH(T118,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IF(REGEXMATCH(T118, ""(?i)\bBrasília\b""), ""Distrito Federal, Brasil"",
REGEXEXTRACT(T118,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118" s="30" t="s">
        <v>32</v>
      </c>
      <c r="K118" s="24" t="s">
        <v>349</v>
      </c>
      <c r="L118" s="24" t="s">
        <v>26</v>
      </c>
      <c r="M118" s="25" t="s">
        <v>27</v>
      </c>
      <c r="N118" s="18" t="str">
        <f t="shared" ref="N118:N361" si="8">IF(C118="difusão", J118, IF(C118="rememoração", "Inserir fonte manualmente", ""))</f>
        <v>Agência Brasil</v>
      </c>
      <c r="O118" s="17" t="s">
        <v>28</v>
      </c>
      <c r="P118" s="17" t="s">
        <v>251</v>
      </c>
      <c r="Q118" s="26">
        <v>45964.0</v>
      </c>
      <c r="R118" s="17" t="s">
        <v>30</v>
      </c>
      <c r="S118" s="36" t="str">
        <f t="shared" si="3"/>
        <v>#VALUE!</v>
      </c>
      <c r="T118" s="29" t="s">
        <v>350</v>
      </c>
      <c r="U118" s="29"/>
    </row>
    <row r="119">
      <c r="A119" s="16">
        <v>117.0</v>
      </c>
      <c r="B119" s="17" t="s">
        <v>23</v>
      </c>
      <c r="C119" s="18" t="str">
        <f>IFERROR(__xludf.DUMMYFUNCTION("IF(B119="""","""",IF(OR(
  REGEXMATCH(B119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REGEXMATCH(B119,""Notícia|Reportagem|Artigo de opinião|Verbete"")
),""Difusão"","""")))
"),"Difusão")</f>
        <v>Difusão</v>
      </c>
      <c r="D119" s="19" t="str">
        <f>IFERROR(__xludf.DUMMYFUNCTION("IF(B119="""","""",IF(OR(
  REGEXMATCH(B119,""Performance|Instalação|Álbum|Música|Poema|Livro|Filme|Documentário|Recitação|Espetáculo|Peça|Intervenção|Desfile|Fotografia|Exposição|Charge|Grafite|Leitura pública|Fabricação de cachaça artesanal""),
  REGEXMA"&amp;"TCH(B119,""dança|teatral|artístico|musical|artística"")
),""Manifestação artístico-cultural"",
IF(OR(
  REGEXMATCH(B119,""Crônica|Série|Reportagem|Podcast|Audiotour|Entrevista|Vídeo|Rádio|Notícia|Artigo de opinião|Coletiva de imprensa""),
  REGEXMATCH(B11"&amp;"9,""midiática"")
),""Produção midiática"","""")))
"),"Produção midiática")</f>
        <v>Produção midiática</v>
      </c>
      <c r="E119" s="20" t="str">
        <f>IFERROR(__xludf.DUMMYFUNCTION("IF(B119="""","""",IF(OR(
  REGEXMATCH(B119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REGEXMATCH(B119,""público|Imediato|artística|teatral|memória|Ação popular"")
),""Público Imediato"",
IF(REGEXMATCH(B119,""Música|Álbum|Filme|Documentár"&amp;"io|Série|Podcast|Rádio|Audiotour|Entrevista|Reportagem|Crônica|Relatório|Abaixo-assinado|Manifesto|Petição|Poema|Livro|Fotografia|Curta|Live|Webinário|Charge|Leitura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19" s="20" t="str">
        <f>IFERROR(__xludf.DUMMYFUNCTION("IF(B119="""","""",IF(OR(
  REGEXMATCH(B119,""Live|Webinário|Virtual|Verbete""),
  REGEXMATCH(B119,""online"")
),""Virtual"",
IF(REGEXMATCH(B119,""Música|Álbum|Filme|Documentário|Série|Podcast|Rádio|Audiotour|Episódio|Reportagem|Curta|Charge|Vídeo|Entrevis"&amp;"ta|Notícia|Artigo de opinião""),
""Midiático"",
IF(REGEXMATCH(B119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19" s="21" t="str">
        <f>IFERROR(__xludf.DUMMYFUNCTION("IF(C119=""rememoração"", ""Insira a data manualmente"", IF(C119=""difusão"", 
 IF(NOT(ISERROR(REGEXEXTRACT(T119, ""(\d{1,2}) jan\. 2025""))), 
  TEXT(DATE(2025,1,REGEXEXTRACT(T119, ""(\d{1,2}) jan\. 2025"")), ""dd/mm/yyyy""),
 IF(NOT(ISERROR(REGEXEXTRACT("&amp;"T119, ""(\d{1,2}) fev\. 2025""))), 
  TEXT(DATE(2025,2,REGEXEXTRACT(T119, ""(\d{1,2}) fev\. 2025"")), ""dd/mm/yyyy""),
 IF(NOT(ISERROR(REGEXEXTRACT(T119, ""(\d{1,2}) mar\. 2025""))), 
  TEXT(DATE(2025,3,REGEXEXTRACT(T119, ""(\d{1,2}) mar\. 2025"")), ""dd/"&amp;"mm/yyyy""),
 IF(NOT(ISERROR(REGEXEXTRACT(T119, ""(\d{1,2}) abr\. 2025""))), 
  TEXT(DATE(2025,4,REGEXEXTRACT(T119, ""(\d{1,2}) abr\. 2025"")), ""dd/mm/yyyy""),
 IF(NOT(ISERROR(REGEXEXTRACT(T119, ""(\d{1,2}) (mai|maio)\. 2025""))), 
  TEXT(DATE(2025,5,REGE"&amp;"XEXTRACT(T119, ""(\d{1,2}) (mai|maio)\. 2025"")), ""dd/mm/yyyy""),
 IF(NOT(ISERROR(REGEXEXTRACT(T119, ""(\d{1,2}) jun\. 2025""))), 
  TEXT(DATE(2025,6,REGEXEXTRACT(T119, ""(\d{1,2}) jun\. 2025"")), ""dd/mm/yyyy""),
 IF(NOT(ISERROR(REGEXEXTRACT(T119, ""(\d"&amp;"{1,2}) jul\. 2025""))), 
  TEXT(DATE(2025,7,REGEXEXTRACT(T119, ""(\d{1,2}) jul\. 2025"")), ""dd/mm/yyyy""),
 IF(NOT(ISERROR(REGEXEXTRACT(T119, ""(\d{1,2}) ago\. 2025""))), 
  TEXT(DATE(2025,8,REGEXEXTRACT(T119, ""(\d{1,2}) ago\. 2025"")), ""dd/mm/yyyy""),"&amp;"
 IF(NOT(ISERROR(REGEXEXTRACT(T119, ""(\d{1,2}) set\. 2025""))), 
  TEXT(DATE(2025,9,REGEXEXTRACT(T119, ""(\d{1,2}) set\. 2025"")), ""dd/mm/yyyy""),
 IF(NOT(ISERROR(REGEXEXTRACT(T119, ""(\d{1,2}) out\. 2025""))), 
  TEXT(DATE(2025,10,REGEXEXTRACT(T119, """&amp;"(\d{1,2}) out\. 2025"")), ""dd/mm/yyyy""),
 IF(NOT(ISERROR(REGEXEXTRACT(T119, ""(\d{1,2}) nov\. 2025""))), 
  TEXT(DATE(2025,11,REGEXEXTRACT(T119, ""(\d{1,2}) nov\. 2025"")), ""dd/mm/yyyy""),
 IF(NOT(ISERROR(REGEXEXTRACT(T119, ""(\d{1,2}) dez\. 2025""))),"&amp;" 
  TEXT(DATE(2025,12,REGEXEXTRACT(T119, ""(\d{1,2}) dez\. 2025"")), ""dd/mm/yyyy""),
 ""Insira a data manualmente"")))))))))))), """"))"),"28/10/2025")</f>
        <v>28/10/2025</v>
      </c>
      <c r="H119" s="22">
        <f t="shared" si="1"/>
        <v>2025</v>
      </c>
      <c r="I119" s="18" t="str">
        <f>IFERROR(__xludf.DUMMYFUNCTION("IF(REGEXMATCH(T119,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IF(REGEXMATCH(T119, ""(?i)\bBrasília\b""), ""Distrito Federal, Brasil"",
REGEXEXTRACT(T119,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19" s="30" t="s">
        <v>32</v>
      </c>
      <c r="K119" s="24" t="s">
        <v>351</v>
      </c>
      <c r="L119" s="24" t="s">
        <v>26</v>
      </c>
      <c r="M119" s="25" t="s">
        <v>27</v>
      </c>
      <c r="N119" s="18" t="str">
        <f t="shared" si="8"/>
        <v>Agência Brasil</v>
      </c>
      <c r="O119" s="17" t="s">
        <v>28</v>
      </c>
      <c r="P119" s="17" t="s">
        <v>251</v>
      </c>
      <c r="Q119" s="26">
        <v>45964.0</v>
      </c>
      <c r="R119" s="17" t="s">
        <v>30</v>
      </c>
      <c r="S119" s="27" t="str">
        <f t="shared" si="3"/>
        <v>Aqui</v>
      </c>
      <c r="T119" s="29" t="s">
        <v>352</v>
      </c>
      <c r="U119" s="29"/>
    </row>
    <row r="120">
      <c r="A120" s="16">
        <v>118.0</v>
      </c>
      <c r="B120" s="17" t="s">
        <v>23</v>
      </c>
      <c r="C120" s="18" t="str">
        <f>IFERROR(__xludf.DUMMYFUNCTION("IF(B120="""","""",IF(OR(
  REGEXMATCH(B120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REGEXMATCH(B120,""Notícia|Reportagem|Artigo de opinião|Verbete"")
),""Difusão"","""")))
"),"Difusão")</f>
        <v>Difusão</v>
      </c>
      <c r="D120" s="19" t="str">
        <f>IFERROR(__xludf.DUMMYFUNCTION("IF(B120="""","""",IF(OR(
  REGEXMATCH(B120,""Performance|Instalação|Álbum|Música|Poema|Livro|Filme|Documentário|Recitação|Espetáculo|Peça|Intervenção|Desfile|Fotografia|Exposição|Charge|Grafite|Leitura pública|Fabricação de cachaça artesanal""),
  REGEXMA"&amp;"TCH(B120,""dança|teatral|artístico|musical|artística"")
),""Manifestação artístico-cultural"",
IF(OR(
  REGEXMATCH(B120,""Crônica|Série|Reportagem|Podcast|Audiotour|Entrevista|Vídeo|Rádio|Notícia|Artigo de opinião|Coletiva de imprensa""),
  REGEXMATCH(B12"&amp;"0,""midiática"")
),""Produção midiática"","""")))
"),"Produção midiática")</f>
        <v>Produção midiática</v>
      </c>
      <c r="E120" s="20" t="str">
        <f>IFERROR(__xludf.DUMMYFUNCTION("IF(B120="""","""",IF(OR(
  REGEXMATCH(B120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REGEXMATCH(B120,""público|Imediato|artística|teatral|memória|Ação popular"")
),""Público Imediato"",
IF(REGEXMATCH(B120,""Música|Álbum|Filme|Documentár"&amp;"io|Série|Podcast|Rádio|Audiotour|Entrevista|Reportagem|Crônica|Relatório|Abaixo-assinado|Manifesto|Petição|Poema|Livro|Fotografia|Curta|Live|Webinário|Charge|Leitura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20" s="20" t="str">
        <f>IFERROR(__xludf.DUMMYFUNCTION("IF(B120="""","""",IF(OR(
  REGEXMATCH(B120,""Live|Webinário|Virtual|Verbete""),
  REGEXMATCH(B120,""online"")
),""Virtual"",
IF(REGEXMATCH(B120,""Música|Álbum|Filme|Documentário|Série|Podcast|Rádio|Audiotour|Episódio|Reportagem|Curta|Charge|Vídeo|Entrevis"&amp;"ta|Notícia|Artigo de opinião""),
""Midiático"",
IF(REGEXMATCH(B120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20" s="21" t="str">
        <f>IFERROR(__xludf.DUMMYFUNCTION("IF(C120=""rememoração"", ""Insira a data manualmente"", IF(C120=""difusão"", 
 IF(NOT(ISERROR(REGEXEXTRACT(T120, ""(\d{1,2}) jan\. 2025""))), 
  TEXT(DATE(2025,1,REGEXEXTRACT(T120, ""(\d{1,2}) jan\. 2025"")), ""dd/mm/yyyy""),
 IF(NOT(ISERROR(REGEXEXTRACT("&amp;"T120, ""(\d{1,2}) fev\. 2025""))), 
  TEXT(DATE(2025,2,REGEXEXTRACT(T120, ""(\d{1,2}) fev\. 2025"")), ""dd/mm/yyyy""),
 IF(NOT(ISERROR(REGEXEXTRACT(T120, ""(\d{1,2}) mar\. 2025""))), 
  TEXT(DATE(2025,3,REGEXEXTRACT(T120, ""(\d{1,2}) mar\. 2025"")), ""dd/"&amp;"mm/yyyy""),
 IF(NOT(ISERROR(REGEXEXTRACT(T120, ""(\d{1,2}) abr\. 2025""))), 
  TEXT(DATE(2025,4,REGEXEXTRACT(T120, ""(\d{1,2}) abr\. 2025"")), ""dd/mm/yyyy""),
 IF(NOT(ISERROR(REGEXEXTRACT(T120, ""(\d{1,2}) (mai|maio)\. 2025""))), 
  TEXT(DATE(2025,5,REGE"&amp;"XEXTRACT(T120, ""(\d{1,2}) (mai|maio)\. 2025"")), ""dd/mm/yyyy""),
 IF(NOT(ISERROR(REGEXEXTRACT(T120, ""(\d{1,2}) jun\. 2025""))), 
  TEXT(DATE(2025,6,REGEXEXTRACT(T120, ""(\d{1,2}) jun\. 2025"")), ""dd/mm/yyyy""),
 IF(NOT(ISERROR(REGEXEXTRACT(T120, ""(\d"&amp;"{1,2}) jul\. 2025""))), 
  TEXT(DATE(2025,7,REGEXEXTRACT(T120, ""(\d{1,2}) jul\. 2025"")), ""dd/mm/yyyy""),
 IF(NOT(ISERROR(REGEXEXTRACT(T120, ""(\d{1,2}) ago\. 2025""))), 
  TEXT(DATE(2025,8,REGEXEXTRACT(T120, ""(\d{1,2}) ago\. 2025"")), ""dd/mm/yyyy""),"&amp;"
 IF(NOT(ISERROR(REGEXEXTRACT(T120, ""(\d{1,2}) set\. 2025""))), 
  TEXT(DATE(2025,9,REGEXEXTRACT(T120, ""(\d{1,2}) set\. 2025"")), ""dd/mm/yyyy""),
 IF(NOT(ISERROR(REGEXEXTRACT(T120, ""(\d{1,2}) out\. 2025""))), 
  TEXT(DATE(2025,10,REGEXEXTRACT(T120, """&amp;"(\d{1,2}) out\. 2025"")), ""dd/mm/yyyy""),
 IF(NOT(ISERROR(REGEXEXTRACT(T120, ""(\d{1,2}) nov\. 2025""))), 
  TEXT(DATE(2025,11,REGEXEXTRACT(T120, ""(\d{1,2}) nov\. 2025"")), ""dd/mm/yyyy""),
 IF(NOT(ISERROR(REGEXEXTRACT(T120, ""(\d{1,2}) dez\. 2025""))),"&amp;" 
  TEXT(DATE(2025,12,REGEXEXTRACT(T120, ""(\d{1,2}) dez\. 2025"")), ""dd/mm/yyyy""),
 ""Insira a data manualmente"")))))))))))), """"))"),"30/10/2025")</f>
        <v>30/10/2025</v>
      </c>
      <c r="H120" s="22">
        <f t="shared" si="1"/>
        <v>2025</v>
      </c>
      <c r="I120" s="18" t="str">
        <f>IFERROR(__xludf.DUMMYFUNCTION("IF(REGEXMATCH(T120,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IF(REGEXMATCH(T120, ""(?i)\bBrasília\b""), ""Distrito Federal, Brasil"",
REGEXEXTRACT(T120,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20" s="30" t="s">
        <v>32</v>
      </c>
      <c r="K120" s="24" t="s">
        <v>353</v>
      </c>
      <c r="L120" s="24" t="s">
        <v>26</v>
      </c>
      <c r="M120" s="25" t="s">
        <v>27</v>
      </c>
      <c r="N120" s="18" t="str">
        <f t="shared" si="8"/>
        <v>Agência Brasil</v>
      </c>
      <c r="O120" s="17" t="s">
        <v>28</v>
      </c>
      <c r="P120" s="17" t="s">
        <v>251</v>
      </c>
      <c r="Q120" s="26">
        <v>45964.0</v>
      </c>
      <c r="R120" s="17" t="s">
        <v>30</v>
      </c>
      <c r="S120" s="27" t="str">
        <f t="shared" si="3"/>
        <v>Aqui</v>
      </c>
      <c r="T120" s="29" t="s">
        <v>354</v>
      </c>
      <c r="U120" s="29"/>
    </row>
    <row r="121">
      <c r="A121" s="16">
        <v>119.0</v>
      </c>
      <c r="B121" s="17" t="s">
        <v>23</v>
      </c>
      <c r="C121" s="18" t="str">
        <f>IFERROR(__xludf.DUMMYFUNCTION("IF(B121="""","""",IF(OR(
  REGEXMATCH(B121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REGEXMATCH(B121,""Notícia|Reportagem|Artigo de opinião|Verbete"")
),""Difusão"","""")))
"),"Difusão")</f>
        <v>Difusão</v>
      </c>
      <c r="D121" s="19" t="str">
        <f>IFERROR(__xludf.DUMMYFUNCTION("IF(B121="""","""",IF(OR(
  REGEXMATCH(B121,""Performance|Instalação|Álbum|Música|Poema|Livro|Filme|Documentário|Recitação|Espetáculo|Peça|Intervenção|Desfile|Fotografia|Exposição|Charge|Grafite|Leitura pública|Fabricação de cachaça artesanal""),
  REGEXMA"&amp;"TCH(B121,""dança|teatral|artístico|musical|artística"")
),""Manifestação artístico-cultural"",
IF(OR(
  REGEXMATCH(B121,""Crônica|Série|Reportagem|Podcast|Audiotour|Entrevista|Vídeo|Rádio|Notícia|Artigo de opinião|Coletiva de imprensa""),
  REGEXMATCH(B12"&amp;"1,""midiática"")
),""Produção midiática"","""")))
"),"Produção midiática")</f>
        <v>Produção midiática</v>
      </c>
      <c r="E121" s="20" t="str">
        <f>IFERROR(__xludf.DUMMYFUNCTION("IF(B121="""","""",IF(OR(
  REGEXMATCH(B121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REGEXMATCH(B121,""público|Imediato|artística|teatral|memória|Ação popular"")
),""Público Imediato"",
IF(REGEXMATCH(B121,""Música|Álbum|Filme|Documentár"&amp;"io|Série|Podcast|Rádio|Audiotour|Entrevista|Reportagem|Crônica|Relatório|Abaixo-assinado|Manifesto|Petição|Poema|Livro|Fotografia|Curta|Live|Webinário|Charge|Leitura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21" s="20" t="str">
        <f>IFERROR(__xludf.DUMMYFUNCTION("IF(B121="""","""",IF(OR(
  REGEXMATCH(B121,""Live|Webinário|Virtual|Verbete""),
  REGEXMATCH(B121,""online"")
),""Virtual"",
IF(REGEXMATCH(B121,""Música|Álbum|Filme|Documentário|Série|Podcast|Rádio|Audiotour|Episódio|Reportagem|Curta|Charge|Vídeo|Entrevis"&amp;"ta|Notícia|Artigo de opinião""),
""Midiático"",
IF(REGEXMATCH(B121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21" s="21" t="str">
        <f>IFERROR(__xludf.DUMMYFUNCTION("IF(C121=""rememoração"", ""Insira a data manualmente"", IF(C121=""difusão"", 
 IF(NOT(ISERROR(REGEXEXTRACT(T121, ""(\d{1,2}) jan\. 2025""))), 
  TEXT(DATE(2025,1,REGEXEXTRACT(T121, ""(\d{1,2}) jan\. 2025"")), ""dd/mm/yyyy""),
 IF(NOT(ISERROR(REGEXEXTRACT("&amp;"T121, ""(\d{1,2}) fev\. 2025""))), 
  TEXT(DATE(2025,2,REGEXEXTRACT(T121, ""(\d{1,2}) fev\. 2025"")), ""dd/mm/yyyy""),
 IF(NOT(ISERROR(REGEXEXTRACT(T121, ""(\d{1,2}) mar\. 2025""))), 
  TEXT(DATE(2025,3,REGEXEXTRACT(T121, ""(\d{1,2}) mar\. 2025"")), ""dd/"&amp;"mm/yyyy""),
 IF(NOT(ISERROR(REGEXEXTRACT(T121, ""(\d{1,2}) abr\. 2025""))), 
  TEXT(DATE(2025,4,REGEXEXTRACT(T121, ""(\d{1,2}) abr\. 2025"")), ""dd/mm/yyyy""),
 IF(NOT(ISERROR(REGEXEXTRACT(T121, ""(\d{1,2}) (mai|maio)\. 2025""))), 
  TEXT(DATE(2025,5,REGE"&amp;"XEXTRACT(T121, ""(\d{1,2}) (mai|maio)\. 2025"")), ""dd/mm/yyyy""),
 IF(NOT(ISERROR(REGEXEXTRACT(T121, ""(\d{1,2}) jun\. 2025""))), 
  TEXT(DATE(2025,6,REGEXEXTRACT(T121, ""(\d{1,2}) jun\. 2025"")), ""dd/mm/yyyy""),
 IF(NOT(ISERROR(REGEXEXTRACT(T121, ""(\d"&amp;"{1,2}) jul\. 2025""))), 
  TEXT(DATE(2025,7,REGEXEXTRACT(T121, ""(\d{1,2}) jul\. 2025"")), ""dd/mm/yyyy""),
 IF(NOT(ISERROR(REGEXEXTRACT(T121, ""(\d{1,2}) ago\. 2025""))), 
  TEXT(DATE(2025,8,REGEXEXTRACT(T121, ""(\d{1,2}) ago\. 2025"")), ""dd/mm/yyyy""),"&amp;"
 IF(NOT(ISERROR(REGEXEXTRACT(T121, ""(\d{1,2}) set\. 2025""))), 
  TEXT(DATE(2025,9,REGEXEXTRACT(T121, ""(\d{1,2}) set\. 2025"")), ""dd/mm/yyyy""),
 IF(NOT(ISERROR(REGEXEXTRACT(T121, ""(\d{1,2}) out\. 2025""))), 
  TEXT(DATE(2025,10,REGEXEXTRACT(T121, """&amp;"(\d{1,2}) out\. 2025"")), ""dd/mm/yyyy""),
 IF(NOT(ISERROR(REGEXEXTRACT(T121, ""(\d{1,2}) nov\. 2025""))), 
  TEXT(DATE(2025,11,REGEXEXTRACT(T121, ""(\d{1,2}) nov\. 2025"")), ""dd/mm/yyyy""),
 IF(NOT(ISERROR(REGEXEXTRACT(T121, ""(\d{1,2}) dez\. 2025""))),"&amp;" 
  TEXT(DATE(2025,12,REGEXEXTRACT(T121, ""(\d{1,2}) dez\. 2025"")), ""dd/mm/yyyy""),
 ""Insira a data manualmente"")))))))))))), """"))"),"02/11/2025")</f>
        <v>02/11/2025</v>
      </c>
      <c r="H121" s="22">
        <f t="shared" si="1"/>
        <v>2025</v>
      </c>
      <c r="I121" s="18" t="str">
        <f>IFERROR(__xludf.DUMMYFUNCTION("IF(REGEXMATCH(T121,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IF(REGEXMATCH(T121, ""(?i)\bBrasília\b""), ""Distrito Federal, Brasil"",
REGEXEXTRACT(T121,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121" s="30" t="s">
        <v>32</v>
      </c>
      <c r="K121" s="24" t="s">
        <v>355</v>
      </c>
      <c r="L121" s="24" t="s">
        <v>26</v>
      </c>
      <c r="M121" s="25" t="s">
        <v>27</v>
      </c>
      <c r="N121" s="18" t="str">
        <f t="shared" si="8"/>
        <v>Agência Brasil</v>
      </c>
      <c r="O121" s="17" t="s">
        <v>28</v>
      </c>
      <c r="P121" s="17" t="s">
        <v>251</v>
      </c>
      <c r="Q121" s="26">
        <v>45964.0</v>
      </c>
      <c r="R121" s="17" t="s">
        <v>30</v>
      </c>
      <c r="S121" s="27" t="str">
        <f t="shared" si="3"/>
        <v>Aqui</v>
      </c>
      <c r="T121" s="29" t="s">
        <v>356</v>
      </c>
      <c r="U121" s="29"/>
    </row>
    <row r="122">
      <c r="A122" s="16">
        <v>120.0</v>
      </c>
      <c r="B122" s="17" t="s">
        <v>23</v>
      </c>
      <c r="C122" s="18" t="str">
        <f>IFERROR(__xludf.DUMMYFUNCTION("IF(B122="""","""",IF(OR(
  REGEXMATCH(B122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REGEXMATCH(B122,""Notícia|Reportagem|Artigo de opinião|Verbete"")
),""Difusão"","""")))
"),"Difusão")</f>
        <v>Difusão</v>
      </c>
      <c r="D122" s="19" t="str">
        <f>IFERROR(__xludf.DUMMYFUNCTION("IF(B122="""","""",IF(OR(
  REGEXMATCH(B122,""Performance|Instalação|Álbum|Música|Poema|Livro|Filme|Documentário|Recitação|Espetáculo|Peça|Intervenção|Desfile|Fotografia|Exposição|Charge|Grafite|Leitura pública|Fabricação de cachaça artesanal""),
  REGEXMA"&amp;"TCH(B122,""dança|teatral|artístico|musical|artística"")
),""Manifestação artístico-cultural"",
IF(OR(
  REGEXMATCH(B122,""Crônica|Série|Reportagem|Podcast|Audiotour|Entrevista|Vídeo|Rádio|Notícia|Artigo de opinião|Coletiva de imprensa""),
  REGEXMATCH(B12"&amp;"2,""midiática"")
),""Produção midiática"","""")))
"),"Produção midiática")</f>
        <v>Produção midiática</v>
      </c>
      <c r="E122" s="20" t="str">
        <f>IFERROR(__xludf.DUMMYFUNCTION("IF(B122="""","""",IF(OR(
  REGEXMATCH(B122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REGEXMATCH(B122,""público|Imediato|artística|teatral|memória|Ação popular"")
),""Público Imediato"",
IF(REGEXMATCH(B122,""Música|Álbum|Filme|Documentár"&amp;"io|Série|Podcast|Rádio|Audiotour|Entrevista|Reportagem|Crônica|Relatório|Abaixo-assinado|Manifesto|Petição|Poema|Livro|Fotografia|Curta|Live|Webinário|Charge|Leitura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22" s="20" t="str">
        <f>IFERROR(__xludf.DUMMYFUNCTION("IF(B122="""","""",IF(OR(
  REGEXMATCH(B122,""Live|Webinário|Virtual|Verbete""),
  REGEXMATCH(B122,""online"")
),""Virtual"",
IF(REGEXMATCH(B122,""Música|Álbum|Filme|Documentário|Série|Podcast|Rádio|Audiotour|Episódio|Reportagem|Curta|Charge|Vídeo|Entrevis"&amp;"ta|Notícia|Artigo de opinião""),
""Midiático"",
IF(REGEXMATCH(B122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22" s="21" t="str">
        <f>IFERROR(__xludf.DUMMYFUNCTION("IF(C122=""rememoração"", ""Insira a data manualmente"", IF(C122=""difusão"", 
 IF(NOT(ISERROR(REGEXEXTRACT(T122, ""(\d{1,2}) jan\. 2025""))), 
  TEXT(DATE(2025,1,REGEXEXTRACT(T122, ""(\d{1,2}) jan\. 2025"")), ""dd/mm/yyyy""),
 IF(NOT(ISERROR(REGEXEXTRACT("&amp;"T122, ""(\d{1,2}) fev\. 2025""))), 
  TEXT(DATE(2025,2,REGEXEXTRACT(T122, ""(\d{1,2}) fev\. 2025"")), ""dd/mm/yyyy""),
 IF(NOT(ISERROR(REGEXEXTRACT(T122, ""(\d{1,2}) mar\. 2025""))), 
  TEXT(DATE(2025,3,REGEXEXTRACT(T122, ""(\d{1,2}) mar\. 2025"")), ""dd/"&amp;"mm/yyyy""),
 IF(NOT(ISERROR(REGEXEXTRACT(T122, ""(\d{1,2}) abr\. 2025""))), 
  TEXT(DATE(2025,4,REGEXEXTRACT(T122, ""(\d{1,2}) abr\. 2025"")), ""dd/mm/yyyy""),
 IF(NOT(ISERROR(REGEXEXTRACT(T122, ""(\d{1,2}) (mai|maio)\. 2025""))), 
  TEXT(DATE(2025,5,REGE"&amp;"XEXTRACT(T122, ""(\d{1,2}) (mai|maio)\. 2025"")), ""dd/mm/yyyy""),
 IF(NOT(ISERROR(REGEXEXTRACT(T122, ""(\d{1,2}) jun\. 2025""))), 
  TEXT(DATE(2025,6,REGEXEXTRACT(T122, ""(\d{1,2}) jun\. 2025"")), ""dd/mm/yyyy""),
 IF(NOT(ISERROR(REGEXEXTRACT(T122, ""(\d"&amp;"{1,2}) jul\. 2025""))), 
  TEXT(DATE(2025,7,REGEXEXTRACT(T122, ""(\d{1,2}) jul\. 2025"")), ""dd/mm/yyyy""),
 IF(NOT(ISERROR(REGEXEXTRACT(T122, ""(\d{1,2}) ago\. 2025""))), 
  TEXT(DATE(2025,8,REGEXEXTRACT(T122, ""(\d{1,2}) ago\. 2025"")), ""dd/mm/yyyy""),"&amp;"
 IF(NOT(ISERROR(REGEXEXTRACT(T122, ""(\d{1,2}) set\. 2025""))), 
  TEXT(DATE(2025,9,REGEXEXTRACT(T122, ""(\d{1,2}) set\. 2025"")), ""dd/mm/yyyy""),
 IF(NOT(ISERROR(REGEXEXTRACT(T122, ""(\d{1,2}) out\. 2025""))), 
  TEXT(DATE(2025,10,REGEXEXTRACT(T122, """&amp;"(\d{1,2}) out\. 2025"")), ""dd/mm/yyyy""),
 IF(NOT(ISERROR(REGEXEXTRACT(T122, ""(\d{1,2}) nov\. 2025""))), 
  TEXT(DATE(2025,11,REGEXEXTRACT(T122, ""(\d{1,2}) nov\. 2025"")), ""dd/mm/yyyy""),
 IF(NOT(ISERROR(REGEXEXTRACT(T122, ""(\d{1,2}) dez\. 2025""))),"&amp;" 
  TEXT(DATE(2025,12,REGEXEXTRACT(T122, ""(\d{1,2}) dez\. 2025"")), ""dd/mm/yyyy""),
 ""Insira a data manualmente"")))))))))))), """"))"),"31/10/2025")</f>
        <v>31/10/2025</v>
      </c>
      <c r="H122" s="22">
        <f t="shared" si="1"/>
        <v>2025</v>
      </c>
      <c r="I122" s="18" t="s">
        <v>357</v>
      </c>
      <c r="J122" s="30" t="s">
        <v>358</v>
      </c>
      <c r="K122" s="24" t="s">
        <v>359</v>
      </c>
      <c r="L122" s="24" t="s">
        <v>26</v>
      </c>
      <c r="M122" s="25" t="s">
        <v>27</v>
      </c>
      <c r="N122" s="18" t="str">
        <f t="shared" si="8"/>
        <v>Sindicato dos Trabalhadores das Universidades Federais no Estado do Ceará (SINTUFCE)</v>
      </c>
      <c r="O122" s="17" t="s">
        <v>28</v>
      </c>
      <c r="P122" s="17" t="s">
        <v>251</v>
      </c>
      <c r="Q122" s="26">
        <v>45964.0</v>
      </c>
      <c r="R122" s="17" t="s">
        <v>30</v>
      </c>
      <c r="S122" s="27" t="str">
        <f t="shared" si="3"/>
        <v>Aqui</v>
      </c>
      <c r="T122" s="29" t="s">
        <v>360</v>
      </c>
      <c r="U122" s="29"/>
    </row>
    <row r="123">
      <c r="A123" s="16">
        <v>121.0</v>
      </c>
      <c r="B123" s="17" t="s">
        <v>23</v>
      </c>
      <c r="C123" s="18" t="str">
        <f>IFERROR(__xludf.DUMMYFUNCTION("IF(B123="""","""",IF(OR(
  REGEXMATCH(B123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REGEXMATCH(B123,""Notícia|Reportagem|Artigo de opinião|Verbete"")
),""Difusão"","""")))
"),"Difusão")</f>
        <v>Difusão</v>
      </c>
      <c r="D123" s="19" t="str">
        <f>IFERROR(__xludf.DUMMYFUNCTION("IF(B123="""","""",IF(OR(
  REGEXMATCH(B123,""Performance|Instalação|Álbum|Música|Poema|Livro|Filme|Documentário|Recitação|Espetáculo|Peça|Intervenção|Desfile|Fotografia|Exposição|Charge|Grafite|Leitura pública|Fabricação de cachaça artesanal""),
  REGEXMA"&amp;"TCH(B123,""dança|teatral|artístico|musical|artística"")
),""Manifestação artístico-cultural"",
IF(OR(
  REGEXMATCH(B123,""Crônica|Série|Reportagem|Podcast|Audiotour|Entrevista|Vídeo|Rádio|Notícia|Artigo de opinião|Coletiva de imprensa""),
  REGEXMATCH(B12"&amp;"3,""midiática"")
),""Produção midiática"","""")))
"),"Produção midiática")</f>
        <v>Produção midiática</v>
      </c>
      <c r="E123" s="20" t="str">
        <f>IFERROR(__xludf.DUMMYFUNCTION("IF(B123="""","""",IF(OR(
  REGEXMATCH(B123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REGEXMATCH(B123,""público|Imediato|artística|teatral|memória|Ação popular"")
),""Público Imediato"",
IF(REGEXMATCH(B123,""Música|Álbum|Filme|Documentár"&amp;"io|Série|Podcast|Rádio|Audiotour|Entrevista|Reportagem|Crônica|Relatório|Abaixo-assinado|Manifesto|Petição|Poema|Livro|Fotografia|Curta|Live|Webinário|Charge|Leitura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23" s="20" t="str">
        <f>IFERROR(__xludf.DUMMYFUNCTION("IF(B123="""","""",IF(OR(
  REGEXMATCH(B123,""Live|Webinário|Virtual|Verbete""),
  REGEXMATCH(B123,""online"")
),""Virtual"",
IF(REGEXMATCH(B123,""Música|Álbum|Filme|Documentário|Série|Podcast|Rádio|Audiotour|Episódio|Reportagem|Curta|Charge|Vídeo|Entrevis"&amp;"ta|Notícia|Artigo de opinião""),
""Midiático"",
IF(REGEXMATCH(B123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23" s="21" t="str">
        <f>IFERROR(__xludf.DUMMYFUNCTION("IF(C123=""rememoração"", ""Insira a data manualmente"", IF(C123=""difusão"", 
 IF(NOT(ISERROR(REGEXEXTRACT(T123, ""(\d{1,2}) jan\. 2025""))), 
  TEXT(DATE(2025,1,REGEXEXTRACT(T123, ""(\d{1,2}) jan\. 2025"")), ""dd/mm/yyyy""),
 IF(NOT(ISERROR(REGEXEXTRACT("&amp;"T123, ""(\d{1,2}) fev\. 2025""))), 
  TEXT(DATE(2025,2,REGEXEXTRACT(T123, ""(\d{1,2}) fev\. 2025"")), ""dd/mm/yyyy""),
 IF(NOT(ISERROR(REGEXEXTRACT(T123, ""(\d{1,2}) mar\. 2025""))), 
  TEXT(DATE(2025,3,REGEXEXTRACT(T123, ""(\d{1,2}) mar\. 2025"")), ""dd/"&amp;"mm/yyyy""),
 IF(NOT(ISERROR(REGEXEXTRACT(T123, ""(\d{1,2}) abr\. 2025""))), 
  TEXT(DATE(2025,4,REGEXEXTRACT(T123, ""(\d{1,2}) abr\. 2025"")), ""dd/mm/yyyy""),
 IF(NOT(ISERROR(REGEXEXTRACT(T123, ""(\d{1,2}) (mai|maio)\. 2025""))), 
  TEXT(DATE(2025,5,REGE"&amp;"XEXTRACT(T123, ""(\d{1,2}) (mai|maio)\. 2025"")), ""dd/mm/yyyy""),
 IF(NOT(ISERROR(REGEXEXTRACT(T123, ""(\d{1,2}) jun\. 2025""))), 
  TEXT(DATE(2025,6,REGEXEXTRACT(T123, ""(\d{1,2}) jun\. 2025"")), ""dd/mm/yyyy""),
 IF(NOT(ISERROR(REGEXEXTRACT(T123, ""(\d"&amp;"{1,2}) jul\. 2025""))), 
  TEXT(DATE(2025,7,REGEXEXTRACT(T123, ""(\d{1,2}) jul\. 2025"")), ""dd/mm/yyyy""),
 IF(NOT(ISERROR(REGEXEXTRACT(T123, ""(\d{1,2}) ago\. 2025""))), 
  TEXT(DATE(2025,8,REGEXEXTRACT(T123, ""(\d{1,2}) ago\. 2025"")), ""dd/mm/yyyy""),"&amp;"
 IF(NOT(ISERROR(REGEXEXTRACT(T123, ""(\d{1,2}) set\. 2025""))), 
  TEXT(DATE(2025,9,REGEXEXTRACT(T123, ""(\d{1,2}) set\. 2025"")), ""dd/mm/yyyy""),
 IF(NOT(ISERROR(REGEXEXTRACT(T123, ""(\d{1,2}) out\. 2025""))), 
  TEXT(DATE(2025,10,REGEXEXTRACT(T123, """&amp;"(\d{1,2}) out\. 2025"")), ""dd/mm/yyyy""),
 IF(NOT(ISERROR(REGEXEXTRACT(T123, ""(\d{1,2}) nov\. 2025""))), 
  TEXT(DATE(2025,11,REGEXEXTRACT(T123, ""(\d{1,2}) nov\. 2025"")), ""dd/mm/yyyy""),
 IF(NOT(ISERROR(REGEXEXTRACT(T123, ""(\d{1,2}) dez\. 2025""))),"&amp;" 
  TEXT(DATE(2025,12,REGEXEXTRACT(T123, ""(\d{1,2}) dez\. 2025"")), ""dd/mm/yyyy""),
 ""Insira a data manualmente"")))))))))))), """"))"),"01/11/2025")</f>
        <v>01/11/2025</v>
      </c>
      <c r="H123" s="22">
        <f t="shared" si="1"/>
        <v>2025</v>
      </c>
      <c r="I123" s="18" t="str">
        <f>IFERROR(__xludf.DUMMYFUNCTION("IF(REGEXMATCH(T123,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IF(REGEXMATCH(T123, ""(?i)\bBrasília\b""), ""Distrito Federal, Brasil"",
REGEXEXTRACT(T123,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23" s="30" t="s">
        <v>32</v>
      </c>
      <c r="K123" s="24" t="s">
        <v>361</v>
      </c>
      <c r="L123" s="24" t="s">
        <v>26</v>
      </c>
      <c r="M123" s="25" t="s">
        <v>27</v>
      </c>
      <c r="N123" s="18" t="str">
        <f t="shared" si="8"/>
        <v>Agência Brasil</v>
      </c>
      <c r="O123" s="17" t="s">
        <v>28</v>
      </c>
      <c r="P123" s="17" t="s">
        <v>251</v>
      </c>
      <c r="Q123" s="26">
        <v>45964.0</v>
      </c>
      <c r="R123" s="17" t="s">
        <v>30</v>
      </c>
      <c r="S123" s="27" t="str">
        <f t="shared" si="3"/>
        <v>Aqui</v>
      </c>
      <c r="T123" s="29" t="s">
        <v>362</v>
      </c>
      <c r="U123" s="29"/>
    </row>
    <row r="124">
      <c r="A124" s="16">
        <v>122.0</v>
      </c>
      <c r="B124" s="17" t="s">
        <v>23</v>
      </c>
      <c r="C124" s="18" t="str">
        <f>IFERROR(__xludf.DUMMYFUNCTION("IF(B124="""","""",IF(OR(
  REGEXMATCH(B124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REGEXMATCH(B124,""Notícia|Reportagem|Artigo de opinião|Verbete"")
),""Difusão"","""")))
"),"Difusão")</f>
        <v>Difusão</v>
      </c>
      <c r="D124" s="19" t="str">
        <f>IFERROR(__xludf.DUMMYFUNCTION("IF(B124="""","""",IF(OR(
  REGEXMATCH(B124,""Performance|Instalação|Álbum|Música|Poema|Livro|Filme|Documentário|Recitação|Espetáculo|Peça|Intervenção|Desfile|Fotografia|Exposição|Charge|Grafite|Leitura pública|Fabricação de cachaça artesanal""),
  REGEXMA"&amp;"TCH(B124,""dança|teatral|artístico|musical|artística"")
),""Manifestação artístico-cultural"",
IF(OR(
  REGEXMATCH(B124,""Crônica|Série|Reportagem|Podcast|Audiotour|Entrevista|Vídeo|Rádio|Notícia|Artigo de opinião|Coletiva de imprensa""),
  REGEXMATCH(B12"&amp;"4,""midiática"")
),""Produção midiática"","""")))
"),"Produção midiática")</f>
        <v>Produção midiática</v>
      </c>
      <c r="E124" s="20" t="str">
        <f>IFERROR(__xludf.DUMMYFUNCTION("IF(B124="""","""",IF(OR(
  REGEXMATCH(B124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REGEXMATCH(B124,""público|Imediato|artística|teatral|memória|Ação popular"")
),""Público Imediato"",
IF(REGEXMATCH(B124,""Música|Álbum|Filme|Documentár"&amp;"io|Série|Podcast|Rádio|Audiotour|Entrevista|Reportagem|Crônica|Relatório|Abaixo-assinado|Manifesto|Petição|Poema|Livro|Fotografia|Curta|Live|Webinário|Charge|Leitura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24" s="20" t="str">
        <f>IFERROR(__xludf.DUMMYFUNCTION("IF(B124="""","""",IF(OR(
  REGEXMATCH(B124,""Live|Webinário|Virtual|Verbete""),
  REGEXMATCH(B124,""online"")
),""Virtual"",
IF(REGEXMATCH(B124,""Música|Álbum|Filme|Documentário|Série|Podcast|Rádio|Audiotour|Episódio|Reportagem|Curta|Charge|Vídeo|Entrevis"&amp;"ta|Notícia|Artigo de opinião""),
""Midiático"",
IF(REGEXMATCH(B124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24" s="21" t="str">
        <f>IFERROR(__xludf.DUMMYFUNCTION("IF(C124=""rememoração"", ""Insira a data manualmente"", IF(C124=""difusão"", 
 IF(NOT(ISERROR(REGEXEXTRACT(T124, ""(\d{1,2}) jan\. 2025""))), 
  TEXT(DATE(2025,1,REGEXEXTRACT(T124, ""(\d{1,2}) jan\. 2025"")), ""dd/mm/yyyy""),
 IF(NOT(ISERROR(REGEXEXTRACT("&amp;"T124, ""(\d{1,2}) fev\. 2025""))), 
  TEXT(DATE(2025,2,REGEXEXTRACT(T124, ""(\d{1,2}) fev\. 2025"")), ""dd/mm/yyyy""),
 IF(NOT(ISERROR(REGEXEXTRACT(T124, ""(\d{1,2}) mar\. 2025""))), 
  TEXT(DATE(2025,3,REGEXEXTRACT(T124, ""(\d{1,2}) mar\. 2025"")), ""dd/"&amp;"mm/yyyy""),
 IF(NOT(ISERROR(REGEXEXTRACT(T124, ""(\d{1,2}) abr\. 2025""))), 
  TEXT(DATE(2025,4,REGEXEXTRACT(T124, ""(\d{1,2}) abr\. 2025"")), ""dd/mm/yyyy""),
 IF(NOT(ISERROR(REGEXEXTRACT(T124, ""(\d{1,2}) (mai|maio)\. 2025""))), 
  TEXT(DATE(2025,5,REGE"&amp;"XEXTRACT(T124, ""(\d{1,2}) (mai|maio)\. 2025"")), ""dd/mm/yyyy""),
 IF(NOT(ISERROR(REGEXEXTRACT(T124, ""(\d{1,2}) jun\. 2025""))), 
  TEXT(DATE(2025,6,REGEXEXTRACT(T124, ""(\d{1,2}) jun\. 2025"")), ""dd/mm/yyyy""),
 IF(NOT(ISERROR(REGEXEXTRACT(T124, ""(\d"&amp;"{1,2}) jul\. 2025""))), 
  TEXT(DATE(2025,7,REGEXEXTRACT(T124, ""(\d{1,2}) jul\. 2025"")), ""dd/mm/yyyy""),
 IF(NOT(ISERROR(REGEXEXTRACT(T124, ""(\d{1,2}) ago\. 2025""))), 
  TEXT(DATE(2025,8,REGEXEXTRACT(T124, ""(\d{1,2}) ago\. 2025"")), ""dd/mm/yyyy""),"&amp;"
 IF(NOT(ISERROR(REGEXEXTRACT(T124, ""(\d{1,2}) set\. 2025""))), 
  TEXT(DATE(2025,9,REGEXEXTRACT(T124, ""(\d{1,2}) set\. 2025"")), ""dd/mm/yyyy""),
 IF(NOT(ISERROR(REGEXEXTRACT(T124, ""(\d{1,2}) out\. 2025""))), 
  TEXT(DATE(2025,10,REGEXEXTRACT(T124, """&amp;"(\d{1,2}) out\. 2025"")), ""dd/mm/yyyy""),
 IF(NOT(ISERROR(REGEXEXTRACT(T124, ""(\d{1,2}) nov\. 2025""))), 
  TEXT(DATE(2025,11,REGEXEXTRACT(T124, ""(\d{1,2}) nov\. 2025"")), ""dd/mm/yyyy""),
 IF(NOT(ISERROR(REGEXEXTRACT(T124, ""(\d{1,2}) dez\. 2025""))),"&amp;" 
  TEXT(DATE(2025,12,REGEXEXTRACT(T124, ""(\d{1,2}) dez\. 2025"")), ""dd/mm/yyyy""),
 ""Insira a data manualmente"")))))))))))), """"))"),"31/10/2025")</f>
        <v>31/10/2025</v>
      </c>
      <c r="H124" s="22">
        <f t="shared" si="1"/>
        <v>2025</v>
      </c>
      <c r="I124" s="18" t="str">
        <f>IFERROR(__xludf.DUMMYFUNCTION("IF(REGEXMATCH(T124,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IF(REGEXMATCH(T124, ""(?i)\bBrasília\b""), ""Distrito Federal, Brasil"",
REGEXEXTRACT(T124,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24" s="30" t="s">
        <v>32</v>
      </c>
      <c r="K124" s="24" t="s">
        <v>363</v>
      </c>
      <c r="L124" s="24" t="s">
        <v>26</v>
      </c>
      <c r="M124" s="25" t="s">
        <v>27</v>
      </c>
      <c r="N124" s="18" t="str">
        <f t="shared" si="8"/>
        <v>Agência Brasil</v>
      </c>
      <c r="O124" s="17" t="s">
        <v>28</v>
      </c>
      <c r="P124" s="17" t="s">
        <v>251</v>
      </c>
      <c r="Q124" s="26">
        <v>45964.0</v>
      </c>
      <c r="R124" s="17" t="s">
        <v>30</v>
      </c>
      <c r="S124" s="27" t="str">
        <f t="shared" si="3"/>
        <v>Aqui</v>
      </c>
      <c r="T124" s="29" t="s">
        <v>364</v>
      </c>
      <c r="U124" s="29"/>
    </row>
    <row r="125">
      <c r="A125" s="16">
        <v>123.0</v>
      </c>
      <c r="B125" s="17" t="s">
        <v>23</v>
      </c>
      <c r="C125" s="18" t="str">
        <f>IFERROR(__xludf.DUMMYFUNCTION("IF(B125="""","""",IF(OR(
  REGEXMATCH(B125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REGEXMATCH(B125,""Notícia|Reportagem|Artigo de opinião|Verbete"")
),""Difusão"","""")))
"),"Difusão")</f>
        <v>Difusão</v>
      </c>
      <c r="D125" s="19" t="str">
        <f>IFERROR(__xludf.DUMMYFUNCTION("IF(B125="""","""",IF(OR(
  REGEXMATCH(B125,""Performance|Instalação|Álbum|Música|Poema|Livro|Filme|Documentário|Recitação|Espetáculo|Peça|Intervenção|Desfile|Fotografia|Exposição|Charge|Grafite|Leitura pública|Fabricação de cachaça artesanal""),
  REGEXMA"&amp;"TCH(B125,""dança|teatral|artístico|musical|artística"")
),""Manifestação artístico-cultural"",
IF(OR(
  REGEXMATCH(B125,""Crônica|Série|Reportagem|Podcast|Audiotour|Entrevista|Vídeo|Rádio|Notícia|Artigo de opinião|Coletiva de imprensa""),
  REGEXMATCH(B12"&amp;"5,""midiática"")
),""Produção midiática"","""")))
"),"Produção midiática")</f>
        <v>Produção midiática</v>
      </c>
      <c r="E125" s="20" t="str">
        <f>IFERROR(__xludf.DUMMYFUNCTION("IF(B125="""","""",IF(OR(
  REGEXMATCH(B125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REGEXMATCH(B125,""público|Imediato|artística|teatral|memória|Ação popular"")
),""Público Imediato"",
IF(REGEXMATCH(B125,""Música|Álbum|Filme|Documentár"&amp;"io|Série|Podcast|Rádio|Audiotour|Entrevista|Reportagem|Crônica|Relatório|Abaixo-assinado|Manifesto|Petição|Poema|Livro|Fotografia|Curta|Live|Webinário|Charge|Leitura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25" s="20" t="str">
        <f>IFERROR(__xludf.DUMMYFUNCTION("IF(B125="""","""",IF(OR(
  REGEXMATCH(B125,""Live|Webinário|Virtual|Verbete""),
  REGEXMATCH(B125,""online"")
),""Virtual"",
IF(REGEXMATCH(B125,""Música|Álbum|Filme|Documentário|Série|Podcast|Rádio|Audiotour|Episódio|Reportagem|Curta|Charge|Vídeo|Entrevis"&amp;"ta|Notícia|Artigo de opinião""),
""Midiático"",
IF(REGEXMATCH(B125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25" s="21" t="str">
        <f>IFERROR(__xludf.DUMMYFUNCTION("IF(C125=""rememoração"", ""Insira a data manualmente"", IF(C125=""difusão"", 
 IF(NOT(ISERROR(REGEXEXTRACT(T125, ""(\d{1,2}) jan\. 2025""))), 
  TEXT(DATE(2025,1,REGEXEXTRACT(T125, ""(\d{1,2}) jan\. 2025"")), ""dd/mm/yyyy""),
 IF(NOT(ISERROR(REGEXEXTRACT("&amp;"T125, ""(\d{1,2}) fev\. 2025""))), 
  TEXT(DATE(2025,2,REGEXEXTRACT(T125, ""(\d{1,2}) fev\. 2025"")), ""dd/mm/yyyy""),
 IF(NOT(ISERROR(REGEXEXTRACT(T125, ""(\d{1,2}) mar\. 2025""))), 
  TEXT(DATE(2025,3,REGEXEXTRACT(T125, ""(\d{1,2}) mar\. 2025"")), ""dd/"&amp;"mm/yyyy""),
 IF(NOT(ISERROR(REGEXEXTRACT(T125, ""(\d{1,2}) abr\. 2025""))), 
  TEXT(DATE(2025,4,REGEXEXTRACT(T125, ""(\d{1,2}) abr\. 2025"")), ""dd/mm/yyyy""),
 IF(NOT(ISERROR(REGEXEXTRACT(T125, ""(\d{1,2}) (mai|maio)\. 2025""))), 
  TEXT(DATE(2025,5,REGE"&amp;"XEXTRACT(T125, ""(\d{1,2}) (mai|maio)\. 2025"")), ""dd/mm/yyyy""),
 IF(NOT(ISERROR(REGEXEXTRACT(T125, ""(\d{1,2}) jun\. 2025""))), 
  TEXT(DATE(2025,6,REGEXEXTRACT(T125, ""(\d{1,2}) jun\. 2025"")), ""dd/mm/yyyy""),
 IF(NOT(ISERROR(REGEXEXTRACT(T125, ""(\d"&amp;"{1,2}) jul\. 2025""))), 
  TEXT(DATE(2025,7,REGEXEXTRACT(T125, ""(\d{1,2}) jul\. 2025"")), ""dd/mm/yyyy""),
 IF(NOT(ISERROR(REGEXEXTRACT(T125, ""(\d{1,2}) ago\. 2025""))), 
  TEXT(DATE(2025,8,REGEXEXTRACT(T125, ""(\d{1,2}) ago\. 2025"")), ""dd/mm/yyyy""),"&amp;"
 IF(NOT(ISERROR(REGEXEXTRACT(T125, ""(\d{1,2}) set\. 2025""))), 
  TEXT(DATE(2025,9,REGEXEXTRACT(T125, ""(\d{1,2}) set\. 2025"")), ""dd/mm/yyyy""),
 IF(NOT(ISERROR(REGEXEXTRACT(T125, ""(\d{1,2}) out\. 2025""))), 
  TEXT(DATE(2025,10,REGEXEXTRACT(T125, """&amp;"(\d{1,2}) out\. 2025"")), ""dd/mm/yyyy""),
 IF(NOT(ISERROR(REGEXEXTRACT(T125, ""(\d{1,2}) nov\. 2025""))), 
  TEXT(DATE(2025,11,REGEXEXTRACT(T125, ""(\d{1,2}) nov\. 2025"")), ""dd/mm/yyyy""),
 IF(NOT(ISERROR(REGEXEXTRACT(T125, ""(\d{1,2}) dez\. 2025""))),"&amp;" 
  TEXT(DATE(2025,12,REGEXEXTRACT(T125, ""(\d{1,2}) dez\. 2025"")), ""dd/mm/yyyy""),
 ""Insira a data manualmente"")))))))))))), """"))"),"30/10/2025")</f>
        <v>30/10/2025</v>
      </c>
      <c r="H125" s="22">
        <f t="shared" si="1"/>
        <v>2025</v>
      </c>
      <c r="I125" s="18" t="s">
        <v>298</v>
      </c>
      <c r="J125" s="30" t="s">
        <v>93</v>
      </c>
      <c r="K125" s="24" t="s">
        <v>365</v>
      </c>
      <c r="L125" s="24" t="s">
        <v>26</v>
      </c>
      <c r="M125" s="25" t="s">
        <v>27</v>
      </c>
      <c r="N125" s="18" t="str">
        <f t="shared" si="8"/>
        <v>Gazeta do Povo</v>
      </c>
      <c r="O125" s="17" t="s">
        <v>28</v>
      </c>
      <c r="P125" s="17" t="s">
        <v>251</v>
      </c>
      <c r="Q125" s="26">
        <v>45964.0</v>
      </c>
      <c r="R125" s="17" t="s">
        <v>37</v>
      </c>
      <c r="S125" s="27" t="str">
        <f t="shared" si="3"/>
        <v>Aqui</v>
      </c>
      <c r="T125" s="29" t="s">
        <v>366</v>
      </c>
      <c r="U125" s="29"/>
    </row>
    <row r="126">
      <c r="A126" s="16">
        <v>124.0</v>
      </c>
      <c r="B126" s="17" t="s">
        <v>23</v>
      </c>
      <c r="C126" s="18" t="str">
        <f>IFERROR(__xludf.DUMMYFUNCTION("IF(B126="""","""",IF(OR(
  REGEXMATCH(B126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REGEXMATCH(B126,""Notícia|Reportagem|Artigo de opinião|Verbete"")
),""Difusão"","""")))
"),"Difusão")</f>
        <v>Difusão</v>
      </c>
      <c r="D126" s="19" t="str">
        <f>IFERROR(__xludf.DUMMYFUNCTION("IF(B126="""","""",IF(OR(
  REGEXMATCH(B126,""Performance|Instalação|Álbum|Música|Poema|Livro|Filme|Documentário|Recitação|Espetáculo|Peça|Intervenção|Desfile|Fotografia|Exposição|Charge|Grafite|Leitura pública|Fabricação de cachaça artesanal""),
  REGEXMA"&amp;"TCH(B126,""dança|teatral|artístico|musical|artística"")
),""Manifestação artístico-cultural"",
IF(OR(
  REGEXMATCH(B126,""Crônica|Série|Reportagem|Podcast|Audiotour|Entrevista|Vídeo|Rádio|Notícia|Artigo de opinião|Coletiva de imprensa""),
  REGEXMATCH(B12"&amp;"6,""midiática"")
),""Produção midiática"","""")))
"),"Produção midiática")</f>
        <v>Produção midiática</v>
      </c>
      <c r="E126" s="20" t="str">
        <f>IFERROR(__xludf.DUMMYFUNCTION("IF(B126="""","""",IF(OR(
  REGEXMATCH(B126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REGEXMATCH(B126,""público|Imediato|artística|teatral|memória|Ação popular"")
),""Público Imediato"",
IF(REGEXMATCH(B126,""Música|Álbum|Filme|Documentár"&amp;"io|Série|Podcast|Rádio|Audiotour|Entrevista|Reportagem|Crônica|Relatório|Abaixo-assinado|Manifesto|Petição|Poema|Livro|Fotografia|Curta|Live|Webinário|Charge|Leitura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26" s="20" t="str">
        <f>IFERROR(__xludf.DUMMYFUNCTION("IF(B126="""","""",IF(OR(
  REGEXMATCH(B126,""Live|Webinário|Virtual|Verbete""),
  REGEXMATCH(B126,""online"")
),""Virtual"",
IF(REGEXMATCH(B126,""Música|Álbum|Filme|Documentário|Série|Podcast|Rádio|Audiotour|Episódio|Reportagem|Curta|Charge|Vídeo|Entrevis"&amp;"ta|Notícia|Artigo de opinião""),
""Midiático"",
IF(REGEXMATCH(B126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26" s="21" t="str">
        <f>IFERROR(__xludf.DUMMYFUNCTION("IF(C126=""rememoração"", ""Insira a data manualmente"", IF(C126=""difusão"", 
 IF(NOT(ISERROR(REGEXEXTRACT(T126, ""(\d{1,2}) jan\. 2025""))), 
  TEXT(DATE(2025,1,REGEXEXTRACT(T126, ""(\d{1,2}) jan\. 2025"")), ""dd/mm/yyyy""),
 IF(NOT(ISERROR(REGEXEXTRACT("&amp;"T126, ""(\d{1,2}) fev\. 2025""))), 
  TEXT(DATE(2025,2,REGEXEXTRACT(T126, ""(\d{1,2}) fev\. 2025"")), ""dd/mm/yyyy""),
 IF(NOT(ISERROR(REGEXEXTRACT(T126, ""(\d{1,2}) mar\. 2025""))), 
  TEXT(DATE(2025,3,REGEXEXTRACT(T126, ""(\d{1,2}) mar\. 2025"")), ""dd/"&amp;"mm/yyyy""),
 IF(NOT(ISERROR(REGEXEXTRACT(T126, ""(\d{1,2}) abr\. 2025""))), 
  TEXT(DATE(2025,4,REGEXEXTRACT(T126, ""(\d{1,2}) abr\. 2025"")), ""dd/mm/yyyy""),
 IF(NOT(ISERROR(REGEXEXTRACT(T126, ""(\d{1,2}) (mai|maio)\. 2025""))), 
  TEXT(DATE(2025,5,REGE"&amp;"XEXTRACT(T126, ""(\d{1,2}) (mai|maio)\. 2025"")), ""dd/mm/yyyy""),
 IF(NOT(ISERROR(REGEXEXTRACT(T126, ""(\d{1,2}) jun\. 2025""))), 
  TEXT(DATE(2025,6,REGEXEXTRACT(T126, ""(\d{1,2}) jun\. 2025"")), ""dd/mm/yyyy""),
 IF(NOT(ISERROR(REGEXEXTRACT(T126, ""(\d"&amp;"{1,2}) jul\. 2025""))), 
  TEXT(DATE(2025,7,REGEXEXTRACT(T126, ""(\d{1,2}) jul\. 2025"")), ""dd/mm/yyyy""),
 IF(NOT(ISERROR(REGEXEXTRACT(T126, ""(\d{1,2}) ago\. 2025""))), 
  TEXT(DATE(2025,8,REGEXEXTRACT(T126, ""(\d{1,2}) ago\. 2025"")), ""dd/mm/yyyy""),"&amp;"
 IF(NOT(ISERROR(REGEXEXTRACT(T126, ""(\d{1,2}) set\. 2025""))), 
  TEXT(DATE(2025,9,REGEXEXTRACT(T126, ""(\d{1,2}) set\. 2025"")), ""dd/mm/yyyy""),
 IF(NOT(ISERROR(REGEXEXTRACT(T126, ""(\d{1,2}) out\. 2025""))), 
  TEXT(DATE(2025,10,REGEXEXTRACT(T126, """&amp;"(\d{1,2}) out\. 2025"")), ""dd/mm/yyyy""),
 IF(NOT(ISERROR(REGEXEXTRACT(T126, ""(\d{1,2}) nov\. 2025""))), 
  TEXT(DATE(2025,11,REGEXEXTRACT(T126, ""(\d{1,2}) nov\. 2025"")), ""dd/mm/yyyy""),
 IF(NOT(ISERROR(REGEXEXTRACT(T126, ""(\d{1,2}) dez\. 2025""))),"&amp;" 
  TEXT(DATE(2025,12,REGEXEXTRACT(T126, ""(\d{1,2}) dez\. 2025"")), ""dd/mm/yyyy""),
 ""Insira a data manualmente"")))))))))))), """"))"),"30/10/2025")</f>
        <v>30/10/2025</v>
      </c>
      <c r="H126" s="22">
        <f t="shared" si="1"/>
        <v>2025</v>
      </c>
      <c r="I126" s="18" t="str">
        <f>IFERROR(__xludf.DUMMYFUNCTION("IF(REGEXMATCH(T126,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IF(REGEXMATCH(T126, ""(?i)\bBrasília\b""), ""Distrito Federal, Brasil"",
REGEXEXTRACT(T126,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126" s="30" t="s">
        <v>48</v>
      </c>
      <c r="K126" s="24" t="s">
        <v>367</v>
      </c>
      <c r="L126" s="24" t="s">
        <v>26</v>
      </c>
      <c r="M126" s="25" t="s">
        <v>27</v>
      </c>
      <c r="N126" s="18" t="str">
        <f t="shared" si="8"/>
        <v>Folha de S. Paulo</v>
      </c>
      <c r="O126" s="17" t="s">
        <v>28</v>
      </c>
      <c r="P126" s="17" t="s">
        <v>251</v>
      </c>
      <c r="Q126" s="26">
        <v>45964.0</v>
      </c>
      <c r="R126" s="17" t="s">
        <v>37</v>
      </c>
      <c r="S126" s="27" t="str">
        <f t="shared" si="3"/>
        <v>Aqui</v>
      </c>
      <c r="T126" s="29" t="s">
        <v>368</v>
      </c>
      <c r="U126" s="29"/>
    </row>
    <row r="127">
      <c r="A127" s="16">
        <v>125.0</v>
      </c>
      <c r="B127" s="17" t="s">
        <v>23</v>
      </c>
      <c r="C127" s="18" t="str">
        <f>IFERROR(__xludf.DUMMYFUNCTION("IF(B127="""","""",IF(OR(
  REGEXMATCH(B127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REGEXMATCH(B127,""Notícia|Reportagem|Artigo de opinião|Verbete"")
),""Difusão"","""")))
"),"Difusão")</f>
        <v>Difusão</v>
      </c>
      <c r="D127" s="19" t="str">
        <f>IFERROR(__xludf.DUMMYFUNCTION("IF(B127="""","""",IF(OR(
  REGEXMATCH(B127,""Performance|Instalação|Álbum|Música|Poema|Livro|Filme|Documentário|Recitação|Espetáculo|Peça|Intervenção|Desfile|Fotografia|Exposição|Charge|Grafite|Leitura pública|Fabricação de cachaça artesanal""),
  REGEXMA"&amp;"TCH(B127,""dança|teatral|artístico|musical|artística"")
),""Manifestação artístico-cultural"",
IF(OR(
  REGEXMATCH(B127,""Crônica|Série|Reportagem|Podcast|Audiotour|Entrevista|Vídeo|Rádio|Notícia|Artigo de opinião|Coletiva de imprensa""),
  REGEXMATCH(B12"&amp;"7,""midiática"")
),""Produção midiática"","""")))
"),"Produção midiática")</f>
        <v>Produção midiática</v>
      </c>
      <c r="E127" s="20" t="str">
        <f>IFERROR(__xludf.DUMMYFUNCTION("IF(B127="""","""",IF(OR(
  REGEXMATCH(B127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REGEXMATCH(B127,""público|Imediato|artística|teatral|memória|Ação popular"")
),""Público Imediato"",
IF(REGEXMATCH(B127,""Música|Álbum|Filme|Documentár"&amp;"io|Série|Podcast|Rádio|Audiotour|Entrevista|Reportagem|Crônica|Relatório|Abaixo-assinado|Manifesto|Petição|Poema|Livro|Fotografia|Curta|Live|Webinário|Charge|Leitura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27" s="20" t="str">
        <f>IFERROR(__xludf.DUMMYFUNCTION("IF(B127="""","""",IF(OR(
  REGEXMATCH(B127,""Live|Webinário|Virtual|Verbete""),
  REGEXMATCH(B127,""online"")
),""Virtual"",
IF(REGEXMATCH(B127,""Música|Álbum|Filme|Documentário|Série|Podcast|Rádio|Audiotour|Episódio|Reportagem|Curta|Charge|Vídeo|Entrevis"&amp;"ta|Notícia|Artigo de opinião""),
""Midiático"",
IF(REGEXMATCH(B127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27" s="21" t="str">
        <f>IFERROR(__xludf.DUMMYFUNCTION("IF(C127=""rememoração"", ""Insira a data manualmente"", IF(C127=""difusão"", 
 IF(NOT(ISERROR(REGEXEXTRACT(T127, ""(\d{1,2}) jan\. 2025""))), 
  TEXT(DATE(2025,1,REGEXEXTRACT(T127, ""(\d{1,2}) jan\. 2025"")), ""dd/mm/yyyy""),
 IF(NOT(ISERROR(REGEXEXTRACT("&amp;"T127, ""(\d{1,2}) fev\. 2025""))), 
  TEXT(DATE(2025,2,REGEXEXTRACT(T127, ""(\d{1,2}) fev\. 2025"")), ""dd/mm/yyyy""),
 IF(NOT(ISERROR(REGEXEXTRACT(T127, ""(\d{1,2}) mar\. 2025""))), 
  TEXT(DATE(2025,3,REGEXEXTRACT(T127, ""(\d{1,2}) mar\. 2025"")), ""dd/"&amp;"mm/yyyy""),
 IF(NOT(ISERROR(REGEXEXTRACT(T127, ""(\d{1,2}) abr\. 2025""))), 
  TEXT(DATE(2025,4,REGEXEXTRACT(T127, ""(\d{1,2}) abr\. 2025"")), ""dd/mm/yyyy""),
 IF(NOT(ISERROR(REGEXEXTRACT(T127, ""(\d{1,2}) (mai|maio)\. 2025""))), 
  TEXT(DATE(2025,5,REGE"&amp;"XEXTRACT(T127, ""(\d{1,2}) (mai|maio)\. 2025"")), ""dd/mm/yyyy""),
 IF(NOT(ISERROR(REGEXEXTRACT(T127, ""(\d{1,2}) jun\. 2025""))), 
  TEXT(DATE(2025,6,REGEXEXTRACT(T127, ""(\d{1,2}) jun\. 2025"")), ""dd/mm/yyyy""),
 IF(NOT(ISERROR(REGEXEXTRACT(T127, ""(\d"&amp;"{1,2}) jul\. 2025""))), 
  TEXT(DATE(2025,7,REGEXEXTRACT(T127, ""(\d{1,2}) jul\. 2025"")), ""dd/mm/yyyy""),
 IF(NOT(ISERROR(REGEXEXTRACT(T127, ""(\d{1,2}) ago\. 2025""))), 
  TEXT(DATE(2025,8,REGEXEXTRACT(T127, ""(\d{1,2}) ago\. 2025"")), ""dd/mm/yyyy""),"&amp;"
 IF(NOT(ISERROR(REGEXEXTRACT(T127, ""(\d{1,2}) set\. 2025""))), 
  TEXT(DATE(2025,9,REGEXEXTRACT(T127, ""(\d{1,2}) set\. 2025"")), ""dd/mm/yyyy""),
 IF(NOT(ISERROR(REGEXEXTRACT(T127, ""(\d{1,2}) out\. 2025""))), 
  TEXT(DATE(2025,10,REGEXEXTRACT(T127, """&amp;"(\d{1,2}) out\. 2025"")), ""dd/mm/yyyy""),
 IF(NOT(ISERROR(REGEXEXTRACT(T127, ""(\d{1,2}) nov\. 2025""))), 
  TEXT(DATE(2025,11,REGEXEXTRACT(T127, ""(\d{1,2}) nov\. 2025"")), ""dd/mm/yyyy""),
 IF(NOT(ISERROR(REGEXEXTRACT(T127, ""(\d{1,2}) dez\. 2025""))),"&amp;" 
  TEXT(DATE(2025,12,REGEXEXTRACT(T127, ""(\d{1,2}) dez\. 2025"")), ""dd/mm/yyyy""),
 ""Insira a data manualmente"")))))))))))), """"))"),"31/10/2025")</f>
        <v>31/10/2025</v>
      </c>
      <c r="H127" s="22">
        <f t="shared" si="1"/>
        <v>2025</v>
      </c>
      <c r="I127" s="18" t="str">
        <f>IFERROR(__xludf.DUMMYFUNCTION("IF(REGEXMATCH(T127,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IF(REGEXMATCH(T127, ""(?i)\bBrasília\b""), ""Distrito Federal, Brasil"",
REGEXEXTRACT(T127,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127" s="30" t="s">
        <v>48</v>
      </c>
      <c r="K127" s="24" t="s">
        <v>369</v>
      </c>
      <c r="L127" s="24" t="s">
        <v>26</v>
      </c>
      <c r="M127" s="25" t="s">
        <v>27</v>
      </c>
      <c r="N127" s="18" t="str">
        <f t="shared" si="8"/>
        <v>Folha de S. Paulo</v>
      </c>
      <c r="O127" s="17" t="s">
        <v>28</v>
      </c>
      <c r="P127" s="17" t="s">
        <v>251</v>
      </c>
      <c r="Q127" s="26">
        <v>45964.0</v>
      </c>
      <c r="R127" s="17" t="s">
        <v>30</v>
      </c>
      <c r="S127" s="36" t="str">
        <f t="shared" si="3"/>
        <v>#VALUE!</v>
      </c>
      <c r="T127" s="29" t="s">
        <v>370</v>
      </c>
      <c r="U127" s="29"/>
    </row>
    <row r="128">
      <c r="A128" s="16">
        <v>126.0</v>
      </c>
      <c r="B128" s="17" t="s">
        <v>23</v>
      </c>
      <c r="C128" s="18" t="str">
        <f>IFERROR(__xludf.DUMMYFUNCTION("IF(B128="""","""",IF(OR(
  REGEXMATCH(B128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REGEXMATCH(B128,""Notícia|Reportagem|Artigo de opinião|Verbete"")
),""Difusão"","""")))
"),"Difusão")</f>
        <v>Difusão</v>
      </c>
      <c r="D128" s="19" t="str">
        <f>IFERROR(__xludf.DUMMYFUNCTION("IF(B128="""","""",IF(OR(
  REGEXMATCH(B128,""Performance|Instalação|Álbum|Música|Poema|Livro|Filme|Documentário|Recitação|Espetáculo|Peça|Intervenção|Desfile|Fotografia|Exposição|Charge|Grafite|Leitura pública|Fabricação de cachaça artesanal""),
  REGEXMA"&amp;"TCH(B128,""dança|teatral|artístico|musical|artística"")
),""Manifestação artístico-cultural"",
IF(OR(
  REGEXMATCH(B128,""Crônica|Série|Reportagem|Podcast|Audiotour|Entrevista|Vídeo|Rádio|Notícia|Artigo de opinião|Coletiva de imprensa""),
  REGEXMATCH(B12"&amp;"8,""midiática"")
),""Produção midiática"","""")))
"),"Produção midiática")</f>
        <v>Produção midiática</v>
      </c>
      <c r="E128" s="20" t="str">
        <f>IFERROR(__xludf.DUMMYFUNCTION("IF(B128="""","""",IF(OR(
  REGEXMATCH(B128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REGEXMATCH(B128,""público|Imediato|artística|teatral|memória|Ação popular"")
),""Público Imediato"",
IF(REGEXMATCH(B128,""Música|Álbum|Filme|Documentár"&amp;"io|Série|Podcast|Rádio|Audiotour|Entrevista|Reportagem|Crônica|Relatório|Abaixo-assinado|Manifesto|Petição|Poema|Livro|Fotografia|Curta|Live|Webinário|Charge|Leitura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28" s="20" t="str">
        <f>IFERROR(__xludf.DUMMYFUNCTION("IF(B128="""","""",IF(OR(
  REGEXMATCH(B128,""Live|Webinário|Virtual|Verbete""),
  REGEXMATCH(B128,""online"")
),""Virtual"",
IF(REGEXMATCH(B128,""Música|Álbum|Filme|Documentário|Série|Podcast|Rádio|Audiotour|Episódio|Reportagem|Curta|Charge|Vídeo|Entrevis"&amp;"ta|Notícia|Artigo de opinião""),
""Midiático"",
IF(REGEXMATCH(B128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28" s="21" t="str">
        <f>IFERROR(__xludf.DUMMYFUNCTION("IF(C128=""rememoração"", ""Insira a data manualmente"", IF(C128=""difusão"", 
 IF(NOT(ISERROR(REGEXEXTRACT(T128, ""(\d{1,2}) jan\. 2025""))), 
  TEXT(DATE(2025,1,REGEXEXTRACT(T128, ""(\d{1,2}) jan\. 2025"")), ""dd/mm/yyyy""),
 IF(NOT(ISERROR(REGEXEXTRACT("&amp;"T128, ""(\d{1,2}) fev\. 2025""))), 
  TEXT(DATE(2025,2,REGEXEXTRACT(T128, ""(\d{1,2}) fev\. 2025"")), ""dd/mm/yyyy""),
 IF(NOT(ISERROR(REGEXEXTRACT(T128, ""(\d{1,2}) mar\. 2025""))), 
  TEXT(DATE(2025,3,REGEXEXTRACT(T128, ""(\d{1,2}) mar\. 2025"")), ""dd/"&amp;"mm/yyyy""),
 IF(NOT(ISERROR(REGEXEXTRACT(T128, ""(\d{1,2}) abr\. 2025""))), 
  TEXT(DATE(2025,4,REGEXEXTRACT(T128, ""(\d{1,2}) abr\. 2025"")), ""dd/mm/yyyy""),
 IF(NOT(ISERROR(REGEXEXTRACT(T128, ""(\d{1,2}) (mai|maio)\. 2025""))), 
  TEXT(DATE(2025,5,REGE"&amp;"XEXTRACT(T128, ""(\d{1,2}) (mai|maio)\. 2025"")), ""dd/mm/yyyy""),
 IF(NOT(ISERROR(REGEXEXTRACT(T128, ""(\d{1,2}) jun\. 2025""))), 
  TEXT(DATE(2025,6,REGEXEXTRACT(T128, ""(\d{1,2}) jun\. 2025"")), ""dd/mm/yyyy""),
 IF(NOT(ISERROR(REGEXEXTRACT(T128, ""(\d"&amp;"{1,2}) jul\. 2025""))), 
  TEXT(DATE(2025,7,REGEXEXTRACT(T128, ""(\d{1,2}) jul\. 2025"")), ""dd/mm/yyyy""),
 IF(NOT(ISERROR(REGEXEXTRACT(T128, ""(\d{1,2}) ago\. 2025""))), 
  TEXT(DATE(2025,8,REGEXEXTRACT(T128, ""(\d{1,2}) ago\. 2025"")), ""dd/mm/yyyy""),"&amp;"
 IF(NOT(ISERROR(REGEXEXTRACT(T128, ""(\d{1,2}) set\. 2025""))), 
  TEXT(DATE(2025,9,REGEXEXTRACT(T128, ""(\d{1,2}) set\. 2025"")), ""dd/mm/yyyy""),
 IF(NOT(ISERROR(REGEXEXTRACT(T128, ""(\d{1,2}) out\. 2025""))), 
  TEXT(DATE(2025,10,REGEXEXTRACT(T128, """&amp;"(\d{1,2}) out\. 2025"")), ""dd/mm/yyyy""),
 IF(NOT(ISERROR(REGEXEXTRACT(T128, ""(\d{1,2}) nov\. 2025""))), 
  TEXT(DATE(2025,11,REGEXEXTRACT(T128, ""(\d{1,2}) nov\. 2025"")), ""dd/mm/yyyy""),
 IF(NOT(ISERROR(REGEXEXTRACT(T128, ""(\d{1,2}) dez\. 2025""))),"&amp;" 
  TEXT(DATE(2025,12,REGEXEXTRACT(T128, ""(\d{1,2}) dez\. 2025"")), ""dd/mm/yyyy""),
 ""Insira a data manualmente"")))))))))))), """"))"),"31/10/2025")</f>
        <v>31/10/2025</v>
      </c>
      <c r="H128" s="22">
        <f t="shared" si="1"/>
        <v>2025</v>
      </c>
      <c r="I128" s="18" t="str">
        <f>IFERROR(__xludf.DUMMYFUNCTION("IF(REGEXMATCH(T128,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IF(REGEXMATCH(T128, ""(?i)\bBrasília\b""), ""Distrito Federal, Brasil"",
REGEXEXTRACT(T128,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28" s="30" t="s">
        <v>32</v>
      </c>
      <c r="K128" s="24" t="s">
        <v>371</v>
      </c>
      <c r="L128" s="24" t="s">
        <v>26</v>
      </c>
      <c r="M128" s="25" t="s">
        <v>27</v>
      </c>
      <c r="N128" s="18" t="str">
        <f t="shared" si="8"/>
        <v>Agência Brasil</v>
      </c>
      <c r="O128" s="17" t="s">
        <v>28</v>
      </c>
      <c r="P128" s="17" t="s">
        <v>251</v>
      </c>
      <c r="Q128" s="26">
        <v>45964.0</v>
      </c>
      <c r="R128" s="17" t="s">
        <v>30</v>
      </c>
      <c r="S128" s="27" t="str">
        <f t="shared" si="3"/>
        <v>Aqui</v>
      </c>
      <c r="T128" s="29" t="s">
        <v>372</v>
      </c>
      <c r="U128" s="29"/>
    </row>
    <row r="129">
      <c r="A129" s="16">
        <v>127.0</v>
      </c>
      <c r="B129" s="17" t="s">
        <v>23</v>
      </c>
      <c r="C129" s="18" t="str">
        <f>IFERROR(__xludf.DUMMYFUNCTION("IF(B129="""","""",IF(OR(
  REGEXMATCH(B129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REGEXMATCH(B129,""Notícia|Reportagem|Artigo de opinião|Verbete"")
),""Difusão"","""")))
"),"Difusão")</f>
        <v>Difusão</v>
      </c>
      <c r="D129" s="19" t="str">
        <f>IFERROR(__xludf.DUMMYFUNCTION("IF(B129="""","""",IF(OR(
  REGEXMATCH(B129,""Performance|Instalação|Álbum|Música|Poema|Livro|Filme|Documentário|Recitação|Espetáculo|Peça|Intervenção|Desfile|Fotografia|Exposição|Charge|Grafite|Leitura pública|Fabricação de cachaça artesanal""),
  REGEXMA"&amp;"TCH(B129,""dança|teatral|artístico|musical|artística"")
),""Manifestação artístico-cultural"",
IF(OR(
  REGEXMATCH(B129,""Crônica|Série|Reportagem|Podcast|Audiotour|Entrevista|Vídeo|Rádio|Notícia|Artigo de opinião|Coletiva de imprensa""),
  REGEXMATCH(B12"&amp;"9,""midiática"")
),""Produção midiática"","""")))
"),"Produção midiática")</f>
        <v>Produção midiática</v>
      </c>
      <c r="E129" s="20" t="str">
        <f>IFERROR(__xludf.DUMMYFUNCTION("IF(B129="""","""",IF(OR(
  REGEXMATCH(B129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REGEXMATCH(B129,""público|Imediato|artística|teatral|memória|Ação popular"")
),""Público Imediato"",
IF(REGEXMATCH(B129,""Música|Álbum|Filme|Documentár"&amp;"io|Série|Podcast|Rádio|Audiotour|Entrevista|Reportagem|Crônica|Relatório|Abaixo-assinado|Manifesto|Petição|Poema|Livro|Fotografia|Curta|Live|Webinário|Charge|Leitura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29" s="20" t="str">
        <f>IFERROR(__xludf.DUMMYFUNCTION("IF(B129="""","""",IF(OR(
  REGEXMATCH(B129,""Live|Webinário|Virtual|Verbete""),
  REGEXMATCH(B129,""online"")
),""Virtual"",
IF(REGEXMATCH(B129,""Música|Álbum|Filme|Documentário|Série|Podcast|Rádio|Audiotour|Episódio|Reportagem|Curta|Charge|Vídeo|Entrevis"&amp;"ta|Notícia|Artigo de opinião""),
""Midiático"",
IF(REGEXMATCH(B129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29" s="21" t="str">
        <f>IFERROR(__xludf.DUMMYFUNCTION("IF(C129=""rememoração"", ""Insira a data manualmente"", IF(C129=""difusão"", 
 IF(NOT(ISERROR(REGEXEXTRACT(T129, ""(\d{1,2}) jan\. 2025""))), 
  TEXT(DATE(2025,1,REGEXEXTRACT(T129, ""(\d{1,2}) jan\. 2025"")), ""dd/mm/yyyy""),
 IF(NOT(ISERROR(REGEXEXTRACT("&amp;"T129, ""(\d{1,2}) fev\. 2025""))), 
  TEXT(DATE(2025,2,REGEXEXTRACT(T129, ""(\d{1,2}) fev\. 2025"")), ""dd/mm/yyyy""),
 IF(NOT(ISERROR(REGEXEXTRACT(T129, ""(\d{1,2}) mar\. 2025""))), 
  TEXT(DATE(2025,3,REGEXEXTRACT(T129, ""(\d{1,2}) mar\. 2025"")), ""dd/"&amp;"mm/yyyy""),
 IF(NOT(ISERROR(REGEXEXTRACT(T129, ""(\d{1,2}) abr\. 2025""))), 
  TEXT(DATE(2025,4,REGEXEXTRACT(T129, ""(\d{1,2}) abr\. 2025"")), ""dd/mm/yyyy""),
 IF(NOT(ISERROR(REGEXEXTRACT(T129, ""(\d{1,2}) (mai|maio)\. 2025""))), 
  TEXT(DATE(2025,5,REGE"&amp;"XEXTRACT(T129, ""(\d{1,2}) (mai|maio)\. 2025"")), ""dd/mm/yyyy""),
 IF(NOT(ISERROR(REGEXEXTRACT(T129, ""(\d{1,2}) jun\. 2025""))), 
  TEXT(DATE(2025,6,REGEXEXTRACT(T129, ""(\d{1,2}) jun\. 2025"")), ""dd/mm/yyyy""),
 IF(NOT(ISERROR(REGEXEXTRACT(T129, ""(\d"&amp;"{1,2}) jul\. 2025""))), 
  TEXT(DATE(2025,7,REGEXEXTRACT(T129, ""(\d{1,2}) jul\. 2025"")), ""dd/mm/yyyy""),
 IF(NOT(ISERROR(REGEXEXTRACT(T129, ""(\d{1,2}) ago\. 2025""))), 
  TEXT(DATE(2025,8,REGEXEXTRACT(T129, ""(\d{1,2}) ago\. 2025"")), ""dd/mm/yyyy""),"&amp;"
 IF(NOT(ISERROR(REGEXEXTRACT(T129, ""(\d{1,2}) set\. 2025""))), 
  TEXT(DATE(2025,9,REGEXEXTRACT(T129, ""(\d{1,2}) set\. 2025"")), ""dd/mm/yyyy""),
 IF(NOT(ISERROR(REGEXEXTRACT(T129, ""(\d{1,2}) out\. 2025""))), 
  TEXT(DATE(2025,10,REGEXEXTRACT(T129, """&amp;"(\d{1,2}) out\. 2025"")), ""dd/mm/yyyy""),
 IF(NOT(ISERROR(REGEXEXTRACT(T129, ""(\d{1,2}) nov\. 2025""))), 
  TEXT(DATE(2025,11,REGEXEXTRACT(T129, ""(\d{1,2}) nov\. 2025"")), ""dd/mm/yyyy""),
 IF(NOT(ISERROR(REGEXEXTRACT(T129, ""(\d{1,2}) dez\. 2025""))),"&amp;" 
  TEXT(DATE(2025,12,REGEXEXTRACT(T129, ""(\d{1,2}) dez\. 2025"")), ""dd/mm/yyyy""),
 ""Insira a data manualmente"")))))))))))), """"))"),"29/10/2025")</f>
        <v>29/10/2025</v>
      </c>
      <c r="H129" s="22">
        <f t="shared" si="1"/>
        <v>2025</v>
      </c>
      <c r="I129" s="18" t="str">
        <f>IFERROR(__xludf.DUMMYFUNCTION("IF(REGEXMATCH(T129,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IF(REGEXMATCH(T129, ""(?i)\bBrasília\b""), ""Distrito Federal, Brasil"",
REGEXEXTRACT(T129,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129" s="30" t="s">
        <v>32</v>
      </c>
      <c r="K129" s="24" t="s">
        <v>373</v>
      </c>
      <c r="L129" s="24" t="s">
        <v>26</v>
      </c>
      <c r="M129" s="25" t="s">
        <v>27</v>
      </c>
      <c r="N129" s="18" t="str">
        <f t="shared" si="8"/>
        <v>Agência Brasil</v>
      </c>
      <c r="O129" s="17" t="s">
        <v>28</v>
      </c>
      <c r="P129" s="17" t="s">
        <v>251</v>
      </c>
      <c r="Q129" s="26">
        <v>45964.0</v>
      </c>
      <c r="R129" s="17" t="s">
        <v>30</v>
      </c>
      <c r="S129" s="27" t="str">
        <f t="shared" si="3"/>
        <v>Aqui</v>
      </c>
      <c r="T129" s="29" t="s">
        <v>374</v>
      </c>
      <c r="U129" s="29"/>
    </row>
    <row r="130">
      <c r="A130" s="16">
        <v>128.0</v>
      </c>
      <c r="B130" s="17" t="s">
        <v>23</v>
      </c>
      <c r="C130" s="18" t="str">
        <f>IFERROR(__xludf.DUMMYFUNCTION("IF(B130="""","""",IF(OR(
  REGEXMATCH(B130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REGEXMATCH(B130,""Notícia|Reportagem|Artigo de opinião|Verbete"")
),""Difusão"","""")))
"),"Difusão")</f>
        <v>Difusão</v>
      </c>
      <c r="D130" s="19" t="str">
        <f>IFERROR(__xludf.DUMMYFUNCTION("IF(B130="""","""",IF(OR(
  REGEXMATCH(B130,""Performance|Instalação|Álbum|Música|Poema|Livro|Filme|Documentário|Recitação|Espetáculo|Peça|Intervenção|Desfile|Fotografia|Exposição|Charge|Grafite|Leitura pública|Fabricação de cachaça artesanal""),
  REGEXMA"&amp;"TCH(B130,""dança|teatral|artístico|musical|artística"")
),""Manifestação artístico-cultural"",
IF(OR(
  REGEXMATCH(B130,""Crônica|Série|Reportagem|Podcast|Audiotour|Entrevista|Vídeo|Rádio|Notícia|Artigo de opinião|Coletiva de imprensa""),
  REGEXMATCH(B13"&amp;"0,""midiática"")
),""Produção midiática"","""")))
"),"Produção midiática")</f>
        <v>Produção midiática</v>
      </c>
      <c r="E130" s="20" t="str">
        <f>IFERROR(__xludf.DUMMYFUNCTION("IF(B130="""","""",IF(OR(
  REGEXMATCH(B130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REGEXMATCH(B130,""público|Imediato|artística|teatral|memória|Ação popular"")
),""Público Imediato"",
IF(REGEXMATCH(B130,""Música|Álbum|Filme|Documentár"&amp;"io|Série|Podcast|Rádio|Audiotour|Entrevista|Reportagem|Crônica|Relatório|Abaixo-assinado|Manifesto|Petição|Poema|Livro|Fotografia|Curta|Live|Webinário|Charge|Leitura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30" s="20" t="str">
        <f>IFERROR(__xludf.DUMMYFUNCTION("IF(B130="""","""",IF(OR(
  REGEXMATCH(B130,""Live|Webinário|Virtual|Verbete""),
  REGEXMATCH(B130,""online"")
),""Virtual"",
IF(REGEXMATCH(B130,""Música|Álbum|Filme|Documentário|Série|Podcast|Rádio|Audiotour|Episódio|Reportagem|Curta|Charge|Vídeo|Entrevis"&amp;"ta|Notícia|Artigo de opinião""),
""Midiático"",
IF(REGEXMATCH(B130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30" s="21" t="str">
        <f>IFERROR(__xludf.DUMMYFUNCTION("IF(C130=""rememoração"", ""Insira a data manualmente"", IF(C130=""difusão"", 
 IF(NOT(ISERROR(REGEXEXTRACT(T130, ""(\d{1,2}) jan\. 2025""))), 
  TEXT(DATE(2025,1,REGEXEXTRACT(T130, ""(\d{1,2}) jan\. 2025"")), ""dd/mm/yyyy""),
 IF(NOT(ISERROR(REGEXEXTRACT("&amp;"T130, ""(\d{1,2}) fev\. 2025""))), 
  TEXT(DATE(2025,2,REGEXEXTRACT(T130, ""(\d{1,2}) fev\. 2025"")), ""dd/mm/yyyy""),
 IF(NOT(ISERROR(REGEXEXTRACT(T130, ""(\d{1,2}) mar\. 2025""))), 
  TEXT(DATE(2025,3,REGEXEXTRACT(T130, ""(\d{1,2}) mar\. 2025"")), ""dd/"&amp;"mm/yyyy""),
 IF(NOT(ISERROR(REGEXEXTRACT(T130, ""(\d{1,2}) abr\. 2025""))), 
  TEXT(DATE(2025,4,REGEXEXTRACT(T130, ""(\d{1,2}) abr\. 2025"")), ""dd/mm/yyyy""),
 IF(NOT(ISERROR(REGEXEXTRACT(T130, ""(\d{1,2}) (mai|maio)\. 2025""))), 
  TEXT(DATE(2025,5,REGE"&amp;"XEXTRACT(T130, ""(\d{1,2}) (mai|maio)\. 2025"")), ""dd/mm/yyyy""),
 IF(NOT(ISERROR(REGEXEXTRACT(T130, ""(\d{1,2}) jun\. 2025""))), 
  TEXT(DATE(2025,6,REGEXEXTRACT(T130, ""(\d{1,2}) jun\. 2025"")), ""dd/mm/yyyy""),
 IF(NOT(ISERROR(REGEXEXTRACT(T130, ""(\d"&amp;"{1,2}) jul\. 2025""))), 
  TEXT(DATE(2025,7,REGEXEXTRACT(T130, ""(\d{1,2}) jul\. 2025"")), ""dd/mm/yyyy""),
 IF(NOT(ISERROR(REGEXEXTRACT(T130, ""(\d{1,2}) ago\. 2025""))), 
  TEXT(DATE(2025,8,REGEXEXTRACT(T130, ""(\d{1,2}) ago\. 2025"")), ""dd/mm/yyyy""),"&amp;"
 IF(NOT(ISERROR(REGEXEXTRACT(T130, ""(\d{1,2}) set\. 2025""))), 
  TEXT(DATE(2025,9,REGEXEXTRACT(T130, ""(\d{1,2}) set\. 2025"")), ""dd/mm/yyyy""),
 IF(NOT(ISERROR(REGEXEXTRACT(T130, ""(\d{1,2}) out\. 2025""))), 
  TEXT(DATE(2025,10,REGEXEXTRACT(T130, """&amp;"(\d{1,2}) out\. 2025"")), ""dd/mm/yyyy""),
 IF(NOT(ISERROR(REGEXEXTRACT(T130, ""(\d{1,2}) nov\. 2025""))), 
  TEXT(DATE(2025,11,REGEXEXTRACT(T130, ""(\d{1,2}) nov\. 2025"")), ""dd/mm/yyyy""),
 IF(NOT(ISERROR(REGEXEXTRACT(T130, ""(\d{1,2}) dez\. 2025""))),"&amp;" 
  TEXT(DATE(2025,12,REGEXEXTRACT(T130, ""(\d{1,2}) dez\. 2025"")), ""dd/mm/yyyy""),
 ""Insira a data manualmente"")))))))))))), """"))"),"29/10/2025")</f>
        <v>29/10/2025</v>
      </c>
      <c r="H130" s="22">
        <f t="shared" si="1"/>
        <v>2025</v>
      </c>
      <c r="I130" s="18" t="str">
        <f>IFERROR(__xludf.DUMMYFUNCTION("IF(REGEXMATCH(T130,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IF(REGEXMATCH(T130, ""(?i)\bBrasília\b""), ""Distrito Federal, Brasil"",
REGEXEXTRACT(T130,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130" s="30" t="s">
        <v>32</v>
      </c>
      <c r="K130" s="24" t="s">
        <v>375</v>
      </c>
      <c r="L130" s="24" t="s">
        <v>26</v>
      </c>
      <c r="M130" s="25" t="s">
        <v>27</v>
      </c>
      <c r="N130" s="18" t="str">
        <f t="shared" si="8"/>
        <v>Agência Brasil</v>
      </c>
      <c r="O130" s="17" t="s">
        <v>28</v>
      </c>
      <c r="P130" s="17" t="s">
        <v>251</v>
      </c>
      <c r="Q130" s="26">
        <v>45964.0</v>
      </c>
      <c r="R130" s="17" t="s">
        <v>30</v>
      </c>
      <c r="S130" s="27" t="str">
        <f t="shared" si="3"/>
        <v>Aqui</v>
      </c>
      <c r="T130" s="29" t="s">
        <v>376</v>
      </c>
      <c r="U130" s="29"/>
    </row>
    <row r="131">
      <c r="A131" s="16">
        <v>129.0</v>
      </c>
      <c r="B131" s="17" t="s">
        <v>23</v>
      </c>
      <c r="C131" s="18" t="str">
        <f>IFERROR(__xludf.DUMMYFUNCTION("IF(B131="""","""",IF(OR(
  REGEXMATCH(B131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REGEXMATCH(B131,""Notícia|Reportagem|Artigo de opinião|Verbete"")
),""Difusão"","""")))
"),"Difusão")</f>
        <v>Difusão</v>
      </c>
      <c r="D131" s="19" t="str">
        <f>IFERROR(__xludf.DUMMYFUNCTION("IF(B131="""","""",IF(OR(
  REGEXMATCH(B131,""Performance|Instalação|Álbum|Música|Poema|Livro|Filme|Documentário|Recitação|Espetáculo|Peça|Intervenção|Desfile|Fotografia|Exposição|Charge|Grafite|Leitura pública|Fabricação de cachaça artesanal""),
  REGEXMA"&amp;"TCH(B131,""dança|teatral|artístico|musical|artística"")
),""Manifestação artístico-cultural"",
IF(OR(
  REGEXMATCH(B131,""Crônica|Série|Reportagem|Podcast|Audiotour|Entrevista|Vídeo|Rádio|Notícia|Artigo de opinião|Coletiva de imprensa""),
  REGEXMATCH(B13"&amp;"1,""midiática"")
),""Produção midiática"","""")))
"),"Produção midiática")</f>
        <v>Produção midiática</v>
      </c>
      <c r="E131" s="20" t="str">
        <f>IFERROR(__xludf.DUMMYFUNCTION("IF(B131="""","""",IF(OR(
  REGEXMATCH(B131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REGEXMATCH(B131,""público|Imediato|artística|teatral|memória|Ação popular"")
),""Público Imediato"",
IF(REGEXMATCH(B131,""Música|Álbum|Filme|Documentár"&amp;"io|Série|Podcast|Rádio|Audiotour|Entrevista|Reportagem|Crônica|Relatório|Abaixo-assinado|Manifesto|Petição|Poema|Livro|Fotografia|Curta|Live|Webinário|Charge|Leitura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31" s="20" t="str">
        <f>IFERROR(__xludf.DUMMYFUNCTION("IF(B131="""","""",IF(OR(
  REGEXMATCH(B131,""Live|Webinário|Virtual|Verbete""),
  REGEXMATCH(B131,""online"")
),""Virtual"",
IF(REGEXMATCH(B131,""Música|Álbum|Filme|Documentário|Série|Podcast|Rádio|Audiotour|Episódio|Reportagem|Curta|Charge|Vídeo|Entrevis"&amp;"ta|Notícia|Artigo de opinião""),
""Midiático"",
IF(REGEXMATCH(B131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31" s="21" t="str">
        <f>IFERROR(__xludf.DUMMYFUNCTION("IF(C131=""rememoração"", ""Insira a data manualmente"", IF(C131=""difusão"", 
 IF(NOT(ISERROR(REGEXEXTRACT(T131, ""(\d{1,2}) jan\. 2025""))), 
  TEXT(DATE(2025,1,REGEXEXTRACT(T131, ""(\d{1,2}) jan\. 2025"")), ""dd/mm/yyyy""),
 IF(NOT(ISERROR(REGEXEXTRACT("&amp;"T131, ""(\d{1,2}) fev\. 2025""))), 
  TEXT(DATE(2025,2,REGEXEXTRACT(T131, ""(\d{1,2}) fev\. 2025"")), ""dd/mm/yyyy""),
 IF(NOT(ISERROR(REGEXEXTRACT(T131, ""(\d{1,2}) mar\. 2025""))), 
  TEXT(DATE(2025,3,REGEXEXTRACT(T131, ""(\d{1,2}) mar\. 2025"")), ""dd/"&amp;"mm/yyyy""),
 IF(NOT(ISERROR(REGEXEXTRACT(T131, ""(\d{1,2}) abr\. 2025""))), 
  TEXT(DATE(2025,4,REGEXEXTRACT(T131, ""(\d{1,2}) abr\. 2025"")), ""dd/mm/yyyy""),
 IF(NOT(ISERROR(REGEXEXTRACT(T131, ""(\d{1,2}) (mai|maio)\. 2025""))), 
  TEXT(DATE(2025,5,REGE"&amp;"XEXTRACT(T131, ""(\d{1,2}) (mai|maio)\. 2025"")), ""dd/mm/yyyy""),
 IF(NOT(ISERROR(REGEXEXTRACT(T131, ""(\d{1,2}) jun\. 2025""))), 
  TEXT(DATE(2025,6,REGEXEXTRACT(T131, ""(\d{1,2}) jun\. 2025"")), ""dd/mm/yyyy""),
 IF(NOT(ISERROR(REGEXEXTRACT(T131, ""(\d"&amp;"{1,2}) jul\. 2025""))), 
  TEXT(DATE(2025,7,REGEXEXTRACT(T131, ""(\d{1,2}) jul\. 2025"")), ""dd/mm/yyyy""),
 IF(NOT(ISERROR(REGEXEXTRACT(T131, ""(\d{1,2}) ago\. 2025""))), 
  TEXT(DATE(2025,8,REGEXEXTRACT(T131, ""(\d{1,2}) ago\. 2025"")), ""dd/mm/yyyy""),"&amp;"
 IF(NOT(ISERROR(REGEXEXTRACT(T131, ""(\d{1,2}) set\. 2025""))), 
  TEXT(DATE(2025,9,REGEXEXTRACT(T131, ""(\d{1,2}) set\. 2025"")), ""dd/mm/yyyy""),
 IF(NOT(ISERROR(REGEXEXTRACT(T131, ""(\d{1,2}) out\. 2025""))), 
  TEXT(DATE(2025,10,REGEXEXTRACT(T131, """&amp;"(\d{1,2}) out\. 2025"")), ""dd/mm/yyyy""),
 IF(NOT(ISERROR(REGEXEXTRACT(T131, ""(\d{1,2}) nov\. 2025""))), 
  TEXT(DATE(2025,11,REGEXEXTRACT(T131, ""(\d{1,2}) nov\. 2025"")), ""dd/mm/yyyy""),
 IF(NOT(ISERROR(REGEXEXTRACT(T131, ""(\d{1,2}) dez\. 2025""))),"&amp;" 
  TEXT(DATE(2025,12,REGEXEXTRACT(T131, ""(\d{1,2}) dez\. 2025"")), ""dd/mm/yyyy""),
 ""Insira a data manualmente"")))))))))))), """"))"),"01/11/2025")</f>
        <v>01/11/2025</v>
      </c>
      <c r="H131" s="22">
        <f t="shared" si="1"/>
        <v>2025</v>
      </c>
      <c r="I131" s="18" t="str">
        <f>IFERROR(__xludf.DUMMYFUNCTION("IF(REGEXMATCH(T131,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IF(REGEXMATCH(T131, ""(?i)\bBrasília\b""), ""Distrito Federal, Brasil"",
REGEXEXTRACT(T131,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31" s="30" t="s">
        <v>32</v>
      </c>
      <c r="K131" s="24" t="s">
        <v>377</v>
      </c>
      <c r="L131" s="24" t="s">
        <v>26</v>
      </c>
      <c r="M131" s="25" t="s">
        <v>27</v>
      </c>
      <c r="N131" s="18" t="str">
        <f t="shared" si="8"/>
        <v>Agência Brasil</v>
      </c>
      <c r="O131" s="17" t="s">
        <v>28</v>
      </c>
      <c r="P131" s="17" t="s">
        <v>251</v>
      </c>
      <c r="Q131" s="26">
        <v>45964.0</v>
      </c>
      <c r="R131" s="17" t="s">
        <v>30</v>
      </c>
      <c r="S131" s="27" t="str">
        <f t="shared" si="3"/>
        <v>Aqui</v>
      </c>
      <c r="T131" s="29" t="s">
        <v>378</v>
      </c>
      <c r="U131" s="29"/>
    </row>
    <row r="132">
      <c r="A132" s="16">
        <v>130.0</v>
      </c>
      <c r="B132" s="17" t="s">
        <v>23</v>
      </c>
      <c r="C132" s="18" t="str">
        <f>IFERROR(__xludf.DUMMYFUNCTION("IF(B132="""","""",IF(OR(
  REGEXMATCH(B132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REGEXMATCH(B132,""Notícia|Reportagem|Artigo de opinião|Verbete"")
),""Difusão"","""")))
"),"Difusão")</f>
        <v>Difusão</v>
      </c>
      <c r="D132" s="19" t="str">
        <f>IFERROR(__xludf.DUMMYFUNCTION("IF(B132="""","""",IF(OR(
  REGEXMATCH(B132,""Performance|Instalação|Álbum|Música|Poema|Livro|Filme|Documentário|Recitação|Espetáculo|Peça|Intervenção|Desfile|Fotografia|Exposição|Charge|Grafite|Leitura pública|Fabricação de cachaça artesanal""),
  REGEXMA"&amp;"TCH(B132,""dança|teatral|artístico|musical|artística"")
),""Manifestação artístico-cultural"",
IF(OR(
  REGEXMATCH(B132,""Crônica|Série|Reportagem|Podcast|Audiotour|Entrevista|Vídeo|Rádio|Notícia|Artigo de opinião|Coletiva de imprensa""),
  REGEXMATCH(B13"&amp;"2,""midiática"")
),""Produção midiática"","""")))
"),"Produção midiática")</f>
        <v>Produção midiática</v>
      </c>
      <c r="E132" s="20" t="str">
        <f>IFERROR(__xludf.DUMMYFUNCTION("IF(B132="""","""",IF(OR(
  REGEXMATCH(B132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REGEXMATCH(B132,""público|Imediato|artística|teatral|memória|Ação popular"")
),""Público Imediato"",
IF(REGEXMATCH(B132,""Música|Álbum|Filme|Documentár"&amp;"io|Série|Podcast|Rádio|Audiotour|Entrevista|Reportagem|Crônica|Relatório|Abaixo-assinado|Manifesto|Petição|Poema|Livro|Fotografia|Curta|Live|Webinário|Charge|Leitura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32" s="20" t="str">
        <f>IFERROR(__xludf.DUMMYFUNCTION("IF(B132="""","""",IF(OR(
  REGEXMATCH(B132,""Live|Webinário|Virtual|Verbete""),
  REGEXMATCH(B132,""online"")
),""Virtual"",
IF(REGEXMATCH(B132,""Música|Álbum|Filme|Documentário|Série|Podcast|Rádio|Audiotour|Episódio|Reportagem|Curta|Charge|Vídeo|Entrevis"&amp;"ta|Notícia|Artigo de opinião""),
""Midiático"",
IF(REGEXMATCH(B132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32" s="21" t="str">
        <f>IFERROR(__xludf.DUMMYFUNCTION("IF(C132=""rememoração"", ""Insira a data manualmente"", IF(C132=""difusão"", 
 IF(NOT(ISERROR(REGEXEXTRACT(T132, ""(\d{1,2}) jan\. 2025""))), 
  TEXT(DATE(2025,1,REGEXEXTRACT(T132, ""(\d{1,2}) jan\. 2025"")), ""dd/mm/yyyy""),
 IF(NOT(ISERROR(REGEXEXTRACT("&amp;"T132, ""(\d{1,2}) fev\. 2025""))), 
  TEXT(DATE(2025,2,REGEXEXTRACT(T132, ""(\d{1,2}) fev\. 2025"")), ""dd/mm/yyyy""),
 IF(NOT(ISERROR(REGEXEXTRACT(T132, ""(\d{1,2}) mar\. 2025""))), 
  TEXT(DATE(2025,3,REGEXEXTRACT(T132, ""(\d{1,2}) mar\. 2025"")), ""dd/"&amp;"mm/yyyy""),
 IF(NOT(ISERROR(REGEXEXTRACT(T132, ""(\d{1,2}) abr\. 2025""))), 
  TEXT(DATE(2025,4,REGEXEXTRACT(T132, ""(\d{1,2}) abr\. 2025"")), ""dd/mm/yyyy""),
 IF(NOT(ISERROR(REGEXEXTRACT(T132, ""(\d{1,2}) (mai|maio)\. 2025""))), 
  TEXT(DATE(2025,5,REGE"&amp;"XEXTRACT(T132, ""(\d{1,2}) (mai|maio)\. 2025"")), ""dd/mm/yyyy""),
 IF(NOT(ISERROR(REGEXEXTRACT(T132, ""(\d{1,2}) jun\. 2025""))), 
  TEXT(DATE(2025,6,REGEXEXTRACT(T132, ""(\d{1,2}) jun\. 2025"")), ""dd/mm/yyyy""),
 IF(NOT(ISERROR(REGEXEXTRACT(T132, ""(\d"&amp;"{1,2}) jul\. 2025""))), 
  TEXT(DATE(2025,7,REGEXEXTRACT(T132, ""(\d{1,2}) jul\. 2025"")), ""dd/mm/yyyy""),
 IF(NOT(ISERROR(REGEXEXTRACT(T132, ""(\d{1,2}) ago\. 2025""))), 
  TEXT(DATE(2025,8,REGEXEXTRACT(T132, ""(\d{1,2}) ago\. 2025"")), ""dd/mm/yyyy""),"&amp;"
 IF(NOT(ISERROR(REGEXEXTRACT(T132, ""(\d{1,2}) set\. 2025""))), 
  TEXT(DATE(2025,9,REGEXEXTRACT(T132, ""(\d{1,2}) set\. 2025"")), ""dd/mm/yyyy""),
 IF(NOT(ISERROR(REGEXEXTRACT(T132, ""(\d{1,2}) out\. 2025""))), 
  TEXT(DATE(2025,10,REGEXEXTRACT(T132, """&amp;"(\d{1,2}) out\. 2025"")), ""dd/mm/yyyy""),
 IF(NOT(ISERROR(REGEXEXTRACT(T132, ""(\d{1,2}) nov\. 2025""))), 
  TEXT(DATE(2025,11,REGEXEXTRACT(T132, ""(\d{1,2}) nov\. 2025"")), ""dd/mm/yyyy""),
 IF(NOT(ISERROR(REGEXEXTRACT(T132, ""(\d{1,2}) dez\. 2025""))),"&amp;" 
  TEXT(DATE(2025,12,REGEXEXTRACT(T132, ""(\d{1,2}) dez\. 2025"")), ""dd/mm/yyyy""),
 ""Insira a data manualmente"")))))))))))), """"))"),"28/10/2025")</f>
        <v>28/10/2025</v>
      </c>
      <c r="H132" s="22">
        <f t="shared" si="1"/>
        <v>2025</v>
      </c>
      <c r="I132" s="18" t="str">
        <f>IFERROR(__xludf.DUMMYFUNCTION("IF(REGEXMATCH(T132,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IF(REGEXMATCH(T132, ""(?i)\bBrasília\b""), ""Distrito Federal, Brasil"",
REGEXEXTRACT(T132,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32" s="30" t="s">
        <v>273</v>
      </c>
      <c r="K132" s="24" t="s">
        <v>379</v>
      </c>
      <c r="L132" s="24" t="s">
        <v>26</v>
      </c>
      <c r="M132" s="25" t="s">
        <v>27</v>
      </c>
      <c r="N132" s="18" t="str">
        <f t="shared" si="8"/>
        <v>CNN Brasil</v>
      </c>
      <c r="O132" s="17" t="s">
        <v>28</v>
      </c>
      <c r="P132" s="17" t="s">
        <v>251</v>
      </c>
      <c r="Q132" s="26">
        <v>45964.0</v>
      </c>
      <c r="R132" s="17" t="s">
        <v>30</v>
      </c>
      <c r="S132" s="36" t="str">
        <f t="shared" si="3"/>
        <v>#VALUE!</v>
      </c>
      <c r="T132" s="29" t="s">
        <v>380</v>
      </c>
      <c r="U132" s="29"/>
    </row>
    <row r="133">
      <c r="A133" s="16">
        <v>131.0</v>
      </c>
      <c r="B133" s="17" t="s">
        <v>23</v>
      </c>
      <c r="C133" s="18" t="str">
        <f>IFERROR(__xludf.DUMMYFUNCTION("IF(B133="""","""",IF(OR(
  REGEXMATCH(B133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REGEXMATCH(B133,""Notícia|Reportagem|Artigo de opinião|Verbete"")
),""Difusão"","""")))
"),"Difusão")</f>
        <v>Difusão</v>
      </c>
      <c r="D133" s="19" t="str">
        <f>IFERROR(__xludf.DUMMYFUNCTION("IF(B133="""","""",IF(OR(
  REGEXMATCH(B133,""Performance|Instalação|Álbum|Música|Poema|Livro|Filme|Documentário|Recitação|Espetáculo|Peça|Intervenção|Desfile|Fotografia|Exposição|Charge|Grafite|Leitura pública|Fabricação de cachaça artesanal""),
  REGEXMA"&amp;"TCH(B133,""dança|teatral|artístico|musical|artística"")
),""Manifestação artístico-cultural"",
IF(OR(
  REGEXMATCH(B133,""Crônica|Série|Reportagem|Podcast|Audiotour|Entrevista|Vídeo|Rádio|Notícia|Artigo de opinião|Coletiva de imprensa""),
  REGEXMATCH(B13"&amp;"3,""midiática"")
),""Produção midiática"","""")))
"),"Produção midiática")</f>
        <v>Produção midiática</v>
      </c>
      <c r="E133" s="20" t="str">
        <f>IFERROR(__xludf.DUMMYFUNCTION("IF(B133="""","""",IF(OR(
  REGEXMATCH(B133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REGEXMATCH(B133,""público|Imediato|artística|teatral|memória|Ação popular"")
),""Público Imediato"",
IF(REGEXMATCH(B133,""Música|Álbum|Filme|Documentár"&amp;"io|Série|Podcast|Rádio|Audiotour|Entrevista|Reportagem|Crônica|Relatório|Abaixo-assinado|Manifesto|Petição|Poema|Livro|Fotografia|Curta|Live|Webinário|Charge|Leitura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33" s="20" t="str">
        <f>IFERROR(__xludf.DUMMYFUNCTION("IF(B133="""","""",IF(OR(
  REGEXMATCH(B133,""Live|Webinário|Virtual|Verbete""),
  REGEXMATCH(B133,""online"")
),""Virtual"",
IF(REGEXMATCH(B133,""Música|Álbum|Filme|Documentário|Série|Podcast|Rádio|Audiotour|Episódio|Reportagem|Curta|Charge|Vídeo|Entrevis"&amp;"ta|Notícia|Artigo de opinião""),
""Midiático"",
IF(REGEXMATCH(B133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33" s="21" t="str">
        <f>IFERROR(__xludf.DUMMYFUNCTION("IF(C133=""rememoração"", ""Insira a data manualmente"", IF(C133=""difusão"", 
 IF(NOT(ISERROR(REGEXEXTRACT(T133, ""(\d{1,2}) jan\. 2025""))), 
  TEXT(DATE(2025,1,REGEXEXTRACT(T133, ""(\d{1,2}) jan\. 2025"")), ""dd/mm/yyyy""),
 IF(NOT(ISERROR(REGEXEXTRACT("&amp;"T133, ""(\d{1,2}) fev\. 2025""))), 
  TEXT(DATE(2025,2,REGEXEXTRACT(T133, ""(\d{1,2}) fev\. 2025"")), ""dd/mm/yyyy""),
 IF(NOT(ISERROR(REGEXEXTRACT(T133, ""(\d{1,2}) mar\. 2025""))), 
  TEXT(DATE(2025,3,REGEXEXTRACT(T133, ""(\d{1,2}) mar\. 2025"")), ""dd/"&amp;"mm/yyyy""),
 IF(NOT(ISERROR(REGEXEXTRACT(T133, ""(\d{1,2}) abr\. 2025""))), 
  TEXT(DATE(2025,4,REGEXEXTRACT(T133, ""(\d{1,2}) abr\. 2025"")), ""dd/mm/yyyy""),
 IF(NOT(ISERROR(REGEXEXTRACT(T133, ""(\d{1,2}) (mai|maio)\. 2025""))), 
  TEXT(DATE(2025,5,REGE"&amp;"XEXTRACT(T133, ""(\d{1,2}) (mai|maio)\. 2025"")), ""dd/mm/yyyy""),
 IF(NOT(ISERROR(REGEXEXTRACT(T133, ""(\d{1,2}) jun\. 2025""))), 
  TEXT(DATE(2025,6,REGEXEXTRACT(T133, ""(\d{1,2}) jun\. 2025"")), ""dd/mm/yyyy""),
 IF(NOT(ISERROR(REGEXEXTRACT(T133, ""(\d"&amp;"{1,2}) jul\. 2025""))), 
  TEXT(DATE(2025,7,REGEXEXTRACT(T133, ""(\d{1,2}) jul\. 2025"")), ""dd/mm/yyyy""),
 IF(NOT(ISERROR(REGEXEXTRACT(T133, ""(\d{1,2}) ago\. 2025""))), 
  TEXT(DATE(2025,8,REGEXEXTRACT(T133, ""(\d{1,2}) ago\. 2025"")), ""dd/mm/yyyy""),"&amp;"
 IF(NOT(ISERROR(REGEXEXTRACT(T133, ""(\d{1,2}) set\. 2025""))), 
  TEXT(DATE(2025,9,REGEXEXTRACT(T133, ""(\d{1,2}) set\. 2025"")), ""dd/mm/yyyy""),
 IF(NOT(ISERROR(REGEXEXTRACT(T133, ""(\d{1,2}) out\. 2025""))), 
  TEXT(DATE(2025,10,REGEXEXTRACT(T133, """&amp;"(\d{1,2}) out\. 2025"")), ""dd/mm/yyyy""),
 IF(NOT(ISERROR(REGEXEXTRACT(T133, ""(\d{1,2}) nov\. 2025""))), 
  TEXT(DATE(2025,11,REGEXEXTRACT(T133, ""(\d{1,2}) nov\. 2025"")), ""dd/mm/yyyy""),
 IF(NOT(ISERROR(REGEXEXTRACT(T133, ""(\d{1,2}) dez\. 2025""))),"&amp;" 
  TEXT(DATE(2025,12,REGEXEXTRACT(T133, ""(\d{1,2}) dez\. 2025"")), ""dd/mm/yyyy""),
 ""Insira a data manualmente"")))))))))))), """"))"),"30/10/2025")</f>
        <v>30/10/2025</v>
      </c>
      <c r="H133" s="22">
        <f t="shared" si="1"/>
        <v>2025</v>
      </c>
      <c r="I133" s="18" t="str">
        <f>IFERROR(__xludf.DUMMYFUNCTION("IF(REGEXMATCH(T133,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IF(REGEXMATCH(T133, ""(?i)\bBrasília\b""), ""Distrito Federal, Brasil"",
REGEXEXTRACT(T133,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133" s="30" t="s">
        <v>32</v>
      </c>
      <c r="K133" s="24" t="s">
        <v>381</v>
      </c>
      <c r="L133" s="24" t="s">
        <v>26</v>
      </c>
      <c r="M133" s="25" t="s">
        <v>27</v>
      </c>
      <c r="N133" s="18" t="str">
        <f t="shared" si="8"/>
        <v>Agência Brasil</v>
      </c>
      <c r="O133" s="17" t="s">
        <v>28</v>
      </c>
      <c r="P133" s="17" t="s">
        <v>251</v>
      </c>
      <c r="Q133" s="26">
        <v>45964.0</v>
      </c>
      <c r="R133" s="17" t="s">
        <v>30</v>
      </c>
      <c r="S133" s="27" t="str">
        <f t="shared" si="3"/>
        <v>Aqui</v>
      </c>
      <c r="T133" s="29" t="s">
        <v>382</v>
      </c>
      <c r="U133" s="29"/>
    </row>
    <row r="134">
      <c r="A134" s="16">
        <v>132.0</v>
      </c>
      <c r="B134" s="17" t="s">
        <v>23</v>
      </c>
      <c r="C134" s="18" t="str">
        <f>IFERROR(__xludf.DUMMYFUNCTION("IF(B134="""","""",IF(OR(
  REGEXMATCH(B134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REGEXMATCH(B134,""Notícia|Reportagem|Artigo de opinião|Verbete"")
),""Difusão"","""")))
"),"Difusão")</f>
        <v>Difusão</v>
      </c>
      <c r="D134" s="19" t="str">
        <f>IFERROR(__xludf.DUMMYFUNCTION("IF(B134="""","""",IF(OR(
  REGEXMATCH(B134,""Performance|Instalação|Álbum|Música|Poema|Livro|Filme|Documentário|Recitação|Espetáculo|Peça|Intervenção|Desfile|Fotografia|Exposição|Charge|Grafite|Leitura pública|Fabricação de cachaça artesanal""),
  REGEXMA"&amp;"TCH(B134,""dança|teatral|artístico|musical|artística"")
),""Manifestação artístico-cultural"",
IF(OR(
  REGEXMATCH(B134,""Crônica|Série|Reportagem|Podcast|Audiotour|Entrevista|Vídeo|Rádio|Notícia|Artigo de opinião|Coletiva de imprensa""),
  REGEXMATCH(B13"&amp;"4,""midiática"")
),""Produção midiática"","""")))
"),"Produção midiática")</f>
        <v>Produção midiática</v>
      </c>
      <c r="E134" s="20" t="str">
        <f>IFERROR(__xludf.DUMMYFUNCTION("IF(B134="""","""",IF(OR(
  REGEXMATCH(B134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REGEXMATCH(B134,""público|Imediato|artística|teatral|memória|Ação popular"")
),""Público Imediato"",
IF(REGEXMATCH(B134,""Música|Álbum|Filme|Documentár"&amp;"io|Série|Podcast|Rádio|Audiotour|Entrevista|Reportagem|Crônica|Relatório|Abaixo-assinado|Manifesto|Petição|Poema|Livro|Fotografia|Curta|Live|Webinário|Charge|Leitura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34" s="20" t="str">
        <f>IFERROR(__xludf.DUMMYFUNCTION("IF(B134="""","""",IF(OR(
  REGEXMATCH(B134,""Live|Webinário|Virtual|Verbete""),
  REGEXMATCH(B134,""online"")
),""Virtual"",
IF(REGEXMATCH(B134,""Música|Álbum|Filme|Documentário|Série|Podcast|Rádio|Audiotour|Episódio|Reportagem|Curta|Charge|Vídeo|Entrevis"&amp;"ta|Notícia|Artigo de opinião""),
""Midiático"",
IF(REGEXMATCH(B134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34" s="21" t="str">
        <f>IFERROR(__xludf.DUMMYFUNCTION("IF(C134=""rememoração"", ""Insira a data manualmente"", IF(C134=""difusão"", 
 IF(NOT(ISERROR(REGEXEXTRACT(T134, ""(\d{1,2}) jan\. 2025""))), 
  TEXT(DATE(2025,1,REGEXEXTRACT(T134, ""(\d{1,2}) jan\. 2025"")), ""dd/mm/yyyy""),
 IF(NOT(ISERROR(REGEXEXTRACT("&amp;"T134, ""(\d{1,2}) fev\. 2025""))), 
  TEXT(DATE(2025,2,REGEXEXTRACT(T134, ""(\d{1,2}) fev\. 2025"")), ""dd/mm/yyyy""),
 IF(NOT(ISERROR(REGEXEXTRACT(T134, ""(\d{1,2}) mar\. 2025""))), 
  TEXT(DATE(2025,3,REGEXEXTRACT(T134, ""(\d{1,2}) mar\. 2025"")), ""dd/"&amp;"mm/yyyy""),
 IF(NOT(ISERROR(REGEXEXTRACT(T134, ""(\d{1,2}) abr\. 2025""))), 
  TEXT(DATE(2025,4,REGEXEXTRACT(T134, ""(\d{1,2}) abr\. 2025"")), ""dd/mm/yyyy""),
 IF(NOT(ISERROR(REGEXEXTRACT(T134, ""(\d{1,2}) (mai|maio)\. 2025""))), 
  TEXT(DATE(2025,5,REGE"&amp;"XEXTRACT(T134, ""(\d{1,2}) (mai|maio)\. 2025"")), ""dd/mm/yyyy""),
 IF(NOT(ISERROR(REGEXEXTRACT(T134, ""(\d{1,2}) jun\. 2025""))), 
  TEXT(DATE(2025,6,REGEXEXTRACT(T134, ""(\d{1,2}) jun\. 2025"")), ""dd/mm/yyyy""),
 IF(NOT(ISERROR(REGEXEXTRACT(T134, ""(\d"&amp;"{1,2}) jul\. 2025""))), 
  TEXT(DATE(2025,7,REGEXEXTRACT(T134, ""(\d{1,2}) jul\. 2025"")), ""dd/mm/yyyy""),
 IF(NOT(ISERROR(REGEXEXTRACT(T134, ""(\d{1,2}) ago\. 2025""))), 
  TEXT(DATE(2025,8,REGEXEXTRACT(T134, ""(\d{1,2}) ago\. 2025"")), ""dd/mm/yyyy""),"&amp;"
 IF(NOT(ISERROR(REGEXEXTRACT(T134, ""(\d{1,2}) set\. 2025""))), 
  TEXT(DATE(2025,9,REGEXEXTRACT(T134, ""(\d{1,2}) set\. 2025"")), ""dd/mm/yyyy""),
 IF(NOT(ISERROR(REGEXEXTRACT(T134, ""(\d{1,2}) out\. 2025""))), 
  TEXT(DATE(2025,10,REGEXEXTRACT(T134, """&amp;"(\d{1,2}) out\. 2025"")), ""dd/mm/yyyy""),
 IF(NOT(ISERROR(REGEXEXTRACT(T134, ""(\d{1,2}) nov\. 2025""))), 
  TEXT(DATE(2025,11,REGEXEXTRACT(T134, ""(\d{1,2}) nov\. 2025"")), ""dd/mm/yyyy""),
 IF(NOT(ISERROR(REGEXEXTRACT(T134, ""(\d{1,2}) dez\. 2025""))),"&amp;" 
  TEXT(DATE(2025,12,REGEXEXTRACT(T134, ""(\d{1,2}) dez\. 2025"")), ""dd/mm/yyyy""),
 ""Insira a data manualmente"")))))))))))), """"))"),"29/10/2025")</f>
        <v>29/10/2025</v>
      </c>
      <c r="H134" s="22">
        <f t="shared" si="1"/>
        <v>2025</v>
      </c>
      <c r="I134" s="18" t="str">
        <f>IFERROR(__xludf.DUMMYFUNCTION("IF(REGEXMATCH(T134,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IF(REGEXMATCH(T134, ""(?i)\bBrasília\b""), ""Distrito Federal, Brasil"",
REGEXEXTRACT(T134,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34" s="30" t="s">
        <v>383</v>
      </c>
      <c r="K134" s="24" t="s">
        <v>384</v>
      </c>
      <c r="L134" s="24" t="s">
        <v>26</v>
      </c>
      <c r="M134" s="25" t="s">
        <v>27</v>
      </c>
      <c r="N134" s="18" t="str">
        <f t="shared" si="8"/>
        <v>Assembleia Legislativa do Estado do Rio de Janeiro (ALERJ)</v>
      </c>
      <c r="O134" s="17" t="s">
        <v>28</v>
      </c>
      <c r="P134" s="17" t="s">
        <v>251</v>
      </c>
      <c r="Q134" s="26">
        <v>45964.0</v>
      </c>
      <c r="R134" s="17" t="s">
        <v>30</v>
      </c>
      <c r="S134" s="27" t="str">
        <f t="shared" si="3"/>
        <v>Aqui</v>
      </c>
      <c r="T134" s="29" t="s">
        <v>385</v>
      </c>
      <c r="U134" s="29"/>
    </row>
    <row r="135">
      <c r="A135" s="16">
        <v>133.0</v>
      </c>
      <c r="B135" s="17" t="s">
        <v>23</v>
      </c>
      <c r="C135" s="18" t="str">
        <f>IFERROR(__xludf.DUMMYFUNCTION("IF(B135="""","""",IF(OR(
  REGEXMATCH(B135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REGEXMATCH(B135,""Notícia|Reportagem|Artigo de opinião|Verbete"")
),""Difusão"","""")))
"),"Difusão")</f>
        <v>Difusão</v>
      </c>
      <c r="D135" s="19" t="str">
        <f>IFERROR(__xludf.DUMMYFUNCTION("IF(B135="""","""",IF(OR(
  REGEXMATCH(B135,""Performance|Instalação|Álbum|Música|Poema|Livro|Filme|Documentário|Recitação|Espetáculo|Peça|Intervenção|Desfile|Fotografia|Exposição|Charge|Grafite|Leitura pública|Fabricação de cachaça artesanal""),
  REGEXMA"&amp;"TCH(B135,""dança|teatral|artístico|musical|artística"")
),""Manifestação artístico-cultural"",
IF(OR(
  REGEXMATCH(B135,""Crônica|Série|Reportagem|Podcast|Audiotour|Entrevista|Vídeo|Rádio|Notícia|Artigo de opinião|Coletiva de imprensa""),
  REGEXMATCH(B13"&amp;"5,""midiática"")
),""Produção midiática"","""")))
"),"Produção midiática")</f>
        <v>Produção midiática</v>
      </c>
      <c r="E135" s="20" t="str">
        <f>IFERROR(__xludf.DUMMYFUNCTION("IF(B135="""","""",IF(OR(
  REGEXMATCH(B135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REGEXMATCH(B135,""público|Imediato|artística|teatral|memória|Ação popular"")
),""Público Imediato"",
IF(REGEXMATCH(B135,""Música|Álbum|Filme|Documentár"&amp;"io|Série|Podcast|Rádio|Audiotour|Entrevista|Reportagem|Crônica|Relatório|Abaixo-assinado|Manifesto|Petição|Poema|Livro|Fotografia|Curta|Live|Webinário|Charge|Leitura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35" s="20" t="str">
        <f>IFERROR(__xludf.DUMMYFUNCTION("IF(B135="""","""",IF(OR(
  REGEXMATCH(B135,""Live|Webinário|Virtual|Verbete""),
  REGEXMATCH(B135,""online"")
),""Virtual"",
IF(REGEXMATCH(B135,""Música|Álbum|Filme|Documentário|Série|Podcast|Rádio|Audiotour|Episódio|Reportagem|Curta|Charge|Vídeo|Entrevis"&amp;"ta|Notícia|Artigo de opinião""),
""Midiático"",
IF(REGEXMATCH(B135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35" s="21" t="str">
        <f>IFERROR(__xludf.DUMMYFUNCTION("IF(C135=""rememoração"", ""Insira a data manualmente"", IF(C135=""difusão"", 
 IF(NOT(ISERROR(REGEXEXTRACT(T135, ""(\d{1,2}) jan\. 2025""))), 
  TEXT(DATE(2025,1,REGEXEXTRACT(T135, ""(\d{1,2}) jan\. 2025"")), ""dd/mm/yyyy""),
 IF(NOT(ISERROR(REGEXEXTRACT("&amp;"T135, ""(\d{1,2}) fev\. 2025""))), 
  TEXT(DATE(2025,2,REGEXEXTRACT(T135, ""(\d{1,2}) fev\. 2025"")), ""dd/mm/yyyy""),
 IF(NOT(ISERROR(REGEXEXTRACT(T135, ""(\d{1,2}) mar\. 2025""))), 
  TEXT(DATE(2025,3,REGEXEXTRACT(T135, ""(\d{1,2}) mar\. 2025"")), ""dd/"&amp;"mm/yyyy""),
 IF(NOT(ISERROR(REGEXEXTRACT(T135, ""(\d{1,2}) abr\. 2025""))), 
  TEXT(DATE(2025,4,REGEXEXTRACT(T135, ""(\d{1,2}) abr\. 2025"")), ""dd/mm/yyyy""),
 IF(NOT(ISERROR(REGEXEXTRACT(T135, ""(\d{1,2}) (mai|maio)\. 2025""))), 
  TEXT(DATE(2025,5,REGE"&amp;"XEXTRACT(T135, ""(\d{1,2}) (mai|maio)\. 2025"")), ""dd/mm/yyyy""),
 IF(NOT(ISERROR(REGEXEXTRACT(T135, ""(\d{1,2}) jun\. 2025""))), 
  TEXT(DATE(2025,6,REGEXEXTRACT(T135, ""(\d{1,2}) jun\. 2025"")), ""dd/mm/yyyy""),
 IF(NOT(ISERROR(REGEXEXTRACT(T135, ""(\d"&amp;"{1,2}) jul\. 2025""))), 
  TEXT(DATE(2025,7,REGEXEXTRACT(T135, ""(\d{1,2}) jul\. 2025"")), ""dd/mm/yyyy""),
 IF(NOT(ISERROR(REGEXEXTRACT(T135, ""(\d{1,2}) ago\. 2025""))), 
  TEXT(DATE(2025,8,REGEXEXTRACT(T135, ""(\d{1,2}) ago\. 2025"")), ""dd/mm/yyyy""),"&amp;"
 IF(NOT(ISERROR(REGEXEXTRACT(T135, ""(\d{1,2}) set\. 2025""))), 
  TEXT(DATE(2025,9,REGEXEXTRACT(T135, ""(\d{1,2}) set\. 2025"")), ""dd/mm/yyyy""),
 IF(NOT(ISERROR(REGEXEXTRACT(T135, ""(\d{1,2}) out\. 2025""))), 
  TEXT(DATE(2025,10,REGEXEXTRACT(T135, """&amp;"(\d{1,2}) out\. 2025"")), ""dd/mm/yyyy""),
 IF(NOT(ISERROR(REGEXEXTRACT(T135, ""(\d{1,2}) nov\. 2025""))), 
  TEXT(DATE(2025,11,REGEXEXTRACT(T135, ""(\d{1,2}) nov\. 2025"")), ""dd/mm/yyyy""),
 IF(NOT(ISERROR(REGEXEXTRACT(T135, ""(\d{1,2}) dez\. 2025""))),"&amp;" 
  TEXT(DATE(2025,12,REGEXEXTRACT(T135, ""(\d{1,2}) dez\. 2025"")), ""dd/mm/yyyy""),
 ""Insira a data manualmente"")))))))))))), """"))"),"01/11/2025")</f>
        <v>01/11/2025</v>
      </c>
      <c r="H135" s="22">
        <f t="shared" si="1"/>
        <v>2025</v>
      </c>
      <c r="I135" s="18" t="str">
        <f>IFERROR(__xludf.DUMMYFUNCTION("IF(REGEXMATCH(T135,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IF(REGEXMATCH(T135, ""(?i)\bBrasília\b""), ""Distrito Federal, Brasil"",
REGEXEXTRACT(T135,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35" s="30" t="s">
        <v>32</v>
      </c>
      <c r="K135" s="24" t="s">
        <v>386</v>
      </c>
      <c r="L135" s="24" t="s">
        <v>26</v>
      </c>
      <c r="M135" s="25" t="s">
        <v>27</v>
      </c>
      <c r="N135" s="18" t="str">
        <f t="shared" si="8"/>
        <v>Agência Brasil</v>
      </c>
      <c r="O135" s="17" t="s">
        <v>28</v>
      </c>
      <c r="P135" s="17" t="s">
        <v>251</v>
      </c>
      <c r="Q135" s="26">
        <v>45964.0</v>
      </c>
      <c r="R135" s="17" t="s">
        <v>30</v>
      </c>
      <c r="S135" s="27" t="str">
        <f t="shared" si="3"/>
        <v>Aqui</v>
      </c>
      <c r="T135" s="29" t="s">
        <v>387</v>
      </c>
      <c r="U135" s="29"/>
    </row>
    <row r="136">
      <c r="A136" s="16">
        <v>134.0</v>
      </c>
      <c r="B136" s="17" t="s">
        <v>23</v>
      </c>
      <c r="C136" s="18" t="str">
        <f>IFERROR(__xludf.DUMMYFUNCTION("IF(B136="""","""",IF(OR(
  REGEXMATCH(B136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REGEXMATCH(B136,""Notícia|Reportagem|Artigo de opinião|Verbete"")
),""Difusão"","""")))
"),"Difusão")</f>
        <v>Difusão</v>
      </c>
      <c r="D136" s="19" t="str">
        <f>IFERROR(__xludf.DUMMYFUNCTION("IF(B136="""","""",IF(OR(
  REGEXMATCH(B136,""Performance|Instalação|Álbum|Música|Poema|Livro|Filme|Documentário|Recitação|Espetáculo|Peça|Intervenção|Desfile|Fotografia|Exposição|Charge|Grafite|Leitura pública|Fabricação de cachaça artesanal""),
  REGEXMA"&amp;"TCH(B136,""dança|teatral|artístico|musical|artística"")
),""Manifestação artístico-cultural"",
IF(OR(
  REGEXMATCH(B136,""Crônica|Série|Reportagem|Podcast|Audiotour|Entrevista|Vídeo|Rádio|Notícia|Artigo de opinião|Coletiva de imprensa""),
  REGEXMATCH(B13"&amp;"6,""midiática"")
),""Produção midiática"","""")))
"),"Produção midiática")</f>
        <v>Produção midiática</v>
      </c>
      <c r="E136" s="20" t="str">
        <f>IFERROR(__xludf.DUMMYFUNCTION("IF(B136="""","""",IF(OR(
  REGEXMATCH(B136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REGEXMATCH(B136,""público|Imediato|artística|teatral|memória|Ação popular"")
),""Público Imediato"",
IF(REGEXMATCH(B136,""Música|Álbum|Filme|Documentár"&amp;"io|Série|Podcast|Rádio|Audiotour|Entrevista|Reportagem|Crônica|Relatório|Abaixo-assinado|Manifesto|Petição|Poema|Livro|Fotografia|Curta|Live|Webinário|Charge|Leitura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36" s="20" t="str">
        <f>IFERROR(__xludf.DUMMYFUNCTION("IF(B136="""","""",IF(OR(
  REGEXMATCH(B136,""Live|Webinário|Virtual|Verbete""),
  REGEXMATCH(B136,""online"")
),""Virtual"",
IF(REGEXMATCH(B136,""Música|Álbum|Filme|Documentário|Série|Podcast|Rádio|Audiotour|Episódio|Reportagem|Curta|Charge|Vídeo|Entrevis"&amp;"ta|Notícia|Artigo de opinião""),
""Midiático"",
IF(REGEXMATCH(B136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36" s="21" t="str">
        <f>IFERROR(__xludf.DUMMYFUNCTION("IF(C136=""rememoração"", ""Insira a data manualmente"", IF(C136=""difusão"", 
 IF(NOT(ISERROR(REGEXEXTRACT(T136, ""(\d{1,2}) jan\. 2025""))), 
  TEXT(DATE(2025,1,REGEXEXTRACT(T136, ""(\d{1,2}) jan\. 2025"")), ""dd/mm/yyyy""),
 IF(NOT(ISERROR(REGEXEXTRACT("&amp;"T136, ""(\d{1,2}) fev\. 2025""))), 
  TEXT(DATE(2025,2,REGEXEXTRACT(T136, ""(\d{1,2}) fev\. 2025"")), ""dd/mm/yyyy""),
 IF(NOT(ISERROR(REGEXEXTRACT(T136, ""(\d{1,2}) mar\. 2025""))), 
  TEXT(DATE(2025,3,REGEXEXTRACT(T136, ""(\d{1,2}) mar\. 2025"")), ""dd/"&amp;"mm/yyyy""),
 IF(NOT(ISERROR(REGEXEXTRACT(T136, ""(\d{1,2}) abr\. 2025""))), 
  TEXT(DATE(2025,4,REGEXEXTRACT(T136, ""(\d{1,2}) abr\. 2025"")), ""dd/mm/yyyy""),
 IF(NOT(ISERROR(REGEXEXTRACT(T136, ""(\d{1,2}) (mai|maio)\. 2025""))), 
  TEXT(DATE(2025,5,REGE"&amp;"XEXTRACT(T136, ""(\d{1,2}) (mai|maio)\. 2025"")), ""dd/mm/yyyy""),
 IF(NOT(ISERROR(REGEXEXTRACT(T136, ""(\d{1,2}) jun\. 2025""))), 
  TEXT(DATE(2025,6,REGEXEXTRACT(T136, ""(\d{1,2}) jun\. 2025"")), ""dd/mm/yyyy""),
 IF(NOT(ISERROR(REGEXEXTRACT(T136, ""(\d"&amp;"{1,2}) jul\. 2025""))), 
  TEXT(DATE(2025,7,REGEXEXTRACT(T136, ""(\d{1,2}) jul\. 2025"")), ""dd/mm/yyyy""),
 IF(NOT(ISERROR(REGEXEXTRACT(T136, ""(\d{1,2}) ago\. 2025""))), 
  TEXT(DATE(2025,8,REGEXEXTRACT(T136, ""(\d{1,2}) ago\. 2025"")), ""dd/mm/yyyy""),"&amp;"
 IF(NOT(ISERROR(REGEXEXTRACT(T136, ""(\d{1,2}) set\. 2025""))), 
  TEXT(DATE(2025,9,REGEXEXTRACT(T136, ""(\d{1,2}) set\. 2025"")), ""dd/mm/yyyy""),
 IF(NOT(ISERROR(REGEXEXTRACT(T136, ""(\d{1,2}) out\. 2025""))), 
  TEXT(DATE(2025,10,REGEXEXTRACT(T136, """&amp;"(\d{1,2}) out\. 2025"")), ""dd/mm/yyyy""),
 IF(NOT(ISERROR(REGEXEXTRACT(T136, ""(\d{1,2}) nov\. 2025""))), 
  TEXT(DATE(2025,11,REGEXEXTRACT(T136, ""(\d{1,2}) nov\. 2025"")), ""dd/mm/yyyy""),
 IF(NOT(ISERROR(REGEXEXTRACT(T136, ""(\d{1,2}) dez\. 2025""))),"&amp;" 
  TEXT(DATE(2025,12,REGEXEXTRACT(T136, ""(\d{1,2}) dez\. 2025"")), ""dd/mm/yyyy""),
 ""Insira a data manualmente"")))))))))))), """"))"),"31/10/2025")</f>
        <v>31/10/2025</v>
      </c>
      <c r="H136" s="22">
        <f t="shared" si="1"/>
        <v>2025</v>
      </c>
      <c r="I136" s="18" t="s">
        <v>298</v>
      </c>
      <c r="J136" s="30" t="s">
        <v>93</v>
      </c>
      <c r="K136" s="24" t="s">
        <v>388</v>
      </c>
      <c r="L136" s="24" t="s">
        <v>26</v>
      </c>
      <c r="M136" s="25" t="s">
        <v>27</v>
      </c>
      <c r="N136" s="18" t="str">
        <f t="shared" si="8"/>
        <v>Gazeta do Povo</v>
      </c>
      <c r="O136" s="17" t="s">
        <v>28</v>
      </c>
      <c r="P136" s="17" t="s">
        <v>251</v>
      </c>
      <c r="Q136" s="26">
        <v>45964.0</v>
      </c>
      <c r="R136" s="17" t="s">
        <v>37</v>
      </c>
      <c r="S136" s="27" t="str">
        <f t="shared" si="3"/>
        <v>Aqui</v>
      </c>
      <c r="T136" s="29" t="s">
        <v>389</v>
      </c>
      <c r="U136" s="29"/>
    </row>
    <row r="137">
      <c r="A137" s="16">
        <v>135.0</v>
      </c>
      <c r="B137" s="17" t="s">
        <v>23</v>
      </c>
      <c r="C137" s="18" t="str">
        <f>IFERROR(__xludf.DUMMYFUNCTION("IF(B137="""","""",IF(OR(
  REGEXMATCH(B137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REGEXMATCH(B137,""Notícia|Reportagem|Artigo de opinião|Verbete"")
),""Difusão"","""")))
"),"Difusão")</f>
        <v>Difusão</v>
      </c>
      <c r="D137" s="19" t="str">
        <f>IFERROR(__xludf.DUMMYFUNCTION("IF(B137="""","""",IF(OR(
  REGEXMATCH(B137,""Performance|Instalação|Álbum|Música|Poema|Livro|Filme|Documentário|Recitação|Espetáculo|Peça|Intervenção|Desfile|Fotografia|Exposição|Charge|Grafite|Leitura pública|Fabricação de cachaça artesanal""),
  REGEXMA"&amp;"TCH(B137,""dança|teatral|artístico|musical|artística"")
),""Manifestação artístico-cultural"",
IF(OR(
  REGEXMATCH(B137,""Crônica|Série|Reportagem|Podcast|Audiotour|Entrevista|Vídeo|Rádio|Notícia|Artigo de opinião|Coletiva de imprensa""),
  REGEXMATCH(B13"&amp;"7,""midiática"")
),""Produção midiática"","""")))
"),"Produção midiática")</f>
        <v>Produção midiática</v>
      </c>
      <c r="E137" s="20" t="str">
        <f>IFERROR(__xludf.DUMMYFUNCTION("IF(B137="""","""",IF(OR(
  REGEXMATCH(B137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REGEXMATCH(B137,""público|Imediato|artística|teatral|memória|Ação popular"")
),""Público Imediato"",
IF(REGEXMATCH(B137,""Música|Álbum|Filme|Documentár"&amp;"io|Série|Podcast|Rádio|Audiotour|Entrevista|Reportagem|Crônica|Relatório|Abaixo-assinado|Manifesto|Petição|Poema|Livro|Fotografia|Curta|Live|Webinário|Charge|Leitura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37" s="20" t="str">
        <f>IFERROR(__xludf.DUMMYFUNCTION("IF(B137="""","""",IF(OR(
  REGEXMATCH(B137,""Live|Webinário|Virtual|Verbete""),
  REGEXMATCH(B137,""online"")
),""Virtual"",
IF(REGEXMATCH(B137,""Música|Álbum|Filme|Documentário|Série|Podcast|Rádio|Audiotour|Episódio|Reportagem|Curta|Charge|Vídeo|Entrevis"&amp;"ta|Notícia|Artigo de opinião""),
""Midiático"",
IF(REGEXMATCH(B137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37" s="21" t="str">
        <f>IFERROR(__xludf.DUMMYFUNCTION("IF(C137=""rememoração"", ""Insira a data manualmente"", IF(C137=""difusão"", 
 IF(NOT(ISERROR(REGEXEXTRACT(T137, ""(\d{1,2}) jan\. 2025""))), 
  TEXT(DATE(2025,1,REGEXEXTRACT(T137, ""(\d{1,2}) jan\. 2025"")), ""dd/mm/yyyy""),
 IF(NOT(ISERROR(REGEXEXTRACT("&amp;"T137, ""(\d{1,2}) fev\. 2025""))), 
  TEXT(DATE(2025,2,REGEXEXTRACT(T137, ""(\d{1,2}) fev\. 2025"")), ""dd/mm/yyyy""),
 IF(NOT(ISERROR(REGEXEXTRACT(T137, ""(\d{1,2}) mar\. 2025""))), 
  TEXT(DATE(2025,3,REGEXEXTRACT(T137, ""(\d{1,2}) mar\. 2025"")), ""dd/"&amp;"mm/yyyy""),
 IF(NOT(ISERROR(REGEXEXTRACT(T137, ""(\d{1,2}) abr\. 2025""))), 
  TEXT(DATE(2025,4,REGEXEXTRACT(T137, ""(\d{1,2}) abr\. 2025"")), ""dd/mm/yyyy""),
 IF(NOT(ISERROR(REGEXEXTRACT(T137, ""(\d{1,2}) (mai|maio)\. 2025""))), 
  TEXT(DATE(2025,5,REGE"&amp;"XEXTRACT(T137, ""(\d{1,2}) (mai|maio)\. 2025"")), ""dd/mm/yyyy""),
 IF(NOT(ISERROR(REGEXEXTRACT(T137, ""(\d{1,2}) jun\. 2025""))), 
  TEXT(DATE(2025,6,REGEXEXTRACT(T137, ""(\d{1,2}) jun\. 2025"")), ""dd/mm/yyyy""),
 IF(NOT(ISERROR(REGEXEXTRACT(T137, ""(\d"&amp;"{1,2}) jul\. 2025""))), 
  TEXT(DATE(2025,7,REGEXEXTRACT(T137, ""(\d{1,2}) jul\. 2025"")), ""dd/mm/yyyy""),
 IF(NOT(ISERROR(REGEXEXTRACT(T137, ""(\d{1,2}) ago\. 2025""))), 
  TEXT(DATE(2025,8,REGEXEXTRACT(T137, ""(\d{1,2}) ago\. 2025"")), ""dd/mm/yyyy""),"&amp;"
 IF(NOT(ISERROR(REGEXEXTRACT(T137, ""(\d{1,2}) set\. 2025""))), 
  TEXT(DATE(2025,9,REGEXEXTRACT(T137, ""(\d{1,2}) set\. 2025"")), ""dd/mm/yyyy""),
 IF(NOT(ISERROR(REGEXEXTRACT(T137, ""(\d{1,2}) out\. 2025""))), 
  TEXT(DATE(2025,10,REGEXEXTRACT(T137, """&amp;"(\d{1,2}) out\. 2025"")), ""dd/mm/yyyy""),
 IF(NOT(ISERROR(REGEXEXTRACT(T137, ""(\d{1,2}) nov\. 2025""))), 
  TEXT(DATE(2025,11,REGEXEXTRACT(T137, ""(\d{1,2}) nov\. 2025"")), ""dd/mm/yyyy""),
 IF(NOT(ISERROR(REGEXEXTRACT(T137, ""(\d{1,2}) dez\. 2025""))),"&amp;" 
  TEXT(DATE(2025,12,REGEXEXTRACT(T137, ""(\d{1,2}) dez\. 2025"")), ""dd/mm/yyyy""),
 ""Insira a data manualmente"")))))))))))), """"))"),"02/11/2025")</f>
        <v>02/11/2025</v>
      </c>
      <c r="H137" s="22">
        <f t="shared" si="1"/>
        <v>2025</v>
      </c>
      <c r="I137" s="18" t="s">
        <v>298</v>
      </c>
      <c r="J137" s="30" t="s">
        <v>93</v>
      </c>
      <c r="K137" s="24" t="s">
        <v>390</v>
      </c>
      <c r="L137" s="24" t="s">
        <v>26</v>
      </c>
      <c r="M137" s="25" t="s">
        <v>27</v>
      </c>
      <c r="N137" s="18" t="str">
        <f t="shared" si="8"/>
        <v>Gazeta do Povo</v>
      </c>
      <c r="O137" s="17" t="s">
        <v>28</v>
      </c>
      <c r="P137" s="17" t="s">
        <v>251</v>
      </c>
      <c r="Q137" s="26">
        <v>45964.0</v>
      </c>
      <c r="R137" s="17" t="s">
        <v>37</v>
      </c>
      <c r="S137" s="27" t="str">
        <f t="shared" si="3"/>
        <v>Aqui</v>
      </c>
      <c r="T137" s="29" t="s">
        <v>391</v>
      </c>
      <c r="U137" s="29"/>
    </row>
    <row r="138">
      <c r="A138" s="16">
        <v>136.0</v>
      </c>
      <c r="B138" s="17" t="s">
        <v>23</v>
      </c>
      <c r="C138" s="18" t="str">
        <f>IFERROR(__xludf.DUMMYFUNCTION("IF(B138="""","""",IF(OR(
  REGEXMATCH(B138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REGEXMATCH(B138,""Notícia|Reportagem|Artigo de opinião|Verbete"")
),""Difusão"","""")))
"),"Difusão")</f>
        <v>Difusão</v>
      </c>
      <c r="D138" s="19" t="str">
        <f>IFERROR(__xludf.DUMMYFUNCTION("IF(B138="""","""",IF(OR(
  REGEXMATCH(B138,""Performance|Instalação|Álbum|Música|Poema|Livro|Filme|Documentário|Recitação|Espetáculo|Peça|Intervenção|Desfile|Fotografia|Exposição|Charge|Grafite|Leitura pública|Fabricação de cachaça artesanal""),
  REGEXMA"&amp;"TCH(B138,""dança|teatral|artístico|musical|artística"")
),""Manifestação artístico-cultural"",
IF(OR(
  REGEXMATCH(B138,""Crônica|Série|Reportagem|Podcast|Audiotour|Entrevista|Vídeo|Rádio|Notícia|Artigo de opinião|Coletiva de imprensa""),
  REGEXMATCH(B13"&amp;"8,""midiática"")
),""Produção midiática"","""")))
"),"Produção midiática")</f>
        <v>Produção midiática</v>
      </c>
      <c r="E138" s="20" t="str">
        <f>IFERROR(__xludf.DUMMYFUNCTION("IF(B138="""","""",IF(OR(
  REGEXMATCH(B138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REGEXMATCH(B138,""público|Imediato|artística|teatral|memória|Ação popular"")
),""Público Imediato"",
IF(REGEXMATCH(B138,""Música|Álbum|Filme|Documentár"&amp;"io|Série|Podcast|Rádio|Audiotour|Entrevista|Reportagem|Crônica|Relatório|Abaixo-assinado|Manifesto|Petição|Poema|Livro|Fotografia|Curta|Live|Webinário|Charge|Leitura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38" s="20" t="str">
        <f>IFERROR(__xludf.DUMMYFUNCTION("IF(B138="""","""",IF(OR(
  REGEXMATCH(B138,""Live|Webinário|Virtual|Verbete""),
  REGEXMATCH(B138,""online"")
),""Virtual"",
IF(REGEXMATCH(B138,""Música|Álbum|Filme|Documentário|Série|Podcast|Rádio|Audiotour|Episódio|Reportagem|Curta|Charge|Vídeo|Entrevis"&amp;"ta|Notícia|Artigo de opinião""),
""Midiático"",
IF(REGEXMATCH(B138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38" s="21" t="str">
        <f>IFERROR(__xludf.DUMMYFUNCTION("IF(C138=""rememoração"", ""Insira a data manualmente"", IF(C138=""difusão"", 
 IF(NOT(ISERROR(REGEXEXTRACT(T138, ""(\d{1,2}) jan\. 2025""))), 
  TEXT(DATE(2025,1,REGEXEXTRACT(T138, ""(\d{1,2}) jan\. 2025"")), ""dd/mm/yyyy""),
 IF(NOT(ISERROR(REGEXEXTRACT("&amp;"T138, ""(\d{1,2}) fev\. 2025""))), 
  TEXT(DATE(2025,2,REGEXEXTRACT(T138, ""(\d{1,2}) fev\. 2025"")), ""dd/mm/yyyy""),
 IF(NOT(ISERROR(REGEXEXTRACT(T138, ""(\d{1,2}) mar\. 2025""))), 
  TEXT(DATE(2025,3,REGEXEXTRACT(T138, ""(\d{1,2}) mar\. 2025"")), ""dd/"&amp;"mm/yyyy""),
 IF(NOT(ISERROR(REGEXEXTRACT(T138, ""(\d{1,2}) abr\. 2025""))), 
  TEXT(DATE(2025,4,REGEXEXTRACT(T138, ""(\d{1,2}) abr\. 2025"")), ""dd/mm/yyyy""),
 IF(NOT(ISERROR(REGEXEXTRACT(T138, ""(\d{1,2}) (mai|maio)\. 2025""))), 
  TEXT(DATE(2025,5,REGE"&amp;"XEXTRACT(T138, ""(\d{1,2}) (mai|maio)\. 2025"")), ""dd/mm/yyyy""),
 IF(NOT(ISERROR(REGEXEXTRACT(T138, ""(\d{1,2}) jun\. 2025""))), 
  TEXT(DATE(2025,6,REGEXEXTRACT(T138, ""(\d{1,2}) jun\. 2025"")), ""dd/mm/yyyy""),
 IF(NOT(ISERROR(REGEXEXTRACT(T138, ""(\d"&amp;"{1,2}) jul\. 2025""))), 
  TEXT(DATE(2025,7,REGEXEXTRACT(T138, ""(\d{1,2}) jul\. 2025"")), ""dd/mm/yyyy""),
 IF(NOT(ISERROR(REGEXEXTRACT(T138, ""(\d{1,2}) ago\. 2025""))), 
  TEXT(DATE(2025,8,REGEXEXTRACT(T138, ""(\d{1,2}) ago\. 2025"")), ""dd/mm/yyyy""),"&amp;"
 IF(NOT(ISERROR(REGEXEXTRACT(T138, ""(\d{1,2}) set\. 2025""))), 
  TEXT(DATE(2025,9,REGEXEXTRACT(T138, ""(\d{1,2}) set\. 2025"")), ""dd/mm/yyyy""),
 IF(NOT(ISERROR(REGEXEXTRACT(T138, ""(\d{1,2}) out\. 2025""))), 
  TEXT(DATE(2025,10,REGEXEXTRACT(T138, """&amp;"(\d{1,2}) out\. 2025"")), ""dd/mm/yyyy""),
 IF(NOT(ISERROR(REGEXEXTRACT(T138, ""(\d{1,2}) nov\. 2025""))), 
  TEXT(DATE(2025,11,REGEXEXTRACT(T138, ""(\d{1,2}) nov\. 2025"")), ""dd/mm/yyyy""),
 IF(NOT(ISERROR(REGEXEXTRACT(T138, ""(\d{1,2}) dez\. 2025""))),"&amp;" 
  TEXT(DATE(2025,12,REGEXEXTRACT(T138, ""(\d{1,2}) dez\. 2025"")), ""dd/mm/yyyy""),
 ""Insira a data manualmente"")))))))))))), """"))"),"02/11/2025")</f>
        <v>02/11/2025</v>
      </c>
      <c r="H138" s="22">
        <f t="shared" si="1"/>
        <v>2025</v>
      </c>
      <c r="I138" s="18" t="str">
        <f>IFERROR(__xludf.DUMMYFUNCTION("IF(REGEXMATCH(T138,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IF(REGEXMATCH(T138, ""(?i)\bBrasília\b""), ""Distrito Federal, Brasil"",
REGEXEXTRACT(T138,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38" s="30" t="s">
        <v>24</v>
      </c>
      <c r="K138" s="24" t="s">
        <v>392</v>
      </c>
      <c r="L138" s="24" t="s">
        <v>26</v>
      </c>
      <c r="M138" s="25" t="s">
        <v>27</v>
      </c>
      <c r="N138" s="18" t="str">
        <f t="shared" si="8"/>
        <v>O Globo</v>
      </c>
      <c r="O138" s="17" t="s">
        <v>28</v>
      </c>
      <c r="P138" s="17" t="s">
        <v>251</v>
      </c>
      <c r="Q138" s="26">
        <v>45964.0</v>
      </c>
      <c r="R138" s="17" t="s">
        <v>37</v>
      </c>
      <c r="S138" s="27" t="str">
        <f t="shared" si="3"/>
        <v>Aqui</v>
      </c>
      <c r="T138" s="29" t="s">
        <v>393</v>
      </c>
      <c r="U138" s="29"/>
    </row>
    <row r="139">
      <c r="A139" s="16">
        <v>137.0</v>
      </c>
      <c r="B139" s="17" t="s">
        <v>23</v>
      </c>
      <c r="C139" s="18" t="str">
        <f>IFERROR(__xludf.DUMMYFUNCTION("IF(B139="""","""",IF(OR(
  REGEXMATCH(B139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REGEXMATCH(B139,""Notícia|Reportagem|Artigo de opinião|Verbete"")
),""Difusão"","""")))
"),"Difusão")</f>
        <v>Difusão</v>
      </c>
      <c r="D139" s="19" t="str">
        <f>IFERROR(__xludf.DUMMYFUNCTION("IF(B139="""","""",IF(OR(
  REGEXMATCH(B139,""Performance|Instalação|Álbum|Música|Poema|Livro|Filme|Documentário|Recitação|Espetáculo|Peça|Intervenção|Desfile|Fotografia|Exposição|Charge|Grafite|Leitura pública|Fabricação de cachaça artesanal""),
  REGEXMA"&amp;"TCH(B139,""dança|teatral|artístico|musical|artística"")
),""Manifestação artístico-cultural"",
IF(OR(
  REGEXMATCH(B139,""Crônica|Série|Reportagem|Podcast|Audiotour|Entrevista|Vídeo|Rádio|Notícia|Artigo de opinião|Coletiva de imprensa""),
  REGEXMATCH(B13"&amp;"9,""midiática"")
),""Produção midiática"","""")))
"),"Produção midiática")</f>
        <v>Produção midiática</v>
      </c>
      <c r="E139" s="20" t="str">
        <f>IFERROR(__xludf.DUMMYFUNCTION("IF(B139="""","""",IF(OR(
  REGEXMATCH(B139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REGEXMATCH(B139,""público|Imediato|artística|teatral|memória|Ação popular"")
),""Público Imediato"",
IF(REGEXMATCH(B139,""Música|Álbum|Filme|Documentár"&amp;"io|Série|Podcast|Rádio|Audiotour|Entrevista|Reportagem|Crônica|Relatório|Abaixo-assinado|Manifesto|Petição|Poema|Livro|Fotografia|Curta|Live|Webinário|Charge|Leitura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39" s="20" t="str">
        <f>IFERROR(__xludf.DUMMYFUNCTION("IF(B139="""","""",IF(OR(
  REGEXMATCH(B139,""Live|Webinário|Virtual|Verbete""),
  REGEXMATCH(B139,""online"")
),""Virtual"",
IF(REGEXMATCH(B139,""Música|Álbum|Filme|Documentário|Série|Podcast|Rádio|Audiotour|Episódio|Reportagem|Curta|Charge|Vídeo|Entrevis"&amp;"ta|Notícia|Artigo de opinião""),
""Midiático"",
IF(REGEXMATCH(B139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39" s="21" t="str">
        <f>IFERROR(__xludf.DUMMYFUNCTION("IF(C139=""rememoração"", ""Insira a data manualmente"", IF(C139=""difusão"", 
 IF(NOT(ISERROR(REGEXEXTRACT(T139, ""(\d{1,2}) jan\. 2025""))), 
  TEXT(DATE(2025,1,REGEXEXTRACT(T139, ""(\d{1,2}) jan\. 2025"")), ""dd/mm/yyyy""),
 IF(NOT(ISERROR(REGEXEXTRACT("&amp;"T139, ""(\d{1,2}) fev\. 2025""))), 
  TEXT(DATE(2025,2,REGEXEXTRACT(T139, ""(\d{1,2}) fev\. 2025"")), ""dd/mm/yyyy""),
 IF(NOT(ISERROR(REGEXEXTRACT(T139, ""(\d{1,2}) mar\. 2025""))), 
  TEXT(DATE(2025,3,REGEXEXTRACT(T139, ""(\d{1,2}) mar\. 2025"")), ""dd/"&amp;"mm/yyyy""),
 IF(NOT(ISERROR(REGEXEXTRACT(T139, ""(\d{1,2}) abr\. 2025""))), 
  TEXT(DATE(2025,4,REGEXEXTRACT(T139, ""(\d{1,2}) abr\. 2025"")), ""dd/mm/yyyy""),
 IF(NOT(ISERROR(REGEXEXTRACT(T139, ""(\d{1,2}) (mai|maio)\. 2025""))), 
  TEXT(DATE(2025,5,REGE"&amp;"XEXTRACT(T139, ""(\d{1,2}) (mai|maio)\. 2025"")), ""dd/mm/yyyy""),
 IF(NOT(ISERROR(REGEXEXTRACT(T139, ""(\d{1,2}) jun\. 2025""))), 
  TEXT(DATE(2025,6,REGEXEXTRACT(T139, ""(\d{1,2}) jun\. 2025"")), ""dd/mm/yyyy""),
 IF(NOT(ISERROR(REGEXEXTRACT(T139, ""(\d"&amp;"{1,2}) jul\. 2025""))), 
  TEXT(DATE(2025,7,REGEXEXTRACT(T139, ""(\d{1,2}) jul\. 2025"")), ""dd/mm/yyyy""),
 IF(NOT(ISERROR(REGEXEXTRACT(T139, ""(\d{1,2}) ago\. 2025""))), 
  TEXT(DATE(2025,8,REGEXEXTRACT(T139, ""(\d{1,2}) ago\. 2025"")), ""dd/mm/yyyy""),"&amp;"
 IF(NOT(ISERROR(REGEXEXTRACT(T139, ""(\d{1,2}) set\. 2025""))), 
  TEXT(DATE(2025,9,REGEXEXTRACT(T139, ""(\d{1,2}) set\. 2025"")), ""dd/mm/yyyy""),
 IF(NOT(ISERROR(REGEXEXTRACT(T139, ""(\d{1,2}) out\. 2025""))), 
  TEXT(DATE(2025,10,REGEXEXTRACT(T139, """&amp;"(\d{1,2}) out\. 2025"")), ""dd/mm/yyyy""),
 IF(NOT(ISERROR(REGEXEXTRACT(T139, ""(\d{1,2}) nov\. 2025""))), 
  TEXT(DATE(2025,11,REGEXEXTRACT(T139, ""(\d{1,2}) nov\. 2025"")), ""dd/mm/yyyy""),
 IF(NOT(ISERROR(REGEXEXTRACT(T139, ""(\d{1,2}) dez\. 2025""))),"&amp;" 
  TEXT(DATE(2025,12,REGEXEXTRACT(T139, ""(\d{1,2}) dez\. 2025"")), ""dd/mm/yyyy""),
 ""Insira a data manualmente"")))))))))))), """"))"),"29/10/2025")</f>
        <v>29/10/2025</v>
      </c>
      <c r="H139" s="22">
        <f t="shared" si="1"/>
        <v>2025</v>
      </c>
      <c r="I139" s="18" t="str">
        <f>IFERROR(__xludf.DUMMYFUNCTION("IF(REGEXMATCH(T139,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IF(REGEXMATCH(T139, ""(?i)\bBrasília\b""), ""Distrito Federal, Brasil"",
REGEXEXTRACT(T139,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39" s="30" t="s">
        <v>32</v>
      </c>
      <c r="K139" s="24" t="s">
        <v>394</v>
      </c>
      <c r="L139" s="24" t="s">
        <v>26</v>
      </c>
      <c r="M139" s="25" t="s">
        <v>27</v>
      </c>
      <c r="N139" s="18" t="str">
        <f t="shared" si="8"/>
        <v>Agência Brasil</v>
      </c>
      <c r="O139" s="17" t="s">
        <v>28</v>
      </c>
      <c r="P139" s="17" t="s">
        <v>251</v>
      </c>
      <c r="Q139" s="26">
        <v>45964.0</v>
      </c>
      <c r="R139" s="17" t="s">
        <v>30</v>
      </c>
      <c r="S139" s="27" t="str">
        <f t="shared" si="3"/>
        <v>Aqui</v>
      </c>
      <c r="T139" s="29" t="s">
        <v>395</v>
      </c>
      <c r="U139" s="29"/>
    </row>
    <row r="140">
      <c r="A140" s="16">
        <v>138.0</v>
      </c>
      <c r="B140" s="17" t="s">
        <v>23</v>
      </c>
      <c r="C140" s="18" t="str">
        <f>IFERROR(__xludf.DUMMYFUNCTION("IF(B140="""","""",IF(OR(
  REGEXMATCH(B140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REGEXMATCH(B140,""Notícia|Reportagem|Artigo de opinião|Verbete"")
),""Difusão"","""")))
"),"Difusão")</f>
        <v>Difusão</v>
      </c>
      <c r="D140" s="19" t="str">
        <f>IFERROR(__xludf.DUMMYFUNCTION("IF(B140="""","""",IF(OR(
  REGEXMATCH(B140,""Performance|Instalação|Álbum|Música|Poema|Livro|Filme|Documentário|Recitação|Espetáculo|Peça|Intervenção|Desfile|Fotografia|Exposição|Charge|Grafite|Leitura pública|Fabricação de cachaça artesanal""),
  REGEXMA"&amp;"TCH(B140,""dança|teatral|artístico|musical|artística"")
),""Manifestação artístico-cultural"",
IF(OR(
  REGEXMATCH(B140,""Crônica|Série|Reportagem|Podcast|Audiotour|Entrevista|Vídeo|Rádio|Notícia|Artigo de opinião|Coletiva de imprensa""),
  REGEXMATCH(B14"&amp;"0,""midiática"")
),""Produção midiática"","""")))
"),"Produção midiática")</f>
        <v>Produção midiática</v>
      </c>
      <c r="E140" s="20" t="str">
        <f>IFERROR(__xludf.DUMMYFUNCTION("IF(B140="""","""",IF(OR(
  REGEXMATCH(B140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REGEXMATCH(B140,""público|Imediato|artística|teatral|memória|Ação popular"")
),""Público Imediato"",
IF(REGEXMATCH(B140,""Música|Álbum|Filme|Documentár"&amp;"io|Série|Podcast|Rádio|Audiotour|Entrevista|Reportagem|Crônica|Relatório|Abaixo-assinado|Manifesto|Petição|Poema|Livro|Fotografia|Curta|Live|Webinário|Charge|Leitura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40" s="20" t="str">
        <f>IFERROR(__xludf.DUMMYFUNCTION("IF(B140="""","""",IF(OR(
  REGEXMATCH(B140,""Live|Webinário|Virtual|Verbete""),
  REGEXMATCH(B140,""online"")
),""Virtual"",
IF(REGEXMATCH(B140,""Música|Álbum|Filme|Documentário|Série|Podcast|Rádio|Audiotour|Episódio|Reportagem|Curta|Charge|Vídeo|Entrevis"&amp;"ta|Notícia|Artigo de opinião""),
""Midiático"",
IF(REGEXMATCH(B140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40" s="21" t="str">
        <f>IFERROR(__xludf.DUMMYFUNCTION("IF(C140=""rememoração"", ""Insira a data manualmente"", IF(C140=""difusão"", 
 IF(NOT(ISERROR(REGEXEXTRACT(T140, ""(\d{1,2}) jan\. 2025""))), 
  TEXT(DATE(2025,1,REGEXEXTRACT(T140, ""(\d{1,2}) jan\. 2025"")), ""dd/mm/yyyy""),
 IF(NOT(ISERROR(REGEXEXTRACT("&amp;"T140, ""(\d{1,2}) fev\. 2025""))), 
  TEXT(DATE(2025,2,REGEXEXTRACT(T140, ""(\d{1,2}) fev\. 2025"")), ""dd/mm/yyyy""),
 IF(NOT(ISERROR(REGEXEXTRACT(T140, ""(\d{1,2}) mar\. 2025""))), 
  TEXT(DATE(2025,3,REGEXEXTRACT(T140, ""(\d{1,2}) mar\. 2025"")), ""dd/"&amp;"mm/yyyy""),
 IF(NOT(ISERROR(REGEXEXTRACT(T140, ""(\d{1,2}) abr\. 2025""))), 
  TEXT(DATE(2025,4,REGEXEXTRACT(T140, ""(\d{1,2}) abr\. 2025"")), ""dd/mm/yyyy""),
 IF(NOT(ISERROR(REGEXEXTRACT(T140, ""(\d{1,2}) (mai|maio)\. 2025""))), 
  TEXT(DATE(2025,5,REGE"&amp;"XEXTRACT(T140, ""(\d{1,2}) (mai|maio)\. 2025"")), ""dd/mm/yyyy""),
 IF(NOT(ISERROR(REGEXEXTRACT(T140, ""(\d{1,2}) jun\. 2025""))), 
  TEXT(DATE(2025,6,REGEXEXTRACT(T140, ""(\d{1,2}) jun\. 2025"")), ""dd/mm/yyyy""),
 IF(NOT(ISERROR(REGEXEXTRACT(T140, ""(\d"&amp;"{1,2}) jul\. 2025""))), 
  TEXT(DATE(2025,7,REGEXEXTRACT(T140, ""(\d{1,2}) jul\. 2025"")), ""dd/mm/yyyy""),
 IF(NOT(ISERROR(REGEXEXTRACT(T140, ""(\d{1,2}) ago\. 2025""))), 
  TEXT(DATE(2025,8,REGEXEXTRACT(T140, ""(\d{1,2}) ago\. 2025"")), ""dd/mm/yyyy""),"&amp;"
 IF(NOT(ISERROR(REGEXEXTRACT(T140, ""(\d{1,2}) set\. 2025""))), 
  TEXT(DATE(2025,9,REGEXEXTRACT(T140, ""(\d{1,2}) set\. 2025"")), ""dd/mm/yyyy""),
 IF(NOT(ISERROR(REGEXEXTRACT(T140, ""(\d{1,2}) out\. 2025""))), 
  TEXT(DATE(2025,10,REGEXEXTRACT(T140, """&amp;"(\d{1,2}) out\. 2025"")), ""dd/mm/yyyy""),
 IF(NOT(ISERROR(REGEXEXTRACT(T140, ""(\d{1,2}) nov\. 2025""))), 
  TEXT(DATE(2025,11,REGEXEXTRACT(T140, ""(\d{1,2}) nov\. 2025"")), ""dd/mm/yyyy""),
 IF(NOT(ISERROR(REGEXEXTRACT(T140, ""(\d{1,2}) dez\. 2025""))),"&amp;" 
  TEXT(DATE(2025,12,REGEXEXTRACT(T140, ""(\d{1,2}) dez\. 2025"")), ""dd/mm/yyyy""),
 ""Insira a data manualmente"")))))))))))), """"))"),"31/10/2025")</f>
        <v>31/10/2025</v>
      </c>
      <c r="H140" s="22">
        <f t="shared" si="1"/>
        <v>2025</v>
      </c>
      <c r="I140" s="18" t="str">
        <f>IFERROR(__xludf.DUMMYFUNCTION("IF(REGEXMATCH(T140,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IF(REGEXMATCH(T140, ""(?i)\bBrasília\b""), ""Distrito Federal, Brasil"",
REGEXEXTRACT(T140,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140" s="30" t="s">
        <v>32</v>
      </c>
      <c r="K140" s="24" t="s">
        <v>396</v>
      </c>
      <c r="L140" s="24" t="s">
        <v>26</v>
      </c>
      <c r="M140" s="25" t="s">
        <v>27</v>
      </c>
      <c r="N140" s="18" t="str">
        <f t="shared" si="8"/>
        <v>Agência Brasil</v>
      </c>
      <c r="O140" s="17" t="s">
        <v>28</v>
      </c>
      <c r="P140" s="17" t="s">
        <v>251</v>
      </c>
      <c r="Q140" s="26">
        <v>45964.0</v>
      </c>
      <c r="R140" s="17" t="s">
        <v>30</v>
      </c>
      <c r="S140" s="27" t="str">
        <f t="shared" si="3"/>
        <v>Aqui</v>
      </c>
      <c r="T140" s="29" t="s">
        <v>397</v>
      </c>
      <c r="U140" s="29"/>
    </row>
    <row r="141">
      <c r="A141" s="16">
        <v>139.0</v>
      </c>
      <c r="B141" s="17" t="s">
        <v>23</v>
      </c>
      <c r="C141" s="18" t="str">
        <f>IFERROR(__xludf.DUMMYFUNCTION("IF(B141="""","""",IF(OR(
  REGEXMATCH(B141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REGEXMATCH(B141,""Notícia|Reportagem|Artigo de opinião|Verbete"")
),""Difusão"","""")))
"),"Difusão")</f>
        <v>Difusão</v>
      </c>
      <c r="D141" s="19" t="str">
        <f>IFERROR(__xludf.DUMMYFUNCTION("IF(B141="""","""",IF(OR(
  REGEXMATCH(B141,""Performance|Instalação|Álbum|Música|Poema|Livro|Filme|Documentário|Recitação|Espetáculo|Peça|Intervenção|Desfile|Fotografia|Exposição|Charge|Grafite|Leitura pública|Fabricação de cachaça artesanal""),
  REGEXMA"&amp;"TCH(B141,""dança|teatral|artístico|musical|artística"")
),""Manifestação artístico-cultural"",
IF(OR(
  REGEXMATCH(B141,""Crônica|Série|Reportagem|Podcast|Audiotour|Entrevista|Vídeo|Rádio|Notícia|Artigo de opinião|Coletiva de imprensa""),
  REGEXMATCH(B14"&amp;"1,""midiática"")
),""Produção midiática"","""")))
"),"Produção midiática")</f>
        <v>Produção midiática</v>
      </c>
      <c r="E141" s="20" t="str">
        <f>IFERROR(__xludf.DUMMYFUNCTION("IF(B141="""","""",IF(OR(
  REGEXMATCH(B141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REGEXMATCH(B141,""público|Imediato|artística|teatral|memória|Ação popular"")
),""Público Imediato"",
IF(REGEXMATCH(B141,""Música|Álbum|Filme|Documentár"&amp;"io|Série|Podcast|Rádio|Audiotour|Entrevista|Reportagem|Crônica|Relatório|Abaixo-assinado|Manifesto|Petição|Poema|Livro|Fotografia|Curta|Live|Webinário|Charge|Leitura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41" s="20" t="str">
        <f>IFERROR(__xludf.DUMMYFUNCTION("IF(B141="""","""",IF(OR(
  REGEXMATCH(B141,""Live|Webinário|Virtual|Verbete""),
  REGEXMATCH(B141,""online"")
),""Virtual"",
IF(REGEXMATCH(B141,""Música|Álbum|Filme|Documentário|Série|Podcast|Rádio|Audiotour|Episódio|Reportagem|Curta|Charge|Vídeo|Entrevis"&amp;"ta|Notícia|Artigo de opinião""),
""Midiático"",
IF(REGEXMATCH(B141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41" s="21" t="str">
        <f>IFERROR(__xludf.DUMMYFUNCTION("IF(C141=""rememoração"", ""Insira a data manualmente"", IF(C141=""difusão"", 
 IF(NOT(ISERROR(REGEXEXTRACT(T141, ""(\d{1,2}) jan\. 2025""))), 
  TEXT(DATE(2025,1,REGEXEXTRACT(T141, ""(\d{1,2}) jan\. 2025"")), ""dd/mm/yyyy""),
 IF(NOT(ISERROR(REGEXEXTRACT("&amp;"T141, ""(\d{1,2}) fev\. 2025""))), 
  TEXT(DATE(2025,2,REGEXEXTRACT(T141, ""(\d{1,2}) fev\. 2025"")), ""dd/mm/yyyy""),
 IF(NOT(ISERROR(REGEXEXTRACT(T141, ""(\d{1,2}) mar\. 2025""))), 
  TEXT(DATE(2025,3,REGEXEXTRACT(T141, ""(\d{1,2}) mar\. 2025"")), ""dd/"&amp;"mm/yyyy""),
 IF(NOT(ISERROR(REGEXEXTRACT(T141, ""(\d{1,2}) abr\. 2025""))), 
  TEXT(DATE(2025,4,REGEXEXTRACT(T141, ""(\d{1,2}) abr\. 2025"")), ""dd/mm/yyyy""),
 IF(NOT(ISERROR(REGEXEXTRACT(T141, ""(\d{1,2}) (mai|maio)\. 2025""))), 
  TEXT(DATE(2025,5,REGE"&amp;"XEXTRACT(T141, ""(\d{1,2}) (mai|maio)\. 2025"")), ""dd/mm/yyyy""),
 IF(NOT(ISERROR(REGEXEXTRACT(T141, ""(\d{1,2}) jun\. 2025""))), 
  TEXT(DATE(2025,6,REGEXEXTRACT(T141, ""(\d{1,2}) jun\. 2025"")), ""dd/mm/yyyy""),
 IF(NOT(ISERROR(REGEXEXTRACT(T141, ""(\d"&amp;"{1,2}) jul\. 2025""))), 
  TEXT(DATE(2025,7,REGEXEXTRACT(T141, ""(\d{1,2}) jul\. 2025"")), ""dd/mm/yyyy""),
 IF(NOT(ISERROR(REGEXEXTRACT(T141, ""(\d{1,2}) ago\. 2025""))), 
  TEXT(DATE(2025,8,REGEXEXTRACT(T141, ""(\d{1,2}) ago\. 2025"")), ""dd/mm/yyyy""),"&amp;"
 IF(NOT(ISERROR(REGEXEXTRACT(T141, ""(\d{1,2}) set\. 2025""))), 
  TEXT(DATE(2025,9,REGEXEXTRACT(T141, ""(\d{1,2}) set\. 2025"")), ""dd/mm/yyyy""),
 IF(NOT(ISERROR(REGEXEXTRACT(T141, ""(\d{1,2}) out\. 2025""))), 
  TEXT(DATE(2025,10,REGEXEXTRACT(T141, """&amp;"(\d{1,2}) out\. 2025"")), ""dd/mm/yyyy""),
 IF(NOT(ISERROR(REGEXEXTRACT(T141, ""(\d{1,2}) nov\. 2025""))), 
  TEXT(DATE(2025,11,REGEXEXTRACT(T141, ""(\d{1,2}) nov\. 2025"")), ""dd/mm/yyyy""),
 IF(NOT(ISERROR(REGEXEXTRACT(T141, ""(\d{1,2}) dez\. 2025""))),"&amp;" 
  TEXT(DATE(2025,12,REGEXEXTRACT(T141, ""(\d{1,2}) dez\. 2025"")), ""dd/mm/yyyy""),
 ""Insira a data manualmente"")))))))))))), """"))"),"31/10/2025")</f>
        <v>31/10/2025</v>
      </c>
      <c r="H141" s="22">
        <f t="shared" si="1"/>
        <v>2025</v>
      </c>
      <c r="I141" s="18" t="str">
        <f>IFERROR(__xludf.DUMMYFUNCTION("IF(REGEXMATCH(T141,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IF(REGEXMATCH(T141, ""(?i)\bBrasília\b""), ""Distrito Federal, Brasil"",
REGEXEXTRACT(T141,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41" s="30" t="s">
        <v>32</v>
      </c>
      <c r="K141" s="24" t="s">
        <v>398</v>
      </c>
      <c r="L141" s="24" t="s">
        <v>26</v>
      </c>
      <c r="M141" s="25" t="s">
        <v>27</v>
      </c>
      <c r="N141" s="18" t="str">
        <f t="shared" si="8"/>
        <v>Agência Brasil</v>
      </c>
      <c r="O141" s="17" t="s">
        <v>28</v>
      </c>
      <c r="P141" s="17" t="s">
        <v>251</v>
      </c>
      <c r="Q141" s="26">
        <v>45964.0</v>
      </c>
      <c r="R141" s="17" t="s">
        <v>30</v>
      </c>
      <c r="S141" s="27" t="str">
        <f t="shared" si="3"/>
        <v>Aqui</v>
      </c>
      <c r="T141" s="29" t="s">
        <v>399</v>
      </c>
      <c r="U141" s="29"/>
    </row>
    <row r="142">
      <c r="A142" s="16">
        <v>140.0</v>
      </c>
      <c r="B142" s="17" t="s">
        <v>23</v>
      </c>
      <c r="C142" s="18" t="str">
        <f>IFERROR(__xludf.DUMMYFUNCTION("IF(B142="""","""",IF(OR(
  REGEXMATCH(B142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REGEXMATCH(B142,""Notícia|Reportagem|Artigo de opinião|Verbete"")
),""Difusão"","""")))
"),"Difusão")</f>
        <v>Difusão</v>
      </c>
      <c r="D142" s="19" t="str">
        <f>IFERROR(__xludf.DUMMYFUNCTION("IF(B142="""","""",IF(OR(
  REGEXMATCH(B142,""Performance|Instalação|Álbum|Música|Poema|Livro|Filme|Documentário|Recitação|Espetáculo|Peça|Intervenção|Desfile|Fotografia|Exposição|Charge|Grafite|Leitura pública|Fabricação de cachaça artesanal""),
  REGEXMA"&amp;"TCH(B142,""dança|teatral|artístico|musical|artística"")
),""Manifestação artístico-cultural"",
IF(OR(
  REGEXMATCH(B142,""Crônica|Série|Reportagem|Podcast|Audiotour|Entrevista|Vídeo|Rádio|Notícia|Artigo de opinião|Coletiva de imprensa""),
  REGEXMATCH(B14"&amp;"2,""midiática"")
),""Produção midiática"","""")))
"),"Produção midiática")</f>
        <v>Produção midiática</v>
      </c>
      <c r="E142" s="20" t="str">
        <f>IFERROR(__xludf.DUMMYFUNCTION("IF(B142="""","""",IF(OR(
  REGEXMATCH(B142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REGEXMATCH(B142,""público|Imediato|artística|teatral|memória|Ação popular"")
),""Público Imediato"",
IF(REGEXMATCH(B142,""Música|Álbum|Filme|Documentár"&amp;"io|Série|Podcast|Rádio|Audiotour|Entrevista|Reportagem|Crônica|Relatório|Abaixo-assinado|Manifesto|Petição|Poema|Livro|Fotografia|Curta|Live|Webinário|Charge|Leitura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42" s="20" t="str">
        <f>IFERROR(__xludf.DUMMYFUNCTION("IF(B142="""","""",IF(OR(
  REGEXMATCH(B142,""Live|Webinário|Virtual|Verbete""),
  REGEXMATCH(B142,""online"")
),""Virtual"",
IF(REGEXMATCH(B142,""Música|Álbum|Filme|Documentário|Série|Podcast|Rádio|Audiotour|Episódio|Reportagem|Curta|Charge|Vídeo|Entrevis"&amp;"ta|Notícia|Artigo de opinião""),
""Midiático"",
IF(REGEXMATCH(B142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42" s="21" t="str">
        <f>IFERROR(__xludf.DUMMYFUNCTION("IF(C142=""rememoração"", ""Insira a data manualmente"", IF(C142=""difusão"", 
 IF(NOT(ISERROR(REGEXEXTRACT(T142, ""(\d{1,2}) jan\. 2025""))), 
  TEXT(DATE(2025,1,REGEXEXTRACT(T142, ""(\d{1,2}) jan\. 2025"")), ""dd/mm/yyyy""),
 IF(NOT(ISERROR(REGEXEXTRACT("&amp;"T142, ""(\d{1,2}) fev\. 2025""))), 
  TEXT(DATE(2025,2,REGEXEXTRACT(T142, ""(\d{1,2}) fev\. 2025"")), ""dd/mm/yyyy""),
 IF(NOT(ISERROR(REGEXEXTRACT(T142, ""(\d{1,2}) mar\. 2025""))), 
  TEXT(DATE(2025,3,REGEXEXTRACT(T142, ""(\d{1,2}) mar\. 2025"")), ""dd/"&amp;"mm/yyyy""),
 IF(NOT(ISERROR(REGEXEXTRACT(T142, ""(\d{1,2}) abr\. 2025""))), 
  TEXT(DATE(2025,4,REGEXEXTRACT(T142, ""(\d{1,2}) abr\. 2025"")), ""dd/mm/yyyy""),
 IF(NOT(ISERROR(REGEXEXTRACT(T142, ""(\d{1,2}) (mai|maio)\. 2025""))), 
  TEXT(DATE(2025,5,REGE"&amp;"XEXTRACT(T142, ""(\d{1,2}) (mai|maio)\. 2025"")), ""dd/mm/yyyy""),
 IF(NOT(ISERROR(REGEXEXTRACT(T142, ""(\d{1,2}) jun\. 2025""))), 
  TEXT(DATE(2025,6,REGEXEXTRACT(T142, ""(\d{1,2}) jun\. 2025"")), ""dd/mm/yyyy""),
 IF(NOT(ISERROR(REGEXEXTRACT(T142, ""(\d"&amp;"{1,2}) jul\. 2025""))), 
  TEXT(DATE(2025,7,REGEXEXTRACT(T142, ""(\d{1,2}) jul\. 2025"")), ""dd/mm/yyyy""),
 IF(NOT(ISERROR(REGEXEXTRACT(T142, ""(\d{1,2}) ago\. 2025""))), 
  TEXT(DATE(2025,8,REGEXEXTRACT(T142, ""(\d{1,2}) ago\. 2025"")), ""dd/mm/yyyy""),"&amp;"
 IF(NOT(ISERROR(REGEXEXTRACT(T142, ""(\d{1,2}) set\. 2025""))), 
  TEXT(DATE(2025,9,REGEXEXTRACT(T142, ""(\d{1,2}) set\. 2025"")), ""dd/mm/yyyy""),
 IF(NOT(ISERROR(REGEXEXTRACT(T142, ""(\d{1,2}) out\. 2025""))), 
  TEXT(DATE(2025,10,REGEXEXTRACT(T142, """&amp;"(\d{1,2}) out\. 2025"")), ""dd/mm/yyyy""),
 IF(NOT(ISERROR(REGEXEXTRACT(T142, ""(\d{1,2}) nov\. 2025""))), 
  TEXT(DATE(2025,11,REGEXEXTRACT(T142, ""(\d{1,2}) nov\. 2025"")), ""dd/mm/yyyy""),
 IF(NOT(ISERROR(REGEXEXTRACT(T142, ""(\d{1,2}) dez\. 2025""))),"&amp;" 
  TEXT(DATE(2025,12,REGEXEXTRACT(T142, ""(\d{1,2}) dez\. 2025"")), ""dd/mm/yyyy""),
 ""Insira a data manualmente"")))))))))))), """"))"),"29/10/2025")</f>
        <v>29/10/2025</v>
      </c>
      <c r="H142" s="22">
        <f t="shared" si="1"/>
        <v>2025</v>
      </c>
      <c r="I142" s="18" t="s">
        <v>116</v>
      </c>
      <c r="J142" s="30" t="s">
        <v>273</v>
      </c>
      <c r="K142" s="24" t="s">
        <v>400</v>
      </c>
      <c r="L142" s="24" t="s">
        <v>26</v>
      </c>
      <c r="M142" s="25" t="s">
        <v>27</v>
      </c>
      <c r="N142" s="18" t="str">
        <f t="shared" si="8"/>
        <v>CNN Brasil</v>
      </c>
      <c r="O142" s="17" t="s">
        <v>28</v>
      </c>
      <c r="P142" s="17" t="s">
        <v>251</v>
      </c>
      <c r="Q142" s="26">
        <v>45964.0</v>
      </c>
      <c r="R142" s="17" t="s">
        <v>30</v>
      </c>
      <c r="S142" s="27" t="str">
        <f t="shared" si="3"/>
        <v>Aqui</v>
      </c>
      <c r="T142" s="29" t="s">
        <v>401</v>
      </c>
      <c r="U142" s="29"/>
    </row>
    <row r="143">
      <c r="A143" s="16">
        <v>141.0</v>
      </c>
      <c r="B143" s="17" t="s">
        <v>23</v>
      </c>
      <c r="C143" s="18" t="str">
        <f>IFERROR(__xludf.DUMMYFUNCTION("IF(B143="""","""",IF(OR(
  REGEXMATCH(B143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REGEXMATCH(B143,""Notícia|Reportagem|Artigo de opinião|Verbete"")
),""Difusão"","""")))
"),"Difusão")</f>
        <v>Difusão</v>
      </c>
      <c r="D143" s="19" t="str">
        <f>IFERROR(__xludf.DUMMYFUNCTION("IF(B143="""","""",IF(OR(
  REGEXMATCH(B143,""Performance|Instalação|Álbum|Música|Poema|Livro|Filme|Documentário|Recitação|Espetáculo|Peça|Intervenção|Desfile|Fotografia|Exposição|Charge|Grafite|Leitura pública|Fabricação de cachaça artesanal""),
  REGEXMA"&amp;"TCH(B143,""dança|teatral|artístico|musical|artística"")
),""Manifestação artístico-cultural"",
IF(OR(
  REGEXMATCH(B143,""Crônica|Série|Reportagem|Podcast|Audiotour|Entrevista|Vídeo|Rádio|Notícia|Artigo de opinião|Coletiva de imprensa""),
  REGEXMATCH(B14"&amp;"3,""midiática"")
),""Produção midiática"","""")))
"),"Produção midiática")</f>
        <v>Produção midiática</v>
      </c>
      <c r="E143" s="20" t="str">
        <f>IFERROR(__xludf.DUMMYFUNCTION("IF(B143="""","""",IF(OR(
  REGEXMATCH(B143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REGEXMATCH(B143,""público|Imediato|artística|teatral|memória|Ação popular"")
),""Público Imediato"",
IF(REGEXMATCH(B143,""Música|Álbum|Filme|Documentár"&amp;"io|Série|Podcast|Rádio|Audiotour|Entrevista|Reportagem|Crônica|Relatório|Abaixo-assinado|Manifesto|Petição|Poema|Livro|Fotografia|Curta|Live|Webinário|Charge|Leitura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43" s="20" t="str">
        <f>IFERROR(__xludf.DUMMYFUNCTION("IF(B143="""","""",IF(OR(
  REGEXMATCH(B143,""Live|Webinário|Virtual|Verbete""),
  REGEXMATCH(B143,""online"")
),""Virtual"",
IF(REGEXMATCH(B143,""Música|Álbum|Filme|Documentário|Série|Podcast|Rádio|Audiotour|Episódio|Reportagem|Curta|Charge|Vídeo|Entrevis"&amp;"ta|Notícia|Artigo de opinião""),
""Midiático"",
IF(REGEXMATCH(B143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43" s="21" t="str">
        <f>IFERROR(__xludf.DUMMYFUNCTION("IF(C143=""rememoração"", ""Insira a data manualmente"", IF(C143=""difusão"", 
 IF(NOT(ISERROR(REGEXEXTRACT(T143, ""(\d{1,2}) jan\. 2025""))), 
  TEXT(DATE(2025,1,REGEXEXTRACT(T143, ""(\d{1,2}) jan\. 2025"")), ""dd/mm/yyyy""),
 IF(NOT(ISERROR(REGEXEXTRACT("&amp;"T143, ""(\d{1,2}) fev\. 2025""))), 
  TEXT(DATE(2025,2,REGEXEXTRACT(T143, ""(\d{1,2}) fev\. 2025"")), ""dd/mm/yyyy""),
 IF(NOT(ISERROR(REGEXEXTRACT(T143, ""(\d{1,2}) mar\. 2025""))), 
  TEXT(DATE(2025,3,REGEXEXTRACT(T143, ""(\d{1,2}) mar\. 2025"")), ""dd/"&amp;"mm/yyyy""),
 IF(NOT(ISERROR(REGEXEXTRACT(T143, ""(\d{1,2}) abr\. 2025""))), 
  TEXT(DATE(2025,4,REGEXEXTRACT(T143, ""(\d{1,2}) abr\. 2025"")), ""dd/mm/yyyy""),
 IF(NOT(ISERROR(REGEXEXTRACT(T143, ""(\d{1,2}) (mai|maio)\. 2025""))), 
  TEXT(DATE(2025,5,REGE"&amp;"XEXTRACT(T143, ""(\d{1,2}) (mai|maio)\. 2025"")), ""dd/mm/yyyy""),
 IF(NOT(ISERROR(REGEXEXTRACT(T143, ""(\d{1,2}) jun\. 2025""))), 
  TEXT(DATE(2025,6,REGEXEXTRACT(T143, ""(\d{1,2}) jun\. 2025"")), ""dd/mm/yyyy""),
 IF(NOT(ISERROR(REGEXEXTRACT(T143, ""(\d"&amp;"{1,2}) jul\. 2025""))), 
  TEXT(DATE(2025,7,REGEXEXTRACT(T143, ""(\d{1,2}) jul\. 2025"")), ""dd/mm/yyyy""),
 IF(NOT(ISERROR(REGEXEXTRACT(T143, ""(\d{1,2}) ago\. 2025""))), 
  TEXT(DATE(2025,8,REGEXEXTRACT(T143, ""(\d{1,2}) ago\. 2025"")), ""dd/mm/yyyy""),"&amp;"
 IF(NOT(ISERROR(REGEXEXTRACT(T143, ""(\d{1,2}) set\. 2025""))), 
  TEXT(DATE(2025,9,REGEXEXTRACT(T143, ""(\d{1,2}) set\. 2025"")), ""dd/mm/yyyy""),
 IF(NOT(ISERROR(REGEXEXTRACT(T143, ""(\d{1,2}) out\. 2025""))), 
  TEXT(DATE(2025,10,REGEXEXTRACT(T143, """&amp;"(\d{1,2}) out\. 2025"")), ""dd/mm/yyyy""),
 IF(NOT(ISERROR(REGEXEXTRACT(T143, ""(\d{1,2}) nov\. 2025""))), 
  TEXT(DATE(2025,11,REGEXEXTRACT(T143, ""(\d{1,2}) nov\. 2025"")), ""dd/mm/yyyy""),
 IF(NOT(ISERROR(REGEXEXTRACT(T143, ""(\d{1,2}) dez\. 2025""))),"&amp;" 
  TEXT(DATE(2025,12,REGEXEXTRACT(T143, ""(\d{1,2}) dez\. 2025"")), ""dd/mm/yyyy""),
 ""Insira a data manualmente"")))))))))))), """"))"),"29/10/2025")</f>
        <v>29/10/2025</v>
      </c>
      <c r="H143" s="22">
        <f t="shared" si="1"/>
        <v>2025</v>
      </c>
      <c r="I143" s="18" t="s">
        <v>116</v>
      </c>
      <c r="J143" s="30" t="s">
        <v>273</v>
      </c>
      <c r="K143" s="24" t="s">
        <v>402</v>
      </c>
      <c r="L143" s="24" t="s">
        <v>26</v>
      </c>
      <c r="M143" s="25" t="s">
        <v>27</v>
      </c>
      <c r="N143" s="18" t="str">
        <f t="shared" si="8"/>
        <v>CNN Brasil</v>
      </c>
      <c r="O143" s="17" t="s">
        <v>28</v>
      </c>
      <c r="P143" s="17" t="s">
        <v>251</v>
      </c>
      <c r="Q143" s="26">
        <v>45964.0</v>
      </c>
      <c r="R143" s="17" t="s">
        <v>30</v>
      </c>
      <c r="S143" s="27" t="str">
        <f t="shared" si="3"/>
        <v>Aqui</v>
      </c>
      <c r="T143" s="29" t="s">
        <v>403</v>
      </c>
      <c r="U143" s="29"/>
    </row>
    <row r="144">
      <c r="A144" s="16">
        <v>142.0</v>
      </c>
      <c r="B144" s="17" t="s">
        <v>23</v>
      </c>
      <c r="C144" s="18" t="str">
        <f>IFERROR(__xludf.DUMMYFUNCTION("IF(B144="""","""",IF(OR(
  REGEXMATCH(B144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REGEXMATCH(B144,""Notícia|Reportagem|Artigo de opinião|Verbete"")
),""Difusão"","""")))
"),"Difusão")</f>
        <v>Difusão</v>
      </c>
      <c r="D144" s="19" t="str">
        <f>IFERROR(__xludf.DUMMYFUNCTION("IF(B144="""","""",IF(OR(
  REGEXMATCH(B144,""Performance|Instalação|Álbum|Música|Poema|Livro|Filme|Documentário|Recitação|Espetáculo|Peça|Intervenção|Desfile|Fotografia|Exposição|Charge|Grafite|Leitura pública|Fabricação de cachaça artesanal""),
  REGEXMA"&amp;"TCH(B144,""dança|teatral|artístico|musical|artística"")
),""Manifestação artístico-cultural"",
IF(OR(
  REGEXMATCH(B144,""Crônica|Série|Reportagem|Podcast|Audiotour|Entrevista|Vídeo|Rádio|Notícia|Artigo de opinião|Coletiva de imprensa""),
  REGEXMATCH(B14"&amp;"4,""midiática"")
),""Produção midiática"","""")))
"),"Produção midiática")</f>
        <v>Produção midiática</v>
      </c>
      <c r="E144" s="20" t="str">
        <f>IFERROR(__xludf.DUMMYFUNCTION("IF(B144="""","""",IF(OR(
  REGEXMATCH(B144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REGEXMATCH(B144,""público|Imediato|artística|teatral|memória|Ação popular"")
),""Público Imediato"",
IF(REGEXMATCH(B144,""Música|Álbum|Filme|Documentár"&amp;"io|Série|Podcast|Rádio|Audiotour|Entrevista|Reportagem|Crônica|Relatório|Abaixo-assinado|Manifesto|Petição|Poema|Livro|Fotografia|Curta|Live|Webinário|Charge|Leitura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44" s="20" t="str">
        <f>IFERROR(__xludf.DUMMYFUNCTION("IF(B144="""","""",IF(OR(
  REGEXMATCH(B144,""Live|Webinário|Virtual|Verbete""),
  REGEXMATCH(B144,""online"")
),""Virtual"",
IF(REGEXMATCH(B144,""Música|Álbum|Filme|Documentário|Série|Podcast|Rádio|Audiotour|Episódio|Reportagem|Curta|Charge|Vídeo|Entrevis"&amp;"ta|Notícia|Artigo de opinião""),
""Midiático"",
IF(REGEXMATCH(B144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44" s="21" t="str">
        <f>IFERROR(__xludf.DUMMYFUNCTION("IF(C144=""rememoração"", ""Insira a data manualmente"", IF(C144=""difusão"", 
 IF(NOT(ISERROR(REGEXEXTRACT(T144, ""(\d{1,2}) jan\. 2025""))), 
  TEXT(DATE(2025,1,REGEXEXTRACT(T144, ""(\d{1,2}) jan\. 2025"")), ""dd/mm/yyyy""),
 IF(NOT(ISERROR(REGEXEXTRACT("&amp;"T144, ""(\d{1,2}) fev\. 2025""))), 
  TEXT(DATE(2025,2,REGEXEXTRACT(T144, ""(\d{1,2}) fev\. 2025"")), ""dd/mm/yyyy""),
 IF(NOT(ISERROR(REGEXEXTRACT(T144, ""(\d{1,2}) mar\. 2025""))), 
  TEXT(DATE(2025,3,REGEXEXTRACT(T144, ""(\d{1,2}) mar\. 2025"")), ""dd/"&amp;"mm/yyyy""),
 IF(NOT(ISERROR(REGEXEXTRACT(T144, ""(\d{1,2}) abr\. 2025""))), 
  TEXT(DATE(2025,4,REGEXEXTRACT(T144, ""(\d{1,2}) abr\. 2025"")), ""dd/mm/yyyy""),
 IF(NOT(ISERROR(REGEXEXTRACT(T144, ""(\d{1,2}) (mai|maio)\. 2025""))), 
  TEXT(DATE(2025,5,REGE"&amp;"XEXTRACT(T144, ""(\d{1,2}) (mai|maio)\. 2025"")), ""dd/mm/yyyy""),
 IF(NOT(ISERROR(REGEXEXTRACT(T144, ""(\d{1,2}) jun\. 2025""))), 
  TEXT(DATE(2025,6,REGEXEXTRACT(T144, ""(\d{1,2}) jun\. 2025"")), ""dd/mm/yyyy""),
 IF(NOT(ISERROR(REGEXEXTRACT(T144, ""(\d"&amp;"{1,2}) jul\. 2025""))), 
  TEXT(DATE(2025,7,REGEXEXTRACT(T144, ""(\d{1,2}) jul\. 2025"")), ""dd/mm/yyyy""),
 IF(NOT(ISERROR(REGEXEXTRACT(T144, ""(\d{1,2}) ago\. 2025""))), 
  TEXT(DATE(2025,8,REGEXEXTRACT(T144, ""(\d{1,2}) ago\. 2025"")), ""dd/mm/yyyy""),"&amp;"
 IF(NOT(ISERROR(REGEXEXTRACT(T144, ""(\d{1,2}) set\. 2025""))), 
  TEXT(DATE(2025,9,REGEXEXTRACT(T144, ""(\d{1,2}) set\. 2025"")), ""dd/mm/yyyy""),
 IF(NOT(ISERROR(REGEXEXTRACT(T144, ""(\d{1,2}) out\. 2025""))), 
  TEXT(DATE(2025,10,REGEXEXTRACT(T144, """&amp;"(\d{1,2}) out\. 2025"")), ""dd/mm/yyyy""),
 IF(NOT(ISERROR(REGEXEXTRACT(T144, ""(\d{1,2}) nov\. 2025""))), 
  TEXT(DATE(2025,11,REGEXEXTRACT(T144, ""(\d{1,2}) nov\. 2025"")), ""dd/mm/yyyy""),
 IF(NOT(ISERROR(REGEXEXTRACT(T144, ""(\d{1,2}) dez\. 2025""))),"&amp;" 
  TEXT(DATE(2025,12,REGEXEXTRACT(T144, ""(\d{1,2}) dez\. 2025"")), ""dd/mm/yyyy""),
 ""Insira a data manualmente"")))))))))))), """"))"),"28/10/2025")</f>
        <v>28/10/2025</v>
      </c>
      <c r="H144" s="22">
        <f t="shared" si="1"/>
        <v>2025</v>
      </c>
      <c r="I144" s="18" t="str">
        <f>IFERROR(__xludf.DUMMYFUNCTION("IF(REGEXMATCH(T144,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IF(REGEXMATCH(T144, ""(?i)\bBrasília\b""), ""Distrito Federal, Brasil"",
REGEXEXTRACT(T144,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44" s="30" t="s">
        <v>404</v>
      </c>
      <c r="K144" s="24" t="s">
        <v>405</v>
      </c>
      <c r="L144" s="24" t="s">
        <v>26</v>
      </c>
      <c r="M144" s="25" t="s">
        <v>27</v>
      </c>
      <c r="N144" s="18" t="str">
        <f t="shared" si="8"/>
        <v>ND Mais</v>
      </c>
      <c r="O144" s="17" t="s">
        <v>28</v>
      </c>
      <c r="P144" s="17" t="s">
        <v>251</v>
      </c>
      <c r="Q144" s="26">
        <v>45964.0</v>
      </c>
      <c r="R144" s="17" t="s">
        <v>30</v>
      </c>
      <c r="S144" s="27" t="str">
        <f t="shared" si="3"/>
        <v>Aqui</v>
      </c>
      <c r="T144" s="29" t="s">
        <v>406</v>
      </c>
      <c r="U144" s="29"/>
    </row>
    <row r="145">
      <c r="A145" s="16">
        <v>143.0</v>
      </c>
      <c r="B145" s="17" t="s">
        <v>23</v>
      </c>
      <c r="C145" s="18" t="str">
        <f>IFERROR(__xludf.DUMMYFUNCTION("IF(B145="""","""",IF(OR(
  REGEXMATCH(B145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REGEXMATCH(B145,""Notícia|Reportagem|Artigo de opinião|Verbete"")
),""Difusão"","""")))
"),"Difusão")</f>
        <v>Difusão</v>
      </c>
      <c r="D145" s="19" t="str">
        <f>IFERROR(__xludf.DUMMYFUNCTION("IF(B145="""","""",IF(OR(
  REGEXMATCH(B145,""Performance|Instalação|Álbum|Música|Poema|Livro|Filme|Documentário|Recitação|Espetáculo|Peça|Intervenção|Desfile|Fotografia|Exposição|Charge|Grafite|Leitura pública|Fabricação de cachaça artesanal""),
  REGEXMA"&amp;"TCH(B145,""dança|teatral|artístico|musical|artística"")
),""Manifestação artístico-cultural"",
IF(OR(
  REGEXMATCH(B145,""Crônica|Série|Reportagem|Podcast|Audiotour|Entrevista|Vídeo|Rádio|Notícia|Artigo de opinião|Coletiva de imprensa""),
  REGEXMATCH(B14"&amp;"5,""midiática"")
),""Produção midiática"","""")))
"),"Produção midiática")</f>
        <v>Produção midiática</v>
      </c>
      <c r="E145" s="20" t="str">
        <f>IFERROR(__xludf.DUMMYFUNCTION("IF(B145="""","""",IF(OR(
  REGEXMATCH(B145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REGEXMATCH(B145,""público|Imediato|artística|teatral|memória|Ação popular"")
),""Público Imediato"",
IF(REGEXMATCH(B145,""Música|Álbum|Filme|Documentár"&amp;"io|Série|Podcast|Rádio|Audiotour|Entrevista|Reportagem|Crônica|Relatório|Abaixo-assinado|Manifesto|Petição|Poema|Livro|Fotografia|Curta|Live|Webinário|Charge|Leitura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45" s="20" t="str">
        <f>IFERROR(__xludf.DUMMYFUNCTION("IF(B145="""","""",IF(OR(
  REGEXMATCH(B145,""Live|Webinário|Virtual|Verbete""),
  REGEXMATCH(B145,""online"")
),""Virtual"",
IF(REGEXMATCH(B145,""Música|Álbum|Filme|Documentário|Série|Podcast|Rádio|Audiotour|Episódio|Reportagem|Curta|Charge|Vídeo|Entrevis"&amp;"ta|Notícia|Artigo de opinião""),
""Midiático"",
IF(REGEXMATCH(B145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45" s="21" t="str">
        <f>IFERROR(__xludf.DUMMYFUNCTION("IF(C145=""rememoração"", ""Insira a data manualmente"", IF(C145=""difusão"", 
 IF(NOT(ISERROR(REGEXEXTRACT(T145, ""(\d{1,2}) jan\. 2025""))), 
  TEXT(DATE(2025,1,REGEXEXTRACT(T145, ""(\d{1,2}) jan\. 2025"")), ""dd/mm/yyyy""),
 IF(NOT(ISERROR(REGEXEXTRACT("&amp;"T145, ""(\d{1,2}) fev\. 2025""))), 
  TEXT(DATE(2025,2,REGEXEXTRACT(T145, ""(\d{1,2}) fev\. 2025"")), ""dd/mm/yyyy""),
 IF(NOT(ISERROR(REGEXEXTRACT(T145, ""(\d{1,2}) mar\. 2025""))), 
  TEXT(DATE(2025,3,REGEXEXTRACT(T145, ""(\d{1,2}) mar\. 2025"")), ""dd/"&amp;"mm/yyyy""),
 IF(NOT(ISERROR(REGEXEXTRACT(T145, ""(\d{1,2}) abr\. 2025""))), 
  TEXT(DATE(2025,4,REGEXEXTRACT(T145, ""(\d{1,2}) abr\. 2025"")), ""dd/mm/yyyy""),
 IF(NOT(ISERROR(REGEXEXTRACT(T145, ""(\d{1,2}) (mai|maio)\. 2025""))), 
  TEXT(DATE(2025,5,REGE"&amp;"XEXTRACT(T145, ""(\d{1,2}) (mai|maio)\. 2025"")), ""dd/mm/yyyy""),
 IF(NOT(ISERROR(REGEXEXTRACT(T145, ""(\d{1,2}) jun\. 2025""))), 
  TEXT(DATE(2025,6,REGEXEXTRACT(T145, ""(\d{1,2}) jun\. 2025"")), ""dd/mm/yyyy""),
 IF(NOT(ISERROR(REGEXEXTRACT(T145, ""(\d"&amp;"{1,2}) jul\. 2025""))), 
  TEXT(DATE(2025,7,REGEXEXTRACT(T145, ""(\d{1,2}) jul\. 2025"")), ""dd/mm/yyyy""),
 IF(NOT(ISERROR(REGEXEXTRACT(T145, ""(\d{1,2}) ago\. 2025""))), 
  TEXT(DATE(2025,8,REGEXEXTRACT(T145, ""(\d{1,2}) ago\. 2025"")), ""dd/mm/yyyy""),"&amp;"
 IF(NOT(ISERROR(REGEXEXTRACT(T145, ""(\d{1,2}) set\. 2025""))), 
  TEXT(DATE(2025,9,REGEXEXTRACT(T145, ""(\d{1,2}) set\. 2025"")), ""dd/mm/yyyy""),
 IF(NOT(ISERROR(REGEXEXTRACT(T145, ""(\d{1,2}) out\. 2025""))), 
  TEXT(DATE(2025,10,REGEXEXTRACT(T145, """&amp;"(\d{1,2}) out\. 2025"")), ""dd/mm/yyyy""),
 IF(NOT(ISERROR(REGEXEXTRACT(T145, ""(\d{1,2}) nov\. 2025""))), 
  TEXT(DATE(2025,11,REGEXEXTRACT(T145, ""(\d{1,2}) nov\. 2025"")), ""dd/mm/yyyy""),
 IF(NOT(ISERROR(REGEXEXTRACT(T145, ""(\d{1,2}) dez\. 2025""))),"&amp;" 
  TEXT(DATE(2025,12,REGEXEXTRACT(T145, ""(\d{1,2}) dez\. 2025"")), ""dd/mm/yyyy""),
 ""Insira a data manualmente"")))))))))))), """"))"),"29/10/2025")</f>
        <v>29/10/2025</v>
      </c>
      <c r="H145" s="22">
        <f t="shared" si="1"/>
        <v>2025</v>
      </c>
      <c r="I145" s="18" t="str">
        <f>IFERROR(__xludf.DUMMYFUNCTION("IF(REGEXMATCH(T145,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IF(REGEXMATCH(T145, ""(?i)\bBrasília\b""), ""Distrito Federal, Brasil"",
REGEXEXTRACT(T145,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45" s="30" t="s">
        <v>323</v>
      </c>
      <c r="K145" s="24" t="s">
        <v>407</v>
      </c>
      <c r="L145" s="24" t="s">
        <v>26</v>
      </c>
      <c r="M145" s="25" t="s">
        <v>27</v>
      </c>
      <c r="N145" s="18" t="str">
        <f t="shared" si="8"/>
        <v>O Estado de S. Paulo</v>
      </c>
      <c r="O145" s="17" t="s">
        <v>28</v>
      </c>
      <c r="P145" s="17" t="s">
        <v>251</v>
      </c>
      <c r="Q145" s="26">
        <v>45964.0</v>
      </c>
      <c r="R145" s="17" t="s">
        <v>30</v>
      </c>
      <c r="S145" s="27" t="str">
        <f t="shared" si="3"/>
        <v>Aqui</v>
      </c>
      <c r="T145" s="29" t="s">
        <v>408</v>
      </c>
      <c r="U145" s="29"/>
    </row>
    <row r="146">
      <c r="A146" s="16">
        <v>144.0</v>
      </c>
      <c r="B146" s="17" t="s">
        <v>23</v>
      </c>
      <c r="C146" s="18" t="str">
        <f>IFERROR(__xludf.DUMMYFUNCTION("IF(B146="""","""",IF(OR(
  REGEXMATCH(B146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REGEXMATCH(B146,""Notícia|Reportagem|Artigo de opinião|Verbete"")
),""Difusão"","""")))
"),"Difusão")</f>
        <v>Difusão</v>
      </c>
      <c r="D146" s="19" t="str">
        <f>IFERROR(__xludf.DUMMYFUNCTION("IF(B146="""","""",IF(OR(
  REGEXMATCH(B146,""Performance|Instalação|Álbum|Música|Poema|Livro|Filme|Documentário|Recitação|Espetáculo|Peça|Intervenção|Desfile|Fotografia|Exposição|Charge|Grafite|Leitura pública|Fabricação de cachaça artesanal""),
  REGEXMA"&amp;"TCH(B146,""dança|teatral|artístico|musical|artística"")
),""Manifestação artístico-cultural"",
IF(OR(
  REGEXMATCH(B146,""Crônica|Série|Reportagem|Podcast|Audiotour|Entrevista|Vídeo|Rádio|Notícia|Artigo de opinião|Coletiva de imprensa""),
  REGEXMATCH(B14"&amp;"6,""midiática"")
),""Produção midiática"","""")))
"),"Produção midiática")</f>
        <v>Produção midiática</v>
      </c>
      <c r="E146" s="20" t="str">
        <f>IFERROR(__xludf.DUMMYFUNCTION("IF(B146="""","""",IF(OR(
  REGEXMATCH(B146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REGEXMATCH(B146,""público|Imediato|artística|teatral|memória|Ação popular"")
),""Público Imediato"",
IF(REGEXMATCH(B146,""Música|Álbum|Filme|Documentár"&amp;"io|Série|Podcast|Rádio|Audiotour|Entrevista|Reportagem|Crônica|Relatório|Abaixo-assinado|Manifesto|Petição|Poema|Livro|Fotografia|Curta|Live|Webinário|Charge|Leitura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46" s="20" t="str">
        <f>IFERROR(__xludf.DUMMYFUNCTION("IF(B146="""","""",IF(OR(
  REGEXMATCH(B146,""Live|Webinário|Virtual|Verbete""),
  REGEXMATCH(B146,""online"")
),""Virtual"",
IF(REGEXMATCH(B146,""Música|Álbum|Filme|Documentário|Série|Podcast|Rádio|Audiotour|Episódio|Reportagem|Curta|Charge|Vídeo|Entrevis"&amp;"ta|Notícia|Artigo de opinião""),
""Midiático"",
IF(REGEXMATCH(B146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46" s="21" t="str">
        <f>IFERROR(__xludf.DUMMYFUNCTION("IF(C146=""rememoração"", ""Insira a data manualmente"", IF(C146=""difusão"", 
 IF(NOT(ISERROR(REGEXEXTRACT(T146, ""(\d{1,2}) jan\. 2025""))), 
  TEXT(DATE(2025,1,REGEXEXTRACT(T146, ""(\d{1,2}) jan\. 2025"")), ""dd/mm/yyyy""),
 IF(NOT(ISERROR(REGEXEXTRACT("&amp;"T146, ""(\d{1,2}) fev\. 2025""))), 
  TEXT(DATE(2025,2,REGEXEXTRACT(T146, ""(\d{1,2}) fev\. 2025"")), ""dd/mm/yyyy""),
 IF(NOT(ISERROR(REGEXEXTRACT(T146, ""(\d{1,2}) mar\. 2025""))), 
  TEXT(DATE(2025,3,REGEXEXTRACT(T146, ""(\d{1,2}) mar\. 2025"")), ""dd/"&amp;"mm/yyyy""),
 IF(NOT(ISERROR(REGEXEXTRACT(T146, ""(\d{1,2}) abr\. 2025""))), 
  TEXT(DATE(2025,4,REGEXEXTRACT(T146, ""(\d{1,2}) abr\. 2025"")), ""dd/mm/yyyy""),
 IF(NOT(ISERROR(REGEXEXTRACT(T146, ""(\d{1,2}) (mai|maio)\. 2025""))), 
  TEXT(DATE(2025,5,REGE"&amp;"XEXTRACT(T146, ""(\d{1,2}) (mai|maio)\. 2025"")), ""dd/mm/yyyy""),
 IF(NOT(ISERROR(REGEXEXTRACT(T146, ""(\d{1,2}) jun\. 2025""))), 
  TEXT(DATE(2025,6,REGEXEXTRACT(T146, ""(\d{1,2}) jun\. 2025"")), ""dd/mm/yyyy""),
 IF(NOT(ISERROR(REGEXEXTRACT(T146, ""(\d"&amp;"{1,2}) jul\. 2025""))), 
  TEXT(DATE(2025,7,REGEXEXTRACT(T146, ""(\d{1,2}) jul\. 2025"")), ""dd/mm/yyyy""),
 IF(NOT(ISERROR(REGEXEXTRACT(T146, ""(\d{1,2}) ago\. 2025""))), 
  TEXT(DATE(2025,8,REGEXEXTRACT(T146, ""(\d{1,2}) ago\. 2025"")), ""dd/mm/yyyy""),"&amp;"
 IF(NOT(ISERROR(REGEXEXTRACT(T146, ""(\d{1,2}) set\. 2025""))), 
  TEXT(DATE(2025,9,REGEXEXTRACT(T146, ""(\d{1,2}) set\. 2025"")), ""dd/mm/yyyy""),
 IF(NOT(ISERROR(REGEXEXTRACT(T146, ""(\d{1,2}) out\. 2025""))), 
  TEXT(DATE(2025,10,REGEXEXTRACT(T146, """&amp;"(\d{1,2}) out\. 2025"")), ""dd/mm/yyyy""),
 IF(NOT(ISERROR(REGEXEXTRACT(T146, ""(\d{1,2}) nov\. 2025""))), 
  TEXT(DATE(2025,11,REGEXEXTRACT(T146, ""(\d{1,2}) nov\. 2025"")), ""dd/mm/yyyy""),
 IF(NOT(ISERROR(REGEXEXTRACT(T146, ""(\d{1,2}) dez\. 2025""))),"&amp;" 
  TEXT(DATE(2025,12,REGEXEXTRACT(T146, ""(\d{1,2}) dez\. 2025"")), ""dd/mm/yyyy""),
 ""Insira a data manualmente"")))))))))))), """"))"),"29/10/2025")</f>
        <v>29/10/2025</v>
      </c>
      <c r="H146" s="22">
        <f t="shared" si="1"/>
        <v>2025</v>
      </c>
      <c r="I146" s="18" t="s">
        <v>74</v>
      </c>
      <c r="J146" s="30" t="s">
        <v>32</v>
      </c>
      <c r="K146" s="24" t="s">
        <v>409</v>
      </c>
      <c r="L146" s="24" t="s">
        <v>26</v>
      </c>
      <c r="M146" s="25" t="s">
        <v>27</v>
      </c>
      <c r="N146" s="18" t="str">
        <f t="shared" si="8"/>
        <v>Agência Brasil</v>
      </c>
      <c r="O146" s="17" t="s">
        <v>28</v>
      </c>
      <c r="P146" s="17" t="s">
        <v>251</v>
      </c>
      <c r="Q146" s="26">
        <v>45964.0</v>
      </c>
      <c r="R146" s="17" t="s">
        <v>30</v>
      </c>
      <c r="S146" s="27" t="str">
        <f t="shared" si="3"/>
        <v>Aqui</v>
      </c>
      <c r="T146" s="29" t="s">
        <v>410</v>
      </c>
      <c r="U146" s="29"/>
    </row>
    <row r="147">
      <c r="A147" s="16">
        <v>145.0</v>
      </c>
      <c r="B147" s="17" t="s">
        <v>23</v>
      </c>
      <c r="C147" s="18" t="str">
        <f>IFERROR(__xludf.DUMMYFUNCTION("IF(B147="""","""",IF(OR(
  REGEXMATCH(B147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REGEXMATCH(B147,""Notícia|Reportagem|Artigo de opinião|Verbete"")
),""Difusão"","""")))
"),"Difusão")</f>
        <v>Difusão</v>
      </c>
      <c r="D147" s="19" t="str">
        <f>IFERROR(__xludf.DUMMYFUNCTION("IF(B147="""","""",IF(OR(
  REGEXMATCH(B147,""Performance|Instalação|Álbum|Música|Poema|Livro|Filme|Documentário|Recitação|Espetáculo|Peça|Intervenção|Desfile|Fotografia|Exposição|Charge|Grafite|Leitura pública|Fabricação de cachaça artesanal""),
  REGEXMA"&amp;"TCH(B147,""dança|teatral|artístico|musical|artística"")
),""Manifestação artístico-cultural"",
IF(OR(
  REGEXMATCH(B147,""Crônica|Série|Reportagem|Podcast|Audiotour|Entrevista|Vídeo|Rádio|Notícia|Artigo de opinião|Coletiva de imprensa""),
  REGEXMATCH(B14"&amp;"7,""midiática"")
),""Produção midiática"","""")))
"),"Produção midiática")</f>
        <v>Produção midiática</v>
      </c>
      <c r="E147" s="20" t="str">
        <f>IFERROR(__xludf.DUMMYFUNCTION("IF(B147="""","""",IF(OR(
  REGEXMATCH(B147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REGEXMATCH(B147,""público|Imediato|artística|teatral|memória|Ação popular"")
),""Público Imediato"",
IF(REGEXMATCH(B147,""Música|Álbum|Filme|Documentár"&amp;"io|Série|Podcast|Rádio|Audiotour|Entrevista|Reportagem|Crônica|Relatório|Abaixo-assinado|Manifesto|Petição|Poema|Livro|Fotografia|Curta|Live|Webinário|Charge|Leitura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47" s="20" t="str">
        <f>IFERROR(__xludf.DUMMYFUNCTION("IF(B147="""","""",IF(OR(
  REGEXMATCH(B147,""Live|Webinário|Virtual|Verbete""),
  REGEXMATCH(B147,""online"")
),""Virtual"",
IF(REGEXMATCH(B147,""Música|Álbum|Filme|Documentário|Série|Podcast|Rádio|Audiotour|Episódio|Reportagem|Curta|Charge|Vídeo|Entrevis"&amp;"ta|Notícia|Artigo de opinião""),
""Midiático"",
IF(REGEXMATCH(B147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47" s="21" t="str">
        <f>IFERROR(__xludf.DUMMYFUNCTION("IF(C147=""rememoração"", ""Insira a data manualmente"", IF(C147=""difusão"", 
 IF(NOT(ISERROR(REGEXEXTRACT(T147, ""(\d{1,2}) jan\. 2025""))), 
  TEXT(DATE(2025,1,REGEXEXTRACT(T147, ""(\d{1,2}) jan\. 2025"")), ""dd/mm/yyyy""),
 IF(NOT(ISERROR(REGEXEXTRACT("&amp;"T147, ""(\d{1,2}) fev\. 2025""))), 
  TEXT(DATE(2025,2,REGEXEXTRACT(T147, ""(\d{1,2}) fev\. 2025"")), ""dd/mm/yyyy""),
 IF(NOT(ISERROR(REGEXEXTRACT(T147, ""(\d{1,2}) mar\. 2025""))), 
  TEXT(DATE(2025,3,REGEXEXTRACT(T147, ""(\d{1,2}) mar\. 2025"")), ""dd/"&amp;"mm/yyyy""),
 IF(NOT(ISERROR(REGEXEXTRACT(T147, ""(\d{1,2}) abr\. 2025""))), 
  TEXT(DATE(2025,4,REGEXEXTRACT(T147, ""(\d{1,2}) abr\. 2025"")), ""dd/mm/yyyy""),
 IF(NOT(ISERROR(REGEXEXTRACT(T147, ""(\d{1,2}) (mai|maio)\. 2025""))), 
  TEXT(DATE(2025,5,REGE"&amp;"XEXTRACT(T147, ""(\d{1,2}) (mai|maio)\. 2025"")), ""dd/mm/yyyy""),
 IF(NOT(ISERROR(REGEXEXTRACT(T147, ""(\d{1,2}) jun\. 2025""))), 
  TEXT(DATE(2025,6,REGEXEXTRACT(T147, ""(\d{1,2}) jun\. 2025"")), ""dd/mm/yyyy""),
 IF(NOT(ISERROR(REGEXEXTRACT(T147, ""(\d"&amp;"{1,2}) jul\. 2025""))), 
  TEXT(DATE(2025,7,REGEXEXTRACT(T147, ""(\d{1,2}) jul\. 2025"")), ""dd/mm/yyyy""),
 IF(NOT(ISERROR(REGEXEXTRACT(T147, ""(\d{1,2}) ago\. 2025""))), 
  TEXT(DATE(2025,8,REGEXEXTRACT(T147, ""(\d{1,2}) ago\. 2025"")), ""dd/mm/yyyy""),"&amp;"
 IF(NOT(ISERROR(REGEXEXTRACT(T147, ""(\d{1,2}) set\. 2025""))), 
  TEXT(DATE(2025,9,REGEXEXTRACT(T147, ""(\d{1,2}) set\. 2025"")), ""dd/mm/yyyy""),
 IF(NOT(ISERROR(REGEXEXTRACT(T147, ""(\d{1,2}) out\. 2025""))), 
  TEXT(DATE(2025,10,REGEXEXTRACT(T147, """&amp;"(\d{1,2}) out\. 2025"")), ""dd/mm/yyyy""),
 IF(NOT(ISERROR(REGEXEXTRACT(T147, ""(\d{1,2}) nov\. 2025""))), 
  TEXT(DATE(2025,11,REGEXEXTRACT(T147, ""(\d{1,2}) nov\. 2025"")), ""dd/mm/yyyy""),
 IF(NOT(ISERROR(REGEXEXTRACT(T147, ""(\d{1,2}) dez\. 2025""))),"&amp;" 
  TEXT(DATE(2025,12,REGEXEXTRACT(T147, ""(\d{1,2}) dez\. 2025"")), ""dd/mm/yyyy""),
 ""Insira a data manualmente"")))))))))))), """"))"),"31/10/2025")</f>
        <v>31/10/2025</v>
      </c>
      <c r="H147" s="22">
        <f t="shared" si="1"/>
        <v>2025</v>
      </c>
      <c r="I147" s="18" t="s">
        <v>74</v>
      </c>
      <c r="J147" s="30" t="s">
        <v>32</v>
      </c>
      <c r="K147" s="24" t="s">
        <v>411</v>
      </c>
      <c r="L147" s="24" t="s">
        <v>26</v>
      </c>
      <c r="M147" s="25" t="s">
        <v>27</v>
      </c>
      <c r="N147" s="18" t="str">
        <f t="shared" si="8"/>
        <v>Agência Brasil</v>
      </c>
      <c r="O147" s="17" t="s">
        <v>28</v>
      </c>
      <c r="P147" s="17" t="s">
        <v>251</v>
      </c>
      <c r="Q147" s="26">
        <v>45964.0</v>
      </c>
      <c r="R147" s="17" t="s">
        <v>30</v>
      </c>
      <c r="S147" s="27" t="str">
        <f t="shared" si="3"/>
        <v>Aqui</v>
      </c>
      <c r="T147" s="29" t="s">
        <v>412</v>
      </c>
      <c r="U147" s="29"/>
    </row>
    <row r="148">
      <c r="A148" s="16">
        <v>146.0</v>
      </c>
      <c r="B148" s="17" t="s">
        <v>23</v>
      </c>
      <c r="C148" s="18" t="str">
        <f>IFERROR(__xludf.DUMMYFUNCTION("IF(B148="""","""",IF(OR(
  REGEXMATCH(B148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REGEXMATCH(B148,""Notícia|Reportagem|Artigo de opinião|Verbete"")
),""Difusão"","""")))
"),"Difusão")</f>
        <v>Difusão</v>
      </c>
      <c r="D148" s="19" t="str">
        <f>IFERROR(__xludf.DUMMYFUNCTION("IF(B148="""","""",IF(OR(
  REGEXMATCH(B148,""Performance|Instalação|Álbum|Música|Poema|Livro|Filme|Documentário|Recitação|Espetáculo|Peça|Intervenção|Desfile|Fotografia|Exposição|Charge|Grafite|Leitura pública|Fabricação de cachaça artesanal""),
  REGEXMA"&amp;"TCH(B148,""dança|teatral|artístico|musical|artística"")
),""Manifestação artístico-cultural"",
IF(OR(
  REGEXMATCH(B148,""Crônica|Série|Reportagem|Podcast|Audiotour|Entrevista|Vídeo|Rádio|Notícia|Artigo de opinião|Coletiva de imprensa""),
  REGEXMATCH(B14"&amp;"8,""midiática"")
),""Produção midiática"","""")))
"),"Produção midiática")</f>
        <v>Produção midiática</v>
      </c>
      <c r="E148" s="20" t="str">
        <f>IFERROR(__xludf.DUMMYFUNCTION("IF(B148="""","""",IF(OR(
  REGEXMATCH(B148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REGEXMATCH(B148,""público|Imediato|artística|teatral|memória|Ação popular"")
),""Público Imediato"",
IF(REGEXMATCH(B148,""Música|Álbum|Filme|Documentár"&amp;"io|Série|Podcast|Rádio|Audiotour|Entrevista|Reportagem|Crônica|Relatório|Abaixo-assinado|Manifesto|Petição|Poema|Livro|Fotografia|Curta|Live|Webinário|Charge|Leitura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48" s="20" t="str">
        <f>IFERROR(__xludf.DUMMYFUNCTION("IF(B148="""","""",IF(OR(
  REGEXMATCH(B148,""Live|Webinário|Virtual|Verbete""),
  REGEXMATCH(B148,""online"")
),""Virtual"",
IF(REGEXMATCH(B148,""Música|Álbum|Filme|Documentário|Série|Podcast|Rádio|Audiotour|Episódio|Reportagem|Curta|Charge|Vídeo|Entrevis"&amp;"ta|Notícia|Artigo de opinião""),
""Midiático"",
IF(REGEXMATCH(B148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48" s="21" t="str">
        <f>IFERROR(__xludf.DUMMYFUNCTION("IF(C148=""rememoração"", ""Insira a data manualmente"", IF(C148=""difusão"", 
 IF(NOT(ISERROR(REGEXEXTRACT(T148, ""(\d{1,2}) jan\. 2025""))), 
  TEXT(DATE(2025,1,REGEXEXTRACT(T148, ""(\d{1,2}) jan\. 2025"")), ""dd/mm/yyyy""),
 IF(NOT(ISERROR(REGEXEXTRACT("&amp;"T148, ""(\d{1,2}) fev\. 2025""))), 
  TEXT(DATE(2025,2,REGEXEXTRACT(T148, ""(\d{1,2}) fev\. 2025"")), ""dd/mm/yyyy""),
 IF(NOT(ISERROR(REGEXEXTRACT(T148, ""(\d{1,2}) mar\. 2025""))), 
  TEXT(DATE(2025,3,REGEXEXTRACT(T148, ""(\d{1,2}) mar\. 2025"")), ""dd/"&amp;"mm/yyyy""),
 IF(NOT(ISERROR(REGEXEXTRACT(T148, ""(\d{1,2}) abr\. 2025""))), 
  TEXT(DATE(2025,4,REGEXEXTRACT(T148, ""(\d{1,2}) abr\. 2025"")), ""dd/mm/yyyy""),
 IF(NOT(ISERROR(REGEXEXTRACT(T148, ""(\d{1,2}) (mai|maio)\. 2025""))), 
  TEXT(DATE(2025,5,REGE"&amp;"XEXTRACT(T148, ""(\d{1,2}) (mai|maio)\. 2025"")), ""dd/mm/yyyy""),
 IF(NOT(ISERROR(REGEXEXTRACT(T148, ""(\d{1,2}) jun\. 2025""))), 
  TEXT(DATE(2025,6,REGEXEXTRACT(T148, ""(\d{1,2}) jun\. 2025"")), ""dd/mm/yyyy""),
 IF(NOT(ISERROR(REGEXEXTRACT(T148, ""(\d"&amp;"{1,2}) jul\. 2025""))), 
  TEXT(DATE(2025,7,REGEXEXTRACT(T148, ""(\d{1,2}) jul\. 2025"")), ""dd/mm/yyyy""),
 IF(NOT(ISERROR(REGEXEXTRACT(T148, ""(\d{1,2}) ago\. 2025""))), 
  TEXT(DATE(2025,8,REGEXEXTRACT(T148, ""(\d{1,2}) ago\. 2025"")), ""dd/mm/yyyy""),"&amp;"
 IF(NOT(ISERROR(REGEXEXTRACT(T148, ""(\d{1,2}) set\. 2025""))), 
  TEXT(DATE(2025,9,REGEXEXTRACT(T148, ""(\d{1,2}) set\. 2025"")), ""dd/mm/yyyy""),
 IF(NOT(ISERROR(REGEXEXTRACT(T148, ""(\d{1,2}) out\. 2025""))), 
  TEXT(DATE(2025,10,REGEXEXTRACT(T148, """&amp;"(\d{1,2}) out\. 2025"")), ""dd/mm/yyyy""),
 IF(NOT(ISERROR(REGEXEXTRACT(T148, ""(\d{1,2}) nov\. 2025""))), 
  TEXT(DATE(2025,11,REGEXEXTRACT(T148, ""(\d{1,2}) nov\. 2025"")), ""dd/mm/yyyy""),
 IF(NOT(ISERROR(REGEXEXTRACT(T148, ""(\d{1,2}) dez\. 2025""))),"&amp;" 
  TEXT(DATE(2025,12,REGEXEXTRACT(T148, ""(\d{1,2}) dez\. 2025"")), ""dd/mm/yyyy""),
 ""Insira a data manualmente"")))))))))))), """"))"),"30/10/2025")</f>
        <v>30/10/2025</v>
      </c>
      <c r="H148" s="22">
        <f t="shared" si="1"/>
        <v>2025</v>
      </c>
      <c r="I148" s="18" t="s">
        <v>74</v>
      </c>
      <c r="J148" s="30" t="s">
        <v>32</v>
      </c>
      <c r="K148" s="24" t="s">
        <v>413</v>
      </c>
      <c r="L148" s="24" t="s">
        <v>26</v>
      </c>
      <c r="M148" s="25" t="s">
        <v>27</v>
      </c>
      <c r="N148" s="18" t="str">
        <f t="shared" si="8"/>
        <v>Agência Brasil</v>
      </c>
      <c r="O148" s="17" t="s">
        <v>28</v>
      </c>
      <c r="P148" s="17" t="s">
        <v>251</v>
      </c>
      <c r="Q148" s="26">
        <v>45964.0</v>
      </c>
      <c r="R148" s="17" t="s">
        <v>30</v>
      </c>
      <c r="S148" s="27" t="str">
        <f t="shared" si="3"/>
        <v>Aqui</v>
      </c>
      <c r="T148" s="29" t="s">
        <v>414</v>
      </c>
      <c r="U148" s="29"/>
    </row>
    <row r="149">
      <c r="A149" s="16">
        <v>147.0</v>
      </c>
      <c r="B149" s="17" t="s">
        <v>23</v>
      </c>
      <c r="C149" s="18" t="str">
        <f>IFERROR(__xludf.DUMMYFUNCTION("IF(B149="""","""",IF(OR(
  REGEXMATCH(B149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REGEXMATCH(B149,""Notícia|Reportagem|Artigo de opinião|Verbete"")
),""Difusão"","""")))
"),"Difusão")</f>
        <v>Difusão</v>
      </c>
      <c r="D149" s="19" t="str">
        <f>IFERROR(__xludf.DUMMYFUNCTION("IF(B149="""","""",IF(OR(
  REGEXMATCH(B149,""Performance|Instalação|Álbum|Música|Poema|Livro|Filme|Documentário|Recitação|Espetáculo|Peça|Intervenção|Desfile|Fotografia|Exposição|Charge|Grafite|Leitura pública|Fabricação de cachaça artesanal""),
  REGEXMA"&amp;"TCH(B149,""dança|teatral|artístico|musical|artística"")
),""Manifestação artístico-cultural"",
IF(OR(
  REGEXMATCH(B149,""Crônica|Série|Reportagem|Podcast|Audiotour|Entrevista|Vídeo|Rádio|Notícia|Artigo de opinião|Coletiva de imprensa""),
  REGEXMATCH(B14"&amp;"9,""midiática"")
),""Produção midiática"","""")))
"),"Produção midiática")</f>
        <v>Produção midiática</v>
      </c>
      <c r="E149" s="20" t="str">
        <f>IFERROR(__xludf.DUMMYFUNCTION("IF(B149="""","""",IF(OR(
  REGEXMATCH(B149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REGEXMATCH(B149,""público|Imediato|artística|teatral|memória|Ação popular"")
),""Público Imediato"",
IF(REGEXMATCH(B149,""Música|Álbum|Filme|Documentár"&amp;"io|Série|Podcast|Rádio|Audiotour|Entrevista|Reportagem|Crônica|Relatório|Abaixo-assinado|Manifesto|Petição|Poema|Livro|Fotografia|Curta|Live|Webinário|Charge|Leitura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49" s="20" t="str">
        <f>IFERROR(__xludf.DUMMYFUNCTION("IF(B149="""","""",IF(OR(
  REGEXMATCH(B149,""Live|Webinário|Virtual|Verbete""),
  REGEXMATCH(B149,""online"")
),""Virtual"",
IF(REGEXMATCH(B149,""Música|Álbum|Filme|Documentário|Série|Podcast|Rádio|Audiotour|Episódio|Reportagem|Curta|Charge|Vídeo|Entrevis"&amp;"ta|Notícia|Artigo de opinião""),
""Midiático"",
IF(REGEXMATCH(B149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49" s="21" t="str">
        <f>IFERROR(__xludf.DUMMYFUNCTION("IF(C149=""rememoração"", ""Insira a data manualmente"", IF(C149=""difusão"", 
 IF(NOT(ISERROR(REGEXEXTRACT(T149, ""(\d{1,2}) jan\. 2025""))), 
  TEXT(DATE(2025,1,REGEXEXTRACT(T149, ""(\d{1,2}) jan\. 2025"")), ""dd/mm/yyyy""),
 IF(NOT(ISERROR(REGEXEXTRACT("&amp;"T149, ""(\d{1,2}) fev\. 2025""))), 
  TEXT(DATE(2025,2,REGEXEXTRACT(T149, ""(\d{1,2}) fev\. 2025"")), ""dd/mm/yyyy""),
 IF(NOT(ISERROR(REGEXEXTRACT(T149, ""(\d{1,2}) mar\. 2025""))), 
  TEXT(DATE(2025,3,REGEXEXTRACT(T149, ""(\d{1,2}) mar\. 2025"")), ""dd/"&amp;"mm/yyyy""),
 IF(NOT(ISERROR(REGEXEXTRACT(T149, ""(\d{1,2}) abr\. 2025""))), 
  TEXT(DATE(2025,4,REGEXEXTRACT(T149, ""(\d{1,2}) abr\. 2025"")), ""dd/mm/yyyy""),
 IF(NOT(ISERROR(REGEXEXTRACT(T149, ""(\d{1,2}) (mai|maio)\. 2025""))), 
  TEXT(DATE(2025,5,REGE"&amp;"XEXTRACT(T149, ""(\d{1,2}) (mai|maio)\. 2025"")), ""dd/mm/yyyy""),
 IF(NOT(ISERROR(REGEXEXTRACT(T149, ""(\d{1,2}) jun\. 2025""))), 
  TEXT(DATE(2025,6,REGEXEXTRACT(T149, ""(\d{1,2}) jun\. 2025"")), ""dd/mm/yyyy""),
 IF(NOT(ISERROR(REGEXEXTRACT(T149, ""(\d"&amp;"{1,2}) jul\. 2025""))), 
  TEXT(DATE(2025,7,REGEXEXTRACT(T149, ""(\d{1,2}) jul\. 2025"")), ""dd/mm/yyyy""),
 IF(NOT(ISERROR(REGEXEXTRACT(T149, ""(\d{1,2}) ago\. 2025""))), 
  TEXT(DATE(2025,8,REGEXEXTRACT(T149, ""(\d{1,2}) ago\. 2025"")), ""dd/mm/yyyy""),"&amp;"
 IF(NOT(ISERROR(REGEXEXTRACT(T149, ""(\d{1,2}) set\. 2025""))), 
  TEXT(DATE(2025,9,REGEXEXTRACT(T149, ""(\d{1,2}) set\. 2025"")), ""dd/mm/yyyy""),
 IF(NOT(ISERROR(REGEXEXTRACT(T149, ""(\d{1,2}) out\. 2025""))), 
  TEXT(DATE(2025,10,REGEXEXTRACT(T149, """&amp;"(\d{1,2}) out\. 2025"")), ""dd/mm/yyyy""),
 IF(NOT(ISERROR(REGEXEXTRACT(T149, ""(\d{1,2}) nov\. 2025""))), 
  TEXT(DATE(2025,11,REGEXEXTRACT(T149, ""(\d{1,2}) nov\. 2025"")), ""dd/mm/yyyy""),
 IF(NOT(ISERROR(REGEXEXTRACT(T149, ""(\d{1,2}) dez\. 2025""))),"&amp;" 
  TEXT(DATE(2025,12,REGEXEXTRACT(T149, ""(\d{1,2}) dez\. 2025"")), ""dd/mm/yyyy""),
 ""Insira a data manualmente"")))))))))))), """"))"),"31/10/2025")</f>
        <v>31/10/2025</v>
      </c>
      <c r="H149" s="22">
        <f t="shared" si="1"/>
        <v>2025</v>
      </c>
      <c r="I149" s="18" t="str">
        <f>IFERROR(__xludf.DUMMYFUNCTION("IF(REGEXMATCH(T149,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IF(REGEXMATCH(T149, ""(?i)\bBrasília\b""), ""Distrito Federal, Brasil"",
REGEXEXTRACT(T149,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149" s="30" t="s">
        <v>415</v>
      </c>
      <c r="K149" s="24" t="s">
        <v>416</v>
      </c>
      <c r="L149" s="24" t="s">
        <v>26</v>
      </c>
      <c r="M149" s="25" t="s">
        <v>27</v>
      </c>
      <c r="N149" s="18" t="str">
        <f t="shared" si="8"/>
        <v>Organização das Nações Unidas Brasil</v>
      </c>
      <c r="O149" s="17" t="s">
        <v>28</v>
      </c>
      <c r="P149" s="17" t="s">
        <v>251</v>
      </c>
      <c r="Q149" s="26">
        <v>45964.0</v>
      </c>
      <c r="R149" s="17" t="s">
        <v>30</v>
      </c>
      <c r="S149" s="27" t="str">
        <f t="shared" si="3"/>
        <v>Aqui</v>
      </c>
      <c r="T149" s="29" t="s">
        <v>417</v>
      </c>
      <c r="U149" s="29"/>
    </row>
    <row r="150">
      <c r="A150" s="16">
        <v>148.0</v>
      </c>
      <c r="B150" s="17" t="s">
        <v>23</v>
      </c>
      <c r="C150" s="18" t="str">
        <f>IFERROR(__xludf.DUMMYFUNCTION("IF(B150="""","""",IF(OR(
  REGEXMATCH(B150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REGEXMATCH(B150,""Notícia|Reportagem|Artigo de opinião|Verbete"")
),""Difusão"","""")))
"),"Difusão")</f>
        <v>Difusão</v>
      </c>
      <c r="D150" s="19" t="str">
        <f>IFERROR(__xludf.DUMMYFUNCTION("IF(B150="""","""",IF(OR(
  REGEXMATCH(B150,""Performance|Instalação|Álbum|Música|Poema|Livro|Filme|Documentário|Recitação|Espetáculo|Peça|Intervenção|Desfile|Fotografia|Exposição|Charge|Grafite|Leitura pública|Fabricação de cachaça artesanal""),
  REGEXMA"&amp;"TCH(B150,""dança|teatral|artístico|musical|artística"")
),""Manifestação artístico-cultural"",
IF(OR(
  REGEXMATCH(B150,""Crônica|Série|Reportagem|Podcast|Audiotour|Entrevista|Vídeo|Rádio|Notícia|Artigo de opinião|Coletiva de imprensa""),
  REGEXMATCH(B15"&amp;"0,""midiática"")
),""Produção midiática"","""")))
"),"Produção midiática")</f>
        <v>Produção midiática</v>
      </c>
      <c r="E150" s="20" t="str">
        <f>IFERROR(__xludf.DUMMYFUNCTION("IF(B150="""","""",IF(OR(
  REGEXMATCH(B150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REGEXMATCH(B150,""público|Imediato|artística|teatral|memória|Ação popular"")
),""Público Imediato"",
IF(REGEXMATCH(B150,""Música|Álbum|Filme|Documentár"&amp;"io|Série|Podcast|Rádio|Audiotour|Entrevista|Reportagem|Crônica|Relatório|Abaixo-assinado|Manifesto|Petição|Poema|Livro|Fotografia|Curta|Live|Webinário|Charge|Leitura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50" s="20" t="str">
        <f>IFERROR(__xludf.DUMMYFUNCTION("IF(B150="""","""",IF(OR(
  REGEXMATCH(B150,""Live|Webinário|Virtual|Verbete""),
  REGEXMATCH(B150,""online"")
),""Virtual"",
IF(REGEXMATCH(B150,""Música|Álbum|Filme|Documentário|Série|Podcast|Rádio|Audiotour|Episódio|Reportagem|Curta|Charge|Vídeo|Entrevis"&amp;"ta|Notícia|Artigo de opinião""),
""Midiático"",
IF(REGEXMATCH(B150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50" s="21" t="str">
        <f>IFERROR(__xludf.DUMMYFUNCTION("IF(C150=""rememoração"", ""Insira a data manualmente"", IF(C150=""difusão"", 
 IF(NOT(ISERROR(REGEXEXTRACT(T150, ""(\d{1,2}) jan\. 2025""))), 
  TEXT(DATE(2025,1,REGEXEXTRACT(T150, ""(\d{1,2}) jan\. 2025"")), ""dd/mm/yyyy""),
 IF(NOT(ISERROR(REGEXEXTRACT("&amp;"T150, ""(\d{1,2}) fev\. 2025""))), 
  TEXT(DATE(2025,2,REGEXEXTRACT(T150, ""(\d{1,2}) fev\. 2025"")), ""dd/mm/yyyy""),
 IF(NOT(ISERROR(REGEXEXTRACT(T150, ""(\d{1,2}) mar\. 2025""))), 
  TEXT(DATE(2025,3,REGEXEXTRACT(T150, ""(\d{1,2}) mar\. 2025"")), ""dd/"&amp;"mm/yyyy""),
 IF(NOT(ISERROR(REGEXEXTRACT(T150, ""(\d{1,2}) abr\. 2025""))), 
  TEXT(DATE(2025,4,REGEXEXTRACT(T150, ""(\d{1,2}) abr\. 2025"")), ""dd/mm/yyyy""),
 IF(NOT(ISERROR(REGEXEXTRACT(T150, ""(\d{1,2}) (mai|maio)\. 2025""))), 
  TEXT(DATE(2025,5,REGE"&amp;"XEXTRACT(T150, ""(\d{1,2}) (mai|maio)\. 2025"")), ""dd/mm/yyyy""),
 IF(NOT(ISERROR(REGEXEXTRACT(T150, ""(\d{1,2}) jun\. 2025""))), 
  TEXT(DATE(2025,6,REGEXEXTRACT(T150, ""(\d{1,2}) jun\. 2025"")), ""dd/mm/yyyy""),
 IF(NOT(ISERROR(REGEXEXTRACT(T150, ""(\d"&amp;"{1,2}) jul\. 2025""))), 
  TEXT(DATE(2025,7,REGEXEXTRACT(T150, ""(\d{1,2}) jul\. 2025"")), ""dd/mm/yyyy""),
 IF(NOT(ISERROR(REGEXEXTRACT(T150, ""(\d{1,2}) ago\. 2025""))), 
  TEXT(DATE(2025,8,REGEXEXTRACT(T150, ""(\d{1,2}) ago\. 2025"")), ""dd/mm/yyyy""),"&amp;"
 IF(NOT(ISERROR(REGEXEXTRACT(T150, ""(\d{1,2}) set\. 2025""))), 
  TEXT(DATE(2025,9,REGEXEXTRACT(T150, ""(\d{1,2}) set\. 2025"")), ""dd/mm/yyyy""),
 IF(NOT(ISERROR(REGEXEXTRACT(T150, ""(\d{1,2}) out\. 2025""))), 
  TEXT(DATE(2025,10,REGEXEXTRACT(T150, """&amp;"(\d{1,2}) out\. 2025"")), ""dd/mm/yyyy""),
 IF(NOT(ISERROR(REGEXEXTRACT(T150, ""(\d{1,2}) nov\. 2025""))), 
  TEXT(DATE(2025,11,REGEXEXTRACT(T150, ""(\d{1,2}) nov\. 2025"")), ""dd/mm/yyyy""),
 IF(NOT(ISERROR(REGEXEXTRACT(T150, ""(\d{1,2}) dez\. 2025""))),"&amp;" 
  TEXT(DATE(2025,12,REGEXEXTRACT(T150, ""(\d{1,2}) dez\. 2025"")), ""dd/mm/yyyy""),
 ""Insira a data manualmente"")))))))))))), """"))"),"28/10/2025")</f>
        <v>28/10/2025</v>
      </c>
      <c r="H150" s="22">
        <f t="shared" si="1"/>
        <v>2025</v>
      </c>
      <c r="I150" s="18" t="s">
        <v>298</v>
      </c>
      <c r="J150" s="30" t="s">
        <v>93</v>
      </c>
      <c r="K150" s="24" t="s">
        <v>418</v>
      </c>
      <c r="L150" s="24" t="s">
        <v>26</v>
      </c>
      <c r="M150" s="25" t="s">
        <v>27</v>
      </c>
      <c r="N150" s="18" t="str">
        <f t="shared" si="8"/>
        <v>Gazeta do Povo</v>
      </c>
      <c r="O150" s="17" t="s">
        <v>28</v>
      </c>
      <c r="P150" s="17" t="s">
        <v>251</v>
      </c>
      <c r="Q150" s="26">
        <v>45964.0</v>
      </c>
      <c r="R150" s="17" t="s">
        <v>30</v>
      </c>
      <c r="S150" s="27" t="str">
        <f t="shared" si="3"/>
        <v>Aqui</v>
      </c>
      <c r="T150" s="29" t="s">
        <v>419</v>
      </c>
      <c r="U150" s="29"/>
    </row>
    <row r="151">
      <c r="A151" s="16">
        <v>149.0</v>
      </c>
      <c r="B151" s="17" t="s">
        <v>23</v>
      </c>
      <c r="C151" s="18" t="str">
        <f>IFERROR(__xludf.DUMMYFUNCTION("IF(B151="""","""",IF(OR(
  REGEXMATCH(B151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REGEXMATCH(B151,""Notícia|Reportagem|Artigo de opinião|Verbete"")
),""Difusão"","""")))
"),"Difusão")</f>
        <v>Difusão</v>
      </c>
      <c r="D151" s="19" t="str">
        <f>IFERROR(__xludf.DUMMYFUNCTION("IF(B151="""","""",IF(OR(
  REGEXMATCH(B151,""Performance|Instalação|Álbum|Música|Poema|Livro|Filme|Documentário|Recitação|Espetáculo|Peça|Intervenção|Desfile|Fotografia|Exposição|Charge|Grafite|Leitura pública|Fabricação de cachaça artesanal""),
  REGEXMA"&amp;"TCH(B151,""dança|teatral|artístico|musical|artística"")
),""Manifestação artístico-cultural"",
IF(OR(
  REGEXMATCH(B151,""Crônica|Série|Reportagem|Podcast|Audiotour|Entrevista|Vídeo|Rádio|Notícia|Artigo de opinião|Coletiva de imprensa""),
  REGEXMATCH(B15"&amp;"1,""midiática"")
),""Produção midiática"","""")))
"),"Produção midiática")</f>
        <v>Produção midiática</v>
      </c>
      <c r="E151" s="20" t="str">
        <f>IFERROR(__xludf.DUMMYFUNCTION("IF(B151="""","""",IF(OR(
  REGEXMATCH(B151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REGEXMATCH(B151,""público|Imediato|artística|teatral|memória|Ação popular"")
),""Público Imediato"",
IF(REGEXMATCH(B151,""Música|Álbum|Filme|Documentár"&amp;"io|Série|Podcast|Rádio|Audiotour|Entrevista|Reportagem|Crônica|Relatório|Abaixo-assinado|Manifesto|Petição|Poema|Livro|Fotografia|Curta|Live|Webinário|Charge|Leitura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51" s="20" t="str">
        <f>IFERROR(__xludf.DUMMYFUNCTION("IF(B151="""","""",IF(OR(
  REGEXMATCH(B151,""Live|Webinário|Virtual|Verbete""),
  REGEXMATCH(B151,""online"")
),""Virtual"",
IF(REGEXMATCH(B151,""Música|Álbum|Filme|Documentário|Série|Podcast|Rádio|Audiotour|Episódio|Reportagem|Curta|Charge|Vídeo|Entrevis"&amp;"ta|Notícia|Artigo de opinião""),
""Midiático"",
IF(REGEXMATCH(B151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51" s="21" t="str">
        <f>IFERROR(__xludf.DUMMYFUNCTION("IF(C151=""rememoração"", ""Insira a data manualmente"", IF(C151=""difusão"", 
 IF(NOT(ISERROR(REGEXEXTRACT(T151, ""(\d{1,2}) jan\. 2025""))), 
  TEXT(DATE(2025,1,REGEXEXTRACT(T151, ""(\d{1,2}) jan\. 2025"")), ""dd/mm/yyyy""),
 IF(NOT(ISERROR(REGEXEXTRACT("&amp;"T151, ""(\d{1,2}) fev\. 2025""))), 
  TEXT(DATE(2025,2,REGEXEXTRACT(T151, ""(\d{1,2}) fev\. 2025"")), ""dd/mm/yyyy""),
 IF(NOT(ISERROR(REGEXEXTRACT(T151, ""(\d{1,2}) mar\. 2025""))), 
  TEXT(DATE(2025,3,REGEXEXTRACT(T151, ""(\d{1,2}) mar\. 2025"")), ""dd/"&amp;"mm/yyyy""),
 IF(NOT(ISERROR(REGEXEXTRACT(T151, ""(\d{1,2}) abr\. 2025""))), 
  TEXT(DATE(2025,4,REGEXEXTRACT(T151, ""(\d{1,2}) abr\. 2025"")), ""dd/mm/yyyy""),
 IF(NOT(ISERROR(REGEXEXTRACT(T151, ""(\d{1,2}) (mai|maio)\. 2025""))), 
  TEXT(DATE(2025,5,REGE"&amp;"XEXTRACT(T151, ""(\d{1,2}) (mai|maio)\. 2025"")), ""dd/mm/yyyy""),
 IF(NOT(ISERROR(REGEXEXTRACT(T151, ""(\d{1,2}) jun\. 2025""))), 
  TEXT(DATE(2025,6,REGEXEXTRACT(T151, ""(\d{1,2}) jun\. 2025"")), ""dd/mm/yyyy""),
 IF(NOT(ISERROR(REGEXEXTRACT(T151, ""(\d"&amp;"{1,2}) jul\. 2025""))), 
  TEXT(DATE(2025,7,REGEXEXTRACT(T151, ""(\d{1,2}) jul\. 2025"")), ""dd/mm/yyyy""),
 IF(NOT(ISERROR(REGEXEXTRACT(T151, ""(\d{1,2}) ago\. 2025""))), 
  TEXT(DATE(2025,8,REGEXEXTRACT(T151, ""(\d{1,2}) ago\. 2025"")), ""dd/mm/yyyy""),"&amp;"
 IF(NOT(ISERROR(REGEXEXTRACT(T151, ""(\d{1,2}) set\. 2025""))), 
  TEXT(DATE(2025,9,REGEXEXTRACT(T151, ""(\d{1,2}) set\. 2025"")), ""dd/mm/yyyy""),
 IF(NOT(ISERROR(REGEXEXTRACT(T151, ""(\d{1,2}) out\. 2025""))), 
  TEXT(DATE(2025,10,REGEXEXTRACT(T151, """&amp;"(\d{1,2}) out\. 2025"")), ""dd/mm/yyyy""),
 IF(NOT(ISERROR(REGEXEXTRACT(T151, ""(\d{1,2}) nov\. 2025""))), 
  TEXT(DATE(2025,11,REGEXEXTRACT(T151, ""(\d{1,2}) nov\. 2025"")), ""dd/mm/yyyy""),
 IF(NOT(ISERROR(REGEXEXTRACT(T151, ""(\d{1,2}) dez\. 2025""))),"&amp;" 
  TEXT(DATE(2025,12,REGEXEXTRACT(T151, ""(\d{1,2}) dez\. 2025"")), ""dd/mm/yyyy""),
 ""Insira a data manualmente"")))))))))))), """"))"),"30/10/2025")</f>
        <v>30/10/2025</v>
      </c>
      <c r="H151" s="22">
        <f t="shared" si="1"/>
        <v>2025</v>
      </c>
      <c r="I151" s="18" t="s">
        <v>116</v>
      </c>
      <c r="J151" s="30" t="s">
        <v>315</v>
      </c>
      <c r="K151" s="24" t="s">
        <v>420</v>
      </c>
      <c r="L151" s="24" t="s">
        <v>26</v>
      </c>
      <c r="M151" s="25" t="s">
        <v>27</v>
      </c>
      <c r="N151" s="18" t="str">
        <f t="shared" si="8"/>
        <v>Brasil de Fato</v>
      </c>
      <c r="O151" s="17" t="s">
        <v>28</v>
      </c>
      <c r="P151" s="17" t="s">
        <v>251</v>
      </c>
      <c r="Q151" s="26">
        <v>45964.0</v>
      </c>
      <c r="R151" s="17" t="s">
        <v>30</v>
      </c>
      <c r="S151" s="27" t="str">
        <f t="shared" si="3"/>
        <v>Aqui</v>
      </c>
      <c r="T151" s="29" t="s">
        <v>421</v>
      </c>
      <c r="U151" s="29"/>
    </row>
    <row r="152">
      <c r="A152" s="16">
        <v>150.0</v>
      </c>
      <c r="B152" s="17" t="s">
        <v>23</v>
      </c>
      <c r="C152" s="18" t="str">
        <f>IFERROR(__xludf.DUMMYFUNCTION("IF(B152="""","""",IF(OR(
  REGEXMATCH(B152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REGEXMATCH(B152,""Notícia|Reportagem|Artigo de opinião|Verbete"")
),""Difusão"","""")))
"),"Difusão")</f>
        <v>Difusão</v>
      </c>
      <c r="D152" s="19" t="str">
        <f>IFERROR(__xludf.DUMMYFUNCTION("IF(B152="""","""",IF(OR(
  REGEXMATCH(B152,""Performance|Instalação|Álbum|Música|Poema|Livro|Filme|Documentário|Recitação|Espetáculo|Peça|Intervenção|Desfile|Fotografia|Exposição|Charge|Grafite|Leitura pública|Fabricação de cachaça artesanal""),
  REGEXMA"&amp;"TCH(B152,""dança|teatral|artístico|musical|artística"")
),""Manifestação artístico-cultural"",
IF(OR(
  REGEXMATCH(B152,""Crônica|Série|Reportagem|Podcast|Audiotour|Entrevista|Vídeo|Rádio|Notícia|Artigo de opinião|Coletiva de imprensa""),
  REGEXMATCH(B15"&amp;"2,""midiática"")
),""Produção midiática"","""")))
"),"Produção midiática")</f>
        <v>Produção midiática</v>
      </c>
      <c r="E152" s="20" t="str">
        <f>IFERROR(__xludf.DUMMYFUNCTION("IF(B152="""","""",IF(OR(
  REGEXMATCH(B152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REGEXMATCH(B152,""público|Imediato|artística|teatral|memória|Ação popular"")
),""Público Imediato"",
IF(REGEXMATCH(B152,""Música|Álbum|Filme|Documentár"&amp;"io|Série|Podcast|Rádio|Audiotour|Entrevista|Reportagem|Crônica|Relatório|Abaixo-assinado|Manifesto|Petição|Poema|Livro|Fotografia|Curta|Live|Webinário|Charge|Leitura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52" s="20" t="str">
        <f>IFERROR(__xludf.DUMMYFUNCTION("IF(B152="""","""",IF(OR(
  REGEXMATCH(B152,""Live|Webinário|Virtual|Verbete""),
  REGEXMATCH(B152,""online"")
),""Virtual"",
IF(REGEXMATCH(B152,""Música|Álbum|Filme|Documentário|Série|Podcast|Rádio|Audiotour|Episódio|Reportagem|Curta|Charge|Vídeo|Entrevis"&amp;"ta|Notícia|Artigo de opinião""),
""Midiático"",
IF(REGEXMATCH(B152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52" s="21" t="str">
        <f>IFERROR(__xludf.DUMMYFUNCTION("IF(C152=""rememoração"", ""Insira a data manualmente"", IF(C152=""difusão"", 
 IF(NOT(ISERROR(REGEXEXTRACT(T152, ""(\d{1,2}) jan\. 2025""))), 
  TEXT(DATE(2025,1,REGEXEXTRACT(T152, ""(\d{1,2}) jan\. 2025"")), ""dd/mm/yyyy""),
 IF(NOT(ISERROR(REGEXEXTRACT("&amp;"T152, ""(\d{1,2}) fev\. 2025""))), 
  TEXT(DATE(2025,2,REGEXEXTRACT(T152, ""(\d{1,2}) fev\. 2025"")), ""dd/mm/yyyy""),
 IF(NOT(ISERROR(REGEXEXTRACT(T152, ""(\d{1,2}) mar\. 2025""))), 
  TEXT(DATE(2025,3,REGEXEXTRACT(T152, ""(\d{1,2}) mar\. 2025"")), ""dd/"&amp;"mm/yyyy""),
 IF(NOT(ISERROR(REGEXEXTRACT(T152, ""(\d{1,2}) abr\. 2025""))), 
  TEXT(DATE(2025,4,REGEXEXTRACT(T152, ""(\d{1,2}) abr\. 2025"")), ""dd/mm/yyyy""),
 IF(NOT(ISERROR(REGEXEXTRACT(T152, ""(\d{1,2}) (mai|maio)\. 2025""))), 
  TEXT(DATE(2025,5,REGE"&amp;"XEXTRACT(T152, ""(\d{1,2}) (mai|maio)\. 2025"")), ""dd/mm/yyyy""),
 IF(NOT(ISERROR(REGEXEXTRACT(T152, ""(\d{1,2}) jun\. 2025""))), 
  TEXT(DATE(2025,6,REGEXEXTRACT(T152, ""(\d{1,2}) jun\. 2025"")), ""dd/mm/yyyy""),
 IF(NOT(ISERROR(REGEXEXTRACT(T152, ""(\d"&amp;"{1,2}) jul\. 2025""))), 
  TEXT(DATE(2025,7,REGEXEXTRACT(T152, ""(\d{1,2}) jul\. 2025"")), ""dd/mm/yyyy""),
 IF(NOT(ISERROR(REGEXEXTRACT(T152, ""(\d{1,2}) ago\. 2025""))), 
  TEXT(DATE(2025,8,REGEXEXTRACT(T152, ""(\d{1,2}) ago\. 2025"")), ""dd/mm/yyyy""),"&amp;"
 IF(NOT(ISERROR(REGEXEXTRACT(T152, ""(\d{1,2}) set\. 2025""))), 
  TEXT(DATE(2025,9,REGEXEXTRACT(T152, ""(\d{1,2}) set\. 2025"")), ""dd/mm/yyyy""),
 IF(NOT(ISERROR(REGEXEXTRACT(T152, ""(\d{1,2}) out\. 2025""))), 
  TEXT(DATE(2025,10,REGEXEXTRACT(T152, """&amp;"(\d{1,2}) out\. 2025"")), ""dd/mm/yyyy""),
 IF(NOT(ISERROR(REGEXEXTRACT(T152, ""(\d{1,2}) nov\. 2025""))), 
  TEXT(DATE(2025,11,REGEXEXTRACT(T152, ""(\d{1,2}) nov\. 2025"")), ""dd/mm/yyyy""),
 IF(NOT(ISERROR(REGEXEXTRACT(T152, ""(\d{1,2}) dez\. 2025""))),"&amp;" 
  TEXT(DATE(2025,12,REGEXEXTRACT(T152, ""(\d{1,2}) dez\. 2025"")), ""dd/mm/yyyy""),
 ""Insira a data manualmente"")))))))))))), """"))"),"31/10/2025")</f>
        <v>31/10/2025</v>
      </c>
      <c r="H152" s="22">
        <f t="shared" si="1"/>
        <v>2025</v>
      </c>
      <c r="I152" s="18" t="s">
        <v>116</v>
      </c>
      <c r="J152" s="30" t="s">
        <v>422</v>
      </c>
      <c r="K152" s="24" t="s">
        <v>423</v>
      </c>
      <c r="L152" s="24" t="s">
        <v>26</v>
      </c>
      <c r="M152" s="25" t="s">
        <v>27</v>
      </c>
      <c r="N152" s="18" t="str">
        <f t="shared" si="8"/>
        <v>Jovem Pan</v>
      </c>
      <c r="O152" s="17" t="s">
        <v>28</v>
      </c>
      <c r="P152" s="17" t="s">
        <v>251</v>
      </c>
      <c r="Q152" s="26">
        <v>45964.0</v>
      </c>
      <c r="R152" s="17" t="s">
        <v>30</v>
      </c>
      <c r="S152" s="27" t="str">
        <f t="shared" si="3"/>
        <v>Aqui</v>
      </c>
      <c r="T152" s="29" t="s">
        <v>424</v>
      </c>
      <c r="U152" s="29"/>
    </row>
    <row r="153">
      <c r="A153" s="16">
        <v>151.0</v>
      </c>
      <c r="B153" s="17" t="s">
        <v>23</v>
      </c>
      <c r="C153" s="18" t="str">
        <f>IFERROR(__xludf.DUMMYFUNCTION("IF(B153="""","""",IF(OR(
  REGEXMATCH(B153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REGEXMATCH(B153,""Notícia|Reportagem|Artigo de opinião|Verbete"")
),""Difusão"","""")))
"),"Difusão")</f>
        <v>Difusão</v>
      </c>
      <c r="D153" s="19" t="str">
        <f>IFERROR(__xludf.DUMMYFUNCTION("IF(B153="""","""",IF(OR(
  REGEXMATCH(B153,""Performance|Instalação|Álbum|Música|Poema|Livro|Filme|Documentário|Recitação|Espetáculo|Peça|Intervenção|Desfile|Fotografia|Exposição|Charge|Grafite|Leitura pública|Fabricação de cachaça artesanal""),
  REGEXMA"&amp;"TCH(B153,""dança|teatral|artístico|musical|artística"")
),""Manifestação artístico-cultural"",
IF(OR(
  REGEXMATCH(B153,""Crônica|Série|Reportagem|Podcast|Audiotour|Entrevista|Vídeo|Rádio|Notícia|Artigo de opinião|Coletiva de imprensa""),
  REGEXMATCH(B15"&amp;"3,""midiática"")
),""Produção midiática"","""")))
"),"Produção midiática")</f>
        <v>Produção midiática</v>
      </c>
      <c r="E153" s="20" t="str">
        <f>IFERROR(__xludf.DUMMYFUNCTION("IF(B153="""","""",IF(OR(
  REGEXMATCH(B153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REGEXMATCH(B153,""público|Imediato|artística|teatral|memória|Ação popular"")
),""Público Imediato"",
IF(REGEXMATCH(B153,""Música|Álbum|Filme|Documentár"&amp;"io|Série|Podcast|Rádio|Audiotour|Entrevista|Reportagem|Crônica|Relatório|Abaixo-assinado|Manifesto|Petição|Poema|Livro|Fotografia|Curta|Live|Webinário|Charge|Leitura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53" s="20" t="str">
        <f>IFERROR(__xludf.DUMMYFUNCTION("IF(B153="""","""",IF(OR(
  REGEXMATCH(B153,""Live|Webinário|Virtual|Verbete""),
  REGEXMATCH(B153,""online"")
),""Virtual"",
IF(REGEXMATCH(B153,""Música|Álbum|Filme|Documentário|Série|Podcast|Rádio|Audiotour|Episódio|Reportagem|Curta|Charge|Vídeo|Entrevis"&amp;"ta|Notícia|Artigo de opinião""),
""Midiático"",
IF(REGEXMATCH(B153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53" s="21" t="str">
        <f>IFERROR(__xludf.DUMMYFUNCTION("IF(C153=""rememoração"", ""Insira a data manualmente"", IF(C153=""difusão"", 
 IF(NOT(ISERROR(REGEXEXTRACT(T153, ""(\d{1,2}) jan\. 2025""))), 
  TEXT(DATE(2025,1,REGEXEXTRACT(T153, ""(\d{1,2}) jan\. 2025"")), ""dd/mm/yyyy""),
 IF(NOT(ISERROR(REGEXEXTRACT("&amp;"T153, ""(\d{1,2}) fev\. 2025""))), 
  TEXT(DATE(2025,2,REGEXEXTRACT(T153, ""(\d{1,2}) fev\. 2025"")), ""dd/mm/yyyy""),
 IF(NOT(ISERROR(REGEXEXTRACT(T153, ""(\d{1,2}) mar\. 2025""))), 
  TEXT(DATE(2025,3,REGEXEXTRACT(T153, ""(\d{1,2}) mar\. 2025"")), ""dd/"&amp;"mm/yyyy""),
 IF(NOT(ISERROR(REGEXEXTRACT(T153, ""(\d{1,2}) abr\. 2025""))), 
  TEXT(DATE(2025,4,REGEXEXTRACT(T153, ""(\d{1,2}) abr\. 2025"")), ""dd/mm/yyyy""),
 IF(NOT(ISERROR(REGEXEXTRACT(T153, ""(\d{1,2}) (mai|maio)\. 2025""))), 
  TEXT(DATE(2025,5,REGE"&amp;"XEXTRACT(T153, ""(\d{1,2}) (mai|maio)\. 2025"")), ""dd/mm/yyyy""),
 IF(NOT(ISERROR(REGEXEXTRACT(T153, ""(\d{1,2}) jun\. 2025""))), 
  TEXT(DATE(2025,6,REGEXEXTRACT(T153, ""(\d{1,2}) jun\. 2025"")), ""dd/mm/yyyy""),
 IF(NOT(ISERROR(REGEXEXTRACT(T153, ""(\d"&amp;"{1,2}) jul\. 2025""))), 
  TEXT(DATE(2025,7,REGEXEXTRACT(T153, ""(\d{1,2}) jul\. 2025"")), ""dd/mm/yyyy""),
 IF(NOT(ISERROR(REGEXEXTRACT(T153, ""(\d{1,2}) ago\. 2025""))), 
  TEXT(DATE(2025,8,REGEXEXTRACT(T153, ""(\d{1,2}) ago\. 2025"")), ""dd/mm/yyyy""),"&amp;"
 IF(NOT(ISERROR(REGEXEXTRACT(T153, ""(\d{1,2}) set\. 2025""))), 
  TEXT(DATE(2025,9,REGEXEXTRACT(T153, ""(\d{1,2}) set\. 2025"")), ""dd/mm/yyyy""),
 IF(NOT(ISERROR(REGEXEXTRACT(T153, ""(\d{1,2}) out\. 2025""))), 
  TEXT(DATE(2025,10,REGEXEXTRACT(T153, """&amp;"(\d{1,2}) out\. 2025"")), ""dd/mm/yyyy""),
 IF(NOT(ISERROR(REGEXEXTRACT(T153, ""(\d{1,2}) nov\. 2025""))), 
  TEXT(DATE(2025,11,REGEXEXTRACT(T153, ""(\d{1,2}) nov\. 2025"")), ""dd/mm/yyyy""),
 IF(NOT(ISERROR(REGEXEXTRACT(T153, ""(\d{1,2}) dez\. 2025""))),"&amp;" 
  TEXT(DATE(2025,12,REGEXEXTRACT(T153, ""(\d{1,2}) dez\. 2025"")), ""dd/mm/yyyy""),
 ""Insira a data manualmente"")))))))))))), """"))"),"30/10/2025")</f>
        <v>30/10/2025</v>
      </c>
      <c r="H153" s="22">
        <f t="shared" si="1"/>
        <v>2025</v>
      </c>
      <c r="I153" s="18" t="s">
        <v>116</v>
      </c>
      <c r="J153" s="30" t="s">
        <v>422</v>
      </c>
      <c r="K153" s="24" t="s">
        <v>425</v>
      </c>
      <c r="L153" s="24" t="s">
        <v>26</v>
      </c>
      <c r="M153" s="25" t="s">
        <v>27</v>
      </c>
      <c r="N153" s="18" t="str">
        <f t="shared" si="8"/>
        <v>Jovem Pan</v>
      </c>
      <c r="O153" s="17" t="s">
        <v>28</v>
      </c>
      <c r="P153" s="17" t="s">
        <v>251</v>
      </c>
      <c r="Q153" s="26">
        <v>45964.0</v>
      </c>
      <c r="R153" s="17" t="s">
        <v>30</v>
      </c>
      <c r="S153" s="27" t="str">
        <f t="shared" si="3"/>
        <v>Aqui</v>
      </c>
      <c r="T153" s="29" t="s">
        <v>426</v>
      </c>
      <c r="U153" s="29"/>
    </row>
    <row r="154">
      <c r="A154" s="16">
        <v>152.0</v>
      </c>
      <c r="B154" s="17" t="s">
        <v>23</v>
      </c>
      <c r="C154" s="18" t="str">
        <f>IFERROR(__xludf.DUMMYFUNCTION("IF(B154="""","""",IF(OR(
  REGEXMATCH(B154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REGEXMATCH(B154,""Notícia|Reportagem|Artigo de opinião|Verbete"")
),""Difusão"","""")))
"),"Difusão")</f>
        <v>Difusão</v>
      </c>
      <c r="D154" s="19" t="str">
        <f>IFERROR(__xludf.DUMMYFUNCTION("IF(B154="""","""",IF(OR(
  REGEXMATCH(B154,""Performance|Instalação|Álbum|Música|Poema|Livro|Filme|Documentário|Recitação|Espetáculo|Peça|Intervenção|Desfile|Fotografia|Exposição|Charge|Grafite|Leitura pública|Fabricação de cachaça artesanal""),
  REGEXMA"&amp;"TCH(B154,""dança|teatral|artístico|musical|artística"")
),""Manifestação artístico-cultural"",
IF(OR(
  REGEXMATCH(B154,""Crônica|Série|Reportagem|Podcast|Audiotour|Entrevista|Vídeo|Rádio|Notícia|Artigo de opinião|Coletiva de imprensa""),
  REGEXMATCH(B15"&amp;"4,""midiática"")
),""Produção midiática"","""")))
"),"Produção midiática")</f>
        <v>Produção midiática</v>
      </c>
      <c r="E154" s="20" t="str">
        <f>IFERROR(__xludf.DUMMYFUNCTION("IF(B154="""","""",IF(OR(
  REGEXMATCH(B154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REGEXMATCH(B154,""público|Imediato|artística|teatral|memória|Ação popular"")
),""Público Imediato"",
IF(REGEXMATCH(B154,""Música|Álbum|Filme|Documentár"&amp;"io|Série|Podcast|Rádio|Audiotour|Entrevista|Reportagem|Crônica|Relatório|Abaixo-assinado|Manifesto|Petição|Poema|Livro|Fotografia|Curta|Live|Webinário|Charge|Leitura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54" s="20" t="str">
        <f>IFERROR(__xludf.DUMMYFUNCTION("IF(B154="""","""",IF(OR(
  REGEXMATCH(B154,""Live|Webinário|Virtual|Verbete""),
  REGEXMATCH(B154,""online"")
),""Virtual"",
IF(REGEXMATCH(B154,""Música|Álbum|Filme|Documentário|Série|Podcast|Rádio|Audiotour|Episódio|Reportagem|Curta|Charge|Vídeo|Entrevis"&amp;"ta|Notícia|Artigo de opinião""),
""Midiático"",
IF(REGEXMATCH(B154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54" s="21" t="str">
        <f>IFERROR(__xludf.DUMMYFUNCTION("IF(C154=""rememoração"", ""Insira a data manualmente"", IF(C154=""difusão"", 
 IF(NOT(ISERROR(REGEXEXTRACT(T154, ""(\d{1,2}) jan\. 2025""))), 
  TEXT(DATE(2025,1,REGEXEXTRACT(T154, ""(\d{1,2}) jan\. 2025"")), ""dd/mm/yyyy""),
 IF(NOT(ISERROR(REGEXEXTRACT("&amp;"T154, ""(\d{1,2}) fev\. 2025""))), 
  TEXT(DATE(2025,2,REGEXEXTRACT(T154, ""(\d{1,2}) fev\. 2025"")), ""dd/mm/yyyy""),
 IF(NOT(ISERROR(REGEXEXTRACT(T154, ""(\d{1,2}) mar\. 2025""))), 
  TEXT(DATE(2025,3,REGEXEXTRACT(T154, ""(\d{1,2}) mar\. 2025"")), ""dd/"&amp;"mm/yyyy""),
 IF(NOT(ISERROR(REGEXEXTRACT(T154, ""(\d{1,2}) abr\. 2025""))), 
  TEXT(DATE(2025,4,REGEXEXTRACT(T154, ""(\d{1,2}) abr\. 2025"")), ""dd/mm/yyyy""),
 IF(NOT(ISERROR(REGEXEXTRACT(T154, ""(\d{1,2}) (mai|maio)\. 2025""))), 
  TEXT(DATE(2025,5,REGE"&amp;"XEXTRACT(T154, ""(\d{1,2}) (mai|maio)\. 2025"")), ""dd/mm/yyyy""),
 IF(NOT(ISERROR(REGEXEXTRACT(T154, ""(\d{1,2}) jun\. 2025""))), 
  TEXT(DATE(2025,6,REGEXEXTRACT(T154, ""(\d{1,2}) jun\. 2025"")), ""dd/mm/yyyy""),
 IF(NOT(ISERROR(REGEXEXTRACT(T154, ""(\d"&amp;"{1,2}) jul\. 2025""))), 
  TEXT(DATE(2025,7,REGEXEXTRACT(T154, ""(\d{1,2}) jul\. 2025"")), ""dd/mm/yyyy""),
 IF(NOT(ISERROR(REGEXEXTRACT(T154, ""(\d{1,2}) ago\. 2025""))), 
  TEXT(DATE(2025,8,REGEXEXTRACT(T154, ""(\d{1,2}) ago\. 2025"")), ""dd/mm/yyyy""),"&amp;"
 IF(NOT(ISERROR(REGEXEXTRACT(T154, ""(\d{1,2}) set\. 2025""))), 
  TEXT(DATE(2025,9,REGEXEXTRACT(T154, ""(\d{1,2}) set\. 2025"")), ""dd/mm/yyyy""),
 IF(NOT(ISERROR(REGEXEXTRACT(T154, ""(\d{1,2}) out\. 2025""))), 
  TEXT(DATE(2025,10,REGEXEXTRACT(T154, """&amp;"(\d{1,2}) out\. 2025"")), ""dd/mm/yyyy""),
 IF(NOT(ISERROR(REGEXEXTRACT(T154, ""(\d{1,2}) nov\. 2025""))), 
  TEXT(DATE(2025,11,REGEXEXTRACT(T154, ""(\d{1,2}) nov\. 2025"")), ""dd/mm/yyyy""),
 IF(NOT(ISERROR(REGEXEXTRACT(T154, ""(\d{1,2}) dez\. 2025""))),"&amp;" 
  TEXT(DATE(2025,12,REGEXEXTRACT(T154, ""(\d{1,2}) dez\. 2025"")), ""dd/mm/yyyy""),
 ""Insira a data manualmente"")))))))))))), """"))"),"30/10/2025")</f>
        <v>30/10/2025</v>
      </c>
      <c r="H154" s="22">
        <f t="shared" si="1"/>
        <v>2025</v>
      </c>
      <c r="I154" s="18" t="s">
        <v>116</v>
      </c>
      <c r="J154" s="30" t="s">
        <v>422</v>
      </c>
      <c r="K154" s="24" t="s">
        <v>427</v>
      </c>
      <c r="L154" s="24" t="s">
        <v>26</v>
      </c>
      <c r="M154" s="25" t="s">
        <v>27</v>
      </c>
      <c r="N154" s="18" t="str">
        <f t="shared" si="8"/>
        <v>Jovem Pan</v>
      </c>
      <c r="O154" s="17" t="s">
        <v>28</v>
      </c>
      <c r="P154" s="17" t="s">
        <v>251</v>
      </c>
      <c r="Q154" s="26">
        <v>45964.0</v>
      </c>
      <c r="R154" s="17" t="s">
        <v>30</v>
      </c>
      <c r="S154" s="27" t="str">
        <f t="shared" si="3"/>
        <v>Aqui</v>
      </c>
      <c r="T154" s="29" t="s">
        <v>428</v>
      </c>
      <c r="U154" s="29"/>
    </row>
    <row r="155">
      <c r="A155" s="16">
        <v>153.0</v>
      </c>
      <c r="B155" s="17" t="s">
        <v>23</v>
      </c>
      <c r="C155" s="18" t="str">
        <f>IFERROR(__xludf.DUMMYFUNCTION("IF(B155="""","""",IF(OR(
  REGEXMATCH(B155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REGEXMATCH(B155,""Notícia|Reportagem|Artigo de opinião|Verbete"")
),""Difusão"","""")))
"),"Difusão")</f>
        <v>Difusão</v>
      </c>
      <c r="D155" s="19" t="str">
        <f>IFERROR(__xludf.DUMMYFUNCTION("IF(B155="""","""",IF(OR(
  REGEXMATCH(B155,""Performance|Instalação|Álbum|Música|Poema|Livro|Filme|Documentário|Recitação|Espetáculo|Peça|Intervenção|Desfile|Fotografia|Exposição|Charge|Grafite|Leitura pública|Fabricação de cachaça artesanal""),
  REGEXMA"&amp;"TCH(B155,""dança|teatral|artístico|musical|artística"")
),""Manifestação artístico-cultural"",
IF(OR(
  REGEXMATCH(B155,""Crônica|Série|Reportagem|Podcast|Audiotour|Entrevista|Vídeo|Rádio|Notícia|Artigo de opinião|Coletiva de imprensa""),
  REGEXMATCH(B15"&amp;"5,""midiática"")
),""Produção midiática"","""")))
"),"Produção midiática")</f>
        <v>Produção midiática</v>
      </c>
      <c r="E155" s="20" t="str">
        <f>IFERROR(__xludf.DUMMYFUNCTION("IF(B155="""","""",IF(OR(
  REGEXMATCH(B155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REGEXMATCH(B155,""público|Imediato|artística|teatral|memória|Ação popular"")
),""Público Imediato"",
IF(REGEXMATCH(B155,""Música|Álbum|Filme|Documentár"&amp;"io|Série|Podcast|Rádio|Audiotour|Entrevista|Reportagem|Crônica|Relatório|Abaixo-assinado|Manifesto|Petição|Poema|Livro|Fotografia|Curta|Live|Webinário|Charge|Leitura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55" s="20" t="str">
        <f>IFERROR(__xludf.DUMMYFUNCTION("IF(B155="""","""",IF(OR(
  REGEXMATCH(B155,""Live|Webinário|Virtual|Verbete""),
  REGEXMATCH(B155,""online"")
),""Virtual"",
IF(REGEXMATCH(B155,""Música|Álbum|Filme|Documentário|Série|Podcast|Rádio|Audiotour|Episódio|Reportagem|Curta|Charge|Vídeo|Entrevis"&amp;"ta|Notícia|Artigo de opinião""),
""Midiático"",
IF(REGEXMATCH(B155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55" s="21" t="str">
        <f>IFERROR(__xludf.DUMMYFUNCTION("IF(C155=""rememoração"", ""Insira a data manualmente"", IF(C155=""difusão"", 
 IF(NOT(ISERROR(REGEXEXTRACT(T155, ""(\d{1,2}) jan\. 2025""))), 
  TEXT(DATE(2025,1,REGEXEXTRACT(T155, ""(\d{1,2}) jan\. 2025"")), ""dd/mm/yyyy""),
 IF(NOT(ISERROR(REGEXEXTRACT("&amp;"T155, ""(\d{1,2}) fev\. 2025""))), 
  TEXT(DATE(2025,2,REGEXEXTRACT(T155, ""(\d{1,2}) fev\. 2025"")), ""dd/mm/yyyy""),
 IF(NOT(ISERROR(REGEXEXTRACT(T155, ""(\d{1,2}) mar\. 2025""))), 
  TEXT(DATE(2025,3,REGEXEXTRACT(T155, ""(\d{1,2}) mar\. 2025"")), ""dd/"&amp;"mm/yyyy""),
 IF(NOT(ISERROR(REGEXEXTRACT(T155, ""(\d{1,2}) abr\. 2025""))), 
  TEXT(DATE(2025,4,REGEXEXTRACT(T155, ""(\d{1,2}) abr\. 2025"")), ""dd/mm/yyyy""),
 IF(NOT(ISERROR(REGEXEXTRACT(T155, ""(\d{1,2}) (mai|maio)\. 2025""))), 
  TEXT(DATE(2025,5,REGE"&amp;"XEXTRACT(T155, ""(\d{1,2}) (mai|maio)\. 2025"")), ""dd/mm/yyyy""),
 IF(NOT(ISERROR(REGEXEXTRACT(T155, ""(\d{1,2}) jun\. 2025""))), 
  TEXT(DATE(2025,6,REGEXEXTRACT(T155, ""(\d{1,2}) jun\. 2025"")), ""dd/mm/yyyy""),
 IF(NOT(ISERROR(REGEXEXTRACT(T155, ""(\d"&amp;"{1,2}) jul\. 2025""))), 
  TEXT(DATE(2025,7,REGEXEXTRACT(T155, ""(\d{1,2}) jul\. 2025"")), ""dd/mm/yyyy""),
 IF(NOT(ISERROR(REGEXEXTRACT(T155, ""(\d{1,2}) ago\. 2025""))), 
  TEXT(DATE(2025,8,REGEXEXTRACT(T155, ""(\d{1,2}) ago\. 2025"")), ""dd/mm/yyyy""),"&amp;"
 IF(NOT(ISERROR(REGEXEXTRACT(T155, ""(\d{1,2}) set\. 2025""))), 
  TEXT(DATE(2025,9,REGEXEXTRACT(T155, ""(\d{1,2}) set\. 2025"")), ""dd/mm/yyyy""),
 IF(NOT(ISERROR(REGEXEXTRACT(T155, ""(\d{1,2}) out\. 2025""))), 
  TEXT(DATE(2025,10,REGEXEXTRACT(T155, """&amp;"(\d{1,2}) out\. 2025"")), ""dd/mm/yyyy""),
 IF(NOT(ISERROR(REGEXEXTRACT(T155, ""(\d{1,2}) nov\. 2025""))), 
  TEXT(DATE(2025,11,REGEXEXTRACT(T155, ""(\d{1,2}) nov\. 2025"")), ""dd/mm/yyyy""),
 IF(NOT(ISERROR(REGEXEXTRACT(T155, ""(\d{1,2}) dez\. 2025""))),"&amp;" 
  TEXT(DATE(2025,12,REGEXEXTRACT(T155, ""(\d{1,2}) dez\. 2025"")), ""dd/mm/yyyy""),
 ""Insira a data manualmente"")))))))))))), """"))"),"29/10/2025")</f>
        <v>29/10/2025</v>
      </c>
      <c r="H155" s="22">
        <f t="shared" si="1"/>
        <v>2025</v>
      </c>
      <c r="I155" s="18" t="s">
        <v>116</v>
      </c>
      <c r="J155" s="30" t="s">
        <v>422</v>
      </c>
      <c r="K155" s="24" t="s">
        <v>429</v>
      </c>
      <c r="L155" s="24" t="s">
        <v>26</v>
      </c>
      <c r="M155" s="25" t="s">
        <v>27</v>
      </c>
      <c r="N155" s="18" t="str">
        <f t="shared" si="8"/>
        <v>Jovem Pan</v>
      </c>
      <c r="O155" s="17" t="s">
        <v>28</v>
      </c>
      <c r="P155" s="17" t="s">
        <v>251</v>
      </c>
      <c r="Q155" s="26">
        <v>45964.0</v>
      </c>
      <c r="R155" s="17" t="s">
        <v>30</v>
      </c>
      <c r="S155" s="27" t="str">
        <f t="shared" si="3"/>
        <v>Aqui</v>
      </c>
      <c r="T155" s="29" t="s">
        <v>430</v>
      </c>
      <c r="U155" s="29"/>
    </row>
    <row r="156">
      <c r="A156" s="16">
        <v>154.0</v>
      </c>
      <c r="B156" s="17" t="s">
        <v>23</v>
      </c>
      <c r="C156" s="18" t="str">
        <f>IFERROR(__xludf.DUMMYFUNCTION("IF(B156="""","""",IF(OR(
  REGEXMATCH(B156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REGEXMATCH(B156,""Notícia|Reportagem|Artigo de opinião|Verbete"")
),""Difusão"","""")))
"),"Difusão")</f>
        <v>Difusão</v>
      </c>
      <c r="D156" s="19" t="str">
        <f>IFERROR(__xludf.DUMMYFUNCTION("IF(B156="""","""",IF(OR(
  REGEXMATCH(B156,""Performance|Instalação|Álbum|Música|Poema|Livro|Filme|Documentário|Recitação|Espetáculo|Peça|Intervenção|Desfile|Fotografia|Exposição|Charge|Grafite|Leitura pública|Fabricação de cachaça artesanal""),
  REGEXMA"&amp;"TCH(B156,""dança|teatral|artístico|musical|artística"")
),""Manifestação artístico-cultural"",
IF(OR(
  REGEXMATCH(B156,""Crônica|Série|Reportagem|Podcast|Audiotour|Entrevista|Vídeo|Rádio|Notícia|Artigo de opinião|Coletiva de imprensa""),
  REGEXMATCH(B15"&amp;"6,""midiática"")
),""Produção midiática"","""")))
"),"Produção midiática")</f>
        <v>Produção midiática</v>
      </c>
      <c r="E156" s="20" t="str">
        <f>IFERROR(__xludf.DUMMYFUNCTION("IF(B156="""","""",IF(OR(
  REGEXMATCH(B156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REGEXMATCH(B156,""público|Imediato|artística|teatral|memória|Ação popular"")
),""Público Imediato"",
IF(REGEXMATCH(B156,""Música|Álbum|Filme|Documentár"&amp;"io|Série|Podcast|Rádio|Audiotour|Entrevista|Reportagem|Crônica|Relatório|Abaixo-assinado|Manifesto|Petição|Poema|Livro|Fotografia|Curta|Live|Webinário|Charge|Leitura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56" s="20" t="str">
        <f>IFERROR(__xludf.DUMMYFUNCTION("IF(B156="""","""",IF(OR(
  REGEXMATCH(B156,""Live|Webinário|Virtual|Verbete""),
  REGEXMATCH(B156,""online"")
),""Virtual"",
IF(REGEXMATCH(B156,""Música|Álbum|Filme|Documentário|Série|Podcast|Rádio|Audiotour|Episódio|Reportagem|Curta|Charge|Vídeo|Entrevis"&amp;"ta|Notícia|Artigo de opinião""),
""Midiático"",
IF(REGEXMATCH(B156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56" s="21" t="str">
        <f>IFERROR(__xludf.DUMMYFUNCTION("IF(C156=""rememoração"", ""Insira a data manualmente"", IF(C156=""difusão"", 
 IF(NOT(ISERROR(REGEXEXTRACT(T156, ""(\d{1,2}) jan\. 2025""))), 
  TEXT(DATE(2025,1,REGEXEXTRACT(T156, ""(\d{1,2}) jan\. 2025"")), ""dd/mm/yyyy""),
 IF(NOT(ISERROR(REGEXEXTRACT("&amp;"T156, ""(\d{1,2}) fev\. 2025""))), 
  TEXT(DATE(2025,2,REGEXEXTRACT(T156, ""(\d{1,2}) fev\. 2025"")), ""dd/mm/yyyy""),
 IF(NOT(ISERROR(REGEXEXTRACT(T156, ""(\d{1,2}) mar\. 2025""))), 
  TEXT(DATE(2025,3,REGEXEXTRACT(T156, ""(\d{1,2}) mar\. 2025"")), ""dd/"&amp;"mm/yyyy""),
 IF(NOT(ISERROR(REGEXEXTRACT(T156, ""(\d{1,2}) abr\. 2025""))), 
  TEXT(DATE(2025,4,REGEXEXTRACT(T156, ""(\d{1,2}) abr\. 2025"")), ""dd/mm/yyyy""),
 IF(NOT(ISERROR(REGEXEXTRACT(T156, ""(\d{1,2}) (mai|maio)\. 2025""))), 
  TEXT(DATE(2025,5,REGE"&amp;"XEXTRACT(T156, ""(\d{1,2}) (mai|maio)\. 2025"")), ""dd/mm/yyyy""),
 IF(NOT(ISERROR(REGEXEXTRACT(T156, ""(\d{1,2}) jun\. 2025""))), 
  TEXT(DATE(2025,6,REGEXEXTRACT(T156, ""(\d{1,2}) jun\. 2025"")), ""dd/mm/yyyy""),
 IF(NOT(ISERROR(REGEXEXTRACT(T156, ""(\d"&amp;"{1,2}) jul\. 2025""))), 
  TEXT(DATE(2025,7,REGEXEXTRACT(T156, ""(\d{1,2}) jul\. 2025"")), ""dd/mm/yyyy""),
 IF(NOT(ISERROR(REGEXEXTRACT(T156, ""(\d{1,2}) ago\. 2025""))), 
  TEXT(DATE(2025,8,REGEXEXTRACT(T156, ""(\d{1,2}) ago\. 2025"")), ""dd/mm/yyyy""),"&amp;"
 IF(NOT(ISERROR(REGEXEXTRACT(T156, ""(\d{1,2}) set\. 2025""))), 
  TEXT(DATE(2025,9,REGEXEXTRACT(T156, ""(\d{1,2}) set\. 2025"")), ""dd/mm/yyyy""),
 IF(NOT(ISERROR(REGEXEXTRACT(T156, ""(\d{1,2}) out\. 2025""))), 
  TEXT(DATE(2025,10,REGEXEXTRACT(T156, """&amp;"(\d{1,2}) out\. 2025"")), ""dd/mm/yyyy""),
 IF(NOT(ISERROR(REGEXEXTRACT(T156, ""(\d{1,2}) nov\. 2025""))), 
  TEXT(DATE(2025,11,REGEXEXTRACT(T156, ""(\d{1,2}) nov\. 2025"")), ""dd/mm/yyyy""),
 IF(NOT(ISERROR(REGEXEXTRACT(T156, ""(\d{1,2}) dez\. 2025""))),"&amp;" 
  TEXT(DATE(2025,12,REGEXEXTRACT(T156, ""(\d{1,2}) dez\. 2025"")), ""dd/mm/yyyy""),
 ""Insira a data manualmente"")))))))))))), """"))"),"29/10/2025")</f>
        <v>29/10/2025</v>
      </c>
      <c r="H156" s="22">
        <f t="shared" si="1"/>
        <v>2025</v>
      </c>
      <c r="I156" s="18" t="s">
        <v>116</v>
      </c>
      <c r="J156" s="30" t="s">
        <v>422</v>
      </c>
      <c r="K156" s="24" t="s">
        <v>431</v>
      </c>
      <c r="L156" s="24" t="s">
        <v>26</v>
      </c>
      <c r="M156" s="25" t="s">
        <v>27</v>
      </c>
      <c r="N156" s="18" t="str">
        <f t="shared" si="8"/>
        <v>Jovem Pan</v>
      </c>
      <c r="O156" s="17" t="s">
        <v>28</v>
      </c>
      <c r="P156" s="17" t="s">
        <v>251</v>
      </c>
      <c r="Q156" s="26">
        <v>45964.0</v>
      </c>
      <c r="R156" s="17" t="s">
        <v>30</v>
      </c>
      <c r="S156" s="27" t="str">
        <f t="shared" si="3"/>
        <v>Aqui</v>
      </c>
      <c r="T156" s="29" t="s">
        <v>432</v>
      </c>
      <c r="U156" s="29"/>
    </row>
    <row r="157">
      <c r="A157" s="16">
        <v>155.0</v>
      </c>
      <c r="B157" s="17" t="s">
        <v>23</v>
      </c>
      <c r="C157" s="18" t="str">
        <f>IFERROR(__xludf.DUMMYFUNCTION("IF(B157="""","""",IF(OR(
  REGEXMATCH(B157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REGEXMATCH(B157,""Notícia|Reportagem|Artigo de opinião|Verbete"")
),""Difusão"","""")))
"),"Difusão")</f>
        <v>Difusão</v>
      </c>
      <c r="D157" s="19" t="str">
        <f>IFERROR(__xludf.DUMMYFUNCTION("IF(B157="""","""",IF(OR(
  REGEXMATCH(B157,""Performance|Instalação|Álbum|Música|Poema|Livro|Filme|Documentário|Recitação|Espetáculo|Peça|Intervenção|Desfile|Fotografia|Exposição|Charge|Grafite|Leitura pública|Fabricação de cachaça artesanal""),
  REGEXMA"&amp;"TCH(B157,""dança|teatral|artístico|musical|artística"")
),""Manifestação artístico-cultural"",
IF(OR(
  REGEXMATCH(B157,""Crônica|Série|Reportagem|Podcast|Audiotour|Entrevista|Vídeo|Rádio|Notícia|Artigo de opinião|Coletiva de imprensa""),
  REGEXMATCH(B15"&amp;"7,""midiática"")
),""Produção midiática"","""")))
"),"Produção midiática")</f>
        <v>Produção midiática</v>
      </c>
      <c r="E157" s="20" t="str">
        <f>IFERROR(__xludf.DUMMYFUNCTION("IF(B157="""","""",IF(OR(
  REGEXMATCH(B157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REGEXMATCH(B157,""público|Imediato|artística|teatral|memória|Ação popular"")
),""Público Imediato"",
IF(REGEXMATCH(B157,""Música|Álbum|Filme|Documentár"&amp;"io|Série|Podcast|Rádio|Audiotour|Entrevista|Reportagem|Crônica|Relatório|Abaixo-assinado|Manifesto|Petição|Poema|Livro|Fotografia|Curta|Live|Webinário|Charge|Leitura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57" s="20" t="str">
        <f>IFERROR(__xludf.DUMMYFUNCTION("IF(B157="""","""",IF(OR(
  REGEXMATCH(B157,""Live|Webinário|Virtual|Verbete""),
  REGEXMATCH(B157,""online"")
),""Virtual"",
IF(REGEXMATCH(B157,""Música|Álbum|Filme|Documentário|Série|Podcast|Rádio|Audiotour|Episódio|Reportagem|Curta|Charge|Vídeo|Entrevis"&amp;"ta|Notícia|Artigo de opinião""),
""Midiático"",
IF(REGEXMATCH(B157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57" s="21" t="str">
        <f>IFERROR(__xludf.DUMMYFUNCTION("IF(C157=""rememoração"", ""Insira a data manualmente"", IF(C157=""difusão"", 
 IF(NOT(ISERROR(REGEXEXTRACT(T157, ""(\d{1,2}) jan\. 2025""))), 
  TEXT(DATE(2025,1,REGEXEXTRACT(T157, ""(\d{1,2}) jan\. 2025"")), ""dd/mm/yyyy""),
 IF(NOT(ISERROR(REGEXEXTRACT("&amp;"T157, ""(\d{1,2}) fev\. 2025""))), 
  TEXT(DATE(2025,2,REGEXEXTRACT(T157, ""(\d{1,2}) fev\. 2025"")), ""dd/mm/yyyy""),
 IF(NOT(ISERROR(REGEXEXTRACT(T157, ""(\d{1,2}) mar\. 2025""))), 
  TEXT(DATE(2025,3,REGEXEXTRACT(T157, ""(\d{1,2}) mar\. 2025"")), ""dd/"&amp;"mm/yyyy""),
 IF(NOT(ISERROR(REGEXEXTRACT(T157, ""(\d{1,2}) abr\. 2025""))), 
  TEXT(DATE(2025,4,REGEXEXTRACT(T157, ""(\d{1,2}) abr\. 2025"")), ""dd/mm/yyyy""),
 IF(NOT(ISERROR(REGEXEXTRACT(T157, ""(\d{1,2}) (mai|maio)\. 2025""))), 
  TEXT(DATE(2025,5,REGE"&amp;"XEXTRACT(T157, ""(\d{1,2}) (mai|maio)\. 2025"")), ""dd/mm/yyyy""),
 IF(NOT(ISERROR(REGEXEXTRACT(T157, ""(\d{1,2}) jun\. 2025""))), 
  TEXT(DATE(2025,6,REGEXEXTRACT(T157, ""(\d{1,2}) jun\. 2025"")), ""dd/mm/yyyy""),
 IF(NOT(ISERROR(REGEXEXTRACT(T157, ""(\d"&amp;"{1,2}) jul\. 2025""))), 
  TEXT(DATE(2025,7,REGEXEXTRACT(T157, ""(\d{1,2}) jul\. 2025"")), ""dd/mm/yyyy""),
 IF(NOT(ISERROR(REGEXEXTRACT(T157, ""(\d{1,2}) ago\. 2025""))), 
  TEXT(DATE(2025,8,REGEXEXTRACT(T157, ""(\d{1,2}) ago\. 2025"")), ""dd/mm/yyyy""),"&amp;"
 IF(NOT(ISERROR(REGEXEXTRACT(T157, ""(\d{1,2}) set\. 2025""))), 
  TEXT(DATE(2025,9,REGEXEXTRACT(T157, ""(\d{1,2}) set\. 2025"")), ""dd/mm/yyyy""),
 IF(NOT(ISERROR(REGEXEXTRACT(T157, ""(\d{1,2}) out\. 2025""))), 
  TEXT(DATE(2025,10,REGEXEXTRACT(T157, """&amp;"(\d{1,2}) out\. 2025"")), ""dd/mm/yyyy""),
 IF(NOT(ISERROR(REGEXEXTRACT(T157, ""(\d{1,2}) nov\. 2025""))), 
  TEXT(DATE(2025,11,REGEXEXTRACT(T157, ""(\d{1,2}) nov\. 2025"")), ""dd/mm/yyyy""),
 IF(NOT(ISERROR(REGEXEXTRACT(T157, ""(\d{1,2}) dez\. 2025""))),"&amp;" 
  TEXT(DATE(2025,12,REGEXEXTRACT(T157, ""(\d{1,2}) dez\. 2025"")), ""dd/mm/yyyy""),
 ""Insira a data manualmente"")))))))))))), """"))"),"30/10/2025")</f>
        <v>30/10/2025</v>
      </c>
      <c r="H157" s="22">
        <f t="shared" si="1"/>
        <v>2025</v>
      </c>
      <c r="I157" s="18" t="s">
        <v>74</v>
      </c>
      <c r="J157" s="30" t="s">
        <v>32</v>
      </c>
      <c r="K157" s="24" t="s">
        <v>433</v>
      </c>
      <c r="L157" s="24" t="s">
        <v>26</v>
      </c>
      <c r="M157" s="25" t="s">
        <v>27</v>
      </c>
      <c r="N157" s="18" t="str">
        <f t="shared" si="8"/>
        <v>Agência Brasil</v>
      </c>
      <c r="O157" s="17" t="s">
        <v>28</v>
      </c>
      <c r="P157" s="17" t="s">
        <v>251</v>
      </c>
      <c r="Q157" s="26">
        <v>45964.0</v>
      </c>
      <c r="R157" s="17" t="s">
        <v>30</v>
      </c>
      <c r="S157" s="27" t="str">
        <f t="shared" si="3"/>
        <v>Aqui</v>
      </c>
      <c r="T157" s="29" t="s">
        <v>434</v>
      </c>
      <c r="U157" s="29"/>
    </row>
    <row r="158">
      <c r="A158" s="16">
        <v>156.0</v>
      </c>
      <c r="B158" s="17" t="s">
        <v>23</v>
      </c>
      <c r="C158" s="18" t="str">
        <f>IFERROR(__xludf.DUMMYFUNCTION("IF(B158="""","""",IF(OR(
  REGEXMATCH(B158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REGEXMATCH(B158,""Notícia|Reportagem|Artigo de opinião|Verbete"")
),""Difusão"","""")))
"),"Difusão")</f>
        <v>Difusão</v>
      </c>
      <c r="D158" s="19" t="str">
        <f>IFERROR(__xludf.DUMMYFUNCTION("IF(B158="""","""",IF(OR(
  REGEXMATCH(B158,""Performance|Instalação|Álbum|Música|Poema|Livro|Filme|Documentário|Recitação|Espetáculo|Peça|Intervenção|Desfile|Fotografia|Exposição|Charge|Grafite|Leitura pública|Fabricação de cachaça artesanal""),
  REGEXMA"&amp;"TCH(B158,""dança|teatral|artístico|musical|artística"")
),""Manifestação artístico-cultural"",
IF(OR(
  REGEXMATCH(B158,""Crônica|Série|Reportagem|Podcast|Audiotour|Entrevista|Vídeo|Rádio|Notícia|Artigo de opinião|Coletiva de imprensa""),
  REGEXMATCH(B15"&amp;"8,""midiática"")
),""Produção midiática"","""")))
"),"Produção midiática")</f>
        <v>Produção midiática</v>
      </c>
      <c r="E158" s="20" t="str">
        <f>IFERROR(__xludf.DUMMYFUNCTION("IF(B158="""","""",IF(OR(
  REGEXMATCH(B158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REGEXMATCH(B158,""público|Imediato|artística|teatral|memória|Ação popular"")
),""Público Imediato"",
IF(REGEXMATCH(B158,""Música|Álbum|Filme|Documentár"&amp;"io|Série|Podcast|Rádio|Audiotour|Entrevista|Reportagem|Crônica|Relatório|Abaixo-assinado|Manifesto|Petição|Poema|Livro|Fotografia|Curta|Live|Webinário|Charge|Leitura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58" s="20" t="str">
        <f>IFERROR(__xludf.DUMMYFUNCTION("IF(B158="""","""",IF(OR(
  REGEXMATCH(B158,""Live|Webinário|Virtual|Verbete""),
  REGEXMATCH(B158,""online"")
),""Virtual"",
IF(REGEXMATCH(B158,""Música|Álbum|Filme|Documentário|Série|Podcast|Rádio|Audiotour|Episódio|Reportagem|Curta|Charge|Vídeo|Entrevis"&amp;"ta|Notícia|Artigo de opinião""),
""Midiático"",
IF(REGEXMATCH(B158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58" s="21" t="str">
        <f>IFERROR(__xludf.DUMMYFUNCTION("IF(C158=""rememoração"", ""Insira a data manualmente"", IF(C158=""difusão"", 
 IF(NOT(ISERROR(REGEXEXTRACT(T158, ""(\d{1,2}) jan\. 2025""))), 
  TEXT(DATE(2025,1,REGEXEXTRACT(T158, ""(\d{1,2}) jan\. 2025"")), ""dd/mm/yyyy""),
 IF(NOT(ISERROR(REGEXEXTRACT("&amp;"T158, ""(\d{1,2}) fev\. 2025""))), 
  TEXT(DATE(2025,2,REGEXEXTRACT(T158, ""(\d{1,2}) fev\. 2025"")), ""dd/mm/yyyy""),
 IF(NOT(ISERROR(REGEXEXTRACT(T158, ""(\d{1,2}) mar\. 2025""))), 
  TEXT(DATE(2025,3,REGEXEXTRACT(T158, ""(\d{1,2}) mar\. 2025"")), ""dd/"&amp;"mm/yyyy""),
 IF(NOT(ISERROR(REGEXEXTRACT(T158, ""(\d{1,2}) abr\. 2025""))), 
  TEXT(DATE(2025,4,REGEXEXTRACT(T158, ""(\d{1,2}) abr\. 2025"")), ""dd/mm/yyyy""),
 IF(NOT(ISERROR(REGEXEXTRACT(T158, ""(\d{1,2}) (mai|maio)\. 2025""))), 
  TEXT(DATE(2025,5,REGE"&amp;"XEXTRACT(T158, ""(\d{1,2}) (mai|maio)\. 2025"")), ""dd/mm/yyyy""),
 IF(NOT(ISERROR(REGEXEXTRACT(T158, ""(\d{1,2}) jun\. 2025""))), 
  TEXT(DATE(2025,6,REGEXEXTRACT(T158, ""(\d{1,2}) jun\. 2025"")), ""dd/mm/yyyy""),
 IF(NOT(ISERROR(REGEXEXTRACT(T158, ""(\d"&amp;"{1,2}) jul\. 2025""))), 
  TEXT(DATE(2025,7,REGEXEXTRACT(T158, ""(\d{1,2}) jul\. 2025"")), ""dd/mm/yyyy""),
 IF(NOT(ISERROR(REGEXEXTRACT(T158, ""(\d{1,2}) ago\. 2025""))), 
  TEXT(DATE(2025,8,REGEXEXTRACT(T158, ""(\d{1,2}) ago\. 2025"")), ""dd/mm/yyyy""),"&amp;"
 IF(NOT(ISERROR(REGEXEXTRACT(T158, ""(\d{1,2}) set\. 2025""))), 
  TEXT(DATE(2025,9,REGEXEXTRACT(T158, ""(\d{1,2}) set\. 2025"")), ""dd/mm/yyyy""),
 IF(NOT(ISERROR(REGEXEXTRACT(T158, ""(\d{1,2}) out\. 2025""))), 
  TEXT(DATE(2025,10,REGEXEXTRACT(T158, """&amp;"(\d{1,2}) out\. 2025"")), ""dd/mm/yyyy""),
 IF(NOT(ISERROR(REGEXEXTRACT(T158, ""(\d{1,2}) nov\. 2025""))), 
  TEXT(DATE(2025,11,REGEXEXTRACT(T158, ""(\d{1,2}) nov\. 2025"")), ""dd/mm/yyyy""),
 IF(NOT(ISERROR(REGEXEXTRACT(T158, ""(\d{1,2}) dez\. 2025""))),"&amp;" 
  TEXT(DATE(2025,12,REGEXEXTRACT(T158, ""(\d{1,2}) dez\. 2025"")), ""dd/mm/yyyy""),
 ""Insira a data manualmente"")))))))))))), """"))"),"29/10/2025")</f>
        <v>29/10/2025</v>
      </c>
      <c r="H158" s="22">
        <f t="shared" si="1"/>
        <v>2025</v>
      </c>
      <c r="I158" s="18" t="s">
        <v>435</v>
      </c>
      <c r="J158" s="30" t="s">
        <v>32</v>
      </c>
      <c r="K158" s="24" t="s">
        <v>436</v>
      </c>
      <c r="L158" s="24" t="s">
        <v>26</v>
      </c>
      <c r="M158" s="25" t="s">
        <v>27</v>
      </c>
      <c r="N158" s="18" t="str">
        <f t="shared" si="8"/>
        <v>Agência Brasil</v>
      </c>
      <c r="O158" s="17" t="s">
        <v>28</v>
      </c>
      <c r="P158" s="17" t="s">
        <v>251</v>
      </c>
      <c r="Q158" s="26">
        <v>45964.0</v>
      </c>
      <c r="R158" s="17" t="s">
        <v>30</v>
      </c>
      <c r="S158" s="27" t="str">
        <f t="shared" si="3"/>
        <v>Aqui</v>
      </c>
      <c r="T158" s="29" t="s">
        <v>437</v>
      </c>
      <c r="U158" s="29"/>
    </row>
    <row r="159">
      <c r="A159" s="16">
        <v>157.0</v>
      </c>
      <c r="B159" s="17" t="s">
        <v>23</v>
      </c>
      <c r="C159" s="18" t="str">
        <f>IFERROR(__xludf.DUMMYFUNCTION("IF(B159="""","""",IF(OR(
  REGEXMATCH(B159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REGEXMATCH(B159,""Notícia|Reportagem|Artigo de opinião|Verbete"")
),""Difusão"","""")))
"),"Difusão")</f>
        <v>Difusão</v>
      </c>
      <c r="D159" s="19" t="str">
        <f>IFERROR(__xludf.DUMMYFUNCTION("IF(B159="""","""",IF(OR(
  REGEXMATCH(B159,""Performance|Instalação|Álbum|Música|Poema|Livro|Filme|Documentário|Recitação|Espetáculo|Peça|Intervenção|Desfile|Fotografia|Exposição|Charge|Grafite|Leitura pública|Fabricação de cachaça artesanal""),
  REGEXMA"&amp;"TCH(B159,""dança|teatral|artístico|musical|artística"")
),""Manifestação artístico-cultural"",
IF(OR(
  REGEXMATCH(B159,""Crônica|Série|Reportagem|Podcast|Audiotour|Entrevista|Vídeo|Rádio|Notícia|Artigo de opinião|Coletiva de imprensa""),
  REGEXMATCH(B15"&amp;"9,""midiática"")
),""Produção midiática"","""")))
"),"Produção midiática")</f>
        <v>Produção midiática</v>
      </c>
      <c r="E159" s="20" t="str">
        <f>IFERROR(__xludf.DUMMYFUNCTION("IF(B159="""","""",IF(OR(
  REGEXMATCH(B159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REGEXMATCH(B159,""público|Imediato|artística|teatral|memória|Ação popular"")
),""Público Imediato"",
IF(REGEXMATCH(B159,""Música|Álbum|Filme|Documentár"&amp;"io|Série|Podcast|Rádio|Audiotour|Entrevista|Reportagem|Crônica|Relatório|Abaixo-assinado|Manifesto|Petição|Poema|Livro|Fotografia|Curta|Live|Webinário|Charge|Leitura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59" s="20" t="str">
        <f>IFERROR(__xludf.DUMMYFUNCTION("IF(B159="""","""",IF(OR(
  REGEXMATCH(B159,""Live|Webinário|Virtual|Verbete""),
  REGEXMATCH(B159,""online"")
),""Virtual"",
IF(REGEXMATCH(B159,""Música|Álbum|Filme|Documentário|Série|Podcast|Rádio|Audiotour|Episódio|Reportagem|Curta|Charge|Vídeo|Entrevis"&amp;"ta|Notícia|Artigo de opinião""),
""Midiático"",
IF(REGEXMATCH(B159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59" s="21" t="str">
        <f>IFERROR(__xludf.DUMMYFUNCTION("IF(C159=""rememoração"", ""Insira a data manualmente"", IF(C159=""difusão"", 
 IF(NOT(ISERROR(REGEXEXTRACT(T159, ""(\d{1,2}) jan\. 2025""))), 
  TEXT(DATE(2025,1,REGEXEXTRACT(T159, ""(\d{1,2}) jan\. 2025"")), ""dd/mm/yyyy""),
 IF(NOT(ISERROR(REGEXEXTRACT("&amp;"T159, ""(\d{1,2}) fev\. 2025""))), 
  TEXT(DATE(2025,2,REGEXEXTRACT(T159, ""(\d{1,2}) fev\. 2025"")), ""dd/mm/yyyy""),
 IF(NOT(ISERROR(REGEXEXTRACT(T159, ""(\d{1,2}) mar\. 2025""))), 
  TEXT(DATE(2025,3,REGEXEXTRACT(T159, ""(\d{1,2}) mar\. 2025"")), ""dd/"&amp;"mm/yyyy""),
 IF(NOT(ISERROR(REGEXEXTRACT(T159, ""(\d{1,2}) abr\. 2025""))), 
  TEXT(DATE(2025,4,REGEXEXTRACT(T159, ""(\d{1,2}) abr\. 2025"")), ""dd/mm/yyyy""),
 IF(NOT(ISERROR(REGEXEXTRACT(T159, ""(\d{1,2}) (mai|maio)\. 2025""))), 
  TEXT(DATE(2025,5,REGE"&amp;"XEXTRACT(T159, ""(\d{1,2}) (mai|maio)\. 2025"")), ""dd/mm/yyyy""),
 IF(NOT(ISERROR(REGEXEXTRACT(T159, ""(\d{1,2}) jun\. 2025""))), 
  TEXT(DATE(2025,6,REGEXEXTRACT(T159, ""(\d{1,2}) jun\. 2025"")), ""dd/mm/yyyy""),
 IF(NOT(ISERROR(REGEXEXTRACT(T159, ""(\d"&amp;"{1,2}) jul\. 2025""))), 
  TEXT(DATE(2025,7,REGEXEXTRACT(T159, ""(\d{1,2}) jul\. 2025"")), ""dd/mm/yyyy""),
 IF(NOT(ISERROR(REGEXEXTRACT(T159, ""(\d{1,2}) ago\. 2025""))), 
  TEXT(DATE(2025,8,REGEXEXTRACT(T159, ""(\d{1,2}) ago\. 2025"")), ""dd/mm/yyyy""),"&amp;"
 IF(NOT(ISERROR(REGEXEXTRACT(T159, ""(\d{1,2}) set\. 2025""))), 
  TEXT(DATE(2025,9,REGEXEXTRACT(T159, ""(\d{1,2}) set\. 2025"")), ""dd/mm/yyyy""),
 IF(NOT(ISERROR(REGEXEXTRACT(T159, ""(\d{1,2}) out\. 2025""))), 
  TEXT(DATE(2025,10,REGEXEXTRACT(T159, """&amp;"(\d{1,2}) out\. 2025"")), ""dd/mm/yyyy""),
 IF(NOT(ISERROR(REGEXEXTRACT(T159, ""(\d{1,2}) nov\. 2025""))), 
  TEXT(DATE(2025,11,REGEXEXTRACT(T159, ""(\d{1,2}) nov\. 2025"")), ""dd/mm/yyyy""),
 IF(NOT(ISERROR(REGEXEXTRACT(T159, ""(\d{1,2}) dez\. 2025""))),"&amp;" 
  TEXT(DATE(2025,12,REGEXEXTRACT(T159, ""(\d{1,2}) dez\. 2025"")), ""dd/mm/yyyy""),
 ""Insira a data manualmente"")))))))))))), """"))"),"31/10/2025")</f>
        <v>31/10/2025</v>
      </c>
      <c r="H159" s="22">
        <f t="shared" si="1"/>
        <v>2025</v>
      </c>
      <c r="I159" s="18" t="s">
        <v>116</v>
      </c>
      <c r="J159" s="30" t="s">
        <v>273</v>
      </c>
      <c r="K159" s="24" t="s">
        <v>438</v>
      </c>
      <c r="L159" s="24" t="s">
        <v>26</v>
      </c>
      <c r="M159" s="25" t="s">
        <v>27</v>
      </c>
      <c r="N159" s="18" t="str">
        <f t="shared" si="8"/>
        <v>CNN Brasil</v>
      </c>
      <c r="O159" s="17" t="s">
        <v>28</v>
      </c>
      <c r="P159" s="17" t="s">
        <v>251</v>
      </c>
      <c r="Q159" s="26">
        <v>45964.0</v>
      </c>
      <c r="R159" s="17" t="s">
        <v>30</v>
      </c>
      <c r="S159" s="27" t="str">
        <f t="shared" si="3"/>
        <v>Aqui</v>
      </c>
      <c r="T159" s="29" t="s">
        <v>439</v>
      </c>
      <c r="U159" s="29"/>
    </row>
    <row r="160">
      <c r="A160" s="16">
        <v>158.0</v>
      </c>
      <c r="B160" s="17" t="s">
        <v>23</v>
      </c>
      <c r="C160" s="18" t="str">
        <f>IFERROR(__xludf.DUMMYFUNCTION("IF(B160="""","""",IF(OR(
  REGEXMATCH(B160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REGEXMATCH(B160,""Notícia|Reportagem|Artigo de opinião|Verbete"")
),""Difusão"","""")))
"),"Difusão")</f>
        <v>Difusão</v>
      </c>
      <c r="D160" s="19" t="str">
        <f>IFERROR(__xludf.DUMMYFUNCTION("IF(B160="""","""",IF(OR(
  REGEXMATCH(B160,""Performance|Instalação|Álbum|Música|Poema|Livro|Filme|Documentário|Recitação|Espetáculo|Peça|Intervenção|Desfile|Fotografia|Exposição|Charge|Grafite|Leitura pública|Fabricação de cachaça artesanal""),
  REGEXMA"&amp;"TCH(B160,""dança|teatral|artístico|musical|artística"")
),""Manifestação artístico-cultural"",
IF(OR(
  REGEXMATCH(B160,""Crônica|Série|Reportagem|Podcast|Audiotour|Entrevista|Vídeo|Rádio|Notícia|Artigo de opinião|Coletiva de imprensa""),
  REGEXMATCH(B16"&amp;"0,""midiática"")
),""Produção midiática"","""")))
"),"Produção midiática")</f>
        <v>Produção midiática</v>
      </c>
      <c r="E160" s="20" t="str">
        <f>IFERROR(__xludf.DUMMYFUNCTION("IF(B160="""","""",IF(OR(
  REGEXMATCH(B160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REGEXMATCH(B160,""público|Imediato|artística|teatral|memória|Ação popular"")
),""Público Imediato"",
IF(REGEXMATCH(B160,""Música|Álbum|Filme|Documentár"&amp;"io|Série|Podcast|Rádio|Audiotour|Entrevista|Reportagem|Crônica|Relatório|Abaixo-assinado|Manifesto|Petição|Poema|Livro|Fotografia|Curta|Live|Webinário|Charge|Leitura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60" s="20" t="str">
        <f>IFERROR(__xludf.DUMMYFUNCTION("IF(B160="""","""",IF(OR(
  REGEXMATCH(B160,""Live|Webinário|Virtual|Verbete""),
  REGEXMATCH(B160,""online"")
),""Virtual"",
IF(REGEXMATCH(B160,""Música|Álbum|Filme|Documentário|Série|Podcast|Rádio|Audiotour|Episódio|Reportagem|Curta|Charge|Vídeo|Entrevis"&amp;"ta|Notícia|Artigo de opinião""),
""Midiático"",
IF(REGEXMATCH(B160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60" s="21" t="str">
        <f>IFERROR(__xludf.DUMMYFUNCTION("IF(C160=""rememoração"", ""Insira a data manualmente"", IF(C160=""difusão"", 
 IF(NOT(ISERROR(REGEXEXTRACT(T160, ""(\d{1,2}) jan\. 2025""))), 
  TEXT(DATE(2025,1,REGEXEXTRACT(T160, ""(\d{1,2}) jan\. 2025"")), ""dd/mm/yyyy""),
 IF(NOT(ISERROR(REGEXEXTRACT("&amp;"T160, ""(\d{1,2}) fev\. 2025""))), 
  TEXT(DATE(2025,2,REGEXEXTRACT(T160, ""(\d{1,2}) fev\. 2025"")), ""dd/mm/yyyy""),
 IF(NOT(ISERROR(REGEXEXTRACT(T160, ""(\d{1,2}) mar\. 2025""))), 
  TEXT(DATE(2025,3,REGEXEXTRACT(T160, ""(\d{1,2}) mar\. 2025"")), ""dd/"&amp;"mm/yyyy""),
 IF(NOT(ISERROR(REGEXEXTRACT(T160, ""(\d{1,2}) abr\. 2025""))), 
  TEXT(DATE(2025,4,REGEXEXTRACT(T160, ""(\d{1,2}) abr\. 2025"")), ""dd/mm/yyyy""),
 IF(NOT(ISERROR(REGEXEXTRACT(T160, ""(\d{1,2}) (mai|maio)\. 2025""))), 
  TEXT(DATE(2025,5,REGE"&amp;"XEXTRACT(T160, ""(\d{1,2}) (mai|maio)\. 2025"")), ""dd/mm/yyyy""),
 IF(NOT(ISERROR(REGEXEXTRACT(T160, ""(\d{1,2}) jun\. 2025""))), 
  TEXT(DATE(2025,6,REGEXEXTRACT(T160, ""(\d{1,2}) jun\. 2025"")), ""dd/mm/yyyy""),
 IF(NOT(ISERROR(REGEXEXTRACT(T160, ""(\d"&amp;"{1,2}) jul\. 2025""))), 
  TEXT(DATE(2025,7,REGEXEXTRACT(T160, ""(\d{1,2}) jul\. 2025"")), ""dd/mm/yyyy""),
 IF(NOT(ISERROR(REGEXEXTRACT(T160, ""(\d{1,2}) ago\. 2025""))), 
  TEXT(DATE(2025,8,REGEXEXTRACT(T160, ""(\d{1,2}) ago\. 2025"")), ""dd/mm/yyyy""),"&amp;"
 IF(NOT(ISERROR(REGEXEXTRACT(T160, ""(\d{1,2}) set\. 2025""))), 
  TEXT(DATE(2025,9,REGEXEXTRACT(T160, ""(\d{1,2}) set\. 2025"")), ""dd/mm/yyyy""),
 IF(NOT(ISERROR(REGEXEXTRACT(T160, ""(\d{1,2}) out\. 2025""))), 
  TEXT(DATE(2025,10,REGEXEXTRACT(T160, """&amp;"(\d{1,2}) out\. 2025"")), ""dd/mm/yyyy""),
 IF(NOT(ISERROR(REGEXEXTRACT(T160, ""(\d{1,2}) nov\. 2025""))), 
  TEXT(DATE(2025,11,REGEXEXTRACT(T160, ""(\d{1,2}) nov\. 2025"")), ""dd/mm/yyyy""),
 IF(NOT(ISERROR(REGEXEXTRACT(T160, ""(\d{1,2}) dez\. 2025""))),"&amp;" 
  TEXT(DATE(2025,12,REGEXEXTRACT(T160, ""(\d{1,2}) dez\. 2025"")), ""dd/mm/yyyy""),
 ""Insira a data manualmente"")))))))))))), """"))"),"01/11/2025")</f>
        <v>01/11/2025</v>
      </c>
      <c r="H160" s="22">
        <f t="shared" si="1"/>
        <v>2025</v>
      </c>
      <c r="I160" s="18" t="s">
        <v>116</v>
      </c>
      <c r="J160" s="30" t="s">
        <v>32</v>
      </c>
      <c r="K160" s="24" t="s">
        <v>440</v>
      </c>
      <c r="L160" s="24" t="s">
        <v>26</v>
      </c>
      <c r="M160" s="25" t="s">
        <v>27</v>
      </c>
      <c r="N160" s="18" t="str">
        <f t="shared" si="8"/>
        <v>Agência Brasil</v>
      </c>
      <c r="O160" s="17" t="s">
        <v>28</v>
      </c>
      <c r="P160" s="17" t="s">
        <v>251</v>
      </c>
      <c r="Q160" s="26">
        <v>45964.0</v>
      </c>
      <c r="R160" s="17" t="s">
        <v>30</v>
      </c>
      <c r="S160" s="27" t="str">
        <f t="shared" si="3"/>
        <v>Aqui</v>
      </c>
      <c r="T160" s="29" t="s">
        <v>441</v>
      </c>
      <c r="U160" s="29"/>
    </row>
    <row r="161">
      <c r="A161" s="16">
        <v>159.0</v>
      </c>
      <c r="B161" s="17" t="s">
        <v>23</v>
      </c>
      <c r="C161" s="18" t="str">
        <f>IFERROR(__xludf.DUMMYFUNCTION("IF(B161="""","""",IF(OR(
  REGEXMATCH(B161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REGEXMATCH(B161,""Notícia|Reportagem|Artigo de opinião|Verbete"")
),""Difusão"","""")))
"),"Difusão")</f>
        <v>Difusão</v>
      </c>
      <c r="D161" s="19" t="str">
        <f>IFERROR(__xludf.DUMMYFUNCTION("IF(B161="""","""",IF(OR(
  REGEXMATCH(B161,""Performance|Instalação|Álbum|Música|Poema|Livro|Filme|Documentário|Recitação|Espetáculo|Peça|Intervenção|Desfile|Fotografia|Exposição|Charge|Grafite|Leitura pública|Fabricação de cachaça artesanal""),
  REGEXMA"&amp;"TCH(B161,""dança|teatral|artístico|musical|artística"")
),""Manifestação artístico-cultural"",
IF(OR(
  REGEXMATCH(B161,""Crônica|Série|Reportagem|Podcast|Audiotour|Entrevista|Vídeo|Rádio|Notícia|Artigo de opinião|Coletiva de imprensa""),
  REGEXMATCH(B16"&amp;"1,""midiática"")
),""Produção midiática"","""")))
"),"Produção midiática")</f>
        <v>Produção midiática</v>
      </c>
      <c r="E161" s="20" t="str">
        <f>IFERROR(__xludf.DUMMYFUNCTION("IF(B161="""","""",IF(OR(
  REGEXMATCH(B161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REGEXMATCH(B161,""público|Imediato|artística|teatral|memória|Ação popular"")
),""Público Imediato"",
IF(REGEXMATCH(B161,""Música|Álbum|Filme|Documentár"&amp;"io|Série|Podcast|Rádio|Audiotour|Entrevista|Reportagem|Crônica|Relatório|Abaixo-assinado|Manifesto|Petição|Poema|Livro|Fotografia|Curta|Live|Webinário|Charge|Leitura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61" s="20" t="str">
        <f>IFERROR(__xludf.DUMMYFUNCTION("IF(B161="""","""",IF(OR(
  REGEXMATCH(B161,""Live|Webinário|Virtual|Verbete""),
  REGEXMATCH(B161,""online"")
),""Virtual"",
IF(REGEXMATCH(B161,""Música|Álbum|Filme|Documentário|Série|Podcast|Rádio|Audiotour|Episódio|Reportagem|Curta|Charge|Vídeo|Entrevis"&amp;"ta|Notícia|Artigo de opinião""),
""Midiático"",
IF(REGEXMATCH(B161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61" s="21" t="str">
        <f>IFERROR(__xludf.DUMMYFUNCTION("IF(C161=""rememoração"", ""Insira a data manualmente"", IF(C161=""difusão"", 
 IF(NOT(ISERROR(REGEXEXTRACT(T161, ""(\d{1,2}) jan\. 2025""))), 
  TEXT(DATE(2025,1,REGEXEXTRACT(T161, ""(\d{1,2}) jan\. 2025"")), ""dd/mm/yyyy""),
 IF(NOT(ISERROR(REGEXEXTRACT("&amp;"T161, ""(\d{1,2}) fev\. 2025""))), 
  TEXT(DATE(2025,2,REGEXEXTRACT(T161, ""(\d{1,2}) fev\. 2025"")), ""dd/mm/yyyy""),
 IF(NOT(ISERROR(REGEXEXTRACT(T161, ""(\d{1,2}) mar\. 2025""))), 
  TEXT(DATE(2025,3,REGEXEXTRACT(T161, ""(\d{1,2}) mar\. 2025"")), ""dd/"&amp;"mm/yyyy""),
 IF(NOT(ISERROR(REGEXEXTRACT(T161, ""(\d{1,2}) abr\. 2025""))), 
  TEXT(DATE(2025,4,REGEXEXTRACT(T161, ""(\d{1,2}) abr\. 2025"")), ""dd/mm/yyyy""),
 IF(NOT(ISERROR(REGEXEXTRACT(T161, ""(\d{1,2}) (mai|maio)\. 2025""))), 
  TEXT(DATE(2025,5,REGE"&amp;"XEXTRACT(T161, ""(\d{1,2}) (mai|maio)\. 2025"")), ""dd/mm/yyyy""),
 IF(NOT(ISERROR(REGEXEXTRACT(T161, ""(\d{1,2}) jun\. 2025""))), 
  TEXT(DATE(2025,6,REGEXEXTRACT(T161, ""(\d{1,2}) jun\. 2025"")), ""dd/mm/yyyy""),
 IF(NOT(ISERROR(REGEXEXTRACT(T161, ""(\d"&amp;"{1,2}) jul\. 2025""))), 
  TEXT(DATE(2025,7,REGEXEXTRACT(T161, ""(\d{1,2}) jul\. 2025"")), ""dd/mm/yyyy""),
 IF(NOT(ISERROR(REGEXEXTRACT(T161, ""(\d{1,2}) ago\. 2025""))), 
  TEXT(DATE(2025,8,REGEXEXTRACT(T161, ""(\d{1,2}) ago\. 2025"")), ""dd/mm/yyyy""),"&amp;"
 IF(NOT(ISERROR(REGEXEXTRACT(T161, ""(\d{1,2}) set\. 2025""))), 
  TEXT(DATE(2025,9,REGEXEXTRACT(T161, ""(\d{1,2}) set\. 2025"")), ""dd/mm/yyyy""),
 IF(NOT(ISERROR(REGEXEXTRACT(T161, ""(\d{1,2}) out\. 2025""))), 
  TEXT(DATE(2025,10,REGEXEXTRACT(T161, """&amp;"(\d{1,2}) out\. 2025"")), ""dd/mm/yyyy""),
 IF(NOT(ISERROR(REGEXEXTRACT(T161, ""(\d{1,2}) nov\. 2025""))), 
  TEXT(DATE(2025,11,REGEXEXTRACT(T161, ""(\d{1,2}) nov\. 2025"")), ""dd/mm/yyyy""),
 IF(NOT(ISERROR(REGEXEXTRACT(T161, ""(\d{1,2}) dez\. 2025""))),"&amp;" 
  TEXT(DATE(2025,12,REGEXEXTRACT(T161, ""(\d{1,2}) dez\. 2025"")), ""dd/mm/yyyy""),
 ""Insira a data manualmente"")))))))))))), """"))"),"02/11/2025")</f>
        <v>02/11/2025</v>
      </c>
      <c r="H161" s="22">
        <f t="shared" si="1"/>
        <v>2025</v>
      </c>
      <c r="I161" s="18" t="s">
        <v>435</v>
      </c>
      <c r="J161" s="30" t="s">
        <v>32</v>
      </c>
      <c r="K161" s="24" t="s">
        <v>442</v>
      </c>
      <c r="L161" s="24" t="s">
        <v>26</v>
      </c>
      <c r="M161" s="25" t="s">
        <v>27</v>
      </c>
      <c r="N161" s="18" t="str">
        <f t="shared" si="8"/>
        <v>Agência Brasil</v>
      </c>
      <c r="O161" s="17" t="s">
        <v>28</v>
      </c>
      <c r="P161" s="17" t="s">
        <v>251</v>
      </c>
      <c r="Q161" s="26">
        <v>45964.0</v>
      </c>
      <c r="R161" s="17" t="s">
        <v>30</v>
      </c>
      <c r="S161" s="27" t="str">
        <f t="shared" si="3"/>
        <v>Aqui</v>
      </c>
      <c r="T161" s="29" t="s">
        <v>443</v>
      </c>
      <c r="U161" s="29"/>
    </row>
    <row r="162">
      <c r="A162" s="16">
        <v>160.0</v>
      </c>
      <c r="B162" s="17" t="s">
        <v>23</v>
      </c>
      <c r="C162" s="18" t="str">
        <f>IFERROR(__xludf.DUMMYFUNCTION("IF(B162="""","""",IF(OR(
  REGEXMATCH(B162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REGEXMATCH(B162,""Notícia|Reportagem|Artigo de opinião|Verbete"")
),""Difusão"","""")))
"),"Difusão")</f>
        <v>Difusão</v>
      </c>
      <c r="D162" s="19" t="str">
        <f>IFERROR(__xludf.DUMMYFUNCTION("IF(B162="""","""",IF(OR(
  REGEXMATCH(B162,""Performance|Instalação|Álbum|Música|Poema|Livro|Filme|Documentário|Recitação|Espetáculo|Peça|Intervenção|Desfile|Fotografia|Exposição|Charge|Grafite|Leitura pública|Fabricação de cachaça artesanal""),
  REGEXMA"&amp;"TCH(B162,""dança|teatral|artístico|musical|artística"")
),""Manifestação artístico-cultural"",
IF(OR(
  REGEXMATCH(B162,""Crônica|Série|Reportagem|Podcast|Audiotour|Entrevista|Vídeo|Rádio|Notícia|Artigo de opinião|Coletiva de imprensa""),
  REGEXMATCH(B16"&amp;"2,""midiática"")
),""Produção midiática"","""")))
"),"Produção midiática")</f>
        <v>Produção midiática</v>
      </c>
      <c r="E162" s="20" t="str">
        <f>IFERROR(__xludf.DUMMYFUNCTION("IF(B162="""","""",IF(OR(
  REGEXMATCH(B162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REGEXMATCH(B162,""público|Imediato|artística|teatral|memória|Ação popular"")
),""Público Imediato"",
IF(REGEXMATCH(B162,""Música|Álbum|Filme|Documentár"&amp;"io|Série|Podcast|Rádio|Audiotour|Entrevista|Reportagem|Crônica|Relatório|Abaixo-assinado|Manifesto|Petição|Poema|Livro|Fotografia|Curta|Live|Webinário|Charge|Leitura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62" s="20" t="str">
        <f>IFERROR(__xludf.DUMMYFUNCTION("IF(B162="""","""",IF(OR(
  REGEXMATCH(B162,""Live|Webinário|Virtual|Verbete""),
  REGEXMATCH(B162,""online"")
),""Virtual"",
IF(REGEXMATCH(B162,""Música|Álbum|Filme|Documentário|Série|Podcast|Rádio|Audiotour|Episódio|Reportagem|Curta|Charge|Vídeo|Entrevis"&amp;"ta|Notícia|Artigo de opinião""),
""Midiático"",
IF(REGEXMATCH(B162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62" s="21" t="str">
        <f>IFERROR(__xludf.DUMMYFUNCTION("IF(C162=""rememoração"", ""Insira a data manualmente"", IF(C162=""difusão"", 
 IF(NOT(ISERROR(REGEXEXTRACT(T162, ""(\d{1,2}) jan\. 2025""))), 
  TEXT(DATE(2025,1,REGEXEXTRACT(T162, ""(\d{1,2}) jan\. 2025"")), ""dd/mm/yyyy""),
 IF(NOT(ISERROR(REGEXEXTRACT("&amp;"T162, ""(\d{1,2}) fev\. 2025""))), 
  TEXT(DATE(2025,2,REGEXEXTRACT(T162, ""(\d{1,2}) fev\. 2025"")), ""dd/mm/yyyy""),
 IF(NOT(ISERROR(REGEXEXTRACT(T162, ""(\d{1,2}) mar\. 2025""))), 
  TEXT(DATE(2025,3,REGEXEXTRACT(T162, ""(\d{1,2}) mar\. 2025"")), ""dd/"&amp;"mm/yyyy""),
 IF(NOT(ISERROR(REGEXEXTRACT(T162, ""(\d{1,2}) abr\. 2025""))), 
  TEXT(DATE(2025,4,REGEXEXTRACT(T162, ""(\d{1,2}) abr\. 2025"")), ""dd/mm/yyyy""),
 IF(NOT(ISERROR(REGEXEXTRACT(T162, ""(\d{1,2}) (mai|maio)\. 2025""))), 
  TEXT(DATE(2025,5,REGE"&amp;"XEXTRACT(T162, ""(\d{1,2}) (mai|maio)\. 2025"")), ""dd/mm/yyyy""),
 IF(NOT(ISERROR(REGEXEXTRACT(T162, ""(\d{1,2}) jun\. 2025""))), 
  TEXT(DATE(2025,6,REGEXEXTRACT(T162, ""(\d{1,2}) jun\. 2025"")), ""dd/mm/yyyy""),
 IF(NOT(ISERROR(REGEXEXTRACT(T162, ""(\d"&amp;"{1,2}) jul\. 2025""))), 
  TEXT(DATE(2025,7,REGEXEXTRACT(T162, ""(\d{1,2}) jul\. 2025"")), ""dd/mm/yyyy""),
 IF(NOT(ISERROR(REGEXEXTRACT(T162, ""(\d{1,2}) ago\. 2025""))), 
  TEXT(DATE(2025,8,REGEXEXTRACT(T162, ""(\d{1,2}) ago\. 2025"")), ""dd/mm/yyyy""),"&amp;"
 IF(NOT(ISERROR(REGEXEXTRACT(T162, ""(\d{1,2}) set\. 2025""))), 
  TEXT(DATE(2025,9,REGEXEXTRACT(T162, ""(\d{1,2}) set\. 2025"")), ""dd/mm/yyyy""),
 IF(NOT(ISERROR(REGEXEXTRACT(T162, ""(\d{1,2}) out\. 2025""))), 
  TEXT(DATE(2025,10,REGEXEXTRACT(T162, """&amp;"(\d{1,2}) out\. 2025"")), ""dd/mm/yyyy""),
 IF(NOT(ISERROR(REGEXEXTRACT(T162, ""(\d{1,2}) nov\. 2025""))), 
  TEXT(DATE(2025,11,REGEXEXTRACT(T162, ""(\d{1,2}) nov\. 2025"")), ""dd/mm/yyyy""),
 IF(NOT(ISERROR(REGEXEXTRACT(T162, ""(\d{1,2}) dez\. 2025""))),"&amp;" 
  TEXT(DATE(2025,12,REGEXEXTRACT(T162, ""(\d{1,2}) dez\. 2025"")), ""dd/mm/yyyy""),
 ""Insira a data manualmente"")))))))))))), """"))"),"31/10/2025")</f>
        <v>31/10/2025</v>
      </c>
      <c r="H162" s="22">
        <f t="shared" si="1"/>
        <v>2025</v>
      </c>
      <c r="I162" s="18" t="s">
        <v>74</v>
      </c>
      <c r="J162" s="30" t="s">
        <v>32</v>
      </c>
      <c r="K162" s="24" t="s">
        <v>444</v>
      </c>
      <c r="L162" s="24" t="s">
        <v>26</v>
      </c>
      <c r="M162" s="25" t="s">
        <v>27</v>
      </c>
      <c r="N162" s="18" t="str">
        <f t="shared" si="8"/>
        <v>Agência Brasil</v>
      </c>
      <c r="O162" s="17" t="s">
        <v>28</v>
      </c>
      <c r="P162" s="17" t="s">
        <v>251</v>
      </c>
      <c r="Q162" s="26">
        <v>45964.0</v>
      </c>
      <c r="R162" s="17" t="s">
        <v>30</v>
      </c>
      <c r="S162" s="27" t="str">
        <f t="shared" si="3"/>
        <v>Aqui</v>
      </c>
      <c r="T162" s="29" t="s">
        <v>445</v>
      </c>
      <c r="U162" s="29"/>
    </row>
    <row r="163">
      <c r="A163" s="16">
        <v>161.0</v>
      </c>
      <c r="B163" s="17" t="s">
        <v>23</v>
      </c>
      <c r="C163" s="18" t="str">
        <f>IFERROR(__xludf.DUMMYFUNCTION("IF(B163="""","""",IF(OR(
  REGEXMATCH(B163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REGEXMATCH(B163,""Notícia|Reportagem|Artigo de opinião|Verbete"")
),""Difusão"","""")))
"),"Difusão")</f>
        <v>Difusão</v>
      </c>
      <c r="D163" s="19" t="str">
        <f>IFERROR(__xludf.DUMMYFUNCTION("IF(B163="""","""",IF(OR(
  REGEXMATCH(B163,""Performance|Instalação|Álbum|Música|Poema|Livro|Filme|Documentário|Recitação|Espetáculo|Peça|Intervenção|Desfile|Fotografia|Exposição|Charge|Grafite|Leitura pública|Fabricação de cachaça artesanal""),
  REGEXMA"&amp;"TCH(B163,""dança|teatral|artístico|musical|artística"")
),""Manifestação artístico-cultural"",
IF(OR(
  REGEXMATCH(B163,""Crônica|Série|Reportagem|Podcast|Audiotour|Entrevista|Vídeo|Rádio|Notícia|Artigo de opinião|Coletiva de imprensa""),
  REGEXMATCH(B16"&amp;"3,""midiática"")
),""Produção midiática"","""")))
"),"Produção midiática")</f>
        <v>Produção midiática</v>
      </c>
      <c r="E163" s="20" t="str">
        <f>IFERROR(__xludf.DUMMYFUNCTION("IF(B163="""","""",IF(OR(
  REGEXMATCH(B163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REGEXMATCH(B163,""público|Imediato|artística|teatral|memória|Ação popular"")
),""Público Imediato"",
IF(REGEXMATCH(B163,""Música|Álbum|Filme|Documentár"&amp;"io|Série|Podcast|Rádio|Audiotour|Entrevista|Reportagem|Crônica|Relatório|Abaixo-assinado|Manifesto|Petição|Poema|Livro|Fotografia|Curta|Live|Webinário|Charge|Leitura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63" s="20" t="str">
        <f>IFERROR(__xludf.DUMMYFUNCTION("IF(B163="""","""",IF(OR(
  REGEXMATCH(B163,""Live|Webinário|Virtual|Verbete""),
  REGEXMATCH(B163,""online"")
),""Virtual"",
IF(REGEXMATCH(B163,""Música|Álbum|Filme|Documentário|Série|Podcast|Rádio|Audiotour|Episódio|Reportagem|Curta|Charge|Vídeo|Entrevis"&amp;"ta|Notícia|Artigo de opinião""),
""Midiático"",
IF(REGEXMATCH(B163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63" s="21" t="str">
        <f>IFERROR(__xludf.DUMMYFUNCTION("IF(C163=""rememoração"", ""Insira a data manualmente"", IF(C163=""difusão"", 
 IF(NOT(ISERROR(REGEXEXTRACT(T163, ""(\d{1,2}) jan\. 2025""))), 
  TEXT(DATE(2025,1,REGEXEXTRACT(T163, ""(\d{1,2}) jan\. 2025"")), ""dd/mm/yyyy""),
 IF(NOT(ISERROR(REGEXEXTRACT("&amp;"T163, ""(\d{1,2}) fev\. 2025""))), 
  TEXT(DATE(2025,2,REGEXEXTRACT(T163, ""(\d{1,2}) fev\. 2025"")), ""dd/mm/yyyy""),
 IF(NOT(ISERROR(REGEXEXTRACT(T163, ""(\d{1,2}) mar\. 2025""))), 
  TEXT(DATE(2025,3,REGEXEXTRACT(T163, ""(\d{1,2}) mar\. 2025"")), ""dd/"&amp;"mm/yyyy""),
 IF(NOT(ISERROR(REGEXEXTRACT(T163, ""(\d{1,2}) abr\. 2025""))), 
  TEXT(DATE(2025,4,REGEXEXTRACT(T163, ""(\d{1,2}) abr\. 2025"")), ""dd/mm/yyyy""),
 IF(NOT(ISERROR(REGEXEXTRACT(T163, ""(\d{1,2}) (mai|maio)\. 2025""))), 
  TEXT(DATE(2025,5,REGE"&amp;"XEXTRACT(T163, ""(\d{1,2}) (mai|maio)\. 2025"")), ""dd/mm/yyyy""),
 IF(NOT(ISERROR(REGEXEXTRACT(T163, ""(\d{1,2}) jun\. 2025""))), 
  TEXT(DATE(2025,6,REGEXEXTRACT(T163, ""(\d{1,2}) jun\. 2025"")), ""dd/mm/yyyy""),
 IF(NOT(ISERROR(REGEXEXTRACT(T163, ""(\d"&amp;"{1,2}) jul\. 2025""))), 
  TEXT(DATE(2025,7,REGEXEXTRACT(T163, ""(\d{1,2}) jul\. 2025"")), ""dd/mm/yyyy""),
 IF(NOT(ISERROR(REGEXEXTRACT(T163, ""(\d{1,2}) ago\. 2025""))), 
  TEXT(DATE(2025,8,REGEXEXTRACT(T163, ""(\d{1,2}) ago\. 2025"")), ""dd/mm/yyyy""),"&amp;"
 IF(NOT(ISERROR(REGEXEXTRACT(T163, ""(\d{1,2}) set\. 2025""))), 
  TEXT(DATE(2025,9,REGEXEXTRACT(T163, ""(\d{1,2}) set\. 2025"")), ""dd/mm/yyyy""),
 IF(NOT(ISERROR(REGEXEXTRACT(T163, ""(\d{1,2}) out\. 2025""))), 
  TEXT(DATE(2025,10,REGEXEXTRACT(T163, """&amp;"(\d{1,2}) out\. 2025"")), ""dd/mm/yyyy""),
 IF(NOT(ISERROR(REGEXEXTRACT(T163, ""(\d{1,2}) nov\. 2025""))), 
  TEXT(DATE(2025,11,REGEXEXTRACT(T163, ""(\d{1,2}) nov\. 2025"")), ""dd/mm/yyyy""),
 IF(NOT(ISERROR(REGEXEXTRACT(T163, ""(\d{1,2}) dez\. 2025""))),"&amp;" 
  TEXT(DATE(2025,12,REGEXEXTRACT(T163, ""(\d{1,2}) dez\. 2025"")), ""dd/mm/yyyy""),
 ""Insira a data manualmente"")))))))))))), """"))"),"30/10/2025")</f>
        <v>30/10/2025</v>
      </c>
      <c r="H163" s="22">
        <f t="shared" si="1"/>
        <v>2025</v>
      </c>
      <c r="I163" s="18" t="s">
        <v>74</v>
      </c>
      <c r="J163" s="30" t="s">
        <v>32</v>
      </c>
      <c r="K163" s="24" t="s">
        <v>446</v>
      </c>
      <c r="L163" s="24" t="s">
        <v>26</v>
      </c>
      <c r="M163" s="25" t="s">
        <v>27</v>
      </c>
      <c r="N163" s="18" t="str">
        <f t="shared" si="8"/>
        <v>Agência Brasil</v>
      </c>
      <c r="O163" s="17" t="s">
        <v>28</v>
      </c>
      <c r="P163" s="17" t="s">
        <v>251</v>
      </c>
      <c r="Q163" s="26">
        <v>45964.0</v>
      </c>
      <c r="R163" s="17" t="s">
        <v>30</v>
      </c>
      <c r="S163" s="27" t="str">
        <f t="shared" si="3"/>
        <v>Aqui</v>
      </c>
      <c r="T163" s="29" t="s">
        <v>447</v>
      </c>
      <c r="U163" s="29"/>
    </row>
    <row r="164">
      <c r="A164" s="16">
        <v>162.0</v>
      </c>
      <c r="B164" s="17" t="s">
        <v>23</v>
      </c>
      <c r="C164" s="18" t="str">
        <f>IFERROR(__xludf.DUMMYFUNCTION("IF(B164="""","""",IF(OR(
  REGEXMATCH(B164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REGEXMATCH(B164,""Notícia|Reportagem|Artigo de opinião|Verbete"")
),""Difusão"","""")))
"),"Difusão")</f>
        <v>Difusão</v>
      </c>
      <c r="D164" s="19" t="str">
        <f>IFERROR(__xludf.DUMMYFUNCTION("IF(B164="""","""",IF(OR(
  REGEXMATCH(B164,""Performance|Instalação|Álbum|Música|Poema|Livro|Filme|Documentário|Recitação|Espetáculo|Peça|Intervenção|Desfile|Fotografia|Exposição|Charge|Grafite|Leitura pública|Fabricação de cachaça artesanal""),
  REGEXMA"&amp;"TCH(B164,""dança|teatral|artístico|musical|artística"")
),""Manifestação artístico-cultural"",
IF(OR(
  REGEXMATCH(B164,""Crônica|Série|Reportagem|Podcast|Audiotour|Entrevista|Vídeo|Rádio|Notícia|Artigo de opinião|Coletiva de imprensa""),
  REGEXMATCH(B16"&amp;"4,""midiática"")
),""Produção midiática"","""")))
"),"Produção midiática")</f>
        <v>Produção midiática</v>
      </c>
      <c r="E164" s="20" t="str">
        <f>IFERROR(__xludf.DUMMYFUNCTION("IF(B164="""","""",IF(OR(
  REGEXMATCH(B164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REGEXMATCH(B164,""público|Imediato|artística|teatral|memória|Ação popular"")
),""Público Imediato"",
IF(REGEXMATCH(B164,""Música|Álbum|Filme|Documentár"&amp;"io|Série|Podcast|Rádio|Audiotour|Entrevista|Reportagem|Crônica|Relatório|Abaixo-assinado|Manifesto|Petição|Poema|Livro|Fotografia|Curta|Live|Webinário|Charge|Leitura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64" s="20" t="str">
        <f>IFERROR(__xludf.DUMMYFUNCTION("IF(B164="""","""",IF(OR(
  REGEXMATCH(B164,""Live|Webinário|Virtual|Verbete""),
  REGEXMATCH(B164,""online"")
),""Virtual"",
IF(REGEXMATCH(B164,""Música|Álbum|Filme|Documentário|Série|Podcast|Rádio|Audiotour|Episódio|Reportagem|Curta|Charge|Vídeo|Entrevis"&amp;"ta|Notícia|Artigo de opinião""),
""Midiático"",
IF(REGEXMATCH(B164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64" s="21" t="str">
        <f>IFERROR(__xludf.DUMMYFUNCTION("IF(C164=""rememoração"", ""Insira a data manualmente"", IF(C164=""difusão"", 
 IF(NOT(ISERROR(REGEXEXTRACT(T164, ""(\d{1,2}) jan\. 2025""))), 
  TEXT(DATE(2025,1,REGEXEXTRACT(T164, ""(\d{1,2}) jan\. 2025"")), ""dd/mm/yyyy""),
 IF(NOT(ISERROR(REGEXEXTRACT("&amp;"T164, ""(\d{1,2}) fev\. 2025""))), 
  TEXT(DATE(2025,2,REGEXEXTRACT(T164, ""(\d{1,2}) fev\. 2025"")), ""dd/mm/yyyy""),
 IF(NOT(ISERROR(REGEXEXTRACT(T164, ""(\d{1,2}) mar\. 2025""))), 
  TEXT(DATE(2025,3,REGEXEXTRACT(T164, ""(\d{1,2}) mar\. 2025"")), ""dd/"&amp;"mm/yyyy""),
 IF(NOT(ISERROR(REGEXEXTRACT(T164, ""(\d{1,2}) abr\. 2025""))), 
  TEXT(DATE(2025,4,REGEXEXTRACT(T164, ""(\d{1,2}) abr\. 2025"")), ""dd/mm/yyyy""),
 IF(NOT(ISERROR(REGEXEXTRACT(T164, ""(\d{1,2}) (mai|maio)\. 2025""))), 
  TEXT(DATE(2025,5,REGE"&amp;"XEXTRACT(T164, ""(\d{1,2}) (mai|maio)\. 2025"")), ""dd/mm/yyyy""),
 IF(NOT(ISERROR(REGEXEXTRACT(T164, ""(\d{1,2}) jun\. 2025""))), 
  TEXT(DATE(2025,6,REGEXEXTRACT(T164, ""(\d{1,2}) jun\. 2025"")), ""dd/mm/yyyy""),
 IF(NOT(ISERROR(REGEXEXTRACT(T164, ""(\d"&amp;"{1,2}) jul\. 2025""))), 
  TEXT(DATE(2025,7,REGEXEXTRACT(T164, ""(\d{1,2}) jul\. 2025"")), ""dd/mm/yyyy""),
 IF(NOT(ISERROR(REGEXEXTRACT(T164, ""(\d{1,2}) ago\. 2025""))), 
  TEXT(DATE(2025,8,REGEXEXTRACT(T164, ""(\d{1,2}) ago\. 2025"")), ""dd/mm/yyyy""),"&amp;"
 IF(NOT(ISERROR(REGEXEXTRACT(T164, ""(\d{1,2}) set\. 2025""))), 
  TEXT(DATE(2025,9,REGEXEXTRACT(T164, ""(\d{1,2}) set\. 2025"")), ""dd/mm/yyyy""),
 IF(NOT(ISERROR(REGEXEXTRACT(T164, ""(\d{1,2}) out\. 2025""))), 
  TEXT(DATE(2025,10,REGEXEXTRACT(T164, """&amp;"(\d{1,2}) out\. 2025"")), ""dd/mm/yyyy""),
 IF(NOT(ISERROR(REGEXEXTRACT(T164, ""(\d{1,2}) nov\. 2025""))), 
  TEXT(DATE(2025,11,REGEXEXTRACT(T164, ""(\d{1,2}) nov\. 2025"")), ""dd/mm/yyyy""),
 IF(NOT(ISERROR(REGEXEXTRACT(T164, ""(\d{1,2}) dez\. 2025""))),"&amp;" 
  TEXT(DATE(2025,12,REGEXEXTRACT(T164, ""(\d{1,2}) dez\. 2025"")), ""dd/mm/yyyy""),
 ""Insira a data manualmente"")))))))))))), """"))"),"30/10/2025")</f>
        <v>30/10/2025</v>
      </c>
      <c r="H164" s="22">
        <f t="shared" si="1"/>
        <v>2025</v>
      </c>
      <c r="I164" s="18" t="str">
        <f>IFERROR(__xludf.DUMMYFUNCTION("IF(REGEXMATCH(T164,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IF(REGEXMATCH(T164, ""(?i)\bBrasília\b""), ""Distrito Federal, Brasil"",
REGEXEXTRACT(T164,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64" s="30" t="s">
        <v>448</v>
      </c>
      <c r="K164" s="24" t="s">
        <v>449</v>
      </c>
      <c r="L164" s="24" t="s">
        <v>26</v>
      </c>
      <c r="M164" s="25" t="s">
        <v>27</v>
      </c>
      <c r="N164" s="18" t="str">
        <f t="shared" si="8"/>
        <v>Associação Nacional dos Docentes do Ensino Superior – Sindicato Nacional</v>
      </c>
      <c r="O164" s="17" t="s">
        <v>28</v>
      </c>
      <c r="P164" s="17" t="s">
        <v>251</v>
      </c>
      <c r="Q164" s="26">
        <v>45964.0</v>
      </c>
      <c r="R164" s="17" t="s">
        <v>30</v>
      </c>
      <c r="S164" s="27" t="str">
        <f t="shared" si="3"/>
        <v>Aqui</v>
      </c>
      <c r="T164" s="29" t="s">
        <v>450</v>
      </c>
      <c r="U164" s="29"/>
    </row>
    <row r="165">
      <c r="A165" s="16">
        <v>163.0</v>
      </c>
      <c r="B165" s="17" t="s">
        <v>23</v>
      </c>
      <c r="C165" s="18" t="str">
        <f>IFERROR(__xludf.DUMMYFUNCTION("IF(B165="""","""",IF(OR(
  REGEXMATCH(B165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REGEXMATCH(B165,""Notícia|Reportagem|Artigo de opinião|Verbete"")
),""Difusão"","""")))
"),"Difusão")</f>
        <v>Difusão</v>
      </c>
      <c r="D165" s="19" t="str">
        <f>IFERROR(__xludf.DUMMYFUNCTION("IF(B165="""","""",IF(OR(
  REGEXMATCH(B165,""Performance|Instalação|Álbum|Música|Poema|Livro|Filme|Documentário|Recitação|Espetáculo|Peça|Intervenção|Desfile|Fotografia|Exposição|Charge|Grafite|Leitura pública|Fabricação de cachaça artesanal""),
  REGEXMA"&amp;"TCH(B165,""dança|teatral|artístico|musical|artística"")
),""Manifestação artístico-cultural"",
IF(OR(
  REGEXMATCH(B165,""Crônica|Série|Reportagem|Podcast|Audiotour|Entrevista|Vídeo|Rádio|Notícia|Artigo de opinião|Coletiva de imprensa""),
  REGEXMATCH(B16"&amp;"5,""midiática"")
),""Produção midiática"","""")))
"),"Produção midiática")</f>
        <v>Produção midiática</v>
      </c>
      <c r="E165" s="20" t="str">
        <f>IFERROR(__xludf.DUMMYFUNCTION("IF(B165="""","""",IF(OR(
  REGEXMATCH(B165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REGEXMATCH(B165,""público|Imediato|artística|teatral|memória|Ação popular"")
),""Público Imediato"",
IF(REGEXMATCH(B165,""Música|Álbum|Filme|Documentár"&amp;"io|Série|Podcast|Rádio|Audiotour|Entrevista|Reportagem|Crônica|Relatório|Abaixo-assinado|Manifesto|Petição|Poema|Livro|Fotografia|Curta|Live|Webinário|Charge|Leitura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65" s="20" t="str">
        <f>IFERROR(__xludf.DUMMYFUNCTION("IF(B165="""","""",IF(OR(
  REGEXMATCH(B165,""Live|Webinário|Virtual|Verbete""),
  REGEXMATCH(B165,""online"")
),""Virtual"",
IF(REGEXMATCH(B165,""Música|Álbum|Filme|Documentário|Série|Podcast|Rádio|Audiotour|Episódio|Reportagem|Curta|Charge|Vídeo|Entrevis"&amp;"ta|Notícia|Artigo de opinião""),
""Midiático"",
IF(REGEXMATCH(B165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65" s="21" t="str">
        <f>IFERROR(__xludf.DUMMYFUNCTION("IF(C165=""rememoração"", ""Insira a data manualmente"", IF(C165=""difusão"", 
 IF(NOT(ISERROR(REGEXEXTRACT(T165, ""(\d{1,2}) jan\. 2025""))), 
  TEXT(DATE(2025,1,REGEXEXTRACT(T165, ""(\d{1,2}) jan\. 2025"")), ""dd/mm/yyyy""),
 IF(NOT(ISERROR(REGEXEXTRACT("&amp;"T165, ""(\d{1,2}) fev\. 2025""))), 
  TEXT(DATE(2025,2,REGEXEXTRACT(T165, ""(\d{1,2}) fev\. 2025"")), ""dd/mm/yyyy""),
 IF(NOT(ISERROR(REGEXEXTRACT(T165, ""(\d{1,2}) mar\. 2025""))), 
  TEXT(DATE(2025,3,REGEXEXTRACT(T165, ""(\d{1,2}) mar\. 2025"")), ""dd/"&amp;"mm/yyyy""),
 IF(NOT(ISERROR(REGEXEXTRACT(T165, ""(\d{1,2}) abr\. 2025""))), 
  TEXT(DATE(2025,4,REGEXEXTRACT(T165, ""(\d{1,2}) abr\. 2025"")), ""dd/mm/yyyy""),
 IF(NOT(ISERROR(REGEXEXTRACT(T165, ""(\d{1,2}) (mai|maio)\. 2025""))), 
  TEXT(DATE(2025,5,REGE"&amp;"XEXTRACT(T165, ""(\d{1,2}) (mai|maio)\. 2025"")), ""dd/mm/yyyy""),
 IF(NOT(ISERROR(REGEXEXTRACT(T165, ""(\d{1,2}) jun\. 2025""))), 
  TEXT(DATE(2025,6,REGEXEXTRACT(T165, ""(\d{1,2}) jun\. 2025"")), ""dd/mm/yyyy""),
 IF(NOT(ISERROR(REGEXEXTRACT(T165, ""(\d"&amp;"{1,2}) jul\. 2025""))), 
  TEXT(DATE(2025,7,REGEXEXTRACT(T165, ""(\d{1,2}) jul\. 2025"")), ""dd/mm/yyyy""),
 IF(NOT(ISERROR(REGEXEXTRACT(T165, ""(\d{1,2}) ago\. 2025""))), 
  TEXT(DATE(2025,8,REGEXEXTRACT(T165, ""(\d{1,2}) ago\. 2025"")), ""dd/mm/yyyy""),"&amp;"
 IF(NOT(ISERROR(REGEXEXTRACT(T165, ""(\d{1,2}) set\. 2025""))), 
  TEXT(DATE(2025,9,REGEXEXTRACT(T165, ""(\d{1,2}) set\. 2025"")), ""dd/mm/yyyy""),
 IF(NOT(ISERROR(REGEXEXTRACT(T165, ""(\d{1,2}) out\. 2025""))), 
  TEXT(DATE(2025,10,REGEXEXTRACT(T165, """&amp;"(\d{1,2}) out\. 2025"")), ""dd/mm/yyyy""),
 IF(NOT(ISERROR(REGEXEXTRACT(T165, ""(\d{1,2}) nov\. 2025""))), 
  TEXT(DATE(2025,11,REGEXEXTRACT(T165, ""(\d{1,2}) nov\. 2025"")), ""dd/mm/yyyy""),
 IF(NOT(ISERROR(REGEXEXTRACT(T165, ""(\d{1,2}) dez\. 2025""))),"&amp;" 
  TEXT(DATE(2025,12,REGEXEXTRACT(T165, ""(\d{1,2}) dez\. 2025"")), ""dd/mm/yyyy""),
 ""Insira a data manualmente"")))))))))))), """"))"),"30/10/2025")</f>
        <v>30/10/2025</v>
      </c>
      <c r="H165" s="22">
        <f t="shared" si="1"/>
        <v>2025</v>
      </c>
      <c r="I165" s="18" t="s">
        <v>116</v>
      </c>
      <c r="J165" s="30" t="s">
        <v>315</v>
      </c>
      <c r="K165" s="24" t="s">
        <v>451</v>
      </c>
      <c r="L165" s="24" t="s">
        <v>26</v>
      </c>
      <c r="M165" s="25" t="s">
        <v>27</v>
      </c>
      <c r="N165" s="18" t="str">
        <f t="shared" si="8"/>
        <v>Brasil de Fato</v>
      </c>
      <c r="O165" s="17" t="s">
        <v>28</v>
      </c>
      <c r="P165" s="17" t="s">
        <v>251</v>
      </c>
      <c r="Q165" s="26">
        <v>45964.0</v>
      </c>
      <c r="R165" s="17" t="s">
        <v>30</v>
      </c>
      <c r="S165" s="27" t="str">
        <f t="shared" si="3"/>
        <v>Aqui</v>
      </c>
      <c r="T165" s="29" t="s">
        <v>452</v>
      </c>
      <c r="U165" s="29"/>
    </row>
    <row r="166">
      <c r="A166" s="16">
        <v>164.0</v>
      </c>
      <c r="B166" s="17" t="s">
        <v>23</v>
      </c>
      <c r="C166" s="18" t="str">
        <f>IFERROR(__xludf.DUMMYFUNCTION("IF(B166="""","""",IF(OR(
  REGEXMATCH(B166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REGEXMATCH(B166,""Notícia|Reportagem|Artigo de opinião|Verbete"")
),""Difusão"","""")))
"),"Difusão")</f>
        <v>Difusão</v>
      </c>
      <c r="D166" s="19" t="str">
        <f>IFERROR(__xludf.DUMMYFUNCTION("IF(B166="""","""",IF(OR(
  REGEXMATCH(B166,""Performance|Instalação|Álbum|Música|Poema|Livro|Filme|Documentário|Recitação|Espetáculo|Peça|Intervenção|Desfile|Fotografia|Exposição|Charge|Grafite|Leitura pública|Fabricação de cachaça artesanal""),
  REGEXMA"&amp;"TCH(B166,""dança|teatral|artístico|musical|artística"")
),""Manifestação artístico-cultural"",
IF(OR(
  REGEXMATCH(B166,""Crônica|Série|Reportagem|Podcast|Audiotour|Entrevista|Vídeo|Rádio|Notícia|Artigo de opinião|Coletiva de imprensa""),
  REGEXMATCH(B16"&amp;"6,""midiática"")
),""Produção midiática"","""")))
"),"Produção midiática")</f>
        <v>Produção midiática</v>
      </c>
      <c r="E166" s="20" t="str">
        <f>IFERROR(__xludf.DUMMYFUNCTION("IF(B166="""","""",IF(OR(
  REGEXMATCH(B166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REGEXMATCH(B166,""público|Imediato|artística|teatral|memória|Ação popular"")
),""Público Imediato"",
IF(REGEXMATCH(B166,""Música|Álbum|Filme|Documentár"&amp;"io|Série|Podcast|Rádio|Audiotour|Entrevista|Reportagem|Crônica|Relatório|Abaixo-assinado|Manifesto|Petição|Poema|Livro|Fotografia|Curta|Live|Webinário|Charge|Leitura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66" s="20" t="str">
        <f>IFERROR(__xludf.DUMMYFUNCTION("IF(B166="""","""",IF(OR(
  REGEXMATCH(B166,""Live|Webinário|Virtual|Verbete""),
  REGEXMATCH(B166,""online"")
),""Virtual"",
IF(REGEXMATCH(B166,""Música|Álbum|Filme|Documentário|Série|Podcast|Rádio|Audiotour|Episódio|Reportagem|Curta|Charge|Vídeo|Entrevis"&amp;"ta|Notícia|Artigo de opinião""),
""Midiático"",
IF(REGEXMATCH(B166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66" s="21" t="str">
        <f>IFERROR(__xludf.DUMMYFUNCTION("IF(C166=""rememoração"", ""Insira a data manualmente"", IF(C166=""difusão"", 
 IF(NOT(ISERROR(REGEXEXTRACT(T166, ""(\d{1,2}) jan\. 2025""))), 
  TEXT(DATE(2025,1,REGEXEXTRACT(T166, ""(\d{1,2}) jan\. 2025"")), ""dd/mm/yyyy""),
 IF(NOT(ISERROR(REGEXEXTRACT("&amp;"T166, ""(\d{1,2}) fev\. 2025""))), 
  TEXT(DATE(2025,2,REGEXEXTRACT(T166, ""(\d{1,2}) fev\. 2025"")), ""dd/mm/yyyy""),
 IF(NOT(ISERROR(REGEXEXTRACT(T166, ""(\d{1,2}) mar\. 2025""))), 
  TEXT(DATE(2025,3,REGEXEXTRACT(T166, ""(\d{1,2}) mar\. 2025"")), ""dd/"&amp;"mm/yyyy""),
 IF(NOT(ISERROR(REGEXEXTRACT(T166, ""(\d{1,2}) abr\. 2025""))), 
  TEXT(DATE(2025,4,REGEXEXTRACT(T166, ""(\d{1,2}) abr\. 2025"")), ""dd/mm/yyyy""),
 IF(NOT(ISERROR(REGEXEXTRACT(T166, ""(\d{1,2}) (mai|maio)\. 2025""))), 
  TEXT(DATE(2025,5,REGE"&amp;"XEXTRACT(T166, ""(\d{1,2}) (mai|maio)\. 2025"")), ""dd/mm/yyyy""),
 IF(NOT(ISERROR(REGEXEXTRACT(T166, ""(\d{1,2}) jun\. 2025""))), 
  TEXT(DATE(2025,6,REGEXEXTRACT(T166, ""(\d{1,2}) jun\. 2025"")), ""dd/mm/yyyy""),
 IF(NOT(ISERROR(REGEXEXTRACT(T166, ""(\d"&amp;"{1,2}) jul\. 2025""))), 
  TEXT(DATE(2025,7,REGEXEXTRACT(T166, ""(\d{1,2}) jul\. 2025"")), ""dd/mm/yyyy""),
 IF(NOT(ISERROR(REGEXEXTRACT(T166, ""(\d{1,2}) ago\. 2025""))), 
  TEXT(DATE(2025,8,REGEXEXTRACT(T166, ""(\d{1,2}) ago\. 2025"")), ""dd/mm/yyyy""),"&amp;"
 IF(NOT(ISERROR(REGEXEXTRACT(T166, ""(\d{1,2}) set\. 2025""))), 
  TEXT(DATE(2025,9,REGEXEXTRACT(T166, ""(\d{1,2}) set\. 2025"")), ""dd/mm/yyyy""),
 IF(NOT(ISERROR(REGEXEXTRACT(T166, ""(\d{1,2}) out\. 2025""))), 
  TEXT(DATE(2025,10,REGEXEXTRACT(T166, """&amp;"(\d{1,2}) out\. 2025"")), ""dd/mm/yyyy""),
 IF(NOT(ISERROR(REGEXEXTRACT(T166, ""(\d{1,2}) nov\. 2025""))), 
  TEXT(DATE(2025,11,REGEXEXTRACT(T166, ""(\d{1,2}) nov\. 2025"")), ""dd/mm/yyyy""),
 IF(NOT(ISERROR(REGEXEXTRACT(T166, ""(\d{1,2}) dez\. 2025""))),"&amp;" 
  TEXT(DATE(2025,12,REGEXEXTRACT(T166, ""(\d{1,2}) dez\. 2025"")), ""dd/mm/yyyy""),
 ""Insira a data manualmente"")))))))))))), """"))"),"29/10/2025")</f>
        <v>29/10/2025</v>
      </c>
      <c r="H166" s="22">
        <f t="shared" si="1"/>
        <v>2025</v>
      </c>
      <c r="I166" s="18" t="s">
        <v>116</v>
      </c>
      <c r="J166" s="30" t="s">
        <v>315</v>
      </c>
      <c r="K166" s="24" t="s">
        <v>453</v>
      </c>
      <c r="L166" s="24" t="s">
        <v>26</v>
      </c>
      <c r="M166" s="25" t="s">
        <v>27</v>
      </c>
      <c r="N166" s="18" t="str">
        <f t="shared" si="8"/>
        <v>Brasil de Fato</v>
      </c>
      <c r="O166" s="17" t="s">
        <v>28</v>
      </c>
      <c r="P166" s="17" t="s">
        <v>251</v>
      </c>
      <c r="Q166" s="26">
        <v>45964.0</v>
      </c>
      <c r="R166" s="17" t="s">
        <v>30</v>
      </c>
      <c r="S166" s="27" t="str">
        <f t="shared" si="3"/>
        <v>Aqui</v>
      </c>
      <c r="T166" s="29" t="s">
        <v>454</v>
      </c>
      <c r="U166" s="29"/>
    </row>
    <row r="167">
      <c r="A167" s="16">
        <v>165.0</v>
      </c>
      <c r="B167" s="17" t="s">
        <v>23</v>
      </c>
      <c r="C167" s="18" t="str">
        <f>IFERROR(__xludf.DUMMYFUNCTION("IF(B167="""","""",IF(OR(
  REGEXMATCH(B167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REGEXMATCH(B167,""Notícia|Reportagem|Artigo de opinião|Verbete"")
),""Difusão"","""")))
"),"Difusão")</f>
        <v>Difusão</v>
      </c>
      <c r="D167" s="19" t="str">
        <f>IFERROR(__xludf.DUMMYFUNCTION("IF(B167="""","""",IF(OR(
  REGEXMATCH(B167,""Performance|Instalação|Álbum|Música|Poema|Livro|Filme|Documentário|Recitação|Espetáculo|Peça|Intervenção|Desfile|Fotografia|Exposição|Charge|Grafite|Leitura pública|Fabricação de cachaça artesanal""),
  REGEXMA"&amp;"TCH(B167,""dança|teatral|artístico|musical|artística"")
),""Manifestação artístico-cultural"",
IF(OR(
  REGEXMATCH(B167,""Crônica|Série|Reportagem|Podcast|Audiotour|Entrevista|Vídeo|Rádio|Notícia|Artigo de opinião|Coletiva de imprensa""),
  REGEXMATCH(B16"&amp;"7,""midiática"")
),""Produção midiática"","""")))
"),"Produção midiática")</f>
        <v>Produção midiática</v>
      </c>
      <c r="E167" s="20" t="str">
        <f>IFERROR(__xludf.DUMMYFUNCTION("IF(B167="""","""",IF(OR(
  REGEXMATCH(B167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REGEXMATCH(B167,""público|Imediato|artística|teatral|memória|Ação popular"")
),""Público Imediato"",
IF(REGEXMATCH(B167,""Música|Álbum|Filme|Documentár"&amp;"io|Série|Podcast|Rádio|Audiotour|Entrevista|Reportagem|Crônica|Relatório|Abaixo-assinado|Manifesto|Petição|Poema|Livro|Fotografia|Curta|Live|Webinário|Charge|Leitura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67" s="20" t="str">
        <f>IFERROR(__xludf.DUMMYFUNCTION("IF(B167="""","""",IF(OR(
  REGEXMATCH(B167,""Live|Webinário|Virtual|Verbete""),
  REGEXMATCH(B167,""online"")
),""Virtual"",
IF(REGEXMATCH(B167,""Música|Álbum|Filme|Documentário|Série|Podcast|Rádio|Audiotour|Episódio|Reportagem|Curta|Charge|Vídeo|Entrevis"&amp;"ta|Notícia|Artigo de opinião""),
""Midiático"",
IF(REGEXMATCH(B167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67" s="21" t="str">
        <f>IFERROR(__xludf.DUMMYFUNCTION("IF(C167=""rememoração"", ""Insira a data manualmente"", IF(C167=""difusão"", 
 IF(NOT(ISERROR(REGEXEXTRACT(T167, ""(\d{1,2}) jan\. 2025""))), 
  TEXT(DATE(2025,1,REGEXEXTRACT(T167, ""(\d{1,2}) jan\. 2025"")), ""dd/mm/yyyy""),
 IF(NOT(ISERROR(REGEXEXTRACT("&amp;"T167, ""(\d{1,2}) fev\. 2025""))), 
  TEXT(DATE(2025,2,REGEXEXTRACT(T167, ""(\d{1,2}) fev\. 2025"")), ""dd/mm/yyyy""),
 IF(NOT(ISERROR(REGEXEXTRACT(T167, ""(\d{1,2}) mar\. 2025""))), 
  TEXT(DATE(2025,3,REGEXEXTRACT(T167, ""(\d{1,2}) mar\. 2025"")), ""dd/"&amp;"mm/yyyy""),
 IF(NOT(ISERROR(REGEXEXTRACT(T167, ""(\d{1,2}) abr\. 2025""))), 
  TEXT(DATE(2025,4,REGEXEXTRACT(T167, ""(\d{1,2}) abr\. 2025"")), ""dd/mm/yyyy""),
 IF(NOT(ISERROR(REGEXEXTRACT(T167, ""(\d{1,2}) (mai|maio)\. 2025""))), 
  TEXT(DATE(2025,5,REGE"&amp;"XEXTRACT(T167, ""(\d{1,2}) (mai|maio)\. 2025"")), ""dd/mm/yyyy""),
 IF(NOT(ISERROR(REGEXEXTRACT(T167, ""(\d{1,2}) jun\. 2025""))), 
  TEXT(DATE(2025,6,REGEXEXTRACT(T167, ""(\d{1,2}) jun\. 2025"")), ""dd/mm/yyyy""),
 IF(NOT(ISERROR(REGEXEXTRACT(T167, ""(\d"&amp;"{1,2}) jul\. 2025""))), 
  TEXT(DATE(2025,7,REGEXEXTRACT(T167, ""(\d{1,2}) jul\. 2025"")), ""dd/mm/yyyy""),
 IF(NOT(ISERROR(REGEXEXTRACT(T167, ""(\d{1,2}) ago\. 2025""))), 
  TEXT(DATE(2025,8,REGEXEXTRACT(T167, ""(\d{1,2}) ago\. 2025"")), ""dd/mm/yyyy""),"&amp;"
 IF(NOT(ISERROR(REGEXEXTRACT(T167, ""(\d{1,2}) set\. 2025""))), 
  TEXT(DATE(2025,9,REGEXEXTRACT(T167, ""(\d{1,2}) set\. 2025"")), ""dd/mm/yyyy""),
 IF(NOT(ISERROR(REGEXEXTRACT(T167, ""(\d{1,2}) out\. 2025""))), 
  TEXT(DATE(2025,10,REGEXEXTRACT(T167, """&amp;"(\d{1,2}) out\. 2025"")), ""dd/mm/yyyy""),
 IF(NOT(ISERROR(REGEXEXTRACT(T167, ""(\d{1,2}) nov\. 2025""))), 
  TEXT(DATE(2025,11,REGEXEXTRACT(T167, ""(\d{1,2}) nov\. 2025"")), ""dd/mm/yyyy""),
 IF(NOT(ISERROR(REGEXEXTRACT(T167, ""(\d{1,2}) dez\. 2025""))),"&amp;" 
  TEXT(DATE(2025,12,REGEXEXTRACT(T167, ""(\d{1,2}) dez\. 2025"")), ""dd/mm/yyyy""),
 ""Insira a data manualmente"")))))))))))), """"))"),"28/10/2025")</f>
        <v>28/10/2025</v>
      </c>
      <c r="H167" s="22">
        <f t="shared" si="1"/>
        <v>2025</v>
      </c>
      <c r="I167" s="18" t="s">
        <v>455</v>
      </c>
      <c r="J167" s="30" t="s">
        <v>456</v>
      </c>
      <c r="K167" s="24" t="s">
        <v>457</v>
      </c>
      <c r="L167" s="24" t="s">
        <v>26</v>
      </c>
      <c r="M167" s="25" t="s">
        <v>27</v>
      </c>
      <c r="N167" s="18" t="str">
        <f t="shared" si="8"/>
        <v>O Tempo</v>
      </c>
      <c r="O167" s="17" t="s">
        <v>28</v>
      </c>
      <c r="P167" s="17" t="s">
        <v>251</v>
      </c>
      <c r="Q167" s="26">
        <v>45964.0</v>
      </c>
      <c r="R167" s="17" t="s">
        <v>30</v>
      </c>
      <c r="S167" s="27" t="str">
        <f t="shared" si="3"/>
        <v>Aqui</v>
      </c>
      <c r="T167" s="29" t="s">
        <v>458</v>
      </c>
      <c r="U167" s="29"/>
    </row>
    <row r="168">
      <c r="A168" s="16">
        <v>166.0</v>
      </c>
      <c r="B168" s="17" t="s">
        <v>23</v>
      </c>
      <c r="C168" s="18" t="str">
        <f>IFERROR(__xludf.DUMMYFUNCTION("IF(B168="""","""",IF(OR(
  REGEXMATCH(B168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REGEXMATCH(B168,""Notícia|Reportagem|Artigo de opinião|Verbete"")
),""Difusão"","""")))
"),"Difusão")</f>
        <v>Difusão</v>
      </c>
      <c r="D168" s="19" t="str">
        <f>IFERROR(__xludf.DUMMYFUNCTION("IF(B168="""","""",IF(OR(
  REGEXMATCH(B168,""Performance|Instalação|Álbum|Música|Poema|Livro|Filme|Documentário|Recitação|Espetáculo|Peça|Intervenção|Desfile|Fotografia|Exposição|Charge|Grafite|Leitura pública|Fabricação de cachaça artesanal""),
  REGEXMA"&amp;"TCH(B168,""dança|teatral|artístico|musical|artística"")
),""Manifestação artístico-cultural"",
IF(OR(
  REGEXMATCH(B168,""Crônica|Série|Reportagem|Podcast|Audiotour|Entrevista|Vídeo|Rádio|Notícia|Artigo de opinião|Coletiva de imprensa""),
  REGEXMATCH(B16"&amp;"8,""midiática"")
),""Produção midiática"","""")))
"),"Produção midiática")</f>
        <v>Produção midiática</v>
      </c>
      <c r="E168" s="20" t="str">
        <f>IFERROR(__xludf.DUMMYFUNCTION("IF(B168="""","""",IF(OR(
  REGEXMATCH(B168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REGEXMATCH(B168,""público|Imediato|artística|teatral|memória|Ação popular"")
),""Público Imediato"",
IF(REGEXMATCH(B168,""Música|Álbum|Filme|Documentár"&amp;"io|Série|Podcast|Rádio|Audiotour|Entrevista|Reportagem|Crônica|Relatório|Abaixo-assinado|Manifesto|Petição|Poema|Livro|Fotografia|Curta|Live|Webinário|Charge|Leitura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68" s="20" t="str">
        <f>IFERROR(__xludf.DUMMYFUNCTION("IF(B168="""","""",IF(OR(
  REGEXMATCH(B168,""Live|Webinário|Virtual|Verbete""),
  REGEXMATCH(B168,""online"")
),""Virtual"",
IF(REGEXMATCH(B168,""Música|Álbum|Filme|Documentário|Série|Podcast|Rádio|Audiotour|Episódio|Reportagem|Curta|Charge|Vídeo|Entrevis"&amp;"ta|Notícia|Artigo de opinião""),
""Midiático"",
IF(REGEXMATCH(B168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68" s="21" t="str">
        <f>IFERROR(__xludf.DUMMYFUNCTION("IF(C168=""rememoração"", ""Insira a data manualmente"", IF(C168=""difusão"", 
 IF(NOT(ISERROR(REGEXEXTRACT(T168, ""(\d{1,2}) jan\. 2025""))), 
  TEXT(DATE(2025,1,REGEXEXTRACT(T168, ""(\d{1,2}) jan\. 2025"")), ""dd/mm/yyyy""),
 IF(NOT(ISERROR(REGEXEXTRACT("&amp;"T168, ""(\d{1,2}) fev\. 2025""))), 
  TEXT(DATE(2025,2,REGEXEXTRACT(T168, ""(\d{1,2}) fev\. 2025"")), ""dd/mm/yyyy""),
 IF(NOT(ISERROR(REGEXEXTRACT(T168, ""(\d{1,2}) mar\. 2025""))), 
  TEXT(DATE(2025,3,REGEXEXTRACT(T168, ""(\d{1,2}) mar\. 2025"")), ""dd/"&amp;"mm/yyyy""),
 IF(NOT(ISERROR(REGEXEXTRACT(T168, ""(\d{1,2}) abr\. 2025""))), 
  TEXT(DATE(2025,4,REGEXEXTRACT(T168, ""(\d{1,2}) abr\. 2025"")), ""dd/mm/yyyy""),
 IF(NOT(ISERROR(REGEXEXTRACT(T168, ""(\d{1,2}) (mai|maio)\. 2025""))), 
  TEXT(DATE(2025,5,REGE"&amp;"XEXTRACT(T168, ""(\d{1,2}) (mai|maio)\. 2025"")), ""dd/mm/yyyy""),
 IF(NOT(ISERROR(REGEXEXTRACT(T168, ""(\d{1,2}) jun\. 2025""))), 
  TEXT(DATE(2025,6,REGEXEXTRACT(T168, ""(\d{1,2}) jun\. 2025"")), ""dd/mm/yyyy""),
 IF(NOT(ISERROR(REGEXEXTRACT(T168, ""(\d"&amp;"{1,2}) jul\. 2025""))), 
  TEXT(DATE(2025,7,REGEXEXTRACT(T168, ""(\d{1,2}) jul\. 2025"")), ""dd/mm/yyyy""),
 IF(NOT(ISERROR(REGEXEXTRACT(T168, ""(\d{1,2}) ago\. 2025""))), 
  TEXT(DATE(2025,8,REGEXEXTRACT(T168, ""(\d{1,2}) ago\. 2025"")), ""dd/mm/yyyy""),"&amp;"
 IF(NOT(ISERROR(REGEXEXTRACT(T168, ""(\d{1,2}) set\. 2025""))), 
  TEXT(DATE(2025,9,REGEXEXTRACT(T168, ""(\d{1,2}) set\. 2025"")), ""dd/mm/yyyy""),
 IF(NOT(ISERROR(REGEXEXTRACT(T168, ""(\d{1,2}) out\. 2025""))), 
  TEXT(DATE(2025,10,REGEXEXTRACT(T168, """&amp;"(\d{1,2}) out\. 2025"")), ""dd/mm/yyyy""),
 IF(NOT(ISERROR(REGEXEXTRACT(T168, ""(\d{1,2}) nov\. 2025""))), 
  TEXT(DATE(2025,11,REGEXEXTRACT(T168, ""(\d{1,2}) nov\. 2025"")), ""dd/mm/yyyy""),
 IF(NOT(ISERROR(REGEXEXTRACT(T168, ""(\d{1,2}) dez\. 2025""))),"&amp;" 
  TEXT(DATE(2025,12,REGEXEXTRACT(T168, ""(\d{1,2}) dez\. 2025"")), ""dd/mm/yyyy""),
 ""Insira a data manualmente"")))))))))))), """"))"),"31/10/2025")</f>
        <v>31/10/2025</v>
      </c>
      <c r="H168" s="22">
        <f t="shared" si="1"/>
        <v>2025</v>
      </c>
      <c r="I168" s="18" t="s">
        <v>74</v>
      </c>
      <c r="J168" s="30" t="s">
        <v>336</v>
      </c>
      <c r="K168" s="24" t="s">
        <v>459</v>
      </c>
      <c r="L168" s="24" t="s">
        <v>26</v>
      </c>
      <c r="M168" s="25" t="s">
        <v>27</v>
      </c>
      <c r="N168" s="18" t="str">
        <f t="shared" si="8"/>
        <v>G1</v>
      </c>
      <c r="O168" s="17" t="s">
        <v>28</v>
      </c>
      <c r="P168" s="17" t="s">
        <v>251</v>
      </c>
      <c r="Q168" s="26">
        <v>45964.0</v>
      </c>
      <c r="R168" s="17" t="s">
        <v>30</v>
      </c>
      <c r="S168" s="27" t="str">
        <f t="shared" si="3"/>
        <v>Aqui</v>
      </c>
      <c r="T168" s="29" t="s">
        <v>460</v>
      </c>
      <c r="U168" s="29"/>
    </row>
    <row r="169">
      <c r="A169" s="16">
        <v>167.0</v>
      </c>
      <c r="B169" s="17" t="s">
        <v>23</v>
      </c>
      <c r="C169" s="18" t="str">
        <f>IFERROR(__xludf.DUMMYFUNCTION("IF(B169="""","""",IF(OR(
  REGEXMATCH(B169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REGEXMATCH(B169,""Notícia|Reportagem|Artigo de opinião|Verbete"")
),""Difusão"","""")))
"),"Difusão")</f>
        <v>Difusão</v>
      </c>
      <c r="D169" s="19" t="str">
        <f>IFERROR(__xludf.DUMMYFUNCTION("IF(B169="""","""",IF(OR(
  REGEXMATCH(B169,""Performance|Instalação|Álbum|Música|Poema|Livro|Filme|Documentário|Recitação|Espetáculo|Peça|Intervenção|Desfile|Fotografia|Exposição|Charge|Grafite|Leitura pública|Fabricação de cachaça artesanal""),
  REGEXMA"&amp;"TCH(B169,""dança|teatral|artístico|musical|artística"")
),""Manifestação artístico-cultural"",
IF(OR(
  REGEXMATCH(B169,""Crônica|Série|Reportagem|Podcast|Audiotour|Entrevista|Vídeo|Rádio|Notícia|Artigo de opinião|Coletiva de imprensa""),
  REGEXMATCH(B16"&amp;"9,""midiática"")
),""Produção midiática"","""")))
"),"Produção midiática")</f>
        <v>Produção midiática</v>
      </c>
      <c r="E169" s="20" t="str">
        <f>IFERROR(__xludf.DUMMYFUNCTION("IF(B169="""","""",IF(OR(
  REGEXMATCH(B169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REGEXMATCH(B169,""público|Imediato|artística|teatral|memória|Ação popular"")
),""Público Imediato"",
IF(REGEXMATCH(B169,""Música|Álbum|Filme|Documentár"&amp;"io|Série|Podcast|Rádio|Audiotour|Entrevista|Reportagem|Crônica|Relatório|Abaixo-assinado|Manifesto|Petição|Poema|Livro|Fotografia|Curta|Live|Webinário|Charge|Leitura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69" s="20" t="str">
        <f>IFERROR(__xludf.DUMMYFUNCTION("IF(B169="""","""",IF(OR(
  REGEXMATCH(B169,""Live|Webinário|Virtual|Verbete""),
  REGEXMATCH(B169,""online"")
),""Virtual"",
IF(REGEXMATCH(B169,""Música|Álbum|Filme|Documentário|Série|Podcast|Rádio|Audiotour|Episódio|Reportagem|Curta|Charge|Vídeo|Entrevis"&amp;"ta|Notícia|Artigo de opinião""),
""Midiático"",
IF(REGEXMATCH(B169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69" s="21" t="str">
        <f>IFERROR(__xludf.DUMMYFUNCTION("IF(C169=""rememoração"", ""Insira a data manualmente"", IF(C169=""difusão"", 
 IF(NOT(ISERROR(REGEXEXTRACT(T169, ""(\d{1,2}) jan\. 2025""))), 
  TEXT(DATE(2025,1,REGEXEXTRACT(T169, ""(\d{1,2}) jan\. 2025"")), ""dd/mm/yyyy""),
 IF(NOT(ISERROR(REGEXEXTRACT("&amp;"T169, ""(\d{1,2}) fev\. 2025""))), 
  TEXT(DATE(2025,2,REGEXEXTRACT(T169, ""(\d{1,2}) fev\. 2025"")), ""dd/mm/yyyy""),
 IF(NOT(ISERROR(REGEXEXTRACT(T169, ""(\d{1,2}) mar\. 2025""))), 
  TEXT(DATE(2025,3,REGEXEXTRACT(T169, ""(\d{1,2}) mar\. 2025"")), ""dd/"&amp;"mm/yyyy""),
 IF(NOT(ISERROR(REGEXEXTRACT(T169, ""(\d{1,2}) abr\. 2025""))), 
  TEXT(DATE(2025,4,REGEXEXTRACT(T169, ""(\d{1,2}) abr\. 2025"")), ""dd/mm/yyyy""),
 IF(NOT(ISERROR(REGEXEXTRACT(T169, ""(\d{1,2}) (mai|maio)\. 2025""))), 
  TEXT(DATE(2025,5,REGE"&amp;"XEXTRACT(T169, ""(\d{1,2}) (mai|maio)\. 2025"")), ""dd/mm/yyyy""),
 IF(NOT(ISERROR(REGEXEXTRACT(T169, ""(\d{1,2}) jun\. 2025""))), 
  TEXT(DATE(2025,6,REGEXEXTRACT(T169, ""(\d{1,2}) jun\. 2025"")), ""dd/mm/yyyy""),
 IF(NOT(ISERROR(REGEXEXTRACT(T169, ""(\d"&amp;"{1,2}) jul\. 2025""))), 
  TEXT(DATE(2025,7,REGEXEXTRACT(T169, ""(\d{1,2}) jul\. 2025"")), ""dd/mm/yyyy""),
 IF(NOT(ISERROR(REGEXEXTRACT(T169, ""(\d{1,2}) ago\. 2025""))), 
  TEXT(DATE(2025,8,REGEXEXTRACT(T169, ""(\d{1,2}) ago\. 2025"")), ""dd/mm/yyyy""),"&amp;"
 IF(NOT(ISERROR(REGEXEXTRACT(T169, ""(\d{1,2}) set\. 2025""))), 
  TEXT(DATE(2025,9,REGEXEXTRACT(T169, ""(\d{1,2}) set\. 2025"")), ""dd/mm/yyyy""),
 IF(NOT(ISERROR(REGEXEXTRACT(T169, ""(\d{1,2}) out\. 2025""))), 
  TEXT(DATE(2025,10,REGEXEXTRACT(T169, """&amp;"(\d{1,2}) out\. 2025"")), ""dd/mm/yyyy""),
 IF(NOT(ISERROR(REGEXEXTRACT(T169, ""(\d{1,2}) nov\. 2025""))), 
  TEXT(DATE(2025,11,REGEXEXTRACT(T169, ""(\d{1,2}) nov\. 2025"")), ""dd/mm/yyyy""),
 IF(NOT(ISERROR(REGEXEXTRACT(T169, ""(\d{1,2}) dez\. 2025""))),"&amp;" 
  TEXT(DATE(2025,12,REGEXEXTRACT(T169, ""(\d{1,2}) dez\. 2025"")), ""dd/mm/yyyy""),
 ""Insira a data manualmente"")))))))))))), """"))"),"02/11/2025")</f>
        <v>02/11/2025</v>
      </c>
      <c r="H169" s="22">
        <f t="shared" si="1"/>
        <v>2025</v>
      </c>
      <c r="I169" s="18" t="s">
        <v>74</v>
      </c>
      <c r="J169" s="30" t="s">
        <v>93</v>
      </c>
      <c r="K169" s="24" t="s">
        <v>461</v>
      </c>
      <c r="L169" s="24" t="s">
        <v>26</v>
      </c>
      <c r="M169" s="25" t="s">
        <v>27</v>
      </c>
      <c r="N169" s="18" t="str">
        <f t="shared" si="8"/>
        <v>Gazeta do Povo</v>
      </c>
      <c r="O169" s="17" t="s">
        <v>28</v>
      </c>
      <c r="P169" s="17" t="s">
        <v>251</v>
      </c>
      <c r="Q169" s="26">
        <v>45964.0</v>
      </c>
      <c r="R169" s="17" t="s">
        <v>37</v>
      </c>
      <c r="S169" s="27" t="str">
        <f t="shared" si="3"/>
        <v>Aqui</v>
      </c>
      <c r="T169" s="29" t="s">
        <v>462</v>
      </c>
      <c r="U169" s="29"/>
    </row>
    <row r="170">
      <c r="A170" s="16">
        <v>168.0</v>
      </c>
      <c r="B170" s="17" t="s">
        <v>23</v>
      </c>
      <c r="C170" s="18" t="str">
        <f>IFERROR(__xludf.DUMMYFUNCTION("IF(B170="""","""",IF(OR(
  REGEXMATCH(B170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REGEXMATCH(B170,""Notícia|Reportagem|Artigo de opinião|Verbete"")
),""Difusão"","""")))
"),"Difusão")</f>
        <v>Difusão</v>
      </c>
      <c r="D170" s="19" t="str">
        <f>IFERROR(__xludf.DUMMYFUNCTION("IF(B170="""","""",IF(OR(
  REGEXMATCH(B170,""Performance|Instalação|Álbum|Música|Poema|Livro|Filme|Documentário|Recitação|Espetáculo|Peça|Intervenção|Desfile|Fotografia|Exposição|Charge|Grafite|Leitura pública|Fabricação de cachaça artesanal""),
  REGEXMA"&amp;"TCH(B170,""dança|teatral|artístico|musical|artística"")
),""Manifestação artístico-cultural"",
IF(OR(
  REGEXMATCH(B170,""Crônica|Série|Reportagem|Podcast|Audiotour|Entrevista|Vídeo|Rádio|Notícia|Artigo de opinião|Coletiva de imprensa""),
  REGEXMATCH(B17"&amp;"0,""midiática"")
),""Produção midiática"","""")))
"),"Produção midiática")</f>
        <v>Produção midiática</v>
      </c>
      <c r="E170" s="20" t="str">
        <f>IFERROR(__xludf.DUMMYFUNCTION("IF(B170="""","""",IF(OR(
  REGEXMATCH(B170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REGEXMATCH(B170,""público|Imediato|artística|teatral|memória|Ação popular"")
),""Público Imediato"",
IF(REGEXMATCH(B170,""Música|Álbum|Filme|Documentár"&amp;"io|Série|Podcast|Rádio|Audiotour|Entrevista|Reportagem|Crônica|Relatório|Abaixo-assinado|Manifesto|Petição|Poema|Livro|Fotografia|Curta|Live|Webinário|Charge|Leitura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70" s="20" t="str">
        <f>IFERROR(__xludf.DUMMYFUNCTION("IF(B170="""","""",IF(OR(
  REGEXMATCH(B170,""Live|Webinário|Virtual|Verbete""),
  REGEXMATCH(B170,""online"")
),""Virtual"",
IF(REGEXMATCH(B170,""Música|Álbum|Filme|Documentário|Série|Podcast|Rádio|Audiotour|Episódio|Reportagem|Curta|Charge|Vídeo|Entrevis"&amp;"ta|Notícia|Artigo de opinião""),
""Midiático"",
IF(REGEXMATCH(B170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70" s="21" t="str">
        <f>IFERROR(__xludf.DUMMYFUNCTION("IF(C170=""rememoração"", ""Insira a data manualmente"", IF(C170=""difusão"", 
 IF(NOT(ISERROR(REGEXEXTRACT(T170, ""(\d{1,2}) jan\. 2025""))), 
  TEXT(DATE(2025,1,REGEXEXTRACT(T170, ""(\d{1,2}) jan\. 2025"")), ""dd/mm/yyyy""),
 IF(NOT(ISERROR(REGEXEXTRACT("&amp;"T170, ""(\d{1,2}) fev\. 2025""))), 
  TEXT(DATE(2025,2,REGEXEXTRACT(T170, ""(\d{1,2}) fev\. 2025"")), ""dd/mm/yyyy""),
 IF(NOT(ISERROR(REGEXEXTRACT(T170, ""(\d{1,2}) mar\. 2025""))), 
  TEXT(DATE(2025,3,REGEXEXTRACT(T170, ""(\d{1,2}) mar\. 2025"")), ""dd/"&amp;"mm/yyyy""),
 IF(NOT(ISERROR(REGEXEXTRACT(T170, ""(\d{1,2}) abr\. 2025""))), 
  TEXT(DATE(2025,4,REGEXEXTRACT(T170, ""(\d{1,2}) abr\. 2025"")), ""dd/mm/yyyy""),
 IF(NOT(ISERROR(REGEXEXTRACT(T170, ""(\d{1,2}) (mai|maio)\. 2025""))), 
  TEXT(DATE(2025,5,REGE"&amp;"XEXTRACT(T170, ""(\d{1,2}) (mai|maio)\. 2025"")), ""dd/mm/yyyy""),
 IF(NOT(ISERROR(REGEXEXTRACT(T170, ""(\d{1,2}) jun\. 2025""))), 
  TEXT(DATE(2025,6,REGEXEXTRACT(T170, ""(\d{1,2}) jun\. 2025"")), ""dd/mm/yyyy""),
 IF(NOT(ISERROR(REGEXEXTRACT(T170, ""(\d"&amp;"{1,2}) jul\. 2025""))), 
  TEXT(DATE(2025,7,REGEXEXTRACT(T170, ""(\d{1,2}) jul\. 2025"")), ""dd/mm/yyyy""),
 IF(NOT(ISERROR(REGEXEXTRACT(T170, ""(\d{1,2}) ago\. 2025""))), 
  TEXT(DATE(2025,8,REGEXEXTRACT(T170, ""(\d{1,2}) ago\. 2025"")), ""dd/mm/yyyy""),"&amp;"
 IF(NOT(ISERROR(REGEXEXTRACT(T170, ""(\d{1,2}) set\. 2025""))), 
  TEXT(DATE(2025,9,REGEXEXTRACT(T170, ""(\d{1,2}) set\. 2025"")), ""dd/mm/yyyy""),
 IF(NOT(ISERROR(REGEXEXTRACT(T170, ""(\d{1,2}) out\. 2025""))), 
  TEXT(DATE(2025,10,REGEXEXTRACT(T170, """&amp;"(\d{1,2}) out\. 2025"")), ""dd/mm/yyyy""),
 IF(NOT(ISERROR(REGEXEXTRACT(T170, ""(\d{1,2}) nov\. 2025""))), 
  TEXT(DATE(2025,11,REGEXEXTRACT(T170, ""(\d{1,2}) nov\. 2025"")), ""dd/mm/yyyy""),
 IF(NOT(ISERROR(REGEXEXTRACT(T170, ""(\d{1,2}) dez\. 2025""))),"&amp;" 
  TEXT(DATE(2025,12,REGEXEXTRACT(T170, ""(\d{1,2}) dez\. 2025"")), ""dd/mm/yyyy""),
 ""Insira a data manualmente"")))))))))))), """"))"),"31/10/2025")</f>
        <v>31/10/2025</v>
      </c>
      <c r="H170" s="22">
        <f t="shared" si="1"/>
        <v>2025</v>
      </c>
      <c r="I170" s="18" t="s">
        <v>74</v>
      </c>
      <c r="J170" s="30" t="s">
        <v>32</v>
      </c>
      <c r="K170" s="24" t="s">
        <v>463</v>
      </c>
      <c r="L170" s="24" t="s">
        <v>26</v>
      </c>
      <c r="M170" s="25" t="s">
        <v>27</v>
      </c>
      <c r="N170" s="18" t="str">
        <f t="shared" si="8"/>
        <v>Agência Brasil</v>
      </c>
      <c r="O170" s="17" t="s">
        <v>28</v>
      </c>
      <c r="P170" s="17" t="s">
        <v>251</v>
      </c>
      <c r="Q170" s="26">
        <v>45964.0</v>
      </c>
      <c r="R170" s="17" t="s">
        <v>30</v>
      </c>
      <c r="S170" s="36" t="str">
        <f t="shared" si="3"/>
        <v>#VALUE!</v>
      </c>
      <c r="T170" s="29" t="s">
        <v>464</v>
      </c>
      <c r="U170" s="29"/>
    </row>
    <row r="171">
      <c r="A171" s="16">
        <v>169.0</v>
      </c>
      <c r="B171" s="17" t="s">
        <v>23</v>
      </c>
      <c r="C171" s="18" t="str">
        <f>IFERROR(__xludf.DUMMYFUNCTION("IF(B171="""","""",IF(OR(
  REGEXMATCH(B171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REGEXMATCH(B171,""Notícia|Reportagem|Artigo de opinião|Verbete"")
),""Difusão"","""")))
"),"Difusão")</f>
        <v>Difusão</v>
      </c>
      <c r="D171" s="19" t="str">
        <f>IFERROR(__xludf.DUMMYFUNCTION("IF(B171="""","""",IF(OR(
  REGEXMATCH(B171,""Performance|Instalação|Álbum|Música|Poema|Livro|Filme|Documentário|Recitação|Espetáculo|Peça|Intervenção|Desfile|Fotografia|Exposição|Charge|Grafite|Leitura pública|Fabricação de cachaça artesanal""),
  REGEXMA"&amp;"TCH(B171,""dança|teatral|artístico|musical|artística"")
),""Manifestação artístico-cultural"",
IF(OR(
  REGEXMATCH(B171,""Crônica|Série|Reportagem|Podcast|Audiotour|Entrevista|Vídeo|Rádio|Notícia|Artigo de opinião|Coletiva de imprensa""),
  REGEXMATCH(B17"&amp;"1,""midiática"")
),""Produção midiática"","""")))
"),"Produção midiática")</f>
        <v>Produção midiática</v>
      </c>
      <c r="E171" s="20" t="str">
        <f>IFERROR(__xludf.DUMMYFUNCTION("IF(B171="""","""",IF(OR(
  REGEXMATCH(B171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REGEXMATCH(B171,""público|Imediato|artística|teatral|memória|Ação popular"")
),""Público Imediato"",
IF(REGEXMATCH(B171,""Música|Álbum|Filme|Documentár"&amp;"io|Série|Podcast|Rádio|Audiotour|Entrevista|Reportagem|Crônica|Relatório|Abaixo-assinado|Manifesto|Petição|Poema|Livro|Fotografia|Curta|Live|Webinário|Charge|Leitura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71" s="20" t="str">
        <f>IFERROR(__xludf.DUMMYFUNCTION("IF(B171="""","""",IF(OR(
  REGEXMATCH(B171,""Live|Webinário|Virtual|Verbete""),
  REGEXMATCH(B171,""online"")
),""Virtual"",
IF(REGEXMATCH(B171,""Música|Álbum|Filme|Documentário|Série|Podcast|Rádio|Audiotour|Episódio|Reportagem|Curta|Charge|Vídeo|Entrevis"&amp;"ta|Notícia|Artigo de opinião""),
""Midiático"",
IF(REGEXMATCH(B171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71" s="21" t="str">
        <f>IFERROR(__xludf.DUMMYFUNCTION("IF(C171=""rememoração"", ""Insira a data manualmente"", IF(C171=""difusão"", 
 IF(NOT(ISERROR(REGEXEXTRACT(T171, ""(\d{1,2}) jan\. 2025""))), 
  TEXT(DATE(2025,1,REGEXEXTRACT(T171, ""(\d{1,2}) jan\. 2025"")), ""dd/mm/yyyy""),
 IF(NOT(ISERROR(REGEXEXTRACT("&amp;"T171, ""(\d{1,2}) fev\. 2025""))), 
  TEXT(DATE(2025,2,REGEXEXTRACT(T171, ""(\d{1,2}) fev\. 2025"")), ""dd/mm/yyyy""),
 IF(NOT(ISERROR(REGEXEXTRACT(T171, ""(\d{1,2}) mar\. 2025""))), 
  TEXT(DATE(2025,3,REGEXEXTRACT(T171, ""(\d{1,2}) mar\. 2025"")), ""dd/"&amp;"mm/yyyy""),
 IF(NOT(ISERROR(REGEXEXTRACT(T171, ""(\d{1,2}) abr\. 2025""))), 
  TEXT(DATE(2025,4,REGEXEXTRACT(T171, ""(\d{1,2}) abr\. 2025"")), ""dd/mm/yyyy""),
 IF(NOT(ISERROR(REGEXEXTRACT(T171, ""(\d{1,2}) (mai|maio)\. 2025""))), 
  TEXT(DATE(2025,5,REGE"&amp;"XEXTRACT(T171, ""(\d{1,2}) (mai|maio)\. 2025"")), ""dd/mm/yyyy""),
 IF(NOT(ISERROR(REGEXEXTRACT(T171, ""(\d{1,2}) jun\. 2025""))), 
  TEXT(DATE(2025,6,REGEXEXTRACT(T171, ""(\d{1,2}) jun\. 2025"")), ""dd/mm/yyyy""),
 IF(NOT(ISERROR(REGEXEXTRACT(T171, ""(\d"&amp;"{1,2}) jul\. 2025""))), 
  TEXT(DATE(2025,7,REGEXEXTRACT(T171, ""(\d{1,2}) jul\. 2025"")), ""dd/mm/yyyy""),
 IF(NOT(ISERROR(REGEXEXTRACT(T171, ""(\d{1,2}) ago\. 2025""))), 
  TEXT(DATE(2025,8,REGEXEXTRACT(T171, ""(\d{1,2}) ago\. 2025"")), ""dd/mm/yyyy""),"&amp;"
 IF(NOT(ISERROR(REGEXEXTRACT(T171, ""(\d{1,2}) set\. 2025""))), 
  TEXT(DATE(2025,9,REGEXEXTRACT(T171, ""(\d{1,2}) set\. 2025"")), ""dd/mm/yyyy""),
 IF(NOT(ISERROR(REGEXEXTRACT(T171, ""(\d{1,2}) out\. 2025""))), 
  TEXT(DATE(2025,10,REGEXEXTRACT(T171, """&amp;"(\d{1,2}) out\. 2025"")), ""dd/mm/yyyy""),
 IF(NOT(ISERROR(REGEXEXTRACT(T171, ""(\d{1,2}) nov\. 2025""))), 
  TEXT(DATE(2025,11,REGEXEXTRACT(T171, ""(\d{1,2}) nov\. 2025"")), ""dd/mm/yyyy""),
 IF(NOT(ISERROR(REGEXEXTRACT(T171, ""(\d{1,2}) dez\. 2025""))),"&amp;" 
  TEXT(DATE(2025,12,REGEXEXTRACT(T171, ""(\d{1,2}) dez\. 2025"")), ""dd/mm/yyyy""),
 ""Insira a data manualmente"")))))))))))), """"))"),"30/10/2025")</f>
        <v>30/10/2025</v>
      </c>
      <c r="H171" s="22">
        <f t="shared" si="1"/>
        <v>2025</v>
      </c>
      <c r="I171" s="18" t="s">
        <v>435</v>
      </c>
      <c r="J171" s="30" t="s">
        <v>32</v>
      </c>
      <c r="K171" s="24" t="s">
        <v>465</v>
      </c>
      <c r="L171" s="24" t="s">
        <v>26</v>
      </c>
      <c r="M171" s="25" t="s">
        <v>27</v>
      </c>
      <c r="N171" s="18" t="str">
        <f t="shared" si="8"/>
        <v>Agência Brasil</v>
      </c>
      <c r="O171" s="17" t="s">
        <v>28</v>
      </c>
      <c r="P171" s="17" t="s">
        <v>251</v>
      </c>
      <c r="Q171" s="26">
        <v>45964.0</v>
      </c>
      <c r="R171" s="17" t="s">
        <v>30</v>
      </c>
      <c r="S171" s="27" t="str">
        <f t="shared" si="3"/>
        <v>Aqui</v>
      </c>
      <c r="T171" s="29" t="s">
        <v>466</v>
      </c>
      <c r="U171" s="29"/>
    </row>
    <row r="172">
      <c r="A172" s="16">
        <v>170.0</v>
      </c>
      <c r="B172" s="17" t="s">
        <v>23</v>
      </c>
      <c r="C172" s="18" t="str">
        <f>IFERROR(__xludf.DUMMYFUNCTION("IF(B172="""","""",IF(OR(
  REGEXMATCH(B172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REGEXMATCH(B172,""Notícia|Reportagem|Artigo de opinião|Verbete"")
),""Difusão"","""")))
"),"Difusão")</f>
        <v>Difusão</v>
      </c>
      <c r="D172" s="19" t="str">
        <f>IFERROR(__xludf.DUMMYFUNCTION("IF(B172="""","""",IF(OR(
  REGEXMATCH(B172,""Performance|Instalação|Álbum|Música|Poema|Livro|Filme|Documentário|Recitação|Espetáculo|Peça|Intervenção|Desfile|Fotografia|Exposição|Charge|Grafite|Leitura pública|Fabricação de cachaça artesanal""),
  REGEXMA"&amp;"TCH(B172,""dança|teatral|artístico|musical|artística"")
),""Manifestação artístico-cultural"",
IF(OR(
  REGEXMATCH(B172,""Crônica|Série|Reportagem|Podcast|Audiotour|Entrevista|Vídeo|Rádio|Notícia|Artigo de opinião|Coletiva de imprensa""),
  REGEXMATCH(B17"&amp;"2,""midiática"")
),""Produção midiática"","""")))
"),"Produção midiática")</f>
        <v>Produção midiática</v>
      </c>
      <c r="E172" s="20" t="str">
        <f>IFERROR(__xludf.DUMMYFUNCTION("IF(B172="""","""",IF(OR(
  REGEXMATCH(B172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REGEXMATCH(B172,""público|Imediato|artística|teatral|memória|Ação popular"")
),""Público Imediato"",
IF(REGEXMATCH(B172,""Música|Álbum|Filme|Documentár"&amp;"io|Série|Podcast|Rádio|Audiotour|Entrevista|Reportagem|Crônica|Relatório|Abaixo-assinado|Manifesto|Petição|Poema|Livro|Fotografia|Curta|Live|Webinário|Charge|Leitura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72" s="20" t="str">
        <f>IFERROR(__xludf.DUMMYFUNCTION("IF(B172="""","""",IF(OR(
  REGEXMATCH(B172,""Live|Webinário|Virtual|Verbete""),
  REGEXMATCH(B172,""online"")
),""Virtual"",
IF(REGEXMATCH(B172,""Música|Álbum|Filme|Documentário|Série|Podcast|Rádio|Audiotour|Episódio|Reportagem|Curta|Charge|Vídeo|Entrevis"&amp;"ta|Notícia|Artigo de opinião""),
""Midiático"",
IF(REGEXMATCH(B172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72" s="21" t="str">
        <f>IFERROR(__xludf.DUMMYFUNCTION("IF(C172=""rememoração"", ""Insira a data manualmente"", IF(C172=""difusão"", 
 IF(NOT(ISERROR(REGEXEXTRACT(T172, ""(\d{1,2}) jan\. 2025""))), 
  TEXT(DATE(2025,1,REGEXEXTRACT(T172, ""(\d{1,2}) jan\. 2025"")), ""dd/mm/yyyy""),
 IF(NOT(ISERROR(REGEXEXTRACT("&amp;"T172, ""(\d{1,2}) fev\. 2025""))), 
  TEXT(DATE(2025,2,REGEXEXTRACT(T172, ""(\d{1,2}) fev\. 2025"")), ""dd/mm/yyyy""),
 IF(NOT(ISERROR(REGEXEXTRACT(T172, ""(\d{1,2}) mar\. 2025""))), 
  TEXT(DATE(2025,3,REGEXEXTRACT(T172, ""(\d{1,2}) mar\. 2025"")), ""dd/"&amp;"mm/yyyy""),
 IF(NOT(ISERROR(REGEXEXTRACT(T172, ""(\d{1,2}) abr\. 2025""))), 
  TEXT(DATE(2025,4,REGEXEXTRACT(T172, ""(\d{1,2}) abr\. 2025"")), ""dd/mm/yyyy""),
 IF(NOT(ISERROR(REGEXEXTRACT(T172, ""(\d{1,2}) (mai|maio)\. 2025""))), 
  TEXT(DATE(2025,5,REGE"&amp;"XEXTRACT(T172, ""(\d{1,2}) (mai|maio)\. 2025"")), ""dd/mm/yyyy""),
 IF(NOT(ISERROR(REGEXEXTRACT(T172, ""(\d{1,2}) jun\. 2025""))), 
  TEXT(DATE(2025,6,REGEXEXTRACT(T172, ""(\d{1,2}) jun\. 2025"")), ""dd/mm/yyyy""),
 IF(NOT(ISERROR(REGEXEXTRACT(T172, ""(\d"&amp;"{1,2}) jul\. 2025""))), 
  TEXT(DATE(2025,7,REGEXEXTRACT(T172, ""(\d{1,2}) jul\. 2025"")), ""dd/mm/yyyy""),
 IF(NOT(ISERROR(REGEXEXTRACT(T172, ""(\d{1,2}) ago\. 2025""))), 
  TEXT(DATE(2025,8,REGEXEXTRACT(T172, ""(\d{1,2}) ago\. 2025"")), ""dd/mm/yyyy""),"&amp;"
 IF(NOT(ISERROR(REGEXEXTRACT(T172, ""(\d{1,2}) set\. 2025""))), 
  TEXT(DATE(2025,9,REGEXEXTRACT(T172, ""(\d{1,2}) set\. 2025"")), ""dd/mm/yyyy""),
 IF(NOT(ISERROR(REGEXEXTRACT(T172, ""(\d{1,2}) out\. 2025""))), 
  TEXT(DATE(2025,10,REGEXEXTRACT(T172, """&amp;"(\d{1,2}) out\. 2025"")), ""dd/mm/yyyy""),
 IF(NOT(ISERROR(REGEXEXTRACT(T172, ""(\d{1,2}) nov\. 2025""))), 
  TEXT(DATE(2025,11,REGEXEXTRACT(T172, ""(\d{1,2}) nov\. 2025"")), ""dd/mm/yyyy""),
 IF(NOT(ISERROR(REGEXEXTRACT(T172, ""(\d{1,2}) dez\. 2025""))),"&amp;" 
  TEXT(DATE(2025,12,REGEXEXTRACT(T172, ""(\d{1,2}) dez\. 2025"")), ""dd/mm/yyyy""),
 ""Insira a data manualmente"")))))))))))), """"))"),"31/10/2025")</f>
        <v>31/10/2025</v>
      </c>
      <c r="H172" s="22">
        <f t="shared" si="1"/>
        <v>2025</v>
      </c>
      <c r="I172" s="18" t="str">
        <f>IFERROR(__xludf.DUMMYFUNCTION("IF(REGEXMATCH(T172,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IF(REGEXMATCH(T172, ""(?i)\bBrasília\b""), ""Distrito Federal, Brasil"",
REGEXEXTRACT(T172,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manualmente"")"),"Maranhão, Brasil")</f>
        <v>Maranhão, Brasil</v>
      </c>
      <c r="J172" s="30" t="s">
        <v>32</v>
      </c>
      <c r="K172" s="24" t="s">
        <v>467</v>
      </c>
      <c r="L172" s="24" t="s">
        <v>26</v>
      </c>
      <c r="M172" s="25" t="s">
        <v>27</v>
      </c>
      <c r="N172" s="18" t="str">
        <f t="shared" si="8"/>
        <v>Agência Brasil</v>
      </c>
      <c r="O172" s="17" t="s">
        <v>28</v>
      </c>
      <c r="P172" s="17" t="s">
        <v>251</v>
      </c>
      <c r="Q172" s="26">
        <v>45964.0</v>
      </c>
      <c r="R172" s="17" t="s">
        <v>30</v>
      </c>
      <c r="S172" s="27" t="str">
        <f t="shared" si="3"/>
        <v>Aqui</v>
      </c>
      <c r="T172" s="29" t="s">
        <v>468</v>
      </c>
      <c r="U172" s="29"/>
    </row>
    <row r="173">
      <c r="A173" s="16">
        <v>171.0</v>
      </c>
      <c r="B173" s="17" t="s">
        <v>23</v>
      </c>
      <c r="C173" s="18" t="str">
        <f>IFERROR(__xludf.DUMMYFUNCTION("IF(B173="""","""",IF(OR(
  REGEXMATCH(B173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REGEXMATCH(B173,""Notícia|Reportagem|Artigo de opinião|Verbete"")
),""Difusão"","""")))
"),"Difusão")</f>
        <v>Difusão</v>
      </c>
      <c r="D173" s="19" t="str">
        <f>IFERROR(__xludf.DUMMYFUNCTION("IF(B173="""","""",IF(OR(
  REGEXMATCH(B173,""Performance|Instalação|Álbum|Música|Poema|Livro|Filme|Documentário|Recitação|Espetáculo|Peça|Intervenção|Desfile|Fotografia|Exposição|Charge|Grafite|Leitura pública|Fabricação de cachaça artesanal""),
  REGEXMA"&amp;"TCH(B173,""dança|teatral|artístico|musical|artística"")
),""Manifestação artístico-cultural"",
IF(OR(
  REGEXMATCH(B173,""Crônica|Série|Reportagem|Podcast|Audiotour|Entrevista|Vídeo|Rádio|Notícia|Artigo de opinião|Coletiva de imprensa""),
  REGEXMATCH(B17"&amp;"3,""midiática"")
),""Produção midiática"","""")))
"),"Produção midiática")</f>
        <v>Produção midiática</v>
      </c>
      <c r="E173" s="20" t="str">
        <f>IFERROR(__xludf.DUMMYFUNCTION("IF(B173="""","""",IF(OR(
  REGEXMATCH(B173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REGEXMATCH(B173,""público|Imediato|artística|teatral|memória|Ação popular"")
),""Público Imediato"",
IF(REGEXMATCH(B173,""Música|Álbum|Filme|Documentár"&amp;"io|Série|Podcast|Rádio|Audiotour|Entrevista|Reportagem|Crônica|Relatório|Abaixo-assinado|Manifesto|Petição|Poema|Livro|Fotografia|Curta|Live|Webinário|Charge|Leitura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73" s="20" t="str">
        <f>IFERROR(__xludf.DUMMYFUNCTION("IF(B173="""","""",IF(OR(
  REGEXMATCH(B173,""Live|Webinário|Virtual|Verbete""),
  REGEXMATCH(B173,""online"")
),""Virtual"",
IF(REGEXMATCH(B173,""Música|Álbum|Filme|Documentário|Série|Podcast|Rádio|Audiotour|Episódio|Reportagem|Curta|Charge|Vídeo|Entrevis"&amp;"ta|Notícia|Artigo de opinião""),
""Midiático"",
IF(REGEXMATCH(B173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73" s="21" t="str">
        <f>IFERROR(__xludf.DUMMYFUNCTION("IF(C173=""rememoração"", ""Insira a data manualmente"", IF(C173=""difusão"", 
 IF(NOT(ISERROR(REGEXEXTRACT(T173, ""(\d{1,2}) jan\. 2025""))), 
  TEXT(DATE(2025,1,REGEXEXTRACT(T173, ""(\d{1,2}) jan\. 2025"")), ""dd/mm/yyyy""),
 IF(NOT(ISERROR(REGEXEXTRACT("&amp;"T173, ""(\d{1,2}) fev\. 2025""))), 
  TEXT(DATE(2025,2,REGEXEXTRACT(T173, ""(\d{1,2}) fev\. 2025"")), ""dd/mm/yyyy""),
 IF(NOT(ISERROR(REGEXEXTRACT(T173, ""(\d{1,2}) mar\. 2025""))), 
  TEXT(DATE(2025,3,REGEXEXTRACT(T173, ""(\d{1,2}) mar\. 2025"")), ""dd/"&amp;"mm/yyyy""),
 IF(NOT(ISERROR(REGEXEXTRACT(T173, ""(\d{1,2}) abr\. 2025""))), 
  TEXT(DATE(2025,4,REGEXEXTRACT(T173, ""(\d{1,2}) abr\. 2025"")), ""dd/mm/yyyy""),
 IF(NOT(ISERROR(REGEXEXTRACT(T173, ""(\d{1,2}) (mai|maio)\. 2025""))), 
  TEXT(DATE(2025,5,REGE"&amp;"XEXTRACT(T173, ""(\d{1,2}) (mai|maio)\. 2025"")), ""dd/mm/yyyy""),
 IF(NOT(ISERROR(REGEXEXTRACT(T173, ""(\d{1,2}) jun\. 2025""))), 
  TEXT(DATE(2025,6,REGEXEXTRACT(T173, ""(\d{1,2}) jun\. 2025"")), ""dd/mm/yyyy""),
 IF(NOT(ISERROR(REGEXEXTRACT(T173, ""(\d"&amp;"{1,2}) jul\. 2025""))), 
  TEXT(DATE(2025,7,REGEXEXTRACT(T173, ""(\d{1,2}) jul\. 2025"")), ""dd/mm/yyyy""),
 IF(NOT(ISERROR(REGEXEXTRACT(T173, ""(\d{1,2}) ago\. 2025""))), 
  TEXT(DATE(2025,8,REGEXEXTRACT(T173, ""(\d{1,2}) ago\. 2025"")), ""dd/mm/yyyy""),"&amp;"
 IF(NOT(ISERROR(REGEXEXTRACT(T173, ""(\d{1,2}) set\. 2025""))), 
  TEXT(DATE(2025,9,REGEXEXTRACT(T173, ""(\d{1,2}) set\. 2025"")), ""dd/mm/yyyy""),
 IF(NOT(ISERROR(REGEXEXTRACT(T173, ""(\d{1,2}) out\. 2025""))), 
  TEXT(DATE(2025,10,REGEXEXTRACT(T173, """&amp;"(\d{1,2}) out\. 2025"")), ""dd/mm/yyyy""),
 IF(NOT(ISERROR(REGEXEXTRACT(T173, ""(\d{1,2}) nov\. 2025""))), 
  TEXT(DATE(2025,11,REGEXEXTRACT(T173, ""(\d{1,2}) nov\. 2025"")), ""dd/mm/yyyy""),
 IF(NOT(ISERROR(REGEXEXTRACT(T173, ""(\d{1,2}) dez\. 2025""))),"&amp;" 
  TEXT(DATE(2025,12,REGEXEXTRACT(T173, ""(\d{1,2}) dez\. 2025"")), ""dd/mm/yyyy""),
 ""Insira a data manualmente"")))))))))))), """"))"),"30/10/2025")</f>
        <v>30/10/2025</v>
      </c>
      <c r="H173" s="22">
        <f t="shared" si="1"/>
        <v>2025</v>
      </c>
      <c r="I173" s="18" t="s">
        <v>74</v>
      </c>
      <c r="J173" s="30" t="s">
        <v>32</v>
      </c>
      <c r="K173" s="24" t="s">
        <v>469</v>
      </c>
      <c r="L173" s="24" t="s">
        <v>26</v>
      </c>
      <c r="M173" s="25" t="s">
        <v>27</v>
      </c>
      <c r="N173" s="18" t="str">
        <f t="shared" si="8"/>
        <v>Agência Brasil</v>
      </c>
      <c r="O173" s="17" t="s">
        <v>28</v>
      </c>
      <c r="P173" s="17" t="s">
        <v>251</v>
      </c>
      <c r="Q173" s="26">
        <v>45964.0</v>
      </c>
      <c r="R173" s="17" t="s">
        <v>30</v>
      </c>
      <c r="S173" s="27" t="str">
        <f t="shared" si="3"/>
        <v>Aqui</v>
      </c>
      <c r="T173" s="29" t="s">
        <v>470</v>
      </c>
      <c r="U173" s="29"/>
    </row>
    <row r="174">
      <c r="A174" s="16">
        <v>172.0</v>
      </c>
      <c r="B174" s="17" t="s">
        <v>23</v>
      </c>
      <c r="C174" s="18" t="str">
        <f>IFERROR(__xludf.DUMMYFUNCTION("IF(B174="""","""",IF(OR(
  REGEXMATCH(B174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REGEXMATCH(B174,""Notícia|Reportagem|Artigo de opinião|Verbete"")
),""Difusão"","""")))
"),"Difusão")</f>
        <v>Difusão</v>
      </c>
      <c r="D174" s="19" t="str">
        <f>IFERROR(__xludf.DUMMYFUNCTION("IF(B174="""","""",IF(OR(
  REGEXMATCH(B174,""Performance|Instalação|Álbum|Música|Poema|Livro|Filme|Documentário|Recitação|Espetáculo|Peça|Intervenção|Desfile|Fotografia|Exposição|Charge|Grafite|Leitura pública|Fabricação de cachaça artesanal""),
  REGEXMA"&amp;"TCH(B174,""dança|teatral|artístico|musical|artística"")
),""Manifestação artístico-cultural"",
IF(OR(
  REGEXMATCH(B174,""Crônica|Série|Reportagem|Podcast|Audiotour|Entrevista|Vídeo|Rádio|Notícia|Artigo de opinião|Coletiva de imprensa""),
  REGEXMATCH(B17"&amp;"4,""midiática"")
),""Produção midiática"","""")))
"),"Produção midiática")</f>
        <v>Produção midiática</v>
      </c>
      <c r="E174" s="20" t="str">
        <f>IFERROR(__xludf.DUMMYFUNCTION("IF(B174="""","""",IF(OR(
  REGEXMATCH(B174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REGEXMATCH(B174,""público|Imediato|artística|teatral|memória|Ação popular"")
),""Público Imediato"",
IF(REGEXMATCH(B174,""Música|Álbum|Filme|Documentár"&amp;"io|Série|Podcast|Rádio|Audiotour|Entrevista|Reportagem|Crônica|Relatório|Abaixo-assinado|Manifesto|Petição|Poema|Livro|Fotografia|Curta|Live|Webinário|Charge|Leitura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74" s="20" t="str">
        <f>IFERROR(__xludf.DUMMYFUNCTION("IF(B174="""","""",IF(OR(
  REGEXMATCH(B174,""Live|Webinário|Virtual|Verbete""),
  REGEXMATCH(B174,""online"")
),""Virtual"",
IF(REGEXMATCH(B174,""Música|Álbum|Filme|Documentário|Série|Podcast|Rádio|Audiotour|Episódio|Reportagem|Curta|Charge|Vídeo|Entrevis"&amp;"ta|Notícia|Artigo de opinião""),
""Midiático"",
IF(REGEXMATCH(B174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74" s="21" t="str">
        <f>IFERROR(__xludf.DUMMYFUNCTION("IF(C174=""rememoração"", ""Insira a data manualmente"", IF(C174=""difusão"", 
 IF(NOT(ISERROR(REGEXEXTRACT(T174, ""(\d{1,2}) jan\. 2025""))), 
  TEXT(DATE(2025,1,REGEXEXTRACT(T174, ""(\d{1,2}) jan\. 2025"")), ""dd/mm/yyyy""),
 IF(NOT(ISERROR(REGEXEXTRACT("&amp;"T174, ""(\d{1,2}) fev\. 2025""))), 
  TEXT(DATE(2025,2,REGEXEXTRACT(T174, ""(\d{1,2}) fev\. 2025"")), ""dd/mm/yyyy""),
 IF(NOT(ISERROR(REGEXEXTRACT(T174, ""(\d{1,2}) mar\. 2025""))), 
  TEXT(DATE(2025,3,REGEXEXTRACT(T174, ""(\d{1,2}) mar\. 2025"")), ""dd/"&amp;"mm/yyyy""),
 IF(NOT(ISERROR(REGEXEXTRACT(T174, ""(\d{1,2}) abr\. 2025""))), 
  TEXT(DATE(2025,4,REGEXEXTRACT(T174, ""(\d{1,2}) abr\. 2025"")), ""dd/mm/yyyy""),
 IF(NOT(ISERROR(REGEXEXTRACT(T174, ""(\d{1,2}) (mai|maio)\. 2025""))), 
  TEXT(DATE(2025,5,REGE"&amp;"XEXTRACT(T174, ""(\d{1,2}) (mai|maio)\. 2025"")), ""dd/mm/yyyy""),
 IF(NOT(ISERROR(REGEXEXTRACT(T174, ""(\d{1,2}) jun\. 2025""))), 
  TEXT(DATE(2025,6,REGEXEXTRACT(T174, ""(\d{1,2}) jun\. 2025"")), ""dd/mm/yyyy""),
 IF(NOT(ISERROR(REGEXEXTRACT(T174, ""(\d"&amp;"{1,2}) jul\. 2025""))), 
  TEXT(DATE(2025,7,REGEXEXTRACT(T174, ""(\d{1,2}) jul\. 2025"")), ""dd/mm/yyyy""),
 IF(NOT(ISERROR(REGEXEXTRACT(T174, ""(\d{1,2}) ago\. 2025""))), 
  TEXT(DATE(2025,8,REGEXEXTRACT(T174, ""(\d{1,2}) ago\. 2025"")), ""dd/mm/yyyy""),"&amp;"
 IF(NOT(ISERROR(REGEXEXTRACT(T174, ""(\d{1,2}) set\. 2025""))), 
  TEXT(DATE(2025,9,REGEXEXTRACT(T174, ""(\d{1,2}) set\. 2025"")), ""dd/mm/yyyy""),
 IF(NOT(ISERROR(REGEXEXTRACT(T174, ""(\d{1,2}) out\. 2025""))), 
  TEXT(DATE(2025,10,REGEXEXTRACT(T174, """&amp;"(\d{1,2}) out\. 2025"")), ""dd/mm/yyyy""),
 IF(NOT(ISERROR(REGEXEXTRACT(T174, ""(\d{1,2}) nov\. 2025""))), 
  TEXT(DATE(2025,11,REGEXEXTRACT(T174, ""(\d{1,2}) nov\. 2025"")), ""dd/mm/yyyy""),
 IF(NOT(ISERROR(REGEXEXTRACT(T174, ""(\d{1,2}) dez\. 2025""))),"&amp;" 
  TEXT(DATE(2025,12,REGEXEXTRACT(T174, ""(\d{1,2}) dez\. 2025"")), ""dd/mm/yyyy""),
 ""Insira a data manualmente"")))))))))))), """"))"),"31/10/2025")</f>
        <v>31/10/2025</v>
      </c>
      <c r="H174" s="22">
        <f t="shared" si="1"/>
        <v>2025</v>
      </c>
      <c r="I174" s="18" t="s">
        <v>116</v>
      </c>
      <c r="J174" s="30" t="s">
        <v>471</v>
      </c>
      <c r="K174" s="24" t="s">
        <v>472</v>
      </c>
      <c r="L174" s="24" t="s">
        <v>26</v>
      </c>
      <c r="M174" s="25" t="s">
        <v>27</v>
      </c>
      <c r="N174" s="18" t="str">
        <f t="shared" si="8"/>
        <v>BBC</v>
      </c>
      <c r="O174" s="17" t="s">
        <v>28</v>
      </c>
      <c r="P174" s="17" t="s">
        <v>251</v>
      </c>
      <c r="Q174" s="26">
        <v>45964.0</v>
      </c>
      <c r="R174" s="17" t="s">
        <v>30</v>
      </c>
      <c r="S174" s="27" t="str">
        <f t="shared" si="3"/>
        <v>Aqui</v>
      </c>
      <c r="T174" s="29" t="s">
        <v>473</v>
      </c>
      <c r="U174" s="29"/>
    </row>
    <row r="175">
      <c r="A175" s="16">
        <v>173.0</v>
      </c>
      <c r="B175" s="17" t="s">
        <v>23</v>
      </c>
      <c r="C175" s="18" t="str">
        <f>IFERROR(__xludf.DUMMYFUNCTION("IF(B175="""","""",IF(OR(
  REGEXMATCH(B175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REGEXMATCH(B175,""Notícia|Reportagem|Artigo de opinião|Verbete"")
),""Difusão"","""")))
"),"Difusão")</f>
        <v>Difusão</v>
      </c>
      <c r="D175" s="19" t="str">
        <f>IFERROR(__xludf.DUMMYFUNCTION("IF(B175="""","""",IF(OR(
  REGEXMATCH(B175,""Performance|Instalação|Álbum|Música|Poema|Livro|Filme|Documentário|Recitação|Espetáculo|Peça|Intervenção|Desfile|Fotografia|Exposição|Charge|Grafite|Leitura pública|Fabricação de cachaça artesanal""),
  REGEXMA"&amp;"TCH(B175,""dança|teatral|artístico|musical|artística"")
),""Manifestação artístico-cultural"",
IF(OR(
  REGEXMATCH(B175,""Crônica|Série|Reportagem|Podcast|Audiotour|Entrevista|Vídeo|Rádio|Notícia|Artigo de opinião|Coletiva de imprensa""),
  REGEXMATCH(B17"&amp;"5,""midiática"")
),""Produção midiática"","""")))
"),"Produção midiática")</f>
        <v>Produção midiática</v>
      </c>
      <c r="E175" s="20" t="str">
        <f>IFERROR(__xludf.DUMMYFUNCTION("IF(B175="""","""",IF(OR(
  REGEXMATCH(B175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REGEXMATCH(B175,""público|Imediato|artística|teatral|memória|Ação popular"")
),""Público Imediato"",
IF(REGEXMATCH(B175,""Música|Álbum|Filme|Documentár"&amp;"io|Série|Podcast|Rádio|Audiotour|Entrevista|Reportagem|Crônica|Relatório|Abaixo-assinado|Manifesto|Petição|Poema|Livro|Fotografia|Curta|Live|Webinário|Charge|Leitura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75" s="20" t="str">
        <f>IFERROR(__xludf.DUMMYFUNCTION("IF(B175="""","""",IF(OR(
  REGEXMATCH(B175,""Live|Webinário|Virtual|Verbete""),
  REGEXMATCH(B175,""online"")
),""Virtual"",
IF(REGEXMATCH(B175,""Música|Álbum|Filme|Documentário|Série|Podcast|Rádio|Audiotour|Episódio|Reportagem|Curta|Charge|Vídeo|Entrevis"&amp;"ta|Notícia|Artigo de opinião""),
""Midiático"",
IF(REGEXMATCH(B175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75" s="21" t="str">
        <f>IFERROR(__xludf.DUMMYFUNCTION("IF(C175=""rememoração"", ""Insira a data manualmente"", IF(C175=""difusão"", 
 IF(NOT(ISERROR(REGEXEXTRACT(T175, ""(\d{1,2}) jan\. 2025""))), 
  TEXT(DATE(2025,1,REGEXEXTRACT(T175, ""(\d{1,2}) jan\. 2025"")), ""dd/mm/yyyy""),
 IF(NOT(ISERROR(REGEXEXTRACT("&amp;"T175, ""(\d{1,2}) fev\. 2025""))), 
  TEXT(DATE(2025,2,REGEXEXTRACT(T175, ""(\d{1,2}) fev\. 2025"")), ""dd/mm/yyyy""),
 IF(NOT(ISERROR(REGEXEXTRACT(T175, ""(\d{1,2}) mar\. 2025""))), 
  TEXT(DATE(2025,3,REGEXEXTRACT(T175, ""(\d{1,2}) mar\. 2025"")), ""dd/"&amp;"mm/yyyy""),
 IF(NOT(ISERROR(REGEXEXTRACT(T175, ""(\d{1,2}) abr\. 2025""))), 
  TEXT(DATE(2025,4,REGEXEXTRACT(T175, ""(\d{1,2}) abr\. 2025"")), ""dd/mm/yyyy""),
 IF(NOT(ISERROR(REGEXEXTRACT(T175, ""(\d{1,2}) (mai|maio)\. 2025""))), 
  TEXT(DATE(2025,5,REGE"&amp;"XEXTRACT(T175, ""(\d{1,2}) (mai|maio)\. 2025"")), ""dd/mm/yyyy""),
 IF(NOT(ISERROR(REGEXEXTRACT(T175, ""(\d{1,2}) jun\. 2025""))), 
  TEXT(DATE(2025,6,REGEXEXTRACT(T175, ""(\d{1,2}) jun\. 2025"")), ""dd/mm/yyyy""),
 IF(NOT(ISERROR(REGEXEXTRACT(T175, ""(\d"&amp;"{1,2}) jul\. 2025""))), 
  TEXT(DATE(2025,7,REGEXEXTRACT(T175, ""(\d{1,2}) jul\. 2025"")), ""dd/mm/yyyy""),
 IF(NOT(ISERROR(REGEXEXTRACT(T175, ""(\d{1,2}) ago\. 2025""))), 
  TEXT(DATE(2025,8,REGEXEXTRACT(T175, ""(\d{1,2}) ago\. 2025"")), ""dd/mm/yyyy""),"&amp;"
 IF(NOT(ISERROR(REGEXEXTRACT(T175, ""(\d{1,2}) set\. 2025""))), 
  TEXT(DATE(2025,9,REGEXEXTRACT(T175, ""(\d{1,2}) set\. 2025"")), ""dd/mm/yyyy""),
 IF(NOT(ISERROR(REGEXEXTRACT(T175, ""(\d{1,2}) out\. 2025""))), 
  TEXT(DATE(2025,10,REGEXEXTRACT(T175, """&amp;"(\d{1,2}) out\. 2025"")), ""dd/mm/yyyy""),
 IF(NOT(ISERROR(REGEXEXTRACT(T175, ""(\d{1,2}) nov\. 2025""))), 
  TEXT(DATE(2025,11,REGEXEXTRACT(T175, ""(\d{1,2}) nov\. 2025"")), ""dd/mm/yyyy""),
 IF(NOT(ISERROR(REGEXEXTRACT(T175, ""(\d{1,2}) dez\. 2025""))),"&amp;" 
  TEXT(DATE(2025,12,REGEXEXTRACT(T175, ""(\d{1,2}) dez\. 2025"")), ""dd/mm/yyyy""),
 ""Insira a data manualmente"")))))))))))), """"))"),"28/10/2025")</f>
        <v>28/10/2025</v>
      </c>
      <c r="H175" s="22">
        <f t="shared" si="1"/>
        <v>2025</v>
      </c>
      <c r="I175" s="18" t="s">
        <v>116</v>
      </c>
      <c r="J175" s="30" t="s">
        <v>315</v>
      </c>
      <c r="K175" s="24" t="s">
        <v>474</v>
      </c>
      <c r="L175" s="24" t="s">
        <v>26</v>
      </c>
      <c r="M175" s="25" t="s">
        <v>27</v>
      </c>
      <c r="N175" s="18" t="str">
        <f t="shared" si="8"/>
        <v>Brasil de Fato</v>
      </c>
      <c r="O175" s="17" t="s">
        <v>28</v>
      </c>
      <c r="P175" s="17" t="s">
        <v>251</v>
      </c>
      <c r="Q175" s="26">
        <v>45964.0</v>
      </c>
      <c r="R175" s="17" t="s">
        <v>30</v>
      </c>
      <c r="S175" s="27" t="str">
        <f t="shared" si="3"/>
        <v>Aqui</v>
      </c>
      <c r="T175" s="29" t="s">
        <v>475</v>
      </c>
      <c r="U175" s="29"/>
    </row>
    <row r="176">
      <c r="A176" s="16">
        <v>174.0</v>
      </c>
      <c r="B176" s="17" t="s">
        <v>23</v>
      </c>
      <c r="C176" s="18" t="str">
        <f>IFERROR(__xludf.DUMMYFUNCTION("IF(B176="""","""",IF(OR(
  REGEXMATCH(B176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REGEXMATCH(B176,""Notícia|Reportagem|Artigo de opinião|Verbete"")
),""Difusão"","""")))
"),"Difusão")</f>
        <v>Difusão</v>
      </c>
      <c r="D176" s="19" t="str">
        <f>IFERROR(__xludf.DUMMYFUNCTION("IF(B176="""","""",IF(OR(
  REGEXMATCH(B176,""Performance|Instalação|Álbum|Música|Poema|Livro|Filme|Documentário|Recitação|Espetáculo|Peça|Intervenção|Desfile|Fotografia|Exposição|Charge|Grafite|Leitura pública|Fabricação de cachaça artesanal""),
  REGEXMA"&amp;"TCH(B176,""dança|teatral|artístico|musical|artística"")
),""Manifestação artístico-cultural"",
IF(OR(
  REGEXMATCH(B176,""Crônica|Série|Reportagem|Podcast|Audiotour|Entrevista|Vídeo|Rádio|Notícia|Artigo de opinião|Coletiva de imprensa""),
  REGEXMATCH(B17"&amp;"6,""midiática"")
),""Produção midiática"","""")))
"),"Produção midiática")</f>
        <v>Produção midiática</v>
      </c>
      <c r="E176" s="20" t="str">
        <f>IFERROR(__xludf.DUMMYFUNCTION("IF(B176="""","""",IF(OR(
  REGEXMATCH(B176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REGEXMATCH(B176,""público|Imediato|artística|teatral|memória|Ação popular"")
),""Público Imediato"",
IF(REGEXMATCH(B176,""Música|Álbum|Filme|Documentár"&amp;"io|Série|Podcast|Rádio|Audiotour|Entrevista|Reportagem|Crônica|Relatório|Abaixo-assinado|Manifesto|Petição|Poema|Livro|Fotografia|Curta|Live|Webinário|Charge|Leitura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76" s="20" t="str">
        <f>IFERROR(__xludf.DUMMYFUNCTION("IF(B176="""","""",IF(OR(
  REGEXMATCH(B176,""Live|Webinário|Virtual|Verbete""),
  REGEXMATCH(B176,""online"")
),""Virtual"",
IF(REGEXMATCH(B176,""Música|Álbum|Filme|Documentário|Série|Podcast|Rádio|Audiotour|Episódio|Reportagem|Curta|Charge|Vídeo|Entrevis"&amp;"ta|Notícia|Artigo de opinião""),
""Midiático"",
IF(REGEXMATCH(B176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76" s="21" t="str">
        <f>IFERROR(__xludf.DUMMYFUNCTION("IF(C176=""rememoração"", ""Insira a data manualmente"", IF(C176=""difusão"", 
 IF(NOT(ISERROR(REGEXEXTRACT(T176, ""(\d{1,2}) jan\. 2025""))), 
  TEXT(DATE(2025,1,REGEXEXTRACT(T176, ""(\d{1,2}) jan\. 2025"")), ""dd/mm/yyyy""),
 IF(NOT(ISERROR(REGEXEXTRACT("&amp;"T176, ""(\d{1,2}) fev\. 2025""))), 
  TEXT(DATE(2025,2,REGEXEXTRACT(T176, ""(\d{1,2}) fev\. 2025"")), ""dd/mm/yyyy""),
 IF(NOT(ISERROR(REGEXEXTRACT(T176, ""(\d{1,2}) mar\. 2025""))), 
  TEXT(DATE(2025,3,REGEXEXTRACT(T176, ""(\d{1,2}) mar\. 2025"")), ""dd/"&amp;"mm/yyyy""),
 IF(NOT(ISERROR(REGEXEXTRACT(T176, ""(\d{1,2}) abr\. 2025""))), 
  TEXT(DATE(2025,4,REGEXEXTRACT(T176, ""(\d{1,2}) abr\. 2025"")), ""dd/mm/yyyy""),
 IF(NOT(ISERROR(REGEXEXTRACT(T176, ""(\d{1,2}) (mai|maio)\. 2025""))), 
  TEXT(DATE(2025,5,REGE"&amp;"XEXTRACT(T176, ""(\d{1,2}) (mai|maio)\. 2025"")), ""dd/mm/yyyy""),
 IF(NOT(ISERROR(REGEXEXTRACT(T176, ""(\d{1,2}) jun\. 2025""))), 
  TEXT(DATE(2025,6,REGEXEXTRACT(T176, ""(\d{1,2}) jun\. 2025"")), ""dd/mm/yyyy""),
 IF(NOT(ISERROR(REGEXEXTRACT(T176, ""(\d"&amp;"{1,2}) jul\. 2025""))), 
  TEXT(DATE(2025,7,REGEXEXTRACT(T176, ""(\d{1,2}) jul\. 2025"")), ""dd/mm/yyyy""),
 IF(NOT(ISERROR(REGEXEXTRACT(T176, ""(\d{1,2}) ago\. 2025""))), 
  TEXT(DATE(2025,8,REGEXEXTRACT(T176, ""(\d{1,2}) ago\. 2025"")), ""dd/mm/yyyy""),"&amp;"
 IF(NOT(ISERROR(REGEXEXTRACT(T176, ""(\d{1,2}) set\. 2025""))), 
  TEXT(DATE(2025,9,REGEXEXTRACT(T176, ""(\d{1,2}) set\. 2025"")), ""dd/mm/yyyy""),
 IF(NOT(ISERROR(REGEXEXTRACT(T176, ""(\d{1,2}) out\. 2025""))), 
  TEXT(DATE(2025,10,REGEXEXTRACT(T176, """&amp;"(\d{1,2}) out\. 2025"")), ""dd/mm/yyyy""),
 IF(NOT(ISERROR(REGEXEXTRACT(T176, ""(\d{1,2}) nov\. 2025""))), 
  TEXT(DATE(2025,11,REGEXEXTRACT(T176, ""(\d{1,2}) nov\. 2025"")), ""dd/mm/yyyy""),
 IF(NOT(ISERROR(REGEXEXTRACT(T176, ""(\d{1,2}) dez\. 2025""))),"&amp;" 
  TEXT(DATE(2025,12,REGEXEXTRACT(T176, ""(\d{1,2}) dez\. 2025"")), ""dd/mm/yyyy""),
 ""Insira a data manualmente"")))))))))))), """"))"),"30/10/2025")</f>
        <v>30/10/2025</v>
      </c>
      <c r="H176" s="22">
        <f t="shared" si="1"/>
        <v>2025</v>
      </c>
      <c r="I176" s="18" t="s">
        <v>74</v>
      </c>
      <c r="J176" s="30" t="s">
        <v>476</v>
      </c>
      <c r="K176" s="24" t="s">
        <v>477</v>
      </c>
      <c r="L176" s="24" t="s">
        <v>26</v>
      </c>
      <c r="M176" s="25" t="s">
        <v>27</v>
      </c>
      <c r="N176" s="18" t="str">
        <f t="shared" si="8"/>
        <v>Valor Econômico</v>
      </c>
      <c r="O176" s="17" t="s">
        <v>28</v>
      </c>
      <c r="P176" s="17" t="s">
        <v>251</v>
      </c>
      <c r="Q176" s="26">
        <v>45964.0</v>
      </c>
      <c r="R176" s="17" t="s">
        <v>30</v>
      </c>
      <c r="S176" s="27" t="str">
        <f t="shared" si="3"/>
        <v>Aqui</v>
      </c>
      <c r="T176" s="29" t="s">
        <v>478</v>
      </c>
      <c r="U176" s="29"/>
    </row>
    <row r="177">
      <c r="A177" s="16">
        <v>175.0</v>
      </c>
      <c r="B177" s="17" t="s">
        <v>23</v>
      </c>
      <c r="C177" s="18" t="str">
        <f>IFERROR(__xludf.DUMMYFUNCTION("IF(B177="""","""",IF(OR(
  REGEXMATCH(B177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REGEXMATCH(B177,""Notícia|Reportagem|Artigo de opinião|Verbete"")
),""Difusão"","""")))
"),"Difusão")</f>
        <v>Difusão</v>
      </c>
      <c r="D177" s="19" t="str">
        <f>IFERROR(__xludf.DUMMYFUNCTION("IF(B177="""","""",IF(OR(
  REGEXMATCH(B177,""Performance|Instalação|Álbum|Música|Poema|Livro|Filme|Documentário|Recitação|Espetáculo|Peça|Intervenção|Desfile|Fotografia|Exposição|Charge|Grafite|Leitura pública|Fabricação de cachaça artesanal""),
  REGEXMA"&amp;"TCH(B177,""dança|teatral|artístico|musical|artística"")
),""Manifestação artístico-cultural"",
IF(OR(
  REGEXMATCH(B177,""Crônica|Série|Reportagem|Podcast|Audiotour|Entrevista|Vídeo|Rádio|Notícia|Artigo de opinião|Coletiva de imprensa""),
  REGEXMATCH(B17"&amp;"7,""midiática"")
),""Produção midiática"","""")))
"),"Produção midiática")</f>
        <v>Produção midiática</v>
      </c>
      <c r="E177" s="20" t="str">
        <f>IFERROR(__xludf.DUMMYFUNCTION("IF(B177="""","""",IF(OR(
  REGEXMATCH(B177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REGEXMATCH(B177,""público|Imediato|artística|teatral|memória|Ação popular"")
),""Público Imediato"",
IF(REGEXMATCH(B177,""Música|Álbum|Filme|Documentár"&amp;"io|Série|Podcast|Rádio|Audiotour|Entrevista|Reportagem|Crônica|Relatório|Abaixo-assinado|Manifesto|Petição|Poema|Livro|Fotografia|Curta|Live|Webinário|Charge|Leitura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77" s="20" t="str">
        <f>IFERROR(__xludf.DUMMYFUNCTION("IF(B177="""","""",IF(OR(
  REGEXMATCH(B177,""Live|Webinário|Virtual|Verbete""),
  REGEXMATCH(B177,""online"")
),""Virtual"",
IF(REGEXMATCH(B177,""Música|Álbum|Filme|Documentário|Série|Podcast|Rádio|Audiotour|Episódio|Reportagem|Curta|Charge|Vídeo|Entrevis"&amp;"ta|Notícia|Artigo de opinião""),
""Midiático"",
IF(REGEXMATCH(B177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77" s="21" t="str">
        <f>IFERROR(__xludf.DUMMYFUNCTION("IF(C177=""rememoração"", ""Insira a data manualmente"", IF(C177=""difusão"", 
 IF(NOT(ISERROR(REGEXEXTRACT(T177, ""(\d{1,2}) jan\. 2025""))), 
  TEXT(DATE(2025,1,REGEXEXTRACT(T177, ""(\d{1,2}) jan\. 2025"")), ""dd/mm/yyyy""),
 IF(NOT(ISERROR(REGEXEXTRACT("&amp;"T177, ""(\d{1,2}) fev\. 2025""))), 
  TEXT(DATE(2025,2,REGEXEXTRACT(T177, ""(\d{1,2}) fev\. 2025"")), ""dd/mm/yyyy""),
 IF(NOT(ISERROR(REGEXEXTRACT(T177, ""(\d{1,2}) mar\. 2025""))), 
  TEXT(DATE(2025,3,REGEXEXTRACT(T177, ""(\d{1,2}) mar\. 2025"")), ""dd/"&amp;"mm/yyyy""),
 IF(NOT(ISERROR(REGEXEXTRACT(T177, ""(\d{1,2}) abr\. 2025""))), 
  TEXT(DATE(2025,4,REGEXEXTRACT(T177, ""(\d{1,2}) abr\. 2025"")), ""dd/mm/yyyy""),
 IF(NOT(ISERROR(REGEXEXTRACT(T177, ""(\d{1,2}) (mai|maio)\. 2025""))), 
  TEXT(DATE(2025,5,REGE"&amp;"XEXTRACT(T177, ""(\d{1,2}) (mai|maio)\. 2025"")), ""dd/mm/yyyy""),
 IF(NOT(ISERROR(REGEXEXTRACT(T177, ""(\d{1,2}) jun\. 2025""))), 
  TEXT(DATE(2025,6,REGEXEXTRACT(T177, ""(\d{1,2}) jun\. 2025"")), ""dd/mm/yyyy""),
 IF(NOT(ISERROR(REGEXEXTRACT(T177, ""(\d"&amp;"{1,2}) jul\. 2025""))), 
  TEXT(DATE(2025,7,REGEXEXTRACT(T177, ""(\d{1,2}) jul\. 2025"")), ""dd/mm/yyyy""),
 IF(NOT(ISERROR(REGEXEXTRACT(T177, ""(\d{1,2}) ago\. 2025""))), 
  TEXT(DATE(2025,8,REGEXEXTRACT(T177, ""(\d{1,2}) ago\. 2025"")), ""dd/mm/yyyy""),"&amp;"
 IF(NOT(ISERROR(REGEXEXTRACT(T177, ""(\d{1,2}) set\. 2025""))), 
  TEXT(DATE(2025,9,REGEXEXTRACT(T177, ""(\d{1,2}) set\. 2025"")), ""dd/mm/yyyy""),
 IF(NOT(ISERROR(REGEXEXTRACT(T177, ""(\d{1,2}) out\. 2025""))), 
  TEXT(DATE(2025,10,REGEXEXTRACT(T177, """&amp;"(\d{1,2}) out\. 2025"")), ""dd/mm/yyyy""),
 IF(NOT(ISERROR(REGEXEXTRACT(T177, ""(\d{1,2}) nov\. 2025""))), 
  TEXT(DATE(2025,11,REGEXEXTRACT(T177, ""(\d{1,2}) nov\. 2025"")), ""dd/mm/yyyy""),
 IF(NOT(ISERROR(REGEXEXTRACT(T177, ""(\d{1,2}) dez\. 2025""))),"&amp;" 
  TEXT(DATE(2025,12,REGEXEXTRACT(T177, ""(\d{1,2}) dez\. 2025"")), ""dd/mm/yyyy""),
 ""Insira a data manualmente"")))))))))))), """"))"),"28/10/2025")</f>
        <v>28/10/2025</v>
      </c>
      <c r="H177" s="22">
        <f t="shared" si="1"/>
        <v>2025</v>
      </c>
      <c r="I177" s="18" t="s">
        <v>435</v>
      </c>
      <c r="J177" s="30" t="s">
        <v>476</v>
      </c>
      <c r="K177" s="24" t="s">
        <v>479</v>
      </c>
      <c r="L177" s="24" t="s">
        <v>26</v>
      </c>
      <c r="M177" s="25" t="s">
        <v>27</v>
      </c>
      <c r="N177" s="18" t="str">
        <f t="shared" si="8"/>
        <v>Valor Econômico</v>
      </c>
      <c r="O177" s="17" t="s">
        <v>28</v>
      </c>
      <c r="P177" s="17" t="s">
        <v>251</v>
      </c>
      <c r="Q177" s="26">
        <v>45964.0</v>
      </c>
      <c r="R177" s="17" t="s">
        <v>30</v>
      </c>
      <c r="S177" s="27" t="str">
        <f t="shared" si="3"/>
        <v>Aqui</v>
      </c>
      <c r="T177" s="29" t="s">
        <v>480</v>
      </c>
      <c r="U177" s="29"/>
    </row>
    <row r="178">
      <c r="A178" s="16">
        <v>176.0</v>
      </c>
      <c r="B178" s="17" t="s">
        <v>23</v>
      </c>
      <c r="C178" s="18" t="str">
        <f>IFERROR(__xludf.DUMMYFUNCTION("IF(B178="""","""",IF(OR(
  REGEXMATCH(B178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REGEXMATCH(B178,""Notícia|Reportagem|Artigo de opinião|Verbete"")
),""Difusão"","""")))
"),"Difusão")</f>
        <v>Difusão</v>
      </c>
      <c r="D178" s="19" t="str">
        <f>IFERROR(__xludf.DUMMYFUNCTION("IF(B178="""","""",IF(OR(
  REGEXMATCH(B178,""Performance|Instalação|Álbum|Música|Poema|Livro|Filme|Documentário|Recitação|Espetáculo|Peça|Intervenção|Desfile|Fotografia|Exposição|Charge|Grafite|Leitura pública|Fabricação de cachaça artesanal""),
  REGEXMA"&amp;"TCH(B178,""dança|teatral|artístico|musical|artística"")
),""Manifestação artístico-cultural"",
IF(OR(
  REGEXMATCH(B178,""Crônica|Série|Reportagem|Podcast|Audiotour|Entrevista|Vídeo|Rádio|Notícia|Artigo de opinião|Coletiva de imprensa""),
  REGEXMATCH(B17"&amp;"8,""midiática"")
),""Produção midiática"","""")))
"),"Produção midiática")</f>
        <v>Produção midiática</v>
      </c>
      <c r="E178" s="20" t="str">
        <f>IFERROR(__xludf.DUMMYFUNCTION("IF(B178="""","""",IF(OR(
  REGEXMATCH(B178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REGEXMATCH(B178,""público|Imediato|artística|teatral|memória|Ação popular"")
),""Público Imediato"",
IF(REGEXMATCH(B178,""Música|Álbum|Filme|Documentár"&amp;"io|Série|Podcast|Rádio|Audiotour|Entrevista|Reportagem|Crônica|Relatório|Abaixo-assinado|Manifesto|Petição|Poema|Livro|Fotografia|Curta|Live|Webinário|Charge|Leitura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78" s="20" t="str">
        <f>IFERROR(__xludf.DUMMYFUNCTION("IF(B178="""","""",IF(OR(
  REGEXMATCH(B178,""Live|Webinário|Virtual|Verbete""),
  REGEXMATCH(B178,""online"")
),""Virtual"",
IF(REGEXMATCH(B178,""Música|Álbum|Filme|Documentário|Série|Podcast|Rádio|Audiotour|Episódio|Reportagem|Curta|Charge|Vídeo|Entrevis"&amp;"ta|Notícia|Artigo de opinião""),
""Midiático"",
IF(REGEXMATCH(B178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78" s="21" t="str">
        <f>IFERROR(__xludf.DUMMYFUNCTION("IF(C178=""rememoração"", ""Insira a data manualmente"", IF(C178=""difusão"", 
 IF(NOT(ISERROR(REGEXEXTRACT(T178, ""(\d{1,2}) jan\. 2025""))), 
  TEXT(DATE(2025,1,REGEXEXTRACT(T178, ""(\d{1,2}) jan\. 2025"")), ""dd/mm/yyyy""),
 IF(NOT(ISERROR(REGEXEXTRACT("&amp;"T178, ""(\d{1,2}) fev\. 2025""))), 
  TEXT(DATE(2025,2,REGEXEXTRACT(T178, ""(\d{1,2}) fev\. 2025"")), ""dd/mm/yyyy""),
 IF(NOT(ISERROR(REGEXEXTRACT(T178, ""(\d{1,2}) mar\. 2025""))), 
  TEXT(DATE(2025,3,REGEXEXTRACT(T178, ""(\d{1,2}) mar\. 2025"")), ""dd/"&amp;"mm/yyyy""),
 IF(NOT(ISERROR(REGEXEXTRACT(T178, ""(\d{1,2}) abr\. 2025""))), 
  TEXT(DATE(2025,4,REGEXEXTRACT(T178, ""(\d{1,2}) abr\. 2025"")), ""dd/mm/yyyy""),
 IF(NOT(ISERROR(REGEXEXTRACT(T178, ""(\d{1,2}) (mai|maio)\. 2025""))), 
  TEXT(DATE(2025,5,REGE"&amp;"XEXTRACT(T178, ""(\d{1,2}) (mai|maio)\. 2025"")), ""dd/mm/yyyy""),
 IF(NOT(ISERROR(REGEXEXTRACT(T178, ""(\d{1,2}) jun\. 2025""))), 
  TEXT(DATE(2025,6,REGEXEXTRACT(T178, ""(\d{1,2}) jun\. 2025"")), ""dd/mm/yyyy""),
 IF(NOT(ISERROR(REGEXEXTRACT(T178, ""(\d"&amp;"{1,2}) jul\. 2025""))), 
  TEXT(DATE(2025,7,REGEXEXTRACT(T178, ""(\d{1,2}) jul\. 2025"")), ""dd/mm/yyyy""),
 IF(NOT(ISERROR(REGEXEXTRACT(T178, ""(\d{1,2}) ago\. 2025""))), 
  TEXT(DATE(2025,8,REGEXEXTRACT(T178, ""(\d{1,2}) ago\. 2025"")), ""dd/mm/yyyy""),"&amp;"
 IF(NOT(ISERROR(REGEXEXTRACT(T178, ""(\d{1,2}) set\. 2025""))), 
  TEXT(DATE(2025,9,REGEXEXTRACT(T178, ""(\d{1,2}) set\. 2025"")), ""dd/mm/yyyy""),
 IF(NOT(ISERROR(REGEXEXTRACT(T178, ""(\d{1,2}) out\. 2025""))), 
  TEXT(DATE(2025,10,REGEXEXTRACT(T178, """&amp;"(\d{1,2}) out\. 2025"")), ""dd/mm/yyyy""),
 IF(NOT(ISERROR(REGEXEXTRACT(T178, ""(\d{1,2}) nov\. 2025""))), 
  TEXT(DATE(2025,11,REGEXEXTRACT(T178, ""(\d{1,2}) nov\. 2025"")), ""dd/mm/yyyy""),
 IF(NOT(ISERROR(REGEXEXTRACT(T178, ""(\d{1,2}) dez\. 2025""))),"&amp;" 
  TEXT(DATE(2025,12,REGEXEXTRACT(T178, ""(\d{1,2}) dez\. 2025"")), ""dd/mm/yyyy""),
 ""Insira a data manualmente"")))))))))))), """"))"),"31/10/2025")</f>
        <v>31/10/2025</v>
      </c>
      <c r="H178" s="22">
        <f t="shared" si="1"/>
        <v>2025</v>
      </c>
      <c r="I178" s="18" t="s">
        <v>435</v>
      </c>
      <c r="J178" s="30" t="s">
        <v>32</v>
      </c>
      <c r="K178" s="24" t="s">
        <v>481</v>
      </c>
      <c r="L178" s="24" t="s">
        <v>26</v>
      </c>
      <c r="M178" s="25" t="s">
        <v>27</v>
      </c>
      <c r="N178" s="18" t="str">
        <f t="shared" si="8"/>
        <v>Agência Brasil</v>
      </c>
      <c r="O178" s="17" t="s">
        <v>28</v>
      </c>
      <c r="P178" s="17" t="s">
        <v>251</v>
      </c>
      <c r="Q178" s="26">
        <v>45964.0</v>
      </c>
      <c r="R178" s="17" t="s">
        <v>30</v>
      </c>
      <c r="S178" s="27" t="str">
        <f t="shared" si="3"/>
        <v>Aqui</v>
      </c>
      <c r="T178" s="29" t="s">
        <v>482</v>
      </c>
      <c r="U178" s="29"/>
    </row>
    <row r="179">
      <c r="A179" s="16">
        <v>177.0</v>
      </c>
      <c r="B179" s="17" t="s">
        <v>23</v>
      </c>
      <c r="C179" s="18" t="str">
        <f>IFERROR(__xludf.DUMMYFUNCTION("IF(B179="""","""",IF(OR(
  REGEXMATCH(B179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REGEXMATCH(B179,""Notícia|Reportagem|Artigo de opinião|Verbete"")
),""Difusão"","""")))
"),"Difusão")</f>
        <v>Difusão</v>
      </c>
      <c r="D179" s="19" t="str">
        <f>IFERROR(__xludf.DUMMYFUNCTION("IF(B179="""","""",IF(OR(
  REGEXMATCH(B179,""Performance|Instalação|Álbum|Música|Poema|Livro|Filme|Documentário|Recitação|Espetáculo|Peça|Intervenção|Desfile|Fotografia|Exposição|Charge|Grafite|Leitura pública|Fabricação de cachaça artesanal""),
  REGEXMA"&amp;"TCH(B179,""dança|teatral|artístico|musical|artística"")
),""Manifestação artístico-cultural"",
IF(OR(
  REGEXMATCH(B179,""Crônica|Série|Reportagem|Podcast|Audiotour|Entrevista|Vídeo|Rádio|Notícia|Artigo de opinião|Coletiva de imprensa""),
  REGEXMATCH(B17"&amp;"9,""midiática"")
),""Produção midiática"","""")))
"),"Produção midiática")</f>
        <v>Produção midiática</v>
      </c>
      <c r="E179" s="20" t="str">
        <f>IFERROR(__xludf.DUMMYFUNCTION("IF(B179="""","""",IF(OR(
  REGEXMATCH(B179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REGEXMATCH(B179,""público|Imediato|artística|teatral|memória|Ação popular"")
),""Público Imediato"",
IF(REGEXMATCH(B179,""Música|Álbum|Filme|Documentár"&amp;"io|Série|Podcast|Rádio|Audiotour|Entrevista|Reportagem|Crônica|Relatório|Abaixo-assinado|Manifesto|Petição|Poema|Livro|Fotografia|Curta|Live|Webinário|Charge|Leitura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79" s="20" t="str">
        <f>IFERROR(__xludf.DUMMYFUNCTION("IF(B179="""","""",IF(OR(
  REGEXMATCH(B179,""Live|Webinário|Virtual|Verbete""),
  REGEXMATCH(B179,""online"")
),""Virtual"",
IF(REGEXMATCH(B179,""Música|Álbum|Filme|Documentário|Série|Podcast|Rádio|Audiotour|Episódio|Reportagem|Curta|Charge|Vídeo|Entrevis"&amp;"ta|Notícia|Artigo de opinião""),
""Midiático"",
IF(REGEXMATCH(B179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79" s="21" t="str">
        <f>IFERROR(__xludf.DUMMYFUNCTION("IF(C179=""rememoração"", ""Insira a data manualmente"", IF(C179=""difusão"", 
 IF(NOT(ISERROR(REGEXEXTRACT(T179, ""(\d{1,2}) jan\. 2025""))), 
  TEXT(DATE(2025,1,REGEXEXTRACT(T179, ""(\d{1,2}) jan\. 2025"")), ""dd/mm/yyyy""),
 IF(NOT(ISERROR(REGEXEXTRACT("&amp;"T179, ""(\d{1,2}) fev\. 2025""))), 
  TEXT(DATE(2025,2,REGEXEXTRACT(T179, ""(\d{1,2}) fev\. 2025"")), ""dd/mm/yyyy""),
 IF(NOT(ISERROR(REGEXEXTRACT(T179, ""(\d{1,2}) mar\. 2025""))), 
  TEXT(DATE(2025,3,REGEXEXTRACT(T179, ""(\d{1,2}) mar\. 2025"")), ""dd/"&amp;"mm/yyyy""),
 IF(NOT(ISERROR(REGEXEXTRACT(T179, ""(\d{1,2}) abr\. 2025""))), 
  TEXT(DATE(2025,4,REGEXEXTRACT(T179, ""(\d{1,2}) abr\. 2025"")), ""dd/mm/yyyy""),
 IF(NOT(ISERROR(REGEXEXTRACT(T179, ""(\d{1,2}) (mai|maio)\. 2025""))), 
  TEXT(DATE(2025,5,REGE"&amp;"XEXTRACT(T179, ""(\d{1,2}) (mai|maio)\. 2025"")), ""dd/mm/yyyy""),
 IF(NOT(ISERROR(REGEXEXTRACT(T179, ""(\d{1,2}) jun\. 2025""))), 
  TEXT(DATE(2025,6,REGEXEXTRACT(T179, ""(\d{1,2}) jun\. 2025"")), ""dd/mm/yyyy""),
 IF(NOT(ISERROR(REGEXEXTRACT(T179, ""(\d"&amp;"{1,2}) jul\. 2025""))), 
  TEXT(DATE(2025,7,REGEXEXTRACT(T179, ""(\d{1,2}) jul\. 2025"")), ""dd/mm/yyyy""),
 IF(NOT(ISERROR(REGEXEXTRACT(T179, ""(\d{1,2}) ago\. 2025""))), 
  TEXT(DATE(2025,8,REGEXEXTRACT(T179, ""(\d{1,2}) ago\. 2025"")), ""dd/mm/yyyy""),"&amp;"
 IF(NOT(ISERROR(REGEXEXTRACT(T179, ""(\d{1,2}) set\. 2025""))), 
  TEXT(DATE(2025,9,REGEXEXTRACT(T179, ""(\d{1,2}) set\. 2025"")), ""dd/mm/yyyy""),
 IF(NOT(ISERROR(REGEXEXTRACT(T179, ""(\d{1,2}) out\. 2025""))), 
  TEXT(DATE(2025,10,REGEXEXTRACT(T179, """&amp;"(\d{1,2}) out\. 2025"")), ""dd/mm/yyyy""),
 IF(NOT(ISERROR(REGEXEXTRACT(T179, ""(\d{1,2}) nov\. 2025""))), 
  TEXT(DATE(2025,11,REGEXEXTRACT(T179, ""(\d{1,2}) nov\. 2025"")), ""dd/mm/yyyy""),
 IF(NOT(ISERROR(REGEXEXTRACT(T179, ""(\d{1,2}) dez\. 2025""))),"&amp;" 
  TEXT(DATE(2025,12,REGEXEXTRACT(T179, ""(\d{1,2}) dez\. 2025"")), ""dd/mm/yyyy""),
 ""Insira a data manualmente"")))))))))))), """"))"),"29/10/2025")</f>
        <v>29/10/2025</v>
      </c>
      <c r="H179" s="22">
        <f t="shared" si="1"/>
        <v>2025</v>
      </c>
      <c r="I179" s="18" t="s">
        <v>435</v>
      </c>
      <c r="J179" s="30" t="s">
        <v>32</v>
      </c>
      <c r="K179" s="24" t="s">
        <v>483</v>
      </c>
      <c r="L179" s="24" t="s">
        <v>26</v>
      </c>
      <c r="M179" s="25" t="s">
        <v>27</v>
      </c>
      <c r="N179" s="18" t="str">
        <f t="shared" si="8"/>
        <v>Agência Brasil</v>
      </c>
      <c r="O179" s="17" t="s">
        <v>28</v>
      </c>
      <c r="P179" s="17" t="s">
        <v>251</v>
      </c>
      <c r="Q179" s="26">
        <v>45964.0</v>
      </c>
      <c r="R179" s="17" t="s">
        <v>30</v>
      </c>
      <c r="S179" s="27" t="str">
        <f t="shared" si="3"/>
        <v>Aqui</v>
      </c>
      <c r="T179" s="29" t="s">
        <v>484</v>
      </c>
      <c r="U179" s="29"/>
    </row>
    <row r="180">
      <c r="A180" s="16">
        <v>178.0</v>
      </c>
      <c r="B180" s="17" t="s">
        <v>23</v>
      </c>
      <c r="C180" s="18" t="str">
        <f>IFERROR(__xludf.DUMMYFUNCTION("IF(B180="""","""",IF(OR(
  REGEXMATCH(B180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REGEXMATCH(B180,""Notícia|Reportagem|Artigo de opinião|Verbete"")
),""Difusão"","""")))
"),"Difusão")</f>
        <v>Difusão</v>
      </c>
      <c r="D180" s="19" t="str">
        <f>IFERROR(__xludf.DUMMYFUNCTION("IF(B180="""","""",IF(OR(
  REGEXMATCH(B180,""Performance|Instalação|Álbum|Música|Poema|Livro|Filme|Documentário|Recitação|Espetáculo|Peça|Intervenção|Desfile|Fotografia|Exposição|Charge|Grafite|Leitura pública|Fabricação de cachaça artesanal""),
  REGEXMA"&amp;"TCH(B180,""dança|teatral|artístico|musical|artística"")
),""Manifestação artístico-cultural"",
IF(OR(
  REGEXMATCH(B180,""Crônica|Série|Reportagem|Podcast|Audiotour|Entrevista|Vídeo|Rádio|Notícia|Artigo de opinião|Coletiva de imprensa""),
  REGEXMATCH(B18"&amp;"0,""midiática"")
),""Produção midiática"","""")))
"),"Produção midiática")</f>
        <v>Produção midiática</v>
      </c>
      <c r="E180" s="20" t="str">
        <f>IFERROR(__xludf.DUMMYFUNCTION("IF(B180="""","""",IF(OR(
  REGEXMATCH(B180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REGEXMATCH(B180,""público|Imediato|artística|teatral|memória|Ação popular"")
),""Público Imediato"",
IF(REGEXMATCH(B180,""Música|Álbum|Filme|Documentár"&amp;"io|Série|Podcast|Rádio|Audiotour|Entrevista|Reportagem|Crônica|Relatório|Abaixo-assinado|Manifesto|Petição|Poema|Livro|Fotografia|Curta|Live|Webinário|Charge|Leitura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80" s="20" t="str">
        <f>IFERROR(__xludf.DUMMYFUNCTION("IF(B180="""","""",IF(OR(
  REGEXMATCH(B180,""Live|Webinário|Virtual|Verbete""),
  REGEXMATCH(B180,""online"")
),""Virtual"",
IF(REGEXMATCH(B180,""Música|Álbum|Filme|Documentário|Série|Podcast|Rádio|Audiotour|Episódio|Reportagem|Curta|Charge|Vídeo|Entrevis"&amp;"ta|Notícia|Artigo de opinião""),
""Midiático"",
IF(REGEXMATCH(B180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80" s="21" t="str">
        <f>IFERROR(__xludf.DUMMYFUNCTION("IF(C180=""rememoração"", ""Insira a data manualmente"", IF(C180=""difusão"", 
 IF(NOT(ISERROR(REGEXEXTRACT(T180, ""(\d{1,2}) jan\. 2025""))), 
  TEXT(DATE(2025,1,REGEXEXTRACT(T180, ""(\d{1,2}) jan\. 2025"")), ""dd/mm/yyyy""),
 IF(NOT(ISERROR(REGEXEXTRACT("&amp;"T180, ""(\d{1,2}) fev\. 2025""))), 
  TEXT(DATE(2025,2,REGEXEXTRACT(T180, ""(\d{1,2}) fev\. 2025"")), ""dd/mm/yyyy""),
 IF(NOT(ISERROR(REGEXEXTRACT(T180, ""(\d{1,2}) mar\. 2025""))), 
  TEXT(DATE(2025,3,REGEXEXTRACT(T180, ""(\d{1,2}) mar\. 2025"")), ""dd/"&amp;"mm/yyyy""),
 IF(NOT(ISERROR(REGEXEXTRACT(T180, ""(\d{1,2}) abr\. 2025""))), 
  TEXT(DATE(2025,4,REGEXEXTRACT(T180, ""(\d{1,2}) abr\. 2025"")), ""dd/mm/yyyy""),
 IF(NOT(ISERROR(REGEXEXTRACT(T180, ""(\d{1,2}) (mai|maio)\. 2025""))), 
  TEXT(DATE(2025,5,REGE"&amp;"XEXTRACT(T180, ""(\d{1,2}) (mai|maio)\. 2025"")), ""dd/mm/yyyy""),
 IF(NOT(ISERROR(REGEXEXTRACT(T180, ""(\d{1,2}) jun\. 2025""))), 
  TEXT(DATE(2025,6,REGEXEXTRACT(T180, ""(\d{1,2}) jun\. 2025"")), ""dd/mm/yyyy""),
 IF(NOT(ISERROR(REGEXEXTRACT(T180, ""(\d"&amp;"{1,2}) jul\. 2025""))), 
  TEXT(DATE(2025,7,REGEXEXTRACT(T180, ""(\d{1,2}) jul\. 2025"")), ""dd/mm/yyyy""),
 IF(NOT(ISERROR(REGEXEXTRACT(T180, ""(\d{1,2}) ago\. 2025""))), 
  TEXT(DATE(2025,8,REGEXEXTRACT(T180, ""(\d{1,2}) ago\. 2025"")), ""dd/mm/yyyy""),"&amp;"
 IF(NOT(ISERROR(REGEXEXTRACT(T180, ""(\d{1,2}) set\. 2025""))), 
  TEXT(DATE(2025,9,REGEXEXTRACT(T180, ""(\d{1,2}) set\. 2025"")), ""dd/mm/yyyy""),
 IF(NOT(ISERROR(REGEXEXTRACT(T180, ""(\d{1,2}) out\. 2025""))), 
  TEXT(DATE(2025,10,REGEXEXTRACT(T180, """&amp;"(\d{1,2}) out\. 2025"")), ""dd/mm/yyyy""),
 IF(NOT(ISERROR(REGEXEXTRACT(T180, ""(\d{1,2}) nov\. 2025""))), 
  TEXT(DATE(2025,11,REGEXEXTRACT(T180, ""(\d{1,2}) nov\. 2025"")), ""dd/mm/yyyy""),
 IF(NOT(ISERROR(REGEXEXTRACT(T180, ""(\d{1,2}) dez\. 2025""))),"&amp;" 
  TEXT(DATE(2025,12,REGEXEXTRACT(T180, ""(\d{1,2}) dez\. 2025"")), ""dd/mm/yyyy""),
 ""Insira a data manualmente"")))))))))))), """"))"),"02/11/2025")</f>
        <v>02/11/2025</v>
      </c>
      <c r="H180" s="22">
        <f t="shared" si="1"/>
        <v>2025</v>
      </c>
      <c r="I180" s="18" t="s">
        <v>74</v>
      </c>
      <c r="J180" s="30" t="s">
        <v>32</v>
      </c>
      <c r="K180" s="24" t="s">
        <v>485</v>
      </c>
      <c r="L180" s="24" t="s">
        <v>26</v>
      </c>
      <c r="M180" s="25" t="s">
        <v>27</v>
      </c>
      <c r="N180" s="18" t="str">
        <f t="shared" si="8"/>
        <v>Agência Brasil</v>
      </c>
      <c r="O180" s="17" t="s">
        <v>28</v>
      </c>
      <c r="P180" s="17" t="s">
        <v>251</v>
      </c>
      <c r="Q180" s="26">
        <v>45964.0</v>
      </c>
      <c r="R180" s="17" t="s">
        <v>30</v>
      </c>
      <c r="S180" s="27" t="str">
        <f t="shared" si="3"/>
        <v>Aqui</v>
      </c>
      <c r="T180" s="29" t="s">
        <v>486</v>
      </c>
      <c r="U180" s="29"/>
    </row>
    <row r="181">
      <c r="A181" s="16">
        <v>179.0</v>
      </c>
      <c r="B181" s="17" t="s">
        <v>23</v>
      </c>
      <c r="C181" s="18" t="str">
        <f>IFERROR(__xludf.DUMMYFUNCTION("IF(B181="""","""",IF(OR(
  REGEXMATCH(B181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REGEXMATCH(B181,""Notícia|Reportagem|Artigo de opinião|Verbete"")
),""Difusão"","""")))
"),"Difusão")</f>
        <v>Difusão</v>
      </c>
      <c r="D181" s="19" t="str">
        <f>IFERROR(__xludf.DUMMYFUNCTION("IF(B181="""","""",IF(OR(
  REGEXMATCH(B181,""Performance|Instalação|Álbum|Música|Poema|Livro|Filme|Documentário|Recitação|Espetáculo|Peça|Intervenção|Desfile|Fotografia|Exposição|Charge|Grafite|Leitura pública|Fabricação de cachaça artesanal""),
  REGEXMA"&amp;"TCH(B181,""dança|teatral|artístico|musical|artística"")
),""Manifestação artístico-cultural"",
IF(OR(
  REGEXMATCH(B181,""Crônica|Série|Reportagem|Podcast|Audiotour|Entrevista|Vídeo|Rádio|Notícia|Artigo de opinião|Coletiva de imprensa""),
  REGEXMATCH(B18"&amp;"1,""midiática"")
),""Produção midiática"","""")))
"),"Produção midiática")</f>
        <v>Produção midiática</v>
      </c>
      <c r="E181" s="20" t="str">
        <f>IFERROR(__xludf.DUMMYFUNCTION("IF(B181="""","""",IF(OR(
  REGEXMATCH(B181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REGEXMATCH(B181,""público|Imediato|artística|teatral|memória|Ação popular"")
),""Público Imediato"",
IF(REGEXMATCH(B181,""Música|Álbum|Filme|Documentár"&amp;"io|Série|Podcast|Rádio|Audiotour|Entrevista|Reportagem|Crônica|Relatório|Abaixo-assinado|Manifesto|Petição|Poema|Livro|Fotografia|Curta|Live|Webinário|Charge|Leitura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81" s="20" t="str">
        <f>IFERROR(__xludf.DUMMYFUNCTION("IF(B181="""","""",IF(OR(
  REGEXMATCH(B181,""Live|Webinário|Virtual|Verbete""),
  REGEXMATCH(B181,""online"")
),""Virtual"",
IF(REGEXMATCH(B181,""Música|Álbum|Filme|Documentário|Série|Podcast|Rádio|Audiotour|Episódio|Reportagem|Curta|Charge|Vídeo|Entrevis"&amp;"ta|Notícia|Artigo de opinião""),
""Midiático"",
IF(REGEXMATCH(B181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81" s="21" t="str">
        <f>IFERROR(__xludf.DUMMYFUNCTION("IF(C181=""rememoração"", ""Insira a data manualmente"", IF(C181=""difusão"", 
 IF(NOT(ISERROR(REGEXEXTRACT(T181, ""(\d{1,2}) jan\. 2025""))), 
  TEXT(DATE(2025,1,REGEXEXTRACT(T181, ""(\d{1,2}) jan\. 2025"")), ""dd/mm/yyyy""),
 IF(NOT(ISERROR(REGEXEXTRACT("&amp;"T181, ""(\d{1,2}) fev\. 2025""))), 
  TEXT(DATE(2025,2,REGEXEXTRACT(T181, ""(\d{1,2}) fev\. 2025"")), ""dd/mm/yyyy""),
 IF(NOT(ISERROR(REGEXEXTRACT(T181, ""(\d{1,2}) mar\. 2025""))), 
  TEXT(DATE(2025,3,REGEXEXTRACT(T181, ""(\d{1,2}) mar\. 2025"")), ""dd/"&amp;"mm/yyyy""),
 IF(NOT(ISERROR(REGEXEXTRACT(T181, ""(\d{1,2}) abr\. 2025""))), 
  TEXT(DATE(2025,4,REGEXEXTRACT(T181, ""(\d{1,2}) abr\. 2025"")), ""dd/mm/yyyy""),
 IF(NOT(ISERROR(REGEXEXTRACT(T181, ""(\d{1,2}) (mai|maio)\. 2025""))), 
  TEXT(DATE(2025,5,REGE"&amp;"XEXTRACT(T181, ""(\d{1,2}) (mai|maio)\. 2025"")), ""dd/mm/yyyy""),
 IF(NOT(ISERROR(REGEXEXTRACT(T181, ""(\d{1,2}) jun\. 2025""))), 
  TEXT(DATE(2025,6,REGEXEXTRACT(T181, ""(\d{1,2}) jun\. 2025"")), ""dd/mm/yyyy""),
 IF(NOT(ISERROR(REGEXEXTRACT(T181, ""(\d"&amp;"{1,2}) jul\. 2025""))), 
  TEXT(DATE(2025,7,REGEXEXTRACT(T181, ""(\d{1,2}) jul\. 2025"")), ""dd/mm/yyyy""),
 IF(NOT(ISERROR(REGEXEXTRACT(T181, ""(\d{1,2}) ago\. 2025""))), 
  TEXT(DATE(2025,8,REGEXEXTRACT(T181, ""(\d{1,2}) ago\. 2025"")), ""dd/mm/yyyy""),"&amp;"
 IF(NOT(ISERROR(REGEXEXTRACT(T181, ""(\d{1,2}) set\. 2025""))), 
  TEXT(DATE(2025,9,REGEXEXTRACT(T181, ""(\d{1,2}) set\. 2025"")), ""dd/mm/yyyy""),
 IF(NOT(ISERROR(REGEXEXTRACT(T181, ""(\d{1,2}) out\. 2025""))), 
  TEXT(DATE(2025,10,REGEXEXTRACT(T181, """&amp;"(\d{1,2}) out\. 2025"")), ""dd/mm/yyyy""),
 IF(NOT(ISERROR(REGEXEXTRACT(T181, ""(\d{1,2}) nov\. 2025""))), 
  TEXT(DATE(2025,11,REGEXEXTRACT(T181, ""(\d{1,2}) nov\. 2025"")), ""dd/mm/yyyy""),
 IF(NOT(ISERROR(REGEXEXTRACT(T181, ""(\d{1,2}) dez\. 2025""))),"&amp;" 
  TEXT(DATE(2025,12,REGEXEXTRACT(T181, ""(\d{1,2}) dez\. 2025"")), ""dd/mm/yyyy""),
 ""Insira a data manualmente"")))))))))))), """"))"),"02/11/2025")</f>
        <v>02/11/2025</v>
      </c>
      <c r="H181" s="22">
        <f t="shared" si="1"/>
        <v>2025</v>
      </c>
      <c r="I181" s="18" t="s">
        <v>74</v>
      </c>
      <c r="J181" s="30" t="s">
        <v>32</v>
      </c>
      <c r="K181" s="24" t="s">
        <v>487</v>
      </c>
      <c r="L181" s="24" t="s">
        <v>26</v>
      </c>
      <c r="M181" s="25" t="s">
        <v>27</v>
      </c>
      <c r="N181" s="18" t="str">
        <f t="shared" si="8"/>
        <v>Agência Brasil</v>
      </c>
      <c r="O181" s="17" t="s">
        <v>28</v>
      </c>
      <c r="P181" s="17" t="s">
        <v>251</v>
      </c>
      <c r="Q181" s="26">
        <v>45964.0</v>
      </c>
      <c r="R181" s="17" t="s">
        <v>30</v>
      </c>
      <c r="S181" s="27" t="str">
        <f t="shared" si="3"/>
        <v>Aqui</v>
      </c>
      <c r="T181" s="29" t="s">
        <v>488</v>
      </c>
      <c r="U181" s="29"/>
    </row>
    <row r="182">
      <c r="A182" s="16">
        <v>180.0</v>
      </c>
      <c r="B182" s="17" t="s">
        <v>23</v>
      </c>
      <c r="C182" s="18" t="str">
        <f>IFERROR(__xludf.DUMMYFUNCTION("IF(B182="""","""",IF(OR(
  REGEXMATCH(B182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REGEXMATCH(B182,""Notícia|Reportagem|Artigo de opinião|Verbete"")
),""Difusão"","""")))
"),"Difusão")</f>
        <v>Difusão</v>
      </c>
      <c r="D182" s="19" t="str">
        <f>IFERROR(__xludf.DUMMYFUNCTION("IF(B182="""","""",IF(OR(
  REGEXMATCH(B182,""Performance|Instalação|Álbum|Música|Poema|Livro|Filme|Documentário|Recitação|Espetáculo|Peça|Intervenção|Desfile|Fotografia|Exposição|Charge|Grafite|Leitura pública|Fabricação de cachaça artesanal""),
  REGEXMA"&amp;"TCH(B182,""dança|teatral|artístico|musical|artística"")
),""Manifestação artístico-cultural"",
IF(OR(
  REGEXMATCH(B182,""Crônica|Série|Reportagem|Podcast|Audiotour|Entrevista|Vídeo|Rádio|Notícia|Artigo de opinião|Coletiva de imprensa""),
  REGEXMATCH(B18"&amp;"2,""midiática"")
),""Produção midiática"","""")))
"),"Produção midiática")</f>
        <v>Produção midiática</v>
      </c>
      <c r="E182" s="20" t="str">
        <f>IFERROR(__xludf.DUMMYFUNCTION("IF(B182="""","""",IF(OR(
  REGEXMATCH(B182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REGEXMATCH(B182,""público|Imediato|artística|teatral|memória|Ação popular"")
),""Público Imediato"",
IF(REGEXMATCH(B182,""Música|Álbum|Filme|Documentár"&amp;"io|Série|Podcast|Rádio|Audiotour|Entrevista|Reportagem|Crônica|Relatório|Abaixo-assinado|Manifesto|Petição|Poema|Livro|Fotografia|Curta|Live|Webinário|Charge|Leitura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82" s="20" t="str">
        <f>IFERROR(__xludf.DUMMYFUNCTION("IF(B182="""","""",IF(OR(
  REGEXMATCH(B182,""Live|Webinário|Virtual|Verbete""),
  REGEXMATCH(B182,""online"")
),""Virtual"",
IF(REGEXMATCH(B182,""Música|Álbum|Filme|Documentário|Série|Podcast|Rádio|Audiotour|Episódio|Reportagem|Curta|Charge|Vídeo|Entrevis"&amp;"ta|Notícia|Artigo de opinião""),
""Midiático"",
IF(REGEXMATCH(B182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82" s="21" t="str">
        <f>IFERROR(__xludf.DUMMYFUNCTION("IF(C182=""rememoração"", ""Insira a data manualmente"", IF(C182=""difusão"", 
 IF(NOT(ISERROR(REGEXEXTRACT(T182, ""(\d{1,2}) jan\. 2025""))), 
  TEXT(DATE(2025,1,REGEXEXTRACT(T182, ""(\d{1,2}) jan\. 2025"")), ""dd/mm/yyyy""),
 IF(NOT(ISERROR(REGEXEXTRACT("&amp;"T182, ""(\d{1,2}) fev\. 2025""))), 
  TEXT(DATE(2025,2,REGEXEXTRACT(T182, ""(\d{1,2}) fev\. 2025"")), ""dd/mm/yyyy""),
 IF(NOT(ISERROR(REGEXEXTRACT(T182, ""(\d{1,2}) mar\. 2025""))), 
  TEXT(DATE(2025,3,REGEXEXTRACT(T182, ""(\d{1,2}) mar\. 2025"")), ""dd/"&amp;"mm/yyyy""),
 IF(NOT(ISERROR(REGEXEXTRACT(T182, ""(\d{1,2}) abr\. 2025""))), 
  TEXT(DATE(2025,4,REGEXEXTRACT(T182, ""(\d{1,2}) abr\. 2025"")), ""dd/mm/yyyy""),
 IF(NOT(ISERROR(REGEXEXTRACT(T182, ""(\d{1,2}) (mai|maio)\. 2025""))), 
  TEXT(DATE(2025,5,REGE"&amp;"XEXTRACT(T182, ""(\d{1,2}) (mai|maio)\. 2025"")), ""dd/mm/yyyy""),
 IF(NOT(ISERROR(REGEXEXTRACT(T182, ""(\d{1,2}) jun\. 2025""))), 
  TEXT(DATE(2025,6,REGEXEXTRACT(T182, ""(\d{1,2}) jun\. 2025"")), ""dd/mm/yyyy""),
 IF(NOT(ISERROR(REGEXEXTRACT(T182, ""(\d"&amp;"{1,2}) jul\. 2025""))), 
  TEXT(DATE(2025,7,REGEXEXTRACT(T182, ""(\d{1,2}) jul\. 2025"")), ""dd/mm/yyyy""),
 IF(NOT(ISERROR(REGEXEXTRACT(T182, ""(\d{1,2}) ago\. 2025""))), 
  TEXT(DATE(2025,8,REGEXEXTRACT(T182, ""(\d{1,2}) ago\. 2025"")), ""dd/mm/yyyy""),"&amp;"
 IF(NOT(ISERROR(REGEXEXTRACT(T182, ""(\d{1,2}) set\. 2025""))), 
  TEXT(DATE(2025,9,REGEXEXTRACT(T182, ""(\d{1,2}) set\. 2025"")), ""dd/mm/yyyy""),
 IF(NOT(ISERROR(REGEXEXTRACT(T182, ""(\d{1,2}) out\. 2025""))), 
  TEXT(DATE(2025,10,REGEXEXTRACT(T182, """&amp;"(\d{1,2}) out\. 2025"")), ""dd/mm/yyyy""),
 IF(NOT(ISERROR(REGEXEXTRACT(T182, ""(\d{1,2}) nov\. 2025""))), 
  TEXT(DATE(2025,11,REGEXEXTRACT(T182, ""(\d{1,2}) nov\. 2025"")), ""dd/mm/yyyy""),
 IF(NOT(ISERROR(REGEXEXTRACT(T182, ""(\d{1,2}) dez\. 2025""))),"&amp;" 
  TEXT(DATE(2025,12,REGEXEXTRACT(T182, ""(\d{1,2}) dez\. 2025"")), ""dd/mm/yyyy""),
 ""Insira a data manualmente"")))))))))))), """"))"),"29/10/2025")</f>
        <v>29/10/2025</v>
      </c>
      <c r="H182" s="22">
        <f t="shared" si="1"/>
        <v>2025</v>
      </c>
      <c r="I182" s="18" t="str">
        <f>IFERROR(__xludf.DUMMYFUNCTION("IF(REGEXMATCH(T182,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IF(REGEXMATCH(T182, ""(?i)\bBrasília\b""), ""Distrito Federal, Brasil"",
REGEXEXTRACT(T182,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82" s="30" t="s">
        <v>32</v>
      </c>
      <c r="K182" s="24" t="s">
        <v>489</v>
      </c>
      <c r="L182" s="24" t="s">
        <v>26</v>
      </c>
      <c r="M182" s="25" t="s">
        <v>27</v>
      </c>
      <c r="N182" s="18" t="str">
        <f t="shared" si="8"/>
        <v>Agência Brasil</v>
      </c>
      <c r="O182" s="17" t="s">
        <v>28</v>
      </c>
      <c r="P182" s="17" t="s">
        <v>251</v>
      </c>
      <c r="Q182" s="26">
        <v>45964.0</v>
      </c>
      <c r="R182" s="17" t="s">
        <v>30</v>
      </c>
      <c r="S182" s="27" t="str">
        <f t="shared" si="3"/>
        <v>Aqui</v>
      </c>
      <c r="T182" s="29" t="s">
        <v>490</v>
      </c>
      <c r="U182" s="29"/>
    </row>
    <row r="183">
      <c r="A183" s="16">
        <v>181.0</v>
      </c>
      <c r="B183" s="17" t="s">
        <v>23</v>
      </c>
      <c r="C183" s="18" t="str">
        <f>IFERROR(__xludf.DUMMYFUNCTION("IF(B183="""","""",IF(OR(
  REGEXMATCH(B183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REGEXMATCH(B183,""Notícia|Reportagem|Artigo de opinião|Verbete"")
),""Difusão"","""")))
"),"Difusão")</f>
        <v>Difusão</v>
      </c>
      <c r="D183" s="19" t="str">
        <f>IFERROR(__xludf.DUMMYFUNCTION("IF(B183="""","""",IF(OR(
  REGEXMATCH(B183,""Performance|Instalação|Álbum|Música|Poema|Livro|Filme|Documentário|Recitação|Espetáculo|Peça|Intervenção|Desfile|Fotografia|Exposição|Charge|Grafite|Leitura pública|Fabricação de cachaça artesanal""),
  REGEXMA"&amp;"TCH(B183,""dança|teatral|artístico|musical|artística"")
),""Manifestação artístico-cultural"",
IF(OR(
  REGEXMATCH(B183,""Crônica|Série|Reportagem|Podcast|Audiotour|Entrevista|Vídeo|Rádio|Notícia|Artigo de opinião|Coletiva de imprensa""),
  REGEXMATCH(B18"&amp;"3,""midiática"")
),""Produção midiática"","""")))
"),"Produção midiática")</f>
        <v>Produção midiática</v>
      </c>
      <c r="E183" s="20" t="str">
        <f>IFERROR(__xludf.DUMMYFUNCTION("IF(B183="""","""",IF(OR(
  REGEXMATCH(B183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REGEXMATCH(B183,""público|Imediato|artística|teatral|memória|Ação popular"")
),""Público Imediato"",
IF(REGEXMATCH(B183,""Música|Álbum|Filme|Documentár"&amp;"io|Série|Podcast|Rádio|Audiotour|Entrevista|Reportagem|Crônica|Relatório|Abaixo-assinado|Manifesto|Petição|Poema|Livro|Fotografia|Curta|Live|Webinário|Charge|Leitura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83" s="20" t="str">
        <f>IFERROR(__xludf.DUMMYFUNCTION("IF(B183="""","""",IF(OR(
  REGEXMATCH(B183,""Live|Webinário|Virtual|Verbete""),
  REGEXMATCH(B183,""online"")
),""Virtual"",
IF(REGEXMATCH(B183,""Música|Álbum|Filme|Documentário|Série|Podcast|Rádio|Audiotour|Episódio|Reportagem|Curta|Charge|Vídeo|Entrevis"&amp;"ta|Notícia|Artigo de opinião""),
""Midiático"",
IF(REGEXMATCH(B183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83" s="21" t="str">
        <f>IFERROR(__xludf.DUMMYFUNCTION("IF(C183=""rememoração"", ""Insira a data manualmente"", IF(C183=""difusão"", 
 IF(NOT(ISERROR(REGEXEXTRACT(T183, ""(\d{1,2}) jan\. 2025""))), 
  TEXT(DATE(2025,1,REGEXEXTRACT(T183, ""(\d{1,2}) jan\. 2025"")), ""dd/mm/yyyy""),
 IF(NOT(ISERROR(REGEXEXTRACT("&amp;"T183, ""(\d{1,2}) fev\. 2025""))), 
  TEXT(DATE(2025,2,REGEXEXTRACT(T183, ""(\d{1,2}) fev\. 2025"")), ""dd/mm/yyyy""),
 IF(NOT(ISERROR(REGEXEXTRACT(T183, ""(\d{1,2}) mar\. 2025""))), 
  TEXT(DATE(2025,3,REGEXEXTRACT(T183, ""(\d{1,2}) mar\. 2025"")), ""dd/"&amp;"mm/yyyy""),
 IF(NOT(ISERROR(REGEXEXTRACT(T183, ""(\d{1,2}) abr\. 2025""))), 
  TEXT(DATE(2025,4,REGEXEXTRACT(T183, ""(\d{1,2}) abr\. 2025"")), ""dd/mm/yyyy""),
 IF(NOT(ISERROR(REGEXEXTRACT(T183, ""(\d{1,2}) (mai|maio)\. 2025""))), 
  TEXT(DATE(2025,5,REGE"&amp;"XEXTRACT(T183, ""(\d{1,2}) (mai|maio)\. 2025"")), ""dd/mm/yyyy""),
 IF(NOT(ISERROR(REGEXEXTRACT(T183, ""(\d{1,2}) jun\. 2025""))), 
  TEXT(DATE(2025,6,REGEXEXTRACT(T183, ""(\d{1,2}) jun\. 2025"")), ""dd/mm/yyyy""),
 IF(NOT(ISERROR(REGEXEXTRACT(T183, ""(\d"&amp;"{1,2}) jul\. 2025""))), 
  TEXT(DATE(2025,7,REGEXEXTRACT(T183, ""(\d{1,2}) jul\. 2025"")), ""dd/mm/yyyy""),
 IF(NOT(ISERROR(REGEXEXTRACT(T183, ""(\d{1,2}) ago\. 2025""))), 
  TEXT(DATE(2025,8,REGEXEXTRACT(T183, ""(\d{1,2}) ago\. 2025"")), ""dd/mm/yyyy""),"&amp;"
 IF(NOT(ISERROR(REGEXEXTRACT(T183, ""(\d{1,2}) set\. 2025""))), 
  TEXT(DATE(2025,9,REGEXEXTRACT(T183, ""(\d{1,2}) set\. 2025"")), ""dd/mm/yyyy""),
 IF(NOT(ISERROR(REGEXEXTRACT(T183, ""(\d{1,2}) out\. 2025""))), 
  TEXT(DATE(2025,10,REGEXEXTRACT(T183, """&amp;"(\d{1,2}) out\. 2025"")), ""dd/mm/yyyy""),
 IF(NOT(ISERROR(REGEXEXTRACT(T183, ""(\d{1,2}) nov\. 2025""))), 
  TEXT(DATE(2025,11,REGEXEXTRACT(T183, ""(\d{1,2}) nov\. 2025"")), ""dd/mm/yyyy""),
 IF(NOT(ISERROR(REGEXEXTRACT(T183, ""(\d{1,2}) dez\. 2025""))),"&amp;" 
  TEXT(DATE(2025,12,REGEXEXTRACT(T183, ""(\d{1,2}) dez\. 2025"")), ""dd/mm/yyyy""),
 ""Insira a data manualmente"")))))))))))), """"))"),"29/10/2025")</f>
        <v>29/10/2025</v>
      </c>
      <c r="H183" s="22">
        <f t="shared" si="1"/>
        <v>2025</v>
      </c>
      <c r="I183" s="18" t="s">
        <v>435</v>
      </c>
      <c r="J183" s="30" t="s">
        <v>491</v>
      </c>
      <c r="K183" s="24" t="s">
        <v>492</v>
      </c>
      <c r="L183" s="24" t="s">
        <v>26</v>
      </c>
      <c r="M183" s="25" t="s">
        <v>27</v>
      </c>
      <c r="N183" s="18" t="str">
        <f t="shared" si="8"/>
        <v>Poder 360</v>
      </c>
      <c r="O183" s="17" t="s">
        <v>28</v>
      </c>
      <c r="P183" s="17" t="s">
        <v>251</v>
      </c>
      <c r="Q183" s="26">
        <v>45964.0</v>
      </c>
      <c r="R183" s="17" t="s">
        <v>30</v>
      </c>
      <c r="S183" s="27" t="str">
        <f t="shared" si="3"/>
        <v>Aqui</v>
      </c>
      <c r="T183" s="29" t="s">
        <v>493</v>
      </c>
      <c r="U183" s="29"/>
    </row>
    <row r="184">
      <c r="A184" s="16">
        <v>182.0</v>
      </c>
      <c r="B184" s="17" t="s">
        <v>23</v>
      </c>
      <c r="C184" s="18" t="str">
        <f>IFERROR(__xludf.DUMMYFUNCTION("IF(B184="""","""",IF(OR(
  REGEXMATCH(B184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REGEXMATCH(B184,""Notícia|Reportagem|Artigo de opinião|Verbete"")
),""Difusão"","""")))
"),"Difusão")</f>
        <v>Difusão</v>
      </c>
      <c r="D184" s="19" t="str">
        <f>IFERROR(__xludf.DUMMYFUNCTION("IF(B184="""","""",IF(OR(
  REGEXMATCH(B184,""Performance|Instalação|Álbum|Música|Poema|Livro|Filme|Documentário|Recitação|Espetáculo|Peça|Intervenção|Desfile|Fotografia|Exposição|Charge|Grafite|Leitura pública|Fabricação de cachaça artesanal""),
  REGEXMA"&amp;"TCH(B184,""dança|teatral|artístico|musical|artística"")
),""Manifestação artístico-cultural"",
IF(OR(
  REGEXMATCH(B184,""Crônica|Série|Reportagem|Podcast|Audiotour|Entrevista|Vídeo|Rádio|Notícia|Artigo de opinião|Coletiva de imprensa""),
  REGEXMATCH(B18"&amp;"4,""midiática"")
),""Produção midiática"","""")))
"),"Produção midiática")</f>
        <v>Produção midiática</v>
      </c>
      <c r="E184" s="20" t="str">
        <f>IFERROR(__xludf.DUMMYFUNCTION("IF(B184="""","""",IF(OR(
  REGEXMATCH(B184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REGEXMATCH(B184,""público|Imediato|artística|teatral|memória|Ação popular"")
),""Público Imediato"",
IF(REGEXMATCH(B184,""Música|Álbum|Filme|Documentár"&amp;"io|Série|Podcast|Rádio|Audiotour|Entrevista|Reportagem|Crônica|Relatório|Abaixo-assinado|Manifesto|Petição|Poema|Livro|Fotografia|Curta|Live|Webinário|Charge|Leitura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84" s="20" t="str">
        <f>IFERROR(__xludf.DUMMYFUNCTION("IF(B184="""","""",IF(OR(
  REGEXMATCH(B184,""Live|Webinário|Virtual|Verbete""),
  REGEXMATCH(B184,""online"")
),""Virtual"",
IF(REGEXMATCH(B184,""Música|Álbum|Filme|Documentário|Série|Podcast|Rádio|Audiotour|Episódio|Reportagem|Curta|Charge|Vídeo|Entrevis"&amp;"ta|Notícia|Artigo de opinião""),
""Midiático"",
IF(REGEXMATCH(B184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84" s="21" t="str">
        <f>IFERROR(__xludf.DUMMYFUNCTION("IF(C184=""rememoração"", ""Insira a data manualmente"", IF(C184=""difusão"", 
 IF(NOT(ISERROR(REGEXEXTRACT(T184, ""(\d{1,2}) jan\. 2025""))), 
  TEXT(DATE(2025,1,REGEXEXTRACT(T184, ""(\d{1,2}) jan\. 2025"")), ""dd/mm/yyyy""),
 IF(NOT(ISERROR(REGEXEXTRACT("&amp;"T184, ""(\d{1,2}) fev\. 2025""))), 
  TEXT(DATE(2025,2,REGEXEXTRACT(T184, ""(\d{1,2}) fev\. 2025"")), ""dd/mm/yyyy""),
 IF(NOT(ISERROR(REGEXEXTRACT(T184, ""(\d{1,2}) mar\. 2025""))), 
  TEXT(DATE(2025,3,REGEXEXTRACT(T184, ""(\d{1,2}) mar\. 2025"")), ""dd/"&amp;"mm/yyyy""),
 IF(NOT(ISERROR(REGEXEXTRACT(T184, ""(\d{1,2}) abr\. 2025""))), 
  TEXT(DATE(2025,4,REGEXEXTRACT(T184, ""(\d{1,2}) abr\. 2025"")), ""dd/mm/yyyy""),
 IF(NOT(ISERROR(REGEXEXTRACT(T184, ""(\d{1,2}) (mai|maio)\. 2025""))), 
  TEXT(DATE(2025,5,REGE"&amp;"XEXTRACT(T184, ""(\d{1,2}) (mai|maio)\. 2025"")), ""dd/mm/yyyy""),
 IF(NOT(ISERROR(REGEXEXTRACT(T184, ""(\d{1,2}) jun\. 2025""))), 
  TEXT(DATE(2025,6,REGEXEXTRACT(T184, ""(\d{1,2}) jun\. 2025"")), ""dd/mm/yyyy""),
 IF(NOT(ISERROR(REGEXEXTRACT(T184, ""(\d"&amp;"{1,2}) jul\. 2025""))), 
  TEXT(DATE(2025,7,REGEXEXTRACT(T184, ""(\d{1,2}) jul\. 2025"")), ""dd/mm/yyyy""),
 IF(NOT(ISERROR(REGEXEXTRACT(T184, ""(\d{1,2}) ago\. 2025""))), 
  TEXT(DATE(2025,8,REGEXEXTRACT(T184, ""(\d{1,2}) ago\. 2025"")), ""dd/mm/yyyy""),"&amp;"
 IF(NOT(ISERROR(REGEXEXTRACT(T184, ""(\d{1,2}) set\. 2025""))), 
  TEXT(DATE(2025,9,REGEXEXTRACT(T184, ""(\d{1,2}) set\. 2025"")), ""dd/mm/yyyy""),
 IF(NOT(ISERROR(REGEXEXTRACT(T184, ""(\d{1,2}) out\. 2025""))), 
  TEXT(DATE(2025,10,REGEXEXTRACT(T184, """&amp;"(\d{1,2}) out\. 2025"")), ""dd/mm/yyyy""),
 IF(NOT(ISERROR(REGEXEXTRACT(T184, ""(\d{1,2}) nov\. 2025""))), 
  TEXT(DATE(2025,11,REGEXEXTRACT(T184, ""(\d{1,2}) nov\. 2025"")), ""dd/mm/yyyy""),
 IF(NOT(ISERROR(REGEXEXTRACT(T184, ""(\d{1,2}) dez\. 2025""))),"&amp;" 
  TEXT(DATE(2025,12,REGEXEXTRACT(T184, ""(\d{1,2}) dez\. 2025"")), ""dd/mm/yyyy""),
 ""Insira a data manualmente"")))))))))))), """"))"),"29/10/2025")</f>
        <v>29/10/2025</v>
      </c>
      <c r="H184" s="22">
        <f t="shared" si="1"/>
        <v>2025</v>
      </c>
      <c r="I184" s="18" t="s">
        <v>116</v>
      </c>
      <c r="J184" s="30" t="s">
        <v>494</v>
      </c>
      <c r="K184" s="24" t="s">
        <v>495</v>
      </c>
      <c r="L184" s="24" t="s">
        <v>26</v>
      </c>
      <c r="M184" s="25" t="s">
        <v>27</v>
      </c>
      <c r="N184" s="18" t="str">
        <f t="shared" si="8"/>
        <v>SBT News</v>
      </c>
      <c r="O184" s="17" t="s">
        <v>28</v>
      </c>
      <c r="P184" s="17" t="s">
        <v>251</v>
      </c>
      <c r="Q184" s="26">
        <v>45964.0</v>
      </c>
      <c r="R184" s="17" t="s">
        <v>30</v>
      </c>
      <c r="S184" s="27" t="str">
        <f t="shared" si="3"/>
        <v>Aqui</v>
      </c>
      <c r="T184" s="29" t="s">
        <v>496</v>
      </c>
      <c r="U184" s="29"/>
    </row>
    <row r="185">
      <c r="A185" s="16">
        <v>183.0</v>
      </c>
      <c r="B185" s="17" t="s">
        <v>23</v>
      </c>
      <c r="C185" s="18" t="str">
        <f>IFERROR(__xludf.DUMMYFUNCTION("IF(B185="""","""",IF(OR(
  REGEXMATCH(B185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REGEXMATCH(B185,""Notícia|Reportagem|Artigo de opinião|Verbete"")
),""Difusão"","""")))
"),"Difusão")</f>
        <v>Difusão</v>
      </c>
      <c r="D185" s="19" t="str">
        <f>IFERROR(__xludf.DUMMYFUNCTION("IF(B185="""","""",IF(OR(
  REGEXMATCH(B185,""Performance|Instalação|Álbum|Música|Poema|Livro|Filme|Documentário|Recitação|Espetáculo|Peça|Intervenção|Desfile|Fotografia|Exposição|Charge|Grafite|Leitura pública|Fabricação de cachaça artesanal""),
  REGEXMA"&amp;"TCH(B185,""dança|teatral|artístico|musical|artística"")
),""Manifestação artístico-cultural"",
IF(OR(
  REGEXMATCH(B185,""Crônica|Série|Reportagem|Podcast|Audiotour|Entrevista|Vídeo|Rádio|Notícia|Artigo de opinião|Coletiva de imprensa""),
  REGEXMATCH(B18"&amp;"5,""midiática"")
),""Produção midiática"","""")))
"),"Produção midiática")</f>
        <v>Produção midiática</v>
      </c>
      <c r="E185" s="20" t="str">
        <f>IFERROR(__xludf.DUMMYFUNCTION("IF(B185="""","""",IF(OR(
  REGEXMATCH(B185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REGEXMATCH(B185,""público|Imediato|artística|teatral|memória|Ação popular"")
),""Público Imediato"",
IF(REGEXMATCH(B185,""Música|Álbum|Filme|Documentár"&amp;"io|Série|Podcast|Rádio|Audiotour|Entrevista|Reportagem|Crônica|Relatório|Abaixo-assinado|Manifesto|Petição|Poema|Livro|Fotografia|Curta|Live|Webinário|Charge|Leitura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85" s="20" t="str">
        <f>IFERROR(__xludf.DUMMYFUNCTION("IF(B185="""","""",IF(OR(
  REGEXMATCH(B185,""Live|Webinário|Virtual|Verbete""),
  REGEXMATCH(B185,""online"")
),""Virtual"",
IF(REGEXMATCH(B185,""Música|Álbum|Filme|Documentário|Série|Podcast|Rádio|Audiotour|Episódio|Reportagem|Curta|Charge|Vídeo|Entrevis"&amp;"ta|Notícia|Artigo de opinião""),
""Midiático"",
IF(REGEXMATCH(B185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85" s="21" t="str">
        <f>IFERROR(__xludf.DUMMYFUNCTION("IF(C185=""rememoração"", ""Insira a data manualmente"", IF(C185=""difusão"", 
 IF(NOT(ISERROR(REGEXEXTRACT(T185, ""(\d{1,2}) jan\. 2025""))), 
  TEXT(DATE(2025,1,REGEXEXTRACT(T185, ""(\d{1,2}) jan\. 2025"")), ""dd/mm/yyyy""),
 IF(NOT(ISERROR(REGEXEXTRACT("&amp;"T185, ""(\d{1,2}) fev\. 2025""))), 
  TEXT(DATE(2025,2,REGEXEXTRACT(T185, ""(\d{1,2}) fev\. 2025"")), ""dd/mm/yyyy""),
 IF(NOT(ISERROR(REGEXEXTRACT(T185, ""(\d{1,2}) mar\. 2025""))), 
  TEXT(DATE(2025,3,REGEXEXTRACT(T185, ""(\d{1,2}) mar\. 2025"")), ""dd/"&amp;"mm/yyyy""),
 IF(NOT(ISERROR(REGEXEXTRACT(T185, ""(\d{1,2}) abr\. 2025""))), 
  TEXT(DATE(2025,4,REGEXEXTRACT(T185, ""(\d{1,2}) abr\. 2025"")), ""dd/mm/yyyy""),
 IF(NOT(ISERROR(REGEXEXTRACT(T185, ""(\d{1,2}) (mai|maio)\. 2025""))), 
  TEXT(DATE(2025,5,REGE"&amp;"XEXTRACT(T185, ""(\d{1,2}) (mai|maio)\. 2025"")), ""dd/mm/yyyy""),
 IF(NOT(ISERROR(REGEXEXTRACT(T185, ""(\d{1,2}) jun\. 2025""))), 
  TEXT(DATE(2025,6,REGEXEXTRACT(T185, ""(\d{1,2}) jun\. 2025"")), ""dd/mm/yyyy""),
 IF(NOT(ISERROR(REGEXEXTRACT(T185, ""(\d"&amp;"{1,2}) jul\. 2025""))), 
  TEXT(DATE(2025,7,REGEXEXTRACT(T185, ""(\d{1,2}) jul\. 2025"")), ""dd/mm/yyyy""),
 IF(NOT(ISERROR(REGEXEXTRACT(T185, ""(\d{1,2}) ago\. 2025""))), 
  TEXT(DATE(2025,8,REGEXEXTRACT(T185, ""(\d{1,2}) ago\. 2025"")), ""dd/mm/yyyy""),"&amp;"
 IF(NOT(ISERROR(REGEXEXTRACT(T185, ""(\d{1,2}) set\. 2025""))), 
  TEXT(DATE(2025,9,REGEXEXTRACT(T185, ""(\d{1,2}) set\. 2025"")), ""dd/mm/yyyy""),
 IF(NOT(ISERROR(REGEXEXTRACT(T185, ""(\d{1,2}) out\. 2025""))), 
  TEXT(DATE(2025,10,REGEXEXTRACT(T185, """&amp;"(\d{1,2}) out\. 2025"")), ""dd/mm/yyyy""),
 IF(NOT(ISERROR(REGEXEXTRACT(T185, ""(\d{1,2}) nov\. 2025""))), 
  TEXT(DATE(2025,11,REGEXEXTRACT(T185, ""(\d{1,2}) nov\. 2025"")), ""dd/mm/yyyy""),
 IF(NOT(ISERROR(REGEXEXTRACT(T185, ""(\d{1,2}) dez\. 2025""))),"&amp;" 
  TEXT(DATE(2025,12,REGEXEXTRACT(T185, ""(\d{1,2}) dez\. 2025"")), ""dd/mm/yyyy""),
 ""Insira a data manualmente"")))))))))))), """"))"),"30/10/2025")</f>
        <v>30/10/2025</v>
      </c>
      <c r="H185" s="22">
        <f t="shared" si="1"/>
        <v>2025</v>
      </c>
      <c r="I185" s="18" t="str">
        <f>IFERROR(__xludf.DUMMYFUNCTION("IF(REGEXMATCH(T185,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IF(REGEXMATCH(T185, ""(?i)\bBrasília\b""), ""Distrito Federal, Brasil"",
REGEXEXTRACT(T185,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85" s="30" t="s">
        <v>35</v>
      </c>
      <c r="K185" s="24" t="s">
        <v>497</v>
      </c>
      <c r="L185" s="24" t="s">
        <v>26</v>
      </c>
      <c r="M185" s="25" t="s">
        <v>27</v>
      </c>
      <c r="N185" s="18" t="str">
        <f t="shared" si="8"/>
        <v>Carta Capital</v>
      </c>
      <c r="O185" s="17" t="s">
        <v>28</v>
      </c>
      <c r="P185" s="17" t="s">
        <v>251</v>
      </c>
      <c r="Q185" s="26">
        <v>45964.0</v>
      </c>
      <c r="R185" s="17" t="s">
        <v>37</v>
      </c>
      <c r="S185" s="27" t="str">
        <f t="shared" si="3"/>
        <v>Aqui</v>
      </c>
      <c r="T185" s="29" t="s">
        <v>498</v>
      </c>
      <c r="U185" s="29"/>
    </row>
    <row r="186">
      <c r="A186" s="16">
        <v>184.0</v>
      </c>
      <c r="B186" s="17" t="s">
        <v>23</v>
      </c>
      <c r="C186" s="18" t="str">
        <f>IFERROR(__xludf.DUMMYFUNCTION("IF(B186="""","""",IF(OR(
  REGEXMATCH(B186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REGEXMATCH(B186,""Notícia|Reportagem|Artigo de opinião|Verbete"")
),""Difusão"","""")))
"),"Difusão")</f>
        <v>Difusão</v>
      </c>
      <c r="D186" s="19" t="str">
        <f>IFERROR(__xludf.DUMMYFUNCTION("IF(B186="""","""",IF(OR(
  REGEXMATCH(B186,""Performance|Instalação|Álbum|Música|Poema|Livro|Filme|Documentário|Recitação|Espetáculo|Peça|Intervenção|Desfile|Fotografia|Exposição|Charge|Grafite|Leitura pública|Fabricação de cachaça artesanal""),
  REGEXMA"&amp;"TCH(B186,""dança|teatral|artístico|musical|artística"")
),""Manifestação artístico-cultural"",
IF(OR(
  REGEXMATCH(B186,""Crônica|Série|Reportagem|Podcast|Audiotour|Entrevista|Vídeo|Rádio|Notícia|Artigo de opinião|Coletiva de imprensa""),
  REGEXMATCH(B18"&amp;"6,""midiática"")
),""Produção midiática"","""")))
"),"Produção midiática")</f>
        <v>Produção midiática</v>
      </c>
      <c r="E186" s="20" t="str">
        <f>IFERROR(__xludf.DUMMYFUNCTION("IF(B186="""","""",IF(OR(
  REGEXMATCH(B186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REGEXMATCH(B186,""público|Imediato|artística|teatral|memória|Ação popular"")
),""Público Imediato"",
IF(REGEXMATCH(B186,""Música|Álbum|Filme|Documentár"&amp;"io|Série|Podcast|Rádio|Audiotour|Entrevista|Reportagem|Crônica|Relatório|Abaixo-assinado|Manifesto|Petição|Poema|Livro|Fotografia|Curta|Live|Webinário|Charge|Leitura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86" s="20" t="str">
        <f>IFERROR(__xludf.DUMMYFUNCTION("IF(B186="""","""",IF(OR(
  REGEXMATCH(B186,""Live|Webinário|Virtual|Verbete""),
  REGEXMATCH(B186,""online"")
),""Virtual"",
IF(REGEXMATCH(B186,""Música|Álbum|Filme|Documentário|Série|Podcast|Rádio|Audiotour|Episódio|Reportagem|Curta|Charge|Vídeo|Entrevis"&amp;"ta|Notícia|Artigo de opinião""),
""Midiático"",
IF(REGEXMATCH(B186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86" s="21" t="str">
        <f>IFERROR(__xludf.DUMMYFUNCTION("IF(C186=""rememoração"", ""Insira a data manualmente"", IF(C186=""difusão"", 
 IF(NOT(ISERROR(REGEXEXTRACT(T186, ""(\d{1,2}) jan\. 2025""))), 
  TEXT(DATE(2025,1,REGEXEXTRACT(T186, ""(\d{1,2}) jan\. 2025"")), ""dd/mm/yyyy""),
 IF(NOT(ISERROR(REGEXEXTRACT("&amp;"T186, ""(\d{1,2}) fev\. 2025""))), 
  TEXT(DATE(2025,2,REGEXEXTRACT(T186, ""(\d{1,2}) fev\. 2025"")), ""dd/mm/yyyy""),
 IF(NOT(ISERROR(REGEXEXTRACT(T186, ""(\d{1,2}) mar\. 2025""))), 
  TEXT(DATE(2025,3,REGEXEXTRACT(T186, ""(\d{1,2}) mar\. 2025"")), ""dd/"&amp;"mm/yyyy""),
 IF(NOT(ISERROR(REGEXEXTRACT(T186, ""(\d{1,2}) abr\. 2025""))), 
  TEXT(DATE(2025,4,REGEXEXTRACT(T186, ""(\d{1,2}) abr\. 2025"")), ""dd/mm/yyyy""),
 IF(NOT(ISERROR(REGEXEXTRACT(T186, ""(\d{1,2}) (mai|maio)\. 2025""))), 
  TEXT(DATE(2025,5,REGE"&amp;"XEXTRACT(T186, ""(\d{1,2}) (mai|maio)\. 2025"")), ""dd/mm/yyyy""),
 IF(NOT(ISERROR(REGEXEXTRACT(T186, ""(\d{1,2}) jun\. 2025""))), 
  TEXT(DATE(2025,6,REGEXEXTRACT(T186, ""(\d{1,2}) jun\. 2025"")), ""dd/mm/yyyy""),
 IF(NOT(ISERROR(REGEXEXTRACT(T186, ""(\d"&amp;"{1,2}) jul\. 2025""))), 
  TEXT(DATE(2025,7,REGEXEXTRACT(T186, ""(\d{1,2}) jul\. 2025"")), ""dd/mm/yyyy""),
 IF(NOT(ISERROR(REGEXEXTRACT(T186, ""(\d{1,2}) ago\. 2025""))), 
  TEXT(DATE(2025,8,REGEXEXTRACT(T186, ""(\d{1,2}) ago\. 2025"")), ""dd/mm/yyyy""),"&amp;"
 IF(NOT(ISERROR(REGEXEXTRACT(T186, ""(\d{1,2}) set\. 2025""))), 
  TEXT(DATE(2025,9,REGEXEXTRACT(T186, ""(\d{1,2}) set\. 2025"")), ""dd/mm/yyyy""),
 IF(NOT(ISERROR(REGEXEXTRACT(T186, ""(\d{1,2}) out\. 2025""))), 
  TEXT(DATE(2025,10,REGEXEXTRACT(T186, """&amp;"(\d{1,2}) out\. 2025"")), ""dd/mm/yyyy""),
 IF(NOT(ISERROR(REGEXEXTRACT(T186, ""(\d{1,2}) nov\. 2025""))), 
  TEXT(DATE(2025,11,REGEXEXTRACT(T186, ""(\d{1,2}) nov\. 2025"")), ""dd/mm/yyyy""),
 IF(NOT(ISERROR(REGEXEXTRACT(T186, ""(\d{1,2}) dez\. 2025""))),"&amp;" 
  TEXT(DATE(2025,12,REGEXEXTRACT(T186, ""(\d{1,2}) dez\. 2025"")), ""dd/mm/yyyy""),
 ""Insira a data manualmente"")))))))))))), """"))"),"28/10/2025")</f>
        <v>28/10/2025</v>
      </c>
      <c r="H186" s="22">
        <f t="shared" si="1"/>
        <v>2025</v>
      </c>
      <c r="I186" s="18" t="s">
        <v>455</v>
      </c>
      <c r="J186" s="30" t="s">
        <v>456</v>
      </c>
      <c r="K186" s="24" t="s">
        <v>499</v>
      </c>
      <c r="L186" s="24" t="s">
        <v>26</v>
      </c>
      <c r="M186" s="25" t="s">
        <v>27</v>
      </c>
      <c r="N186" s="18" t="str">
        <f t="shared" si="8"/>
        <v>O Tempo</v>
      </c>
      <c r="O186" s="17" t="s">
        <v>28</v>
      </c>
      <c r="P186" s="17" t="s">
        <v>251</v>
      </c>
      <c r="Q186" s="26">
        <v>45964.0</v>
      </c>
      <c r="R186" s="17" t="s">
        <v>30</v>
      </c>
      <c r="S186" s="27" t="str">
        <f t="shared" si="3"/>
        <v>Aqui</v>
      </c>
      <c r="T186" s="29" t="s">
        <v>500</v>
      </c>
      <c r="U186" s="29"/>
    </row>
    <row r="187">
      <c r="A187" s="16">
        <v>185.0</v>
      </c>
      <c r="B187" s="17" t="s">
        <v>23</v>
      </c>
      <c r="C187" s="18" t="str">
        <f>IFERROR(__xludf.DUMMYFUNCTION("IF(B187="""","""",IF(OR(
  REGEXMATCH(B187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REGEXMATCH(B187,""Notícia|Reportagem|Artigo de opinião|Verbete"")
),""Difusão"","""")))
"),"Difusão")</f>
        <v>Difusão</v>
      </c>
      <c r="D187" s="19" t="str">
        <f>IFERROR(__xludf.DUMMYFUNCTION("IF(B187="""","""",IF(OR(
  REGEXMATCH(B187,""Performance|Instalação|Álbum|Música|Poema|Livro|Filme|Documentário|Recitação|Espetáculo|Peça|Intervenção|Desfile|Fotografia|Exposição|Charge|Grafite|Leitura pública|Fabricação de cachaça artesanal""),
  REGEXMA"&amp;"TCH(B187,""dança|teatral|artístico|musical|artística"")
),""Manifestação artístico-cultural"",
IF(OR(
  REGEXMATCH(B187,""Crônica|Série|Reportagem|Podcast|Audiotour|Entrevista|Vídeo|Rádio|Notícia|Artigo de opinião|Coletiva de imprensa""),
  REGEXMATCH(B18"&amp;"7,""midiática"")
),""Produção midiática"","""")))
"),"Produção midiática")</f>
        <v>Produção midiática</v>
      </c>
      <c r="E187" s="20" t="str">
        <f>IFERROR(__xludf.DUMMYFUNCTION("IF(B187="""","""",IF(OR(
  REGEXMATCH(B187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REGEXMATCH(B187,""público|Imediato|artística|teatral|memória|Ação popular"")
),""Público Imediato"",
IF(REGEXMATCH(B187,""Música|Álbum|Filme|Documentár"&amp;"io|Série|Podcast|Rádio|Audiotour|Entrevista|Reportagem|Crônica|Relatório|Abaixo-assinado|Manifesto|Petição|Poema|Livro|Fotografia|Curta|Live|Webinário|Charge|Leitura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87" s="20" t="str">
        <f>IFERROR(__xludf.DUMMYFUNCTION("IF(B187="""","""",IF(OR(
  REGEXMATCH(B187,""Live|Webinário|Virtual|Verbete""),
  REGEXMATCH(B187,""online"")
),""Virtual"",
IF(REGEXMATCH(B187,""Música|Álbum|Filme|Documentário|Série|Podcast|Rádio|Audiotour|Episódio|Reportagem|Curta|Charge|Vídeo|Entrevis"&amp;"ta|Notícia|Artigo de opinião""),
""Midiático"",
IF(REGEXMATCH(B187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87" s="21" t="str">
        <f>IFERROR(__xludf.DUMMYFUNCTION("IF(C187=""rememoração"", ""Insira a data manualmente"", IF(C187=""difusão"", 
 IF(NOT(ISERROR(REGEXEXTRACT(T187, ""(\d{1,2}) jan\. 2025""))), 
  TEXT(DATE(2025,1,REGEXEXTRACT(T187, ""(\d{1,2}) jan\. 2025"")), ""dd/mm/yyyy""),
 IF(NOT(ISERROR(REGEXEXTRACT("&amp;"T187, ""(\d{1,2}) fev\. 2025""))), 
  TEXT(DATE(2025,2,REGEXEXTRACT(T187, ""(\d{1,2}) fev\. 2025"")), ""dd/mm/yyyy""),
 IF(NOT(ISERROR(REGEXEXTRACT(T187, ""(\d{1,2}) mar\. 2025""))), 
  TEXT(DATE(2025,3,REGEXEXTRACT(T187, ""(\d{1,2}) mar\. 2025"")), ""dd/"&amp;"mm/yyyy""),
 IF(NOT(ISERROR(REGEXEXTRACT(T187, ""(\d{1,2}) abr\. 2025""))), 
  TEXT(DATE(2025,4,REGEXEXTRACT(T187, ""(\d{1,2}) abr\. 2025"")), ""dd/mm/yyyy""),
 IF(NOT(ISERROR(REGEXEXTRACT(T187, ""(\d{1,2}) (mai|maio)\. 2025""))), 
  TEXT(DATE(2025,5,REGE"&amp;"XEXTRACT(T187, ""(\d{1,2}) (mai|maio)\. 2025"")), ""dd/mm/yyyy""),
 IF(NOT(ISERROR(REGEXEXTRACT(T187, ""(\d{1,2}) jun\. 2025""))), 
  TEXT(DATE(2025,6,REGEXEXTRACT(T187, ""(\d{1,2}) jun\. 2025"")), ""dd/mm/yyyy""),
 IF(NOT(ISERROR(REGEXEXTRACT(T187, ""(\d"&amp;"{1,2}) jul\. 2025""))), 
  TEXT(DATE(2025,7,REGEXEXTRACT(T187, ""(\d{1,2}) jul\. 2025"")), ""dd/mm/yyyy""),
 IF(NOT(ISERROR(REGEXEXTRACT(T187, ""(\d{1,2}) ago\. 2025""))), 
  TEXT(DATE(2025,8,REGEXEXTRACT(T187, ""(\d{1,2}) ago\. 2025"")), ""dd/mm/yyyy""),"&amp;"
 IF(NOT(ISERROR(REGEXEXTRACT(T187, ""(\d{1,2}) set\. 2025""))), 
  TEXT(DATE(2025,9,REGEXEXTRACT(T187, ""(\d{1,2}) set\. 2025"")), ""dd/mm/yyyy""),
 IF(NOT(ISERROR(REGEXEXTRACT(T187, ""(\d{1,2}) out\. 2025""))), 
  TEXT(DATE(2025,10,REGEXEXTRACT(T187, """&amp;"(\d{1,2}) out\. 2025"")), ""dd/mm/yyyy""),
 IF(NOT(ISERROR(REGEXEXTRACT(T187, ""(\d{1,2}) nov\. 2025""))), 
  TEXT(DATE(2025,11,REGEXEXTRACT(T187, ""(\d{1,2}) nov\. 2025"")), ""dd/mm/yyyy""),
 IF(NOT(ISERROR(REGEXEXTRACT(T187, ""(\d{1,2}) dez\. 2025""))),"&amp;" 
  TEXT(DATE(2025,12,REGEXEXTRACT(T187, ""(\d{1,2}) dez\. 2025"")), ""dd/mm/yyyy""),
 ""Insira a data manualmente"")))))))))))), """"))"),"29/10/2025")</f>
        <v>29/10/2025</v>
      </c>
      <c r="H187" s="22">
        <f t="shared" si="1"/>
        <v>2025</v>
      </c>
      <c r="I187" s="18" t="s">
        <v>116</v>
      </c>
      <c r="J187" s="30" t="s">
        <v>494</v>
      </c>
      <c r="K187" s="24" t="s">
        <v>501</v>
      </c>
      <c r="L187" s="24" t="s">
        <v>26</v>
      </c>
      <c r="M187" s="25" t="s">
        <v>27</v>
      </c>
      <c r="N187" s="18" t="str">
        <f t="shared" si="8"/>
        <v>SBT News</v>
      </c>
      <c r="O187" s="17" t="s">
        <v>28</v>
      </c>
      <c r="P187" s="17" t="s">
        <v>251</v>
      </c>
      <c r="Q187" s="26">
        <v>45964.0</v>
      </c>
      <c r="R187" s="17" t="s">
        <v>30</v>
      </c>
      <c r="S187" s="27" t="str">
        <f t="shared" si="3"/>
        <v>Aqui</v>
      </c>
      <c r="T187" s="29" t="s">
        <v>502</v>
      </c>
      <c r="U187" s="29"/>
    </row>
    <row r="188">
      <c r="A188" s="16">
        <v>186.0</v>
      </c>
      <c r="B188" s="17" t="s">
        <v>23</v>
      </c>
      <c r="C188" s="18" t="str">
        <f>IFERROR(__xludf.DUMMYFUNCTION("IF(B188="""","""",IF(OR(
  REGEXMATCH(B188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REGEXMATCH(B188,""Notícia|Reportagem|Artigo de opinião|Verbete"")
),""Difusão"","""")))
"),"Difusão")</f>
        <v>Difusão</v>
      </c>
      <c r="D188" s="19" t="str">
        <f>IFERROR(__xludf.DUMMYFUNCTION("IF(B188="""","""",IF(OR(
  REGEXMATCH(B188,""Performance|Instalação|Álbum|Música|Poema|Livro|Filme|Documentário|Recitação|Espetáculo|Peça|Intervenção|Desfile|Fotografia|Exposição|Charge|Grafite|Leitura pública|Fabricação de cachaça artesanal""),
  REGEXMA"&amp;"TCH(B188,""dança|teatral|artístico|musical|artística"")
),""Manifestação artístico-cultural"",
IF(OR(
  REGEXMATCH(B188,""Crônica|Série|Reportagem|Podcast|Audiotour|Entrevista|Vídeo|Rádio|Notícia|Artigo de opinião|Coletiva de imprensa""),
  REGEXMATCH(B18"&amp;"8,""midiática"")
),""Produção midiática"","""")))
"),"Produção midiática")</f>
        <v>Produção midiática</v>
      </c>
      <c r="E188" s="20" t="str">
        <f>IFERROR(__xludf.DUMMYFUNCTION("IF(B188="""","""",IF(OR(
  REGEXMATCH(B188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REGEXMATCH(B188,""público|Imediato|artística|teatral|memória|Ação popular"")
),""Público Imediato"",
IF(REGEXMATCH(B188,""Música|Álbum|Filme|Documentár"&amp;"io|Série|Podcast|Rádio|Audiotour|Entrevista|Reportagem|Crônica|Relatório|Abaixo-assinado|Manifesto|Petição|Poema|Livro|Fotografia|Curta|Live|Webinário|Charge|Leitura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88" s="20" t="str">
        <f>IFERROR(__xludf.DUMMYFUNCTION("IF(B188="""","""",IF(OR(
  REGEXMATCH(B188,""Live|Webinário|Virtual|Verbete""),
  REGEXMATCH(B188,""online"")
),""Virtual"",
IF(REGEXMATCH(B188,""Música|Álbum|Filme|Documentário|Série|Podcast|Rádio|Audiotour|Episódio|Reportagem|Curta|Charge|Vídeo|Entrevis"&amp;"ta|Notícia|Artigo de opinião""),
""Midiático"",
IF(REGEXMATCH(B188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88" s="21" t="str">
        <f>IFERROR(__xludf.DUMMYFUNCTION("IF(C188=""rememoração"", ""Insira a data manualmente"", IF(C188=""difusão"", 
 IF(NOT(ISERROR(REGEXEXTRACT(T188, ""(\d{1,2}) jan\. 2025""))), 
  TEXT(DATE(2025,1,REGEXEXTRACT(T188, ""(\d{1,2}) jan\. 2025"")), ""dd/mm/yyyy""),
 IF(NOT(ISERROR(REGEXEXTRACT("&amp;"T188, ""(\d{1,2}) fev\. 2025""))), 
  TEXT(DATE(2025,2,REGEXEXTRACT(T188, ""(\d{1,2}) fev\. 2025"")), ""dd/mm/yyyy""),
 IF(NOT(ISERROR(REGEXEXTRACT(T188, ""(\d{1,2}) mar\. 2025""))), 
  TEXT(DATE(2025,3,REGEXEXTRACT(T188, ""(\d{1,2}) mar\. 2025"")), ""dd/"&amp;"mm/yyyy""),
 IF(NOT(ISERROR(REGEXEXTRACT(T188, ""(\d{1,2}) abr\. 2025""))), 
  TEXT(DATE(2025,4,REGEXEXTRACT(T188, ""(\d{1,2}) abr\. 2025"")), ""dd/mm/yyyy""),
 IF(NOT(ISERROR(REGEXEXTRACT(T188, ""(\d{1,2}) (mai|maio)\. 2025""))), 
  TEXT(DATE(2025,5,REGE"&amp;"XEXTRACT(T188, ""(\d{1,2}) (mai|maio)\. 2025"")), ""dd/mm/yyyy""),
 IF(NOT(ISERROR(REGEXEXTRACT(T188, ""(\d{1,2}) jun\. 2025""))), 
  TEXT(DATE(2025,6,REGEXEXTRACT(T188, ""(\d{1,2}) jun\. 2025"")), ""dd/mm/yyyy""),
 IF(NOT(ISERROR(REGEXEXTRACT(T188, ""(\d"&amp;"{1,2}) jul\. 2025""))), 
  TEXT(DATE(2025,7,REGEXEXTRACT(T188, ""(\d{1,2}) jul\. 2025"")), ""dd/mm/yyyy""),
 IF(NOT(ISERROR(REGEXEXTRACT(T188, ""(\d{1,2}) ago\. 2025""))), 
  TEXT(DATE(2025,8,REGEXEXTRACT(T188, ""(\d{1,2}) ago\. 2025"")), ""dd/mm/yyyy""),"&amp;"
 IF(NOT(ISERROR(REGEXEXTRACT(T188, ""(\d{1,2}) set\. 2025""))), 
  TEXT(DATE(2025,9,REGEXEXTRACT(T188, ""(\d{1,2}) set\. 2025"")), ""dd/mm/yyyy""),
 IF(NOT(ISERROR(REGEXEXTRACT(T188, ""(\d{1,2}) out\. 2025""))), 
  TEXT(DATE(2025,10,REGEXEXTRACT(T188, """&amp;"(\d{1,2}) out\. 2025"")), ""dd/mm/yyyy""),
 IF(NOT(ISERROR(REGEXEXTRACT(T188, ""(\d{1,2}) nov\. 2025""))), 
  TEXT(DATE(2025,11,REGEXEXTRACT(T188, ""(\d{1,2}) nov\. 2025"")), ""dd/mm/yyyy""),
 IF(NOT(ISERROR(REGEXEXTRACT(T188, ""(\d{1,2}) dez\. 2025""))),"&amp;" 
  TEXT(DATE(2025,12,REGEXEXTRACT(T188, ""(\d{1,2}) dez\. 2025"")), ""dd/mm/yyyy""),
 ""Insira a data manualmente"")))))))))))), """"))"),"31/10/2025")</f>
        <v>31/10/2025</v>
      </c>
      <c r="H188" s="22">
        <f t="shared" si="1"/>
        <v>2025</v>
      </c>
      <c r="I188" s="18" t="s">
        <v>116</v>
      </c>
      <c r="J188" s="30" t="s">
        <v>315</v>
      </c>
      <c r="K188" s="24" t="s">
        <v>503</v>
      </c>
      <c r="L188" s="24" t="s">
        <v>26</v>
      </c>
      <c r="M188" s="25" t="s">
        <v>27</v>
      </c>
      <c r="N188" s="18" t="str">
        <f t="shared" si="8"/>
        <v>Brasil de Fato</v>
      </c>
      <c r="O188" s="17" t="s">
        <v>28</v>
      </c>
      <c r="P188" s="17" t="s">
        <v>251</v>
      </c>
      <c r="Q188" s="26">
        <v>45964.0</v>
      </c>
      <c r="R188" s="17" t="s">
        <v>30</v>
      </c>
      <c r="S188" s="27" t="str">
        <f t="shared" si="3"/>
        <v>Aqui</v>
      </c>
      <c r="T188" s="29" t="s">
        <v>504</v>
      </c>
      <c r="U188" s="29"/>
    </row>
    <row r="189">
      <c r="A189" s="16">
        <v>187.0</v>
      </c>
      <c r="B189" s="17" t="s">
        <v>23</v>
      </c>
      <c r="C189" s="18" t="str">
        <f>IFERROR(__xludf.DUMMYFUNCTION("IF(B189="""","""",IF(OR(
  REGEXMATCH(B189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REGEXMATCH(B189,""Notícia|Reportagem|Artigo de opinião|Verbete"")
),""Difusão"","""")))
"),"Difusão")</f>
        <v>Difusão</v>
      </c>
      <c r="D189" s="19" t="str">
        <f>IFERROR(__xludf.DUMMYFUNCTION("IF(B189="""","""",IF(OR(
  REGEXMATCH(B189,""Performance|Instalação|Álbum|Música|Poema|Livro|Filme|Documentário|Recitação|Espetáculo|Peça|Intervenção|Desfile|Fotografia|Exposição|Charge|Grafite|Leitura pública|Fabricação de cachaça artesanal""),
  REGEXMA"&amp;"TCH(B189,""dança|teatral|artístico|musical|artística"")
),""Manifestação artístico-cultural"",
IF(OR(
  REGEXMATCH(B189,""Crônica|Série|Reportagem|Podcast|Audiotour|Entrevista|Vídeo|Rádio|Notícia|Artigo de opinião|Coletiva de imprensa""),
  REGEXMATCH(B18"&amp;"9,""midiática"")
),""Produção midiática"","""")))
"),"Produção midiática")</f>
        <v>Produção midiática</v>
      </c>
      <c r="E189" s="20" t="str">
        <f>IFERROR(__xludf.DUMMYFUNCTION("IF(B189="""","""",IF(OR(
  REGEXMATCH(B189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REGEXMATCH(B189,""público|Imediato|artística|teatral|memória|Ação popular"")
),""Público Imediato"",
IF(REGEXMATCH(B189,""Música|Álbum|Filme|Documentár"&amp;"io|Série|Podcast|Rádio|Audiotour|Entrevista|Reportagem|Crônica|Relatório|Abaixo-assinado|Manifesto|Petição|Poema|Livro|Fotografia|Curta|Live|Webinário|Charge|Leitura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89" s="20" t="str">
        <f>IFERROR(__xludf.DUMMYFUNCTION("IF(B189="""","""",IF(OR(
  REGEXMATCH(B189,""Live|Webinário|Virtual|Verbete""),
  REGEXMATCH(B189,""online"")
),""Virtual"",
IF(REGEXMATCH(B189,""Música|Álbum|Filme|Documentário|Série|Podcast|Rádio|Audiotour|Episódio|Reportagem|Curta|Charge|Vídeo|Entrevis"&amp;"ta|Notícia|Artigo de opinião""),
""Midiático"",
IF(REGEXMATCH(B189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89" s="21" t="str">
        <f>IFERROR(__xludf.DUMMYFUNCTION("IF(C189=""rememoração"", ""Insira a data manualmente"", IF(C189=""difusão"", 
 IF(NOT(ISERROR(REGEXEXTRACT(T189, ""(\d{1,2}) jan\. 2025""))), 
  TEXT(DATE(2025,1,REGEXEXTRACT(T189, ""(\d{1,2}) jan\. 2025"")), ""dd/mm/yyyy""),
 IF(NOT(ISERROR(REGEXEXTRACT("&amp;"T189, ""(\d{1,2}) fev\. 2025""))), 
  TEXT(DATE(2025,2,REGEXEXTRACT(T189, ""(\d{1,2}) fev\. 2025"")), ""dd/mm/yyyy""),
 IF(NOT(ISERROR(REGEXEXTRACT(T189, ""(\d{1,2}) mar\. 2025""))), 
  TEXT(DATE(2025,3,REGEXEXTRACT(T189, ""(\d{1,2}) mar\. 2025"")), ""dd/"&amp;"mm/yyyy""),
 IF(NOT(ISERROR(REGEXEXTRACT(T189, ""(\d{1,2}) abr\. 2025""))), 
  TEXT(DATE(2025,4,REGEXEXTRACT(T189, ""(\d{1,2}) abr\. 2025"")), ""dd/mm/yyyy""),
 IF(NOT(ISERROR(REGEXEXTRACT(T189, ""(\d{1,2}) (mai|maio)\. 2025""))), 
  TEXT(DATE(2025,5,REGE"&amp;"XEXTRACT(T189, ""(\d{1,2}) (mai|maio)\. 2025"")), ""dd/mm/yyyy""),
 IF(NOT(ISERROR(REGEXEXTRACT(T189, ""(\d{1,2}) jun\. 2025""))), 
  TEXT(DATE(2025,6,REGEXEXTRACT(T189, ""(\d{1,2}) jun\. 2025"")), ""dd/mm/yyyy""),
 IF(NOT(ISERROR(REGEXEXTRACT(T189, ""(\d"&amp;"{1,2}) jul\. 2025""))), 
  TEXT(DATE(2025,7,REGEXEXTRACT(T189, ""(\d{1,2}) jul\. 2025"")), ""dd/mm/yyyy""),
 IF(NOT(ISERROR(REGEXEXTRACT(T189, ""(\d{1,2}) ago\. 2025""))), 
  TEXT(DATE(2025,8,REGEXEXTRACT(T189, ""(\d{1,2}) ago\. 2025"")), ""dd/mm/yyyy""),"&amp;"
 IF(NOT(ISERROR(REGEXEXTRACT(T189, ""(\d{1,2}) set\. 2025""))), 
  TEXT(DATE(2025,9,REGEXEXTRACT(T189, ""(\d{1,2}) set\. 2025"")), ""dd/mm/yyyy""),
 IF(NOT(ISERROR(REGEXEXTRACT(T189, ""(\d{1,2}) out\. 2025""))), 
  TEXT(DATE(2025,10,REGEXEXTRACT(T189, """&amp;"(\d{1,2}) out\. 2025"")), ""dd/mm/yyyy""),
 IF(NOT(ISERROR(REGEXEXTRACT(T189, ""(\d{1,2}) nov\. 2025""))), 
  TEXT(DATE(2025,11,REGEXEXTRACT(T189, ""(\d{1,2}) nov\. 2025"")), ""dd/mm/yyyy""),
 IF(NOT(ISERROR(REGEXEXTRACT(T189, ""(\d{1,2}) dez\. 2025""))),"&amp;" 
  TEXT(DATE(2025,12,REGEXEXTRACT(T189, ""(\d{1,2}) dez\. 2025"")), ""dd/mm/yyyy""),
 ""Insira a data manualmente"")))))))))))), """"))"),"28/10/2025")</f>
        <v>28/10/2025</v>
      </c>
      <c r="H189" s="22">
        <f t="shared" si="1"/>
        <v>2025</v>
      </c>
      <c r="I189" s="18" t="s">
        <v>116</v>
      </c>
      <c r="J189" s="30" t="s">
        <v>315</v>
      </c>
      <c r="K189" s="24" t="s">
        <v>505</v>
      </c>
      <c r="L189" s="24" t="s">
        <v>26</v>
      </c>
      <c r="M189" s="25" t="s">
        <v>27</v>
      </c>
      <c r="N189" s="18" t="str">
        <f t="shared" si="8"/>
        <v>Brasil de Fato</v>
      </c>
      <c r="O189" s="17" t="s">
        <v>28</v>
      </c>
      <c r="P189" s="17" t="s">
        <v>251</v>
      </c>
      <c r="Q189" s="26">
        <v>45964.0</v>
      </c>
      <c r="R189" s="17" t="s">
        <v>30</v>
      </c>
      <c r="S189" s="27" t="str">
        <f t="shared" si="3"/>
        <v>Aqui</v>
      </c>
      <c r="T189" s="29" t="s">
        <v>506</v>
      </c>
      <c r="U189" s="29"/>
    </row>
    <row r="190">
      <c r="A190" s="16">
        <v>188.0</v>
      </c>
      <c r="B190" s="17" t="s">
        <v>23</v>
      </c>
      <c r="C190" s="18" t="str">
        <f>IFERROR(__xludf.DUMMYFUNCTION("IF(B190="""","""",IF(OR(
  REGEXMATCH(B190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REGEXMATCH(B190,""Notícia|Reportagem|Artigo de opinião|Verbete"")
),""Difusão"","""")))
"),"Difusão")</f>
        <v>Difusão</v>
      </c>
      <c r="D190" s="19" t="str">
        <f>IFERROR(__xludf.DUMMYFUNCTION("IF(B190="""","""",IF(OR(
  REGEXMATCH(B190,""Performance|Instalação|Álbum|Música|Poema|Livro|Filme|Documentário|Recitação|Espetáculo|Peça|Intervenção|Desfile|Fotografia|Exposição|Charge|Grafite|Leitura pública|Fabricação de cachaça artesanal""),
  REGEXMA"&amp;"TCH(B190,""dança|teatral|artístico|musical|artística"")
),""Manifestação artístico-cultural"",
IF(OR(
  REGEXMATCH(B190,""Crônica|Série|Reportagem|Podcast|Audiotour|Entrevista|Vídeo|Rádio|Notícia|Artigo de opinião|Coletiva de imprensa""),
  REGEXMATCH(B19"&amp;"0,""midiática"")
),""Produção midiática"","""")))
"),"Produção midiática")</f>
        <v>Produção midiática</v>
      </c>
      <c r="E190" s="20" t="str">
        <f>IFERROR(__xludf.DUMMYFUNCTION("IF(B190="""","""",IF(OR(
  REGEXMATCH(B190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REGEXMATCH(B190,""público|Imediato|artística|teatral|memória|Ação popular"")
),""Público Imediato"",
IF(REGEXMATCH(B190,""Música|Álbum|Filme|Documentár"&amp;"io|Série|Podcast|Rádio|Audiotour|Entrevista|Reportagem|Crônica|Relatório|Abaixo-assinado|Manifesto|Petição|Poema|Livro|Fotografia|Curta|Live|Webinário|Charge|Leitura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90" s="20" t="str">
        <f>IFERROR(__xludf.DUMMYFUNCTION("IF(B190="""","""",IF(OR(
  REGEXMATCH(B190,""Live|Webinário|Virtual|Verbete""),
  REGEXMATCH(B190,""online"")
),""Virtual"",
IF(REGEXMATCH(B190,""Música|Álbum|Filme|Documentário|Série|Podcast|Rádio|Audiotour|Episódio|Reportagem|Curta|Charge|Vídeo|Entrevis"&amp;"ta|Notícia|Artigo de opinião""),
""Midiático"",
IF(REGEXMATCH(B190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90" s="21" t="str">
        <f>IFERROR(__xludf.DUMMYFUNCTION("IF(C190=""rememoração"", ""Insira a data manualmente"", IF(C190=""difusão"", 
 IF(NOT(ISERROR(REGEXEXTRACT(T190, ""(\d{1,2}) jan\. 2025""))), 
  TEXT(DATE(2025,1,REGEXEXTRACT(T190, ""(\d{1,2}) jan\. 2025"")), ""dd/mm/yyyy""),
 IF(NOT(ISERROR(REGEXEXTRACT("&amp;"T190, ""(\d{1,2}) fev\. 2025""))), 
  TEXT(DATE(2025,2,REGEXEXTRACT(T190, ""(\d{1,2}) fev\. 2025"")), ""dd/mm/yyyy""),
 IF(NOT(ISERROR(REGEXEXTRACT(T190, ""(\d{1,2}) mar\. 2025""))), 
  TEXT(DATE(2025,3,REGEXEXTRACT(T190, ""(\d{1,2}) mar\. 2025"")), ""dd/"&amp;"mm/yyyy""),
 IF(NOT(ISERROR(REGEXEXTRACT(T190, ""(\d{1,2}) abr\. 2025""))), 
  TEXT(DATE(2025,4,REGEXEXTRACT(T190, ""(\d{1,2}) abr\. 2025"")), ""dd/mm/yyyy""),
 IF(NOT(ISERROR(REGEXEXTRACT(T190, ""(\d{1,2}) (mai|maio)\. 2025""))), 
  TEXT(DATE(2025,5,REGE"&amp;"XEXTRACT(T190, ""(\d{1,2}) (mai|maio)\. 2025"")), ""dd/mm/yyyy""),
 IF(NOT(ISERROR(REGEXEXTRACT(T190, ""(\d{1,2}) jun\. 2025""))), 
  TEXT(DATE(2025,6,REGEXEXTRACT(T190, ""(\d{1,2}) jun\. 2025"")), ""dd/mm/yyyy""),
 IF(NOT(ISERROR(REGEXEXTRACT(T190, ""(\d"&amp;"{1,2}) jul\. 2025""))), 
  TEXT(DATE(2025,7,REGEXEXTRACT(T190, ""(\d{1,2}) jul\. 2025"")), ""dd/mm/yyyy""),
 IF(NOT(ISERROR(REGEXEXTRACT(T190, ""(\d{1,2}) ago\. 2025""))), 
  TEXT(DATE(2025,8,REGEXEXTRACT(T190, ""(\d{1,2}) ago\. 2025"")), ""dd/mm/yyyy""),"&amp;"
 IF(NOT(ISERROR(REGEXEXTRACT(T190, ""(\d{1,2}) set\. 2025""))), 
  TEXT(DATE(2025,9,REGEXEXTRACT(T190, ""(\d{1,2}) set\. 2025"")), ""dd/mm/yyyy""),
 IF(NOT(ISERROR(REGEXEXTRACT(T190, ""(\d{1,2}) out\. 2025""))), 
  TEXT(DATE(2025,10,REGEXEXTRACT(T190, """&amp;"(\d{1,2}) out\. 2025"")), ""dd/mm/yyyy""),
 IF(NOT(ISERROR(REGEXEXTRACT(T190, ""(\d{1,2}) nov\. 2025""))), 
  TEXT(DATE(2025,11,REGEXEXTRACT(T190, ""(\d{1,2}) nov\. 2025"")), ""dd/mm/yyyy""),
 IF(NOT(ISERROR(REGEXEXTRACT(T190, ""(\d{1,2}) dez\. 2025""))),"&amp;" 
  TEXT(DATE(2025,12,REGEXEXTRACT(T190, ""(\d{1,2}) dez\. 2025"")), ""dd/mm/yyyy""),
 ""Insira a data manualmente"")))))))))))), """"))"),"31/10/2025")</f>
        <v>31/10/2025</v>
      </c>
      <c r="H190" s="22">
        <f t="shared" si="1"/>
        <v>2025</v>
      </c>
      <c r="I190" s="18" t="s">
        <v>74</v>
      </c>
      <c r="J190" s="30" t="s">
        <v>93</v>
      </c>
      <c r="K190" s="24" t="s">
        <v>507</v>
      </c>
      <c r="L190" s="24" t="s">
        <v>26</v>
      </c>
      <c r="M190" s="25" t="s">
        <v>27</v>
      </c>
      <c r="N190" s="18" t="str">
        <f t="shared" si="8"/>
        <v>Gazeta do Povo</v>
      </c>
      <c r="O190" s="17" t="s">
        <v>28</v>
      </c>
      <c r="P190" s="17" t="s">
        <v>251</v>
      </c>
      <c r="Q190" s="26">
        <v>45964.0</v>
      </c>
      <c r="R190" s="17" t="s">
        <v>37</v>
      </c>
      <c r="S190" s="27" t="str">
        <f t="shared" si="3"/>
        <v>Aqui</v>
      </c>
      <c r="T190" s="29" t="s">
        <v>508</v>
      </c>
      <c r="U190" s="29"/>
    </row>
    <row r="191">
      <c r="A191" s="16">
        <v>189.0</v>
      </c>
      <c r="B191" s="17" t="s">
        <v>23</v>
      </c>
      <c r="C191" s="18" t="str">
        <f>IFERROR(__xludf.DUMMYFUNCTION("IF(B191="""","""",IF(OR(
  REGEXMATCH(B191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REGEXMATCH(B191,""Notícia|Reportagem|Artigo de opinião|Verbete"")
),""Difusão"","""")))
"),"Difusão")</f>
        <v>Difusão</v>
      </c>
      <c r="D191" s="19" t="str">
        <f>IFERROR(__xludf.DUMMYFUNCTION("IF(B191="""","""",IF(OR(
  REGEXMATCH(B191,""Performance|Instalação|Álbum|Música|Poema|Livro|Filme|Documentário|Recitação|Espetáculo|Peça|Intervenção|Desfile|Fotografia|Exposição|Charge|Grafite|Leitura pública|Fabricação de cachaça artesanal""),
  REGEXMA"&amp;"TCH(B191,""dança|teatral|artístico|musical|artística"")
),""Manifestação artístico-cultural"",
IF(OR(
  REGEXMATCH(B191,""Crônica|Série|Reportagem|Podcast|Audiotour|Entrevista|Vídeo|Rádio|Notícia|Artigo de opinião|Coletiva de imprensa""),
  REGEXMATCH(B19"&amp;"1,""midiática"")
),""Produção midiática"","""")))
"),"Produção midiática")</f>
        <v>Produção midiática</v>
      </c>
      <c r="E191" s="20" t="str">
        <f>IFERROR(__xludf.DUMMYFUNCTION("IF(B191="""","""",IF(OR(
  REGEXMATCH(B191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REGEXMATCH(B191,""público|Imediato|artística|teatral|memória|Ação popular"")
),""Público Imediato"",
IF(REGEXMATCH(B191,""Música|Álbum|Filme|Documentár"&amp;"io|Série|Podcast|Rádio|Audiotour|Entrevista|Reportagem|Crônica|Relatório|Abaixo-assinado|Manifesto|Petição|Poema|Livro|Fotografia|Curta|Live|Webinário|Charge|Leitura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91" s="20" t="str">
        <f>IFERROR(__xludf.DUMMYFUNCTION("IF(B191="""","""",IF(OR(
  REGEXMATCH(B191,""Live|Webinário|Virtual|Verbete""),
  REGEXMATCH(B191,""online"")
),""Virtual"",
IF(REGEXMATCH(B191,""Música|Álbum|Filme|Documentário|Série|Podcast|Rádio|Audiotour|Episódio|Reportagem|Curta|Charge|Vídeo|Entrevis"&amp;"ta|Notícia|Artigo de opinião""),
""Midiático"",
IF(REGEXMATCH(B191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91" s="21" t="str">
        <f>IFERROR(__xludf.DUMMYFUNCTION("IF(C191=""rememoração"", ""Insira a data manualmente"", IF(C191=""difusão"", 
 IF(NOT(ISERROR(REGEXEXTRACT(T191, ""(\d{1,2}) jan\. 2025""))), 
  TEXT(DATE(2025,1,REGEXEXTRACT(T191, ""(\d{1,2}) jan\. 2025"")), ""dd/mm/yyyy""),
 IF(NOT(ISERROR(REGEXEXTRACT("&amp;"T191, ""(\d{1,2}) fev\. 2025""))), 
  TEXT(DATE(2025,2,REGEXEXTRACT(T191, ""(\d{1,2}) fev\. 2025"")), ""dd/mm/yyyy""),
 IF(NOT(ISERROR(REGEXEXTRACT(T191, ""(\d{1,2}) mar\. 2025""))), 
  TEXT(DATE(2025,3,REGEXEXTRACT(T191, ""(\d{1,2}) mar\. 2025"")), ""dd/"&amp;"mm/yyyy""),
 IF(NOT(ISERROR(REGEXEXTRACT(T191, ""(\d{1,2}) abr\. 2025""))), 
  TEXT(DATE(2025,4,REGEXEXTRACT(T191, ""(\d{1,2}) abr\. 2025"")), ""dd/mm/yyyy""),
 IF(NOT(ISERROR(REGEXEXTRACT(T191, ""(\d{1,2}) (mai|maio)\. 2025""))), 
  TEXT(DATE(2025,5,REGE"&amp;"XEXTRACT(T191, ""(\d{1,2}) (mai|maio)\. 2025"")), ""dd/mm/yyyy""),
 IF(NOT(ISERROR(REGEXEXTRACT(T191, ""(\d{1,2}) jun\. 2025""))), 
  TEXT(DATE(2025,6,REGEXEXTRACT(T191, ""(\d{1,2}) jun\. 2025"")), ""dd/mm/yyyy""),
 IF(NOT(ISERROR(REGEXEXTRACT(T191, ""(\d"&amp;"{1,2}) jul\. 2025""))), 
  TEXT(DATE(2025,7,REGEXEXTRACT(T191, ""(\d{1,2}) jul\. 2025"")), ""dd/mm/yyyy""),
 IF(NOT(ISERROR(REGEXEXTRACT(T191, ""(\d{1,2}) ago\. 2025""))), 
  TEXT(DATE(2025,8,REGEXEXTRACT(T191, ""(\d{1,2}) ago\. 2025"")), ""dd/mm/yyyy""),"&amp;"
 IF(NOT(ISERROR(REGEXEXTRACT(T191, ""(\d{1,2}) set\. 2025""))), 
  TEXT(DATE(2025,9,REGEXEXTRACT(T191, ""(\d{1,2}) set\. 2025"")), ""dd/mm/yyyy""),
 IF(NOT(ISERROR(REGEXEXTRACT(T191, ""(\d{1,2}) out\. 2025""))), 
  TEXT(DATE(2025,10,REGEXEXTRACT(T191, """&amp;"(\d{1,2}) out\. 2025"")), ""dd/mm/yyyy""),
 IF(NOT(ISERROR(REGEXEXTRACT(T191, ""(\d{1,2}) nov\. 2025""))), 
  TEXT(DATE(2025,11,REGEXEXTRACT(T191, ""(\d{1,2}) nov\. 2025"")), ""dd/mm/yyyy""),
 IF(NOT(ISERROR(REGEXEXTRACT(T191, ""(\d{1,2}) dez\. 2025""))),"&amp;" 
  TEXT(DATE(2025,12,REGEXEXTRACT(T191, ""(\d{1,2}) dez\. 2025"")), ""dd/mm/yyyy""),
 ""Insira a data manualmente"")))))))))))), """"))"),"31/10/2025")</f>
        <v>31/10/2025</v>
      </c>
      <c r="H191" s="22">
        <f t="shared" si="1"/>
        <v>2025</v>
      </c>
      <c r="I191" s="18" t="str">
        <f>IFERROR(__xludf.DUMMYFUNCTION("IF(REGEXMATCH(T191,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IF(REGEXMATCH(T191, ""(?i)\bBrasília\b""), ""Distrito Federal, Brasil"",
REGEXEXTRACT(T191,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91" s="30" t="s">
        <v>93</v>
      </c>
      <c r="K191" s="24" t="s">
        <v>509</v>
      </c>
      <c r="L191" s="24" t="s">
        <v>26</v>
      </c>
      <c r="M191" s="25" t="s">
        <v>27</v>
      </c>
      <c r="N191" s="18" t="str">
        <f t="shared" si="8"/>
        <v>Gazeta do Povo</v>
      </c>
      <c r="O191" s="17" t="s">
        <v>28</v>
      </c>
      <c r="P191" s="17" t="s">
        <v>251</v>
      </c>
      <c r="Q191" s="26">
        <v>45964.0</v>
      </c>
      <c r="R191" s="17" t="s">
        <v>37</v>
      </c>
      <c r="S191" s="27" t="str">
        <f t="shared" si="3"/>
        <v>Aqui</v>
      </c>
      <c r="T191" s="29" t="s">
        <v>510</v>
      </c>
      <c r="U191" s="29"/>
    </row>
    <row r="192">
      <c r="A192" s="16">
        <v>190.0</v>
      </c>
      <c r="B192" s="17" t="s">
        <v>23</v>
      </c>
      <c r="C192" s="18" t="str">
        <f>IFERROR(__xludf.DUMMYFUNCTION("IF(B192="""","""",IF(OR(
  REGEXMATCH(B192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REGEXMATCH(B192,""Notícia|Reportagem|Artigo de opinião|Verbete"")
),""Difusão"","""")))
"),"Difusão")</f>
        <v>Difusão</v>
      </c>
      <c r="D192" s="19" t="str">
        <f>IFERROR(__xludf.DUMMYFUNCTION("IF(B192="""","""",IF(OR(
  REGEXMATCH(B192,""Performance|Instalação|Álbum|Música|Poema|Livro|Filme|Documentário|Recitação|Espetáculo|Peça|Intervenção|Desfile|Fotografia|Exposição|Charge|Grafite|Leitura pública|Fabricação de cachaça artesanal""),
  REGEXMA"&amp;"TCH(B192,""dança|teatral|artístico|musical|artística"")
),""Manifestação artístico-cultural"",
IF(OR(
  REGEXMATCH(B192,""Crônica|Série|Reportagem|Podcast|Audiotour|Entrevista|Vídeo|Rádio|Notícia|Artigo de opinião|Coletiva de imprensa""),
  REGEXMATCH(B19"&amp;"2,""midiática"")
),""Produção midiática"","""")))
"),"Produção midiática")</f>
        <v>Produção midiática</v>
      </c>
      <c r="E192" s="20" t="str">
        <f>IFERROR(__xludf.DUMMYFUNCTION("IF(B192="""","""",IF(OR(
  REGEXMATCH(B192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REGEXMATCH(B192,""público|Imediato|artística|teatral|memória|Ação popular"")
),""Público Imediato"",
IF(REGEXMATCH(B192,""Música|Álbum|Filme|Documentár"&amp;"io|Série|Podcast|Rádio|Audiotour|Entrevista|Reportagem|Crônica|Relatório|Abaixo-assinado|Manifesto|Petição|Poema|Livro|Fotografia|Curta|Live|Webinário|Charge|Leitura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92" s="20" t="str">
        <f>IFERROR(__xludf.DUMMYFUNCTION("IF(B192="""","""",IF(OR(
  REGEXMATCH(B192,""Live|Webinário|Virtual|Verbete""),
  REGEXMATCH(B192,""online"")
),""Virtual"",
IF(REGEXMATCH(B192,""Música|Álbum|Filme|Documentário|Série|Podcast|Rádio|Audiotour|Episódio|Reportagem|Curta|Charge|Vídeo|Entrevis"&amp;"ta|Notícia|Artigo de opinião""),
""Midiático"",
IF(REGEXMATCH(B192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92" s="21" t="str">
        <f>IFERROR(__xludf.DUMMYFUNCTION("IF(C192=""rememoração"", ""Insira a data manualmente"", IF(C192=""difusão"", 
 IF(NOT(ISERROR(REGEXEXTRACT(T192, ""(\d{1,2}) jan\. 2025""))), 
  TEXT(DATE(2025,1,REGEXEXTRACT(T192, ""(\d{1,2}) jan\. 2025"")), ""dd/mm/yyyy""),
 IF(NOT(ISERROR(REGEXEXTRACT("&amp;"T192, ""(\d{1,2}) fev\. 2025""))), 
  TEXT(DATE(2025,2,REGEXEXTRACT(T192, ""(\d{1,2}) fev\. 2025"")), ""dd/mm/yyyy""),
 IF(NOT(ISERROR(REGEXEXTRACT(T192, ""(\d{1,2}) mar\. 2025""))), 
  TEXT(DATE(2025,3,REGEXEXTRACT(T192, ""(\d{1,2}) mar\. 2025"")), ""dd/"&amp;"mm/yyyy""),
 IF(NOT(ISERROR(REGEXEXTRACT(T192, ""(\d{1,2}) abr\. 2025""))), 
  TEXT(DATE(2025,4,REGEXEXTRACT(T192, ""(\d{1,2}) abr\. 2025"")), ""dd/mm/yyyy""),
 IF(NOT(ISERROR(REGEXEXTRACT(T192, ""(\d{1,2}) (mai|maio)\. 2025""))), 
  TEXT(DATE(2025,5,REGE"&amp;"XEXTRACT(T192, ""(\d{1,2}) (mai|maio)\. 2025"")), ""dd/mm/yyyy""),
 IF(NOT(ISERROR(REGEXEXTRACT(T192, ""(\d{1,2}) jun\. 2025""))), 
  TEXT(DATE(2025,6,REGEXEXTRACT(T192, ""(\d{1,2}) jun\. 2025"")), ""dd/mm/yyyy""),
 IF(NOT(ISERROR(REGEXEXTRACT(T192, ""(\d"&amp;"{1,2}) jul\. 2025""))), 
  TEXT(DATE(2025,7,REGEXEXTRACT(T192, ""(\d{1,2}) jul\. 2025"")), ""dd/mm/yyyy""),
 IF(NOT(ISERROR(REGEXEXTRACT(T192, ""(\d{1,2}) ago\. 2025""))), 
  TEXT(DATE(2025,8,REGEXEXTRACT(T192, ""(\d{1,2}) ago\. 2025"")), ""dd/mm/yyyy""),"&amp;"
 IF(NOT(ISERROR(REGEXEXTRACT(T192, ""(\d{1,2}) set\. 2025""))), 
  TEXT(DATE(2025,9,REGEXEXTRACT(T192, ""(\d{1,2}) set\. 2025"")), ""dd/mm/yyyy""),
 IF(NOT(ISERROR(REGEXEXTRACT(T192, ""(\d{1,2}) out\. 2025""))), 
  TEXT(DATE(2025,10,REGEXEXTRACT(T192, """&amp;"(\d{1,2}) out\. 2025"")), ""dd/mm/yyyy""),
 IF(NOT(ISERROR(REGEXEXTRACT(T192, ""(\d{1,2}) nov\. 2025""))), 
  TEXT(DATE(2025,11,REGEXEXTRACT(T192, ""(\d{1,2}) nov\. 2025"")), ""dd/mm/yyyy""),
 IF(NOT(ISERROR(REGEXEXTRACT(T192, ""(\d{1,2}) dez\. 2025""))),"&amp;" 
  TEXT(DATE(2025,12,REGEXEXTRACT(T192, ""(\d{1,2}) dez\. 2025"")), ""dd/mm/yyyy""),
 ""Insira a data manualmente"")))))))))))), """"))"),"31/10/2025")</f>
        <v>31/10/2025</v>
      </c>
      <c r="H192" s="22">
        <f t="shared" si="1"/>
        <v>2025</v>
      </c>
      <c r="I192" s="18" t="str">
        <f>IFERROR(__xludf.DUMMYFUNCTION("IF(REGEXMATCH(T192,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IF(REGEXMATCH(T192, ""(?i)\bBrasília\b""), ""Distrito Federal, Brasil"",
REGEXEXTRACT(T192,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92" s="30" t="s">
        <v>93</v>
      </c>
      <c r="K192" s="24" t="s">
        <v>511</v>
      </c>
      <c r="L192" s="24" t="s">
        <v>26</v>
      </c>
      <c r="M192" s="25" t="s">
        <v>27</v>
      </c>
      <c r="N192" s="18" t="str">
        <f t="shared" si="8"/>
        <v>Gazeta do Povo</v>
      </c>
      <c r="O192" s="17" t="s">
        <v>28</v>
      </c>
      <c r="P192" s="17" t="s">
        <v>251</v>
      </c>
      <c r="Q192" s="26">
        <v>45964.0</v>
      </c>
      <c r="R192" s="17" t="s">
        <v>37</v>
      </c>
      <c r="S192" s="27" t="str">
        <f t="shared" si="3"/>
        <v>Aqui</v>
      </c>
      <c r="T192" s="29" t="s">
        <v>512</v>
      </c>
      <c r="U192" s="29"/>
    </row>
    <row r="193">
      <c r="A193" s="16">
        <v>191.0</v>
      </c>
      <c r="B193" s="17" t="s">
        <v>23</v>
      </c>
      <c r="C193" s="18" t="str">
        <f>IFERROR(__xludf.DUMMYFUNCTION("IF(B193="""","""",IF(OR(
  REGEXMATCH(B193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REGEXMATCH(B193,""Notícia|Reportagem|Artigo de opinião|Verbete"")
),""Difusão"","""")))
"),"Difusão")</f>
        <v>Difusão</v>
      </c>
      <c r="D193" s="19" t="str">
        <f>IFERROR(__xludf.DUMMYFUNCTION("IF(B193="""","""",IF(OR(
  REGEXMATCH(B193,""Performance|Instalação|Álbum|Música|Poema|Livro|Filme|Documentário|Recitação|Espetáculo|Peça|Intervenção|Desfile|Fotografia|Exposição|Charge|Grafite|Leitura pública|Fabricação de cachaça artesanal""),
  REGEXMA"&amp;"TCH(B193,""dança|teatral|artístico|musical|artística"")
),""Manifestação artístico-cultural"",
IF(OR(
  REGEXMATCH(B193,""Crônica|Série|Reportagem|Podcast|Audiotour|Entrevista|Vídeo|Rádio|Notícia|Artigo de opinião|Coletiva de imprensa""),
  REGEXMATCH(B19"&amp;"3,""midiática"")
),""Produção midiática"","""")))
"),"Produção midiática")</f>
        <v>Produção midiática</v>
      </c>
      <c r="E193" s="20" t="str">
        <f>IFERROR(__xludf.DUMMYFUNCTION("IF(B193="""","""",IF(OR(
  REGEXMATCH(B193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REGEXMATCH(B193,""público|Imediato|artística|teatral|memória|Ação popular"")
),""Público Imediato"",
IF(REGEXMATCH(B193,""Música|Álbum|Filme|Documentár"&amp;"io|Série|Podcast|Rádio|Audiotour|Entrevista|Reportagem|Crônica|Relatório|Abaixo-assinado|Manifesto|Petição|Poema|Livro|Fotografia|Curta|Live|Webinário|Charge|Leitura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93" s="20" t="str">
        <f>IFERROR(__xludf.DUMMYFUNCTION("IF(B193="""","""",IF(OR(
  REGEXMATCH(B193,""Live|Webinário|Virtual|Verbete""),
  REGEXMATCH(B193,""online"")
),""Virtual"",
IF(REGEXMATCH(B193,""Música|Álbum|Filme|Documentário|Série|Podcast|Rádio|Audiotour|Episódio|Reportagem|Curta|Charge|Vídeo|Entrevis"&amp;"ta|Notícia|Artigo de opinião""),
""Midiático"",
IF(REGEXMATCH(B193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93" s="21" t="str">
        <f>IFERROR(__xludf.DUMMYFUNCTION("IF(C193=""rememoração"", ""Insira a data manualmente"", IF(C193=""difusão"", 
 IF(NOT(ISERROR(REGEXEXTRACT(T193, ""(\d{1,2}) jan\. 2025""))), 
  TEXT(DATE(2025,1,REGEXEXTRACT(T193, ""(\d{1,2}) jan\. 2025"")), ""dd/mm/yyyy""),
 IF(NOT(ISERROR(REGEXEXTRACT("&amp;"T193, ""(\d{1,2}) fev\. 2025""))), 
  TEXT(DATE(2025,2,REGEXEXTRACT(T193, ""(\d{1,2}) fev\. 2025"")), ""dd/mm/yyyy""),
 IF(NOT(ISERROR(REGEXEXTRACT(T193, ""(\d{1,2}) mar\. 2025""))), 
  TEXT(DATE(2025,3,REGEXEXTRACT(T193, ""(\d{1,2}) mar\. 2025"")), ""dd/"&amp;"mm/yyyy""),
 IF(NOT(ISERROR(REGEXEXTRACT(T193, ""(\d{1,2}) abr\. 2025""))), 
  TEXT(DATE(2025,4,REGEXEXTRACT(T193, ""(\d{1,2}) abr\. 2025"")), ""dd/mm/yyyy""),
 IF(NOT(ISERROR(REGEXEXTRACT(T193, ""(\d{1,2}) (mai|maio)\. 2025""))), 
  TEXT(DATE(2025,5,REGE"&amp;"XEXTRACT(T193, ""(\d{1,2}) (mai|maio)\. 2025"")), ""dd/mm/yyyy""),
 IF(NOT(ISERROR(REGEXEXTRACT(T193, ""(\d{1,2}) jun\. 2025""))), 
  TEXT(DATE(2025,6,REGEXEXTRACT(T193, ""(\d{1,2}) jun\. 2025"")), ""dd/mm/yyyy""),
 IF(NOT(ISERROR(REGEXEXTRACT(T193, ""(\d"&amp;"{1,2}) jul\. 2025""))), 
  TEXT(DATE(2025,7,REGEXEXTRACT(T193, ""(\d{1,2}) jul\. 2025"")), ""dd/mm/yyyy""),
 IF(NOT(ISERROR(REGEXEXTRACT(T193, ""(\d{1,2}) ago\. 2025""))), 
  TEXT(DATE(2025,8,REGEXEXTRACT(T193, ""(\d{1,2}) ago\. 2025"")), ""dd/mm/yyyy""),"&amp;"
 IF(NOT(ISERROR(REGEXEXTRACT(T193, ""(\d{1,2}) set\. 2025""))), 
  TEXT(DATE(2025,9,REGEXEXTRACT(T193, ""(\d{1,2}) set\. 2025"")), ""dd/mm/yyyy""),
 IF(NOT(ISERROR(REGEXEXTRACT(T193, ""(\d{1,2}) out\. 2025""))), 
  TEXT(DATE(2025,10,REGEXEXTRACT(T193, """&amp;"(\d{1,2}) out\. 2025"")), ""dd/mm/yyyy""),
 IF(NOT(ISERROR(REGEXEXTRACT(T193, ""(\d{1,2}) nov\. 2025""))), 
  TEXT(DATE(2025,11,REGEXEXTRACT(T193, ""(\d{1,2}) nov\. 2025"")), ""dd/mm/yyyy""),
 IF(NOT(ISERROR(REGEXEXTRACT(T193, ""(\d{1,2}) dez\. 2025""))),"&amp;" 
  TEXT(DATE(2025,12,REGEXEXTRACT(T193, ""(\d{1,2}) dez\. 2025"")), ""dd/mm/yyyy""),
 ""Insira a data manualmente"")))))))))))), """"))"),"04/11/2025")</f>
        <v>04/11/2025</v>
      </c>
      <c r="H193" s="22">
        <f t="shared" si="1"/>
        <v>2025</v>
      </c>
      <c r="I193" s="18" t="str">
        <f>IFERROR(__xludf.DUMMYFUNCTION("IF(REGEXMATCH(T193,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IF(REGEXMATCH(T193, ""(?i)\bBrasília\b""), ""Distrito Federal, Brasil"",
REGEXEXTRACT(T193,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93" s="30" t="s">
        <v>32</v>
      </c>
      <c r="K193" s="24" t="s">
        <v>513</v>
      </c>
      <c r="L193" s="24" t="s">
        <v>26</v>
      </c>
      <c r="M193" s="25" t="s">
        <v>27</v>
      </c>
      <c r="N193" s="18" t="str">
        <f t="shared" si="8"/>
        <v>Agência Brasil</v>
      </c>
      <c r="O193" s="17" t="s">
        <v>28</v>
      </c>
      <c r="P193" s="17" t="s">
        <v>251</v>
      </c>
      <c r="Q193" s="26">
        <v>45964.0</v>
      </c>
      <c r="R193" s="17" t="s">
        <v>30</v>
      </c>
      <c r="S193" s="27" t="str">
        <f t="shared" si="3"/>
        <v>Aqui</v>
      </c>
      <c r="T193" s="29" t="s">
        <v>514</v>
      </c>
      <c r="U193" s="29"/>
    </row>
    <row r="194">
      <c r="A194" s="16">
        <v>192.0</v>
      </c>
      <c r="B194" s="17" t="s">
        <v>23</v>
      </c>
      <c r="C194" s="18" t="str">
        <f>IFERROR(__xludf.DUMMYFUNCTION("IF(B194="""","""",IF(OR(
  REGEXMATCH(B194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REGEXMATCH(B194,""Notícia|Reportagem|Artigo de opinião|Verbete"")
),""Difusão"","""")))
"),"Difusão")</f>
        <v>Difusão</v>
      </c>
      <c r="D194" s="19" t="str">
        <f>IFERROR(__xludf.DUMMYFUNCTION("IF(B194="""","""",IF(OR(
  REGEXMATCH(B194,""Performance|Instalação|Álbum|Música|Poema|Livro|Filme|Documentário|Recitação|Espetáculo|Peça|Intervenção|Desfile|Fotografia|Exposição|Charge|Grafite|Leitura pública|Fabricação de cachaça artesanal""),
  REGEXMA"&amp;"TCH(B194,""dança|teatral|artístico|musical|artística"")
),""Manifestação artístico-cultural"",
IF(OR(
  REGEXMATCH(B194,""Crônica|Série|Reportagem|Podcast|Audiotour|Entrevista|Vídeo|Rádio|Notícia|Artigo de opinião|Coletiva de imprensa""),
  REGEXMATCH(B19"&amp;"4,""midiática"")
),""Produção midiática"","""")))
"),"Produção midiática")</f>
        <v>Produção midiática</v>
      </c>
      <c r="E194" s="20" t="str">
        <f>IFERROR(__xludf.DUMMYFUNCTION("IF(B194="""","""",IF(OR(
  REGEXMATCH(B194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REGEXMATCH(B194,""público|Imediato|artística|teatral|memória|Ação popular"")
),""Público Imediato"",
IF(REGEXMATCH(B194,""Música|Álbum|Filme|Documentár"&amp;"io|Série|Podcast|Rádio|Audiotour|Entrevista|Reportagem|Crônica|Relatório|Abaixo-assinado|Manifesto|Petição|Poema|Livro|Fotografia|Curta|Live|Webinário|Charge|Leitura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94" s="20" t="str">
        <f>IFERROR(__xludf.DUMMYFUNCTION("IF(B194="""","""",IF(OR(
  REGEXMATCH(B194,""Live|Webinário|Virtual|Verbete""),
  REGEXMATCH(B194,""online"")
),""Virtual"",
IF(REGEXMATCH(B194,""Música|Álbum|Filme|Documentário|Série|Podcast|Rádio|Audiotour|Episódio|Reportagem|Curta|Charge|Vídeo|Entrevis"&amp;"ta|Notícia|Artigo de opinião""),
""Midiático"",
IF(REGEXMATCH(B194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94" s="21" t="str">
        <f>IFERROR(__xludf.DUMMYFUNCTION("IF(C194=""rememoração"", ""Insira a data manualmente"", IF(C194=""difusão"", 
 IF(NOT(ISERROR(REGEXEXTRACT(T194, ""(\d{1,2}) jan\. 2025""))), 
  TEXT(DATE(2025,1,REGEXEXTRACT(T194, ""(\d{1,2}) jan\. 2025"")), ""dd/mm/yyyy""),
 IF(NOT(ISERROR(REGEXEXTRACT("&amp;"T194, ""(\d{1,2}) fev\. 2025""))), 
  TEXT(DATE(2025,2,REGEXEXTRACT(T194, ""(\d{1,2}) fev\. 2025"")), ""dd/mm/yyyy""),
 IF(NOT(ISERROR(REGEXEXTRACT(T194, ""(\d{1,2}) mar\. 2025""))), 
  TEXT(DATE(2025,3,REGEXEXTRACT(T194, ""(\d{1,2}) mar\. 2025"")), ""dd/"&amp;"mm/yyyy""),
 IF(NOT(ISERROR(REGEXEXTRACT(T194, ""(\d{1,2}) abr\. 2025""))), 
  TEXT(DATE(2025,4,REGEXEXTRACT(T194, ""(\d{1,2}) abr\. 2025"")), ""dd/mm/yyyy""),
 IF(NOT(ISERROR(REGEXEXTRACT(T194, ""(\d{1,2}) (mai|maio)\. 2025""))), 
  TEXT(DATE(2025,5,REGE"&amp;"XEXTRACT(T194, ""(\d{1,2}) (mai|maio)\. 2025"")), ""dd/mm/yyyy""),
 IF(NOT(ISERROR(REGEXEXTRACT(T194, ""(\d{1,2}) jun\. 2025""))), 
  TEXT(DATE(2025,6,REGEXEXTRACT(T194, ""(\d{1,2}) jun\. 2025"")), ""dd/mm/yyyy""),
 IF(NOT(ISERROR(REGEXEXTRACT(T194, ""(\d"&amp;"{1,2}) jul\. 2025""))), 
  TEXT(DATE(2025,7,REGEXEXTRACT(T194, ""(\d{1,2}) jul\. 2025"")), ""dd/mm/yyyy""),
 IF(NOT(ISERROR(REGEXEXTRACT(T194, ""(\d{1,2}) ago\. 2025""))), 
  TEXT(DATE(2025,8,REGEXEXTRACT(T194, ""(\d{1,2}) ago\. 2025"")), ""dd/mm/yyyy""),"&amp;"
 IF(NOT(ISERROR(REGEXEXTRACT(T194, ""(\d{1,2}) set\. 2025""))), 
  TEXT(DATE(2025,9,REGEXEXTRACT(T194, ""(\d{1,2}) set\. 2025"")), ""dd/mm/yyyy""),
 IF(NOT(ISERROR(REGEXEXTRACT(T194, ""(\d{1,2}) out\. 2025""))), 
  TEXT(DATE(2025,10,REGEXEXTRACT(T194, """&amp;"(\d{1,2}) out\. 2025"")), ""dd/mm/yyyy""),
 IF(NOT(ISERROR(REGEXEXTRACT(T194, ""(\d{1,2}) nov\. 2025""))), 
  TEXT(DATE(2025,11,REGEXEXTRACT(T194, ""(\d{1,2}) nov\. 2025"")), ""dd/mm/yyyy""),
 IF(NOT(ISERROR(REGEXEXTRACT(T194, ""(\d{1,2}) dez\. 2025""))),"&amp;" 
  TEXT(DATE(2025,12,REGEXEXTRACT(T194, ""(\d{1,2}) dez\. 2025"")), ""dd/mm/yyyy""),
 ""Insira a data manualmente"")))))))))))), """"))"),"09/11/2025")</f>
        <v>09/11/2025</v>
      </c>
      <c r="H194" s="22">
        <f t="shared" si="1"/>
        <v>2025</v>
      </c>
      <c r="I194" s="18" t="str">
        <f>IFERROR(__xludf.DUMMYFUNCTION("IF(REGEXMATCH(T194,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IF(REGEXMATCH(T194, ""(?i)\bBrasília\b""), ""Distrito Federal, Brasil"",
REGEXEXTRACT(T194,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94" s="30" t="s">
        <v>32</v>
      </c>
      <c r="K194" s="24" t="s">
        <v>515</v>
      </c>
      <c r="L194" s="24" t="s">
        <v>26</v>
      </c>
      <c r="M194" s="25" t="s">
        <v>27</v>
      </c>
      <c r="N194" s="18" t="str">
        <f t="shared" si="8"/>
        <v>Agência Brasil</v>
      </c>
      <c r="O194" s="17" t="s">
        <v>28</v>
      </c>
      <c r="P194" s="17" t="s">
        <v>251</v>
      </c>
      <c r="Q194" s="26">
        <v>45964.0</v>
      </c>
      <c r="R194" s="17" t="s">
        <v>30</v>
      </c>
      <c r="S194" s="27" t="str">
        <f t="shared" si="3"/>
        <v>Aqui</v>
      </c>
      <c r="T194" s="29" t="s">
        <v>516</v>
      </c>
      <c r="U194" s="29"/>
    </row>
    <row r="195">
      <c r="A195" s="16">
        <v>193.0</v>
      </c>
      <c r="B195" s="17" t="s">
        <v>23</v>
      </c>
      <c r="C195" s="18" t="str">
        <f>IFERROR(__xludf.DUMMYFUNCTION("IF(B195="""","""",IF(OR(
  REGEXMATCH(B195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REGEXMATCH(B195,""Notícia|Reportagem|Artigo de opinião|Verbete"")
),""Difusão"","""")))
"),"Difusão")</f>
        <v>Difusão</v>
      </c>
      <c r="D195" s="19" t="str">
        <f>IFERROR(__xludf.DUMMYFUNCTION("IF(B195="""","""",IF(OR(
  REGEXMATCH(B195,""Performance|Instalação|Álbum|Música|Poema|Livro|Filme|Documentário|Recitação|Espetáculo|Peça|Intervenção|Desfile|Fotografia|Exposição|Charge|Grafite|Leitura pública|Fabricação de cachaça artesanal""),
  REGEXMA"&amp;"TCH(B195,""dança|teatral|artístico|musical|artística"")
),""Manifestação artístico-cultural"",
IF(OR(
  REGEXMATCH(B195,""Crônica|Série|Reportagem|Podcast|Audiotour|Entrevista|Vídeo|Rádio|Notícia|Artigo de opinião|Coletiva de imprensa""),
  REGEXMATCH(B19"&amp;"5,""midiática"")
),""Produção midiática"","""")))
"),"Produção midiática")</f>
        <v>Produção midiática</v>
      </c>
      <c r="E195" s="20" t="str">
        <f>IFERROR(__xludf.DUMMYFUNCTION("IF(B195="""","""",IF(OR(
  REGEXMATCH(B195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REGEXMATCH(B195,""público|Imediato|artística|teatral|memória|Ação popular"")
),""Público Imediato"",
IF(REGEXMATCH(B195,""Música|Álbum|Filme|Documentár"&amp;"io|Série|Podcast|Rádio|Audiotour|Entrevista|Reportagem|Crônica|Relatório|Abaixo-assinado|Manifesto|Petição|Poema|Livro|Fotografia|Curta|Live|Webinário|Charge|Leitura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95" s="20" t="str">
        <f>IFERROR(__xludf.DUMMYFUNCTION("IF(B195="""","""",IF(OR(
  REGEXMATCH(B195,""Live|Webinário|Virtual|Verbete""),
  REGEXMATCH(B195,""online"")
),""Virtual"",
IF(REGEXMATCH(B195,""Música|Álbum|Filme|Documentário|Série|Podcast|Rádio|Audiotour|Episódio|Reportagem|Curta|Charge|Vídeo|Entrevis"&amp;"ta|Notícia|Artigo de opinião""),
""Midiático"",
IF(REGEXMATCH(B195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95" s="21" t="str">
        <f>IFERROR(__xludf.DUMMYFUNCTION("IF(C195=""rememoração"", ""Insira a data manualmente"", IF(C195=""difusão"", 
 IF(NOT(ISERROR(REGEXEXTRACT(T195, ""(\d{1,2}) jan\. 2025""))), 
  TEXT(DATE(2025,1,REGEXEXTRACT(T195, ""(\d{1,2}) jan\. 2025"")), ""dd/mm/yyyy""),
 IF(NOT(ISERROR(REGEXEXTRACT("&amp;"T195, ""(\d{1,2}) fev\. 2025""))), 
  TEXT(DATE(2025,2,REGEXEXTRACT(T195, ""(\d{1,2}) fev\. 2025"")), ""dd/mm/yyyy""),
 IF(NOT(ISERROR(REGEXEXTRACT(T195, ""(\d{1,2}) mar\. 2025""))), 
  TEXT(DATE(2025,3,REGEXEXTRACT(T195, ""(\d{1,2}) mar\. 2025"")), ""dd/"&amp;"mm/yyyy""),
 IF(NOT(ISERROR(REGEXEXTRACT(T195, ""(\d{1,2}) abr\. 2025""))), 
  TEXT(DATE(2025,4,REGEXEXTRACT(T195, ""(\d{1,2}) abr\. 2025"")), ""dd/mm/yyyy""),
 IF(NOT(ISERROR(REGEXEXTRACT(T195, ""(\d{1,2}) (mai|maio)\. 2025""))), 
  TEXT(DATE(2025,5,REGE"&amp;"XEXTRACT(T195, ""(\d{1,2}) (mai|maio)\. 2025"")), ""dd/mm/yyyy""),
 IF(NOT(ISERROR(REGEXEXTRACT(T195, ""(\d{1,2}) jun\. 2025""))), 
  TEXT(DATE(2025,6,REGEXEXTRACT(T195, ""(\d{1,2}) jun\. 2025"")), ""dd/mm/yyyy""),
 IF(NOT(ISERROR(REGEXEXTRACT(T195, ""(\d"&amp;"{1,2}) jul\. 2025""))), 
  TEXT(DATE(2025,7,REGEXEXTRACT(T195, ""(\d{1,2}) jul\. 2025"")), ""dd/mm/yyyy""),
 IF(NOT(ISERROR(REGEXEXTRACT(T195, ""(\d{1,2}) ago\. 2025""))), 
  TEXT(DATE(2025,8,REGEXEXTRACT(T195, ""(\d{1,2}) ago\. 2025"")), ""dd/mm/yyyy""),"&amp;"
 IF(NOT(ISERROR(REGEXEXTRACT(T195, ""(\d{1,2}) set\. 2025""))), 
  TEXT(DATE(2025,9,REGEXEXTRACT(T195, ""(\d{1,2}) set\. 2025"")), ""dd/mm/yyyy""),
 IF(NOT(ISERROR(REGEXEXTRACT(T195, ""(\d{1,2}) out\. 2025""))), 
  TEXT(DATE(2025,10,REGEXEXTRACT(T195, """&amp;"(\d{1,2}) out\. 2025"")), ""dd/mm/yyyy""),
 IF(NOT(ISERROR(REGEXEXTRACT(T195, ""(\d{1,2}) nov\. 2025""))), 
  TEXT(DATE(2025,11,REGEXEXTRACT(T195, ""(\d{1,2}) nov\. 2025"")), ""dd/mm/yyyy""),
 IF(NOT(ISERROR(REGEXEXTRACT(T195, ""(\d{1,2}) dez\. 2025""))),"&amp;" 
  TEXT(DATE(2025,12,REGEXEXTRACT(T195, ""(\d{1,2}) dez\. 2025"")), ""dd/mm/yyyy""),
 ""Insira a data manualmente"")))))))))))), """"))"),"28/10/2025")</f>
        <v>28/10/2025</v>
      </c>
      <c r="H195" s="22">
        <f t="shared" si="1"/>
        <v>2025</v>
      </c>
      <c r="I195" s="18" t="str">
        <f>IFERROR(__xludf.DUMMYFUNCTION("IF(REGEXMATCH(T195,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IF(REGEXMATCH(T195, ""(?i)\bBrasília\b""), ""Distrito Federal, Brasil"",
REGEXEXTRACT(T195,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95" s="30" t="s">
        <v>336</v>
      </c>
      <c r="K195" s="24" t="s">
        <v>517</v>
      </c>
      <c r="L195" s="24" t="s">
        <v>26</v>
      </c>
      <c r="M195" s="25" t="s">
        <v>27</v>
      </c>
      <c r="N195" s="18" t="str">
        <f t="shared" si="8"/>
        <v>G1</v>
      </c>
      <c r="O195" s="17" t="s">
        <v>28</v>
      </c>
      <c r="P195" s="17" t="s">
        <v>251</v>
      </c>
      <c r="Q195" s="26">
        <v>45972.0</v>
      </c>
      <c r="R195" s="17" t="s">
        <v>30</v>
      </c>
      <c r="S195" s="27" t="str">
        <f t="shared" si="3"/>
        <v>Aqui</v>
      </c>
      <c r="T195" s="29" t="s">
        <v>518</v>
      </c>
      <c r="U195" s="29"/>
    </row>
    <row r="196">
      <c r="A196" s="16">
        <v>194.0</v>
      </c>
      <c r="B196" s="17" t="s">
        <v>23</v>
      </c>
      <c r="C196" s="18" t="str">
        <f>IFERROR(__xludf.DUMMYFUNCTION("IF(B196="""","""",IF(OR(
  REGEXMATCH(B196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REGEXMATCH(B196,""Notícia|Reportagem|Artigo de opinião|Verbete"")
),""Difusão"","""")))
"),"Difusão")</f>
        <v>Difusão</v>
      </c>
      <c r="D196" s="19" t="str">
        <f>IFERROR(__xludf.DUMMYFUNCTION("IF(B196="""","""",IF(OR(
  REGEXMATCH(B196,""Performance|Instalação|Álbum|Música|Poema|Livro|Filme|Documentário|Recitação|Espetáculo|Peça|Intervenção|Desfile|Fotografia|Exposição|Charge|Grafite|Leitura pública|Fabricação de cachaça artesanal""),
  REGEXMA"&amp;"TCH(B196,""dança|teatral|artístico|musical|artística"")
),""Manifestação artístico-cultural"",
IF(OR(
  REGEXMATCH(B196,""Crônica|Série|Reportagem|Podcast|Audiotour|Entrevista|Vídeo|Rádio|Notícia|Artigo de opinião|Coletiva de imprensa""),
  REGEXMATCH(B19"&amp;"6,""midiática"")
),""Produção midiática"","""")))
"),"Produção midiática")</f>
        <v>Produção midiática</v>
      </c>
      <c r="E196" s="20" t="str">
        <f>IFERROR(__xludf.DUMMYFUNCTION("IF(B196="""","""",IF(OR(
  REGEXMATCH(B196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REGEXMATCH(B196,""público|Imediato|artística|teatral|memória|Ação popular"")
),""Público Imediato"",
IF(REGEXMATCH(B196,""Música|Álbum|Filme|Documentár"&amp;"io|Série|Podcast|Rádio|Audiotour|Entrevista|Reportagem|Crônica|Relatório|Abaixo-assinado|Manifesto|Petição|Poema|Livro|Fotografia|Curta|Live|Webinário|Charge|Leitura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96" s="20" t="str">
        <f>IFERROR(__xludf.DUMMYFUNCTION("IF(B196="""","""",IF(OR(
  REGEXMATCH(B196,""Live|Webinário|Virtual|Verbete""),
  REGEXMATCH(B196,""online"")
),""Virtual"",
IF(REGEXMATCH(B196,""Música|Álbum|Filme|Documentário|Série|Podcast|Rádio|Audiotour|Episódio|Reportagem|Curta|Charge|Vídeo|Entrevis"&amp;"ta|Notícia|Artigo de opinião""),
""Midiático"",
IF(REGEXMATCH(B196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96" s="21" t="str">
        <f>IFERROR(__xludf.DUMMYFUNCTION("IF(C196=""rememoração"", ""Insira a data manualmente"", IF(C196=""difusão"", 
 IF(NOT(ISERROR(REGEXEXTRACT(T196, ""(\d{1,2}) jan\. 2025""))), 
  TEXT(DATE(2025,1,REGEXEXTRACT(T196, ""(\d{1,2}) jan\. 2025"")), ""dd/mm/yyyy""),
 IF(NOT(ISERROR(REGEXEXTRACT("&amp;"T196, ""(\d{1,2}) fev\. 2025""))), 
  TEXT(DATE(2025,2,REGEXEXTRACT(T196, ""(\d{1,2}) fev\. 2025"")), ""dd/mm/yyyy""),
 IF(NOT(ISERROR(REGEXEXTRACT(T196, ""(\d{1,2}) mar\. 2025""))), 
  TEXT(DATE(2025,3,REGEXEXTRACT(T196, ""(\d{1,2}) mar\. 2025"")), ""dd/"&amp;"mm/yyyy""),
 IF(NOT(ISERROR(REGEXEXTRACT(T196, ""(\d{1,2}) abr\. 2025""))), 
  TEXT(DATE(2025,4,REGEXEXTRACT(T196, ""(\d{1,2}) abr\. 2025"")), ""dd/mm/yyyy""),
 IF(NOT(ISERROR(REGEXEXTRACT(T196, ""(\d{1,2}) (mai|maio)\. 2025""))), 
  TEXT(DATE(2025,5,REGE"&amp;"XEXTRACT(T196, ""(\d{1,2}) (mai|maio)\. 2025"")), ""dd/mm/yyyy""),
 IF(NOT(ISERROR(REGEXEXTRACT(T196, ""(\d{1,2}) jun\. 2025""))), 
  TEXT(DATE(2025,6,REGEXEXTRACT(T196, ""(\d{1,2}) jun\. 2025"")), ""dd/mm/yyyy""),
 IF(NOT(ISERROR(REGEXEXTRACT(T196, ""(\d"&amp;"{1,2}) jul\. 2025""))), 
  TEXT(DATE(2025,7,REGEXEXTRACT(T196, ""(\d{1,2}) jul\. 2025"")), ""dd/mm/yyyy""),
 IF(NOT(ISERROR(REGEXEXTRACT(T196, ""(\d{1,2}) ago\. 2025""))), 
  TEXT(DATE(2025,8,REGEXEXTRACT(T196, ""(\d{1,2}) ago\. 2025"")), ""dd/mm/yyyy""),"&amp;"
 IF(NOT(ISERROR(REGEXEXTRACT(T196, ""(\d{1,2}) set\. 2025""))), 
  TEXT(DATE(2025,9,REGEXEXTRACT(T196, ""(\d{1,2}) set\. 2025"")), ""dd/mm/yyyy""),
 IF(NOT(ISERROR(REGEXEXTRACT(T196, ""(\d{1,2}) out\. 2025""))), 
  TEXT(DATE(2025,10,REGEXEXTRACT(T196, """&amp;"(\d{1,2}) out\. 2025"")), ""dd/mm/yyyy""),
 IF(NOT(ISERROR(REGEXEXTRACT(T196, ""(\d{1,2}) nov\. 2025""))), 
  TEXT(DATE(2025,11,REGEXEXTRACT(T196, ""(\d{1,2}) nov\. 2025"")), ""dd/mm/yyyy""),
 IF(NOT(ISERROR(REGEXEXTRACT(T196, ""(\d{1,2}) dez\. 2025""))),"&amp;" 
  TEXT(DATE(2025,12,REGEXEXTRACT(T196, ""(\d{1,2}) dez\. 2025"")), ""dd/mm/yyyy""),
 ""Insira a data manualmente"")))))))))))), """"))"),"30/10/2025")</f>
        <v>30/10/2025</v>
      </c>
      <c r="H196" s="22">
        <f t="shared" si="1"/>
        <v>2025</v>
      </c>
      <c r="I196" s="18" t="str">
        <f>IFERROR(__xludf.DUMMYFUNCTION("IF(REGEXMATCH(T196,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IF(REGEXMATCH(T196, ""(?i)\bBrasília\b""), ""Distrito Federal, Brasil"",
REGEXEXTRACT(T196,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196" s="30" t="s">
        <v>32</v>
      </c>
      <c r="K196" s="24" t="s">
        <v>519</v>
      </c>
      <c r="L196" s="24" t="s">
        <v>26</v>
      </c>
      <c r="M196" s="25" t="s">
        <v>27</v>
      </c>
      <c r="N196" s="18" t="str">
        <f t="shared" si="8"/>
        <v>Agência Brasil</v>
      </c>
      <c r="O196" s="17" t="s">
        <v>28</v>
      </c>
      <c r="P196" s="17" t="s">
        <v>251</v>
      </c>
      <c r="Q196" s="26">
        <v>45972.0</v>
      </c>
      <c r="R196" s="17" t="s">
        <v>30</v>
      </c>
      <c r="S196" s="27" t="str">
        <f t="shared" si="3"/>
        <v>Aqui</v>
      </c>
      <c r="T196" s="29" t="s">
        <v>520</v>
      </c>
      <c r="U196" s="29"/>
    </row>
    <row r="197">
      <c r="A197" s="16">
        <v>195.0</v>
      </c>
      <c r="B197" s="17" t="s">
        <v>23</v>
      </c>
      <c r="C197" s="18" t="str">
        <f>IFERROR(__xludf.DUMMYFUNCTION("IF(B197="""","""",IF(OR(
  REGEXMATCH(B197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REGEXMATCH(B197,""Notícia|Reportagem|Artigo de opinião|Verbete"")
),""Difusão"","""")))
"),"Difusão")</f>
        <v>Difusão</v>
      </c>
      <c r="D197" s="19" t="str">
        <f>IFERROR(__xludf.DUMMYFUNCTION("IF(B197="""","""",IF(OR(
  REGEXMATCH(B197,""Performance|Instalação|Álbum|Música|Poema|Livro|Filme|Documentário|Recitação|Espetáculo|Peça|Intervenção|Desfile|Fotografia|Exposição|Charge|Grafite|Leitura pública|Fabricação de cachaça artesanal""),
  REGEXMA"&amp;"TCH(B197,""dança|teatral|artístico|musical|artística"")
),""Manifestação artístico-cultural"",
IF(OR(
  REGEXMATCH(B197,""Crônica|Série|Reportagem|Podcast|Audiotour|Entrevista|Vídeo|Rádio|Notícia|Artigo de opinião|Coletiva de imprensa""),
  REGEXMATCH(B19"&amp;"7,""midiática"")
),""Produção midiática"","""")))
"),"Produção midiática")</f>
        <v>Produção midiática</v>
      </c>
      <c r="E197" s="20" t="str">
        <f>IFERROR(__xludf.DUMMYFUNCTION("IF(B197="""","""",IF(OR(
  REGEXMATCH(B197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REGEXMATCH(B197,""público|Imediato|artística|teatral|memória|Ação popular"")
),""Público Imediato"",
IF(REGEXMATCH(B197,""Música|Álbum|Filme|Documentár"&amp;"io|Série|Podcast|Rádio|Audiotour|Entrevista|Reportagem|Crônica|Relatório|Abaixo-assinado|Manifesto|Petição|Poema|Livro|Fotografia|Curta|Live|Webinário|Charge|Leitura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97" s="20" t="str">
        <f>IFERROR(__xludf.DUMMYFUNCTION("IF(B197="""","""",IF(OR(
  REGEXMATCH(B197,""Live|Webinário|Virtual|Verbete""),
  REGEXMATCH(B197,""online"")
),""Virtual"",
IF(REGEXMATCH(B197,""Música|Álbum|Filme|Documentário|Série|Podcast|Rádio|Audiotour|Episódio|Reportagem|Curta|Charge|Vídeo|Entrevis"&amp;"ta|Notícia|Artigo de opinião""),
""Midiático"",
IF(REGEXMATCH(B197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97" s="21" t="str">
        <f>IFERROR(__xludf.DUMMYFUNCTION("IF(C197=""rememoração"", ""Insira a data manualmente"", IF(C197=""difusão"", 
 IF(NOT(ISERROR(REGEXEXTRACT(T197, ""(\d{1,2}) jan\. 2025""))), 
  TEXT(DATE(2025,1,REGEXEXTRACT(T197, ""(\d{1,2}) jan\. 2025"")), ""dd/mm/yyyy""),
 IF(NOT(ISERROR(REGEXEXTRACT("&amp;"T197, ""(\d{1,2}) fev\. 2025""))), 
  TEXT(DATE(2025,2,REGEXEXTRACT(T197, ""(\d{1,2}) fev\. 2025"")), ""dd/mm/yyyy""),
 IF(NOT(ISERROR(REGEXEXTRACT(T197, ""(\d{1,2}) mar\. 2025""))), 
  TEXT(DATE(2025,3,REGEXEXTRACT(T197, ""(\d{1,2}) mar\. 2025"")), ""dd/"&amp;"mm/yyyy""),
 IF(NOT(ISERROR(REGEXEXTRACT(T197, ""(\d{1,2}) abr\. 2025""))), 
  TEXT(DATE(2025,4,REGEXEXTRACT(T197, ""(\d{1,2}) abr\. 2025"")), ""dd/mm/yyyy""),
 IF(NOT(ISERROR(REGEXEXTRACT(T197, ""(\d{1,2}) (mai|maio)\. 2025""))), 
  TEXT(DATE(2025,5,REGE"&amp;"XEXTRACT(T197, ""(\d{1,2}) (mai|maio)\. 2025"")), ""dd/mm/yyyy""),
 IF(NOT(ISERROR(REGEXEXTRACT(T197, ""(\d{1,2}) jun\. 2025""))), 
  TEXT(DATE(2025,6,REGEXEXTRACT(T197, ""(\d{1,2}) jun\. 2025"")), ""dd/mm/yyyy""),
 IF(NOT(ISERROR(REGEXEXTRACT(T197, ""(\d"&amp;"{1,2}) jul\. 2025""))), 
  TEXT(DATE(2025,7,REGEXEXTRACT(T197, ""(\d{1,2}) jul\. 2025"")), ""dd/mm/yyyy""),
 IF(NOT(ISERROR(REGEXEXTRACT(T197, ""(\d{1,2}) ago\. 2025""))), 
  TEXT(DATE(2025,8,REGEXEXTRACT(T197, ""(\d{1,2}) ago\. 2025"")), ""dd/mm/yyyy""),"&amp;"
 IF(NOT(ISERROR(REGEXEXTRACT(T197, ""(\d{1,2}) set\. 2025""))), 
  TEXT(DATE(2025,9,REGEXEXTRACT(T197, ""(\d{1,2}) set\. 2025"")), ""dd/mm/yyyy""),
 IF(NOT(ISERROR(REGEXEXTRACT(T197, ""(\d{1,2}) out\. 2025""))), 
  TEXT(DATE(2025,10,REGEXEXTRACT(T197, """&amp;"(\d{1,2}) out\. 2025"")), ""dd/mm/yyyy""),
 IF(NOT(ISERROR(REGEXEXTRACT(T197, ""(\d{1,2}) nov\. 2025""))), 
  TEXT(DATE(2025,11,REGEXEXTRACT(T197, ""(\d{1,2}) nov\. 2025"")), ""dd/mm/yyyy""),
 IF(NOT(ISERROR(REGEXEXTRACT(T197, ""(\d{1,2}) dez\. 2025""))),"&amp;" 
  TEXT(DATE(2025,12,REGEXEXTRACT(T197, ""(\d{1,2}) dez\. 2025"")), ""dd/mm/yyyy""),
 ""Insira a data manualmente"")))))))))))), """"))"),"11/11/2025")</f>
        <v>11/11/2025</v>
      </c>
      <c r="H197" s="22">
        <f t="shared" si="1"/>
        <v>2025</v>
      </c>
      <c r="I197" s="18" t="str">
        <f>IFERROR(__xludf.DUMMYFUNCTION("IF(REGEXMATCH(T197,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IF(REGEXMATCH(T197, ""(?i)\bBrasília\b""), ""Distrito Federal, Brasil"",
REGEXEXTRACT(T197,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97" s="30" t="s">
        <v>24</v>
      </c>
      <c r="K197" s="24" t="s">
        <v>521</v>
      </c>
      <c r="L197" s="24" t="s">
        <v>26</v>
      </c>
      <c r="M197" s="25" t="s">
        <v>27</v>
      </c>
      <c r="N197" s="18" t="str">
        <f t="shared" si="8"/>
        <v>O Globo</v>
      </c>
      <c r="O197" s="17" t="s">
        <v>28</v>
      </c>
      <c r="P197" s="17" t="s">
        <v>251</v>
      </c>
      <c r="Q197" s="26">
        <v>45972.0</v>
      </c>
      <c r="R197" s="17" t="s">
        <v>37</v>
      </c>
      <c r="S197" s="27" t="str">
        <f t="shared" si="3"/>
        <v>Aqui</v>
      </c>
      <c r="T197" s="29" t="s">
        <v>522</v>
      </c>
      <c r="U197" s="29"/>
    </row>
    <row r="198">
      <c r="A198" s="16">
        <v>196.0</v>
      </c>
      <c r="B198" s="17" t="s">
        <v>23</v>
      </c>
      <c r="C198" s="18" t="str">
        <f>IFERROR(__xludf.DUMMYFUNCTION("IF(B198="""","""",IF(OR(
  REGEXMATCH(B198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REGEXMATCH(B198,""Notícia|Reportagem|Artigo de opinião|Verbete"")
),""Difusão"","""")))
"),"Difusão")</f>
        <v>Difusão</v>
      </c>
      <c r="D198" s="19" t="str">
        <f>IFERROR(__xludf.DUMMYFUNCTION("IF(B198="""","""",IF(OR(
  REGEXMATCH(B198,""Performance|Instalação|Álbum|Música|Poema|Livro|Filme|Documentário|Recitação|Espetáculo|Peça|Intervenção|Desfile|Fotografia|Exposição|Charge|Grafite|Leitura pública|Fabricação de cachaça artesanal""),
  REGEXMA"&amp;"TCH(B198,""dança|teatral|artístico|musical|artística"")
),""Manifestação artístico-cultural"",
IF(OR(
  REGEXMATCH(B198,""Crônica|Série|Reportagem|Podcast|Audiotour|Entrevista|Vídeo|Rádio|Notícia|Artigo de opinião|Coletiva de imprensa""),
  REGEXMATCH(B19"&amp;"8,""midiática"")
),""Produção midiática"","""")))
"),"Produção midiática")</f>
        <v>Produção midiática</v>
      </c>
      <c r="E198" s="20" t="str">
        <f>IFERROR(__xludf.DUMMYFUNCTION("IF(B198="""","""",IF(OR(
  REGEXMATCH(B198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REGEXMATCH(B198,""público|Imediato|artística|teatral|memória|Ação popular"")
),""Público Imediato"",
IF(REGEXMATCH(B198,""Música|Álbum|Filme|Documentár"&amp;"io|Série|Podcast|Rádio|Audiotour|Entrevista|Reportagem|Crônica|Relatório|Abaixo-assinado|Manifesto|Petição|Poema|Livro|Fotografia|Curta|Live|Webinário|Charge|Leitura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98" s="20" t="str">
        <f>IFERROR(__xludf.DUMMYFUNCTION("IF(B198="""","""",IF(OR(
  REGEXMATCH(B198,""Live|Webinário|Virtual|Verbete""),
  REGEXMATCH(B198,""online"")
),""Virtual"",
IF(REGEXMATCH(B198,""Música|Álbum|Filme|Documentário|Série|Podcast|Rádio|Audiotour|Episódio|Reportagem|Curta|Charge|Vídeo|Entrevis"&amp;"ta|Notícia|Artigo de opinião""),
""Midiático"",
IF(REGEXMATCH(B198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98" s="21" t="str">
        <f>IFERROR(__xludf.DUMMYFUNCTION("IF(C198=""rememoração"", ""Insira a data manualmente"", IF(C198=""difusão"", 
 IF(NOT(ISERROR(REGEXEXTRACT(T198, ""(\d{1,2}) jan\. 2025""))), 
  TEXT(DATE(2025,1,REGEXEXTRACT(T198, ""(\d{1,2}) jan\. 2025"")), ""dd/mm/yyyy""),
 IF(NOT(ISERROR(REGEXEXTRACT("&amp;"T198, ""(\d{1,2}) fev\. 2025""))), 
  TEXT(DATE(2025,2,REGEXEXTRACT(T198, ""(\d{1,2}) fev\. 2025"")), ""dd/mm/yyyy""),
 IF(NOT(ISERROR(REGEXEXTRACT(T198, ""(\d{1,2}) mar\. 2025""))), 
  TEXT(DATE(2025,3,REGEXEXTRACT(T198, ""(\d{1,2}) mar\. 2025"")), ""dd/"&amp;"mm/yyyy""),
 IF(NOT(ISERROR(REGEXEXTRACT(T198, ""(\d{1,2}) abr\. 2025""))), 
  TEXT(DATE(2025,4,REGEXEXTRACT(T198, ""(\d{1,2}) abr\. 2025"")), ""dd/mm/yyyy""),
 IF(NOT(ISERROR(REGEXEXTRACT(T198, ""(\d{1,2}) (mai|maio)\. 2025""))), 
  TEXT(DATE(2025,5,REGE"&amp;"XEXTRACT(T198, ""(\d{1,2}) (mai|maio)\. 2025"")), ""dd/mm/yyyy""),
 IF(NOT(ISERROR(REGEXEXTRACT(T198, ""(\d{1,2}) jun\. 2025""))), 
  TEXT(DATE(2025,6,REGEXEXTRACT(T198, ""(\d{1,2}) jun\. 2025"")), ""dd/mm/yyyy""),
 IF(NOT(ISERROR(REGEXEXTRACT(T198, ""(\d"&amp;"{1,2}) jul\. 2025""))), 
  TEXT(DATE(2025,7,REGEXEXTRACT(T198, ""(\d{1,2}) jul\. 2025"")), ""dd/mm/yyyy""),
 IF(NOT(ISERROR(REGEXEXTRACT(T198, ""(\d{1,2}) ago\. 2025""))), 
  TEXT(DATE(2025,8,REGEXEXTRACT(T198, ""(\d{1,2}) ago\. 2025"")), ""dd/mm/yyyy""),"&amp;"
 IF(NOT(ISERROR(REGEXEXTRACT(T198, ""(\d{1,2}) set\. 2025""))), 
  TEXT(DATE(2025,9,REGEXEXTRACT(T198, ""(\d{1,2}) set\. 2025"")), ""dd/mm/yyyy""),
 IF(NOT(ISERROR(REGEXEXTRACT(T198, ""(\d{1,2}) out\. 2025""))), 
  TEXT(DATE(2025,10,REGEXEXTRACT(T198, """&amp;"(\d{1,2}) out\. 2025"")), ""dd/mm/yyyy""),
 IF(NOT(ISERROR(REGEXEXTRACT(T198, ""(\d{1,2}) nov\. 2025""))), 
  TEXT(DATE(2025,11,REGEXEXTRACT(T198, ""(\d{1,2}) nov\. 2025"")), ""dd/mm/yyyy""),
 IF(NOT(ISERROR(REGEXEXTRACT(T198, ""(\d{1,2}) dez\. 2025""))),"&amp;" 
  TEXT(DATE(2025,12,REGEXEXTRACT(T198, ""(\d{1,2}) dez\. 2025"")), ""dd/mm/yyyy""),
 ""Insira a data manualmente"")))))))))))), """"))"),"04/11/2025")</f>
        <v>04/11/2025</v>
      </c>
      <c r="H198" s="22">
        <f t="shared" si="1"/>
        <v>2025</v>
      </c>
      <c r="I198" s="18" t="str">
        <f>IFERROR(__xludf.DUMMYFUNCTION("IF(REGEXMATCH(T198,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IF(REGEXMATCH(T198, ""(?i)\bBrasília\b""), ""Distrito Federal, Brasil"",
REGEXEXTRACT(T198,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198" s="30" t="s">
        <v>32</v>
      </c>
      <c r="K198" s="24" t="s">
        <v>523</v>
      </c>
      <c r="L198" s="24" t="s">
        <v>26</v>
      </c>
      <c r="M198" s="25" t="s">
        <v>27</v>
      </c>
      <c r="N198" s="18" t="str">
        <f t="shared" si="8"/>
        <v>Agência Brasil</v>
      </c>
      <c r="O198" s="17" t="s">
        <v>28</v>
      </c>
      <c r="P198" s="17" t="s">
        <v>251</v>
      </c>
      <c r="Q198" s="26">
        <v>45972.0</v>
      </c>
      <c r="R198" s="17" t="s">
        <v>30</v>
      </c>
      <c r="S198" s="27" t="str">
        <f t="shared" si="3"/>
        <v>Aqui</v>
      </c>
      <c r="T198" s="29" t="s">
        <v>524</v>
      </c>
      <c r="U198" s="29"/>
    </row>
    <row r="199">
      <c r="A199" s="16">
        <v>197.0</v>
      </c>
      <c r="B199" s="17" t="s">
        <v>23</v>
      </c>
      <c r="C199" s="18" t="str">
        <f>IFERROR(__xludf.DUMMYFUNCTION("IF(B199="""","""",IF(OR(
  REGEXMATCH(B199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REGEXMATCH(B199,""Notícia|Reportagem|Artigo de opinião|Verbete"")
),""Difusão"","""")))
"),"Difusão")</f>
        <v>Difusão</v>
      </c>
      <c r="D199" s="19" t="str">
        <f>IFERROR(__xludf.DUMMYFUNCTION("IF(B199="""","""",IF(OR(
  REGEXMATCH(B199,""Performance|Instalação|Álbum|Música|Poema|Livro|Filme|Documentário|Recitação|Espetáculo|Peça|Intervenção|Desfile|Fotografia|Exposição|Charge|Grafite|Leitura pública|Fabricação de cachaça artesanal""),
  REGEXMA"&amp;"TCH(B199,""dança|teatral|artístico|musical|artística"")
),""Manifestação artístico-cultural"",
IF(OR(
  REGEXMATCH(B199,""Crônica|Série|Reportagem|Podcast|Audiotour|Entrevista|Vídeo|Rádio|Notícia|Artigo de opinião|Coletiva de imprensa""),
  REGEXMATCH(B19"&amp;"9,""midiática"")
),""Produção midiática"","""")))
"),"Produção midiática")</f>
        <v>Produção midiática</v>
      </c>
      <c r="E199" s="20" t="str">
        <f>IFERROR(__xludf.DUMMYFUNCTION("IF(B199="""","""",IF(OR(
  REGEXMATCH(B199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REGEXMATCH(B199,""público|Imediato|artística|teatral|memória|Ação popular"")
),""Público Imediato"",
IF(REGEXMATCH(B199,""Música|Álbum|Filme|Documentár"&amp;"io|Série|Podcast|Rádio|Audiotour|Entrevista|Reportagem|Crônica|Relatório|Abaixo-assinado|Manifesto|Petição|Poema|Livro|Fotografia|Curta|Live|Webinário|Charge|Leitura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199" s="20" t="str">
        <f>IFERROR(__xludf.DUMMYFUNCTION("IF(B199="""","""",IF(OR(
  REGEXMATCH(B199,""Live|Webinário|Virtual|Verbete""),
  REGEXMATCH(B199,""online"")
),""Virtual"",
IF(REGEXMATCH(B199,""Música|Álbum|Filme|Documentário|Série|Podcast|Rádio|Audiotour|Episódio|Reportagem|Curta|Charge|Vídeo|Entrevis"&amp;"ta|Notícia|Artigo de opinião""),
""Midiático"",
IF(REGEXMATCH(B199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199" s="21" t="str">
        <f>IFERROR(__xludf.DUMMYFUNCTION("IF(C199=""rememoração"", ""Insira a data manualmente"", IF(C199=""difusão"", 
 IF(NOT(ISERROR(REGEXEXTRACT(T199, ""(\d{1,2}) jan\. 2025""))), 
  TEXT(DATE(2025,1,REGEXEXTRACT(T199, ""(\d{1,2}) jan\. 2025"")), ""dd/mm/yyyy""),
 IF(NOT(ISERROR(REGEXEXTRACT("&amp;"T199, ""(\d{1,2}) fev\. 2025""))), 
  TEXT(DATE(2025,2,REGEXEXTRACT(T199, ""(\d{1,2}) fev\. 2025"")), ""dd/mm/yyyy""),
 IF(NOT(ISERROR(REGEXEXTRACT(T199, ""(\d{1,2}) mar\. 2025""))), 
  TEXT(DATE(2025,3,REGEXEXTRACT(T199, ""(\d{1,2}) mar\. 2025"")), ""dd/"&amp;"mm/yyyy""),
 IF(NOT(ISERROR(REGEXEXTRACT(T199, ""(\d{1,2}) abr\. 2025""))), 
  TEXT(DATE(2025,4,REGEXEXTRACT(T199, ""(\d{1,2}) abr\. 2025"")), ""dd/mm/yyyy""),
 IF(NOT(ISERROR(REGEXEXTRACT(T199, ""(\d{1,2}) (mai|maio)\. 2025""))), 
  TEXT(DATE(2025,5,REGE"&amp;"XEXTRACT(T199, ""(\d{1,2}) (mai|maio)\. 2025"")), ""dd/mm/yyyy""),
 IF(NOT(ISERROR(REGEXEXTRACT(T199, ""(\d{1,2}) jun\. 2025""))), 
  TEXT(DATE(2025,6,REGEXEXTRACT(T199, ""(\d{1,2}) jun\. 2025"")), ""dd/mm/yyyy""),
 IF(NOT(ISERROR(REGEXEXTRACT(T199, ""(\d"&amp;"{1,2}) jul\. 2025""))), 
  TEXT(DATE(2025,7,REGEXEXTRACT(T199, ""(\d{1,2}) jul\. 2025"")), ""dd/mm/yyyy""),
 IF(NOT(ISERROR(REGEXEXTRACT(T199, ""(\d{1,2}) ago\. 2025""))), 
  TEXT(DATE(2025,8,REGEXEXTRACT(T199, ""(\d{1,2}) ago\. 2025"")), ""dd/mm/yyyy""),"&amp;"
 IF(NOT(ISERROR(REGEXEXTRACT(T199, ""(\d{1,2}) set\. 2025""))), 
  TEXT(DATE(2025,9,REGEXEXTRACT(T199, ""(\d{1,2}) set\. 2025"")), ""dd/mm/yyyy""),
 IF(NOT(ISERROR(REGEXEXTRACT(T199, ""(\d{1,2}) out\. 2025""))), 
  TEXT(DATE(2025,10,REGEXEXTRACT(T199, """&amp;"(\d{1,2}) out\. 2025"")), ""dd/mm/yyyy""),
 IF(NOT(ISERROR(REGEXEXTRACT(T199, ""(\d{1,2}) nov\. 2025""))), 
  TEXT(DATE(2025,11,REGEXEXTRACT(T199, ""(\d{1,2}) nov\. 2025"")), ""dd/mm/yyyy""),
 IF(NOT(ISERROR(REGEXEXTRACT(T199, ""(\d{1,2}) dez\. 2025""))),"&amp;" 
  TEXT(DATE(2025,12,REGEXEXTRACT(T199, ""(\d{1,2}) dez\. 2025"")), ""dd/mm/yyyy""),
 ""Insira a data manualmente"")))))))))))), """"))"),"06/11/2025")</f>
        <v>06/11/2025</v>
      </c>
      <c r="H199" s="22">
        <f t="shared" si="1"/>
        <v>2025</v>
      </c>
      <c r="I199" s="18" t="s">
        <v>74</v>
      </c>
      <c r="J199" s="30" t="s">
        <v>24</v>
      </c>
      <c r="K199" s="24" t="s">
        <v>525</v>
      </c>
      <c r="L199" s="24" t="s">
        <v>26</v>
      </c>
      <c r="M199" s="25" t="s">
        <v>27</v>
      </c>
      <c r="N199" s="18" t="str">
        <f t="shared" si="8"/>
        <v>O Globo</v>
      </c>
      <c r="O199" s="17" t="s">
        <v>28</v>
      </c>
      <c r="P199" s="17" t="s">
        <v>251</v>
      </c>
      <c r="Q199" s="26">
        <v>45972.0</v>
      </c>
      <c r="R199" s="17" t="s">
        <v>37</v>
      </c>
      <c r="S199" s="27" t="str">
        <f t="shared" si="3"/>
        <v>Aqui</v>
      </c>
      <c r="T199" s="29" t="s">
        <v>526</v>
      </c>
      <c r="U199" s="29"/>
    </row>
    <row r="200">
      <c r="A200" s="16">
        <v>198.0</v>
      </c>
      <c r="B200" s="17" t="s">
        <v>23</v>
      </c>
      <c r="C200" s="18" t="str">
        <f>IFERROR(__xludf.DUMMYFUNCTION("IF(B200="""","""",IF(OR(
  REGEXMATCH(B200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REGEXMATCH(B200,""Notícia|Reportagem|Artigo de opinião|Verbete"")
),""Difusão"","""")))
"),"Difusão")</f>
        <v>Difusão</v>
      </c>
      <c r="D200" s="19" t="str">
        <f>IFERROR(__xludf.DUMMYFUNCTION("IF(B200="""","""",IF(OR(
  REGEXMATCH(B200,""Performance|Instalação|Álbum|Música|Poema|Livro|Filme|Documentário|Recitação|Espetáculo|Peça|Intervenção|Desfile|Fotografia|Exposição|Charge|Grafite|Leitura pública|Fabricação de cachaça artesanal""),
  REGEXMA"&amp;"TCH(B200,""dança|teatral|artístico|musical|artística"")
),""Manifestação artístico-cultural"",
IF(OR(
  REGEXMATCH(B200,""Crônica|Série|Reportagem|Podcast|Audiotour|Entrevista|Vídeo|Rádio|Notícia|Artigo de opinião|Coletiva de imprensa""),
  REGEXMATCH(B20"&amp;"0,""midiática"")
),""Produção midiática"","""")))
"),"Produção midiática")</f>
        <v>Produção midiática</v>
      </c>
      <c r="E200" s="20" t="str">
        <f>IFERROR(__xludf.DUMMYFUNCTION("IF(B200="""","""",IF(OR(
  REGEXMATCH(B200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REGEXMATCH(B200,""público|Imediato|artística|teatral|memória|Ação popular"")
),""Público Imediato"",
IF(REGEXMATCH(B200,""Música|Álbum|Filme|Documentár"&amp;"io|Série|Podcast|Rádio|Audiotour|Entrevista|Reportagem|Crônica|Relatório|Abaixo-assinado|Manifesto|Petição|Poema|Livro|Fotografia|Curta|Live|Webinário|Charge|Leitura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00" s="20" t="str">
        <f>IFERROR(__xludf.DUMMYFUNCTION("IF(B200="""","""",IF(OR(
  REGEXMATCH(B200,""Live|Webinário|Virtual|Verbete""),
  REGEXMATCH(B200,""online"")
),""Virtual"",
IF(REGEXMATCH(B200,""Música|Álbum|Filme|Documentário|Série|Podcast|Rádio|Audiotour|Episódio|Reportagem|Curta|Charge|Vídeo|Entrevis"&amp;"ta|Notícia|Artigo de opinião""),
""Midiático"",
IF(REGEXMATCH(B200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00" s="21" t="str">
        <f>IFERROR(__xludf.DUMMYFUNCTION("IF(C200=""rememoração"", ""Insira a data manualmente"", IF(C200=""difusão"", 
 IF(NOT(ISERROR(REGEXEXTRACT(T200, ""(\d{1,2}) jan\. 2025""))), 
  TEXT(DATE(2025,1,REGEXEXTRACT(T200, ""(\d{1,2}) jan\. 2025"")), ""dd/mm/yyyy""),
 IF(NOT(ISERROR(REGEXEXTRACT("&amp;"T200, ""(\d{1,2}) fev\. 2025""))), 
  TEXT(DATE(2025,2,REGEXEXTRACT(T200, ""(\d{1,2}) fev\. 2025"")), ""dd/mm/yyyy""),
 IF(NOT(ISERROR(REGEXEXTRACT(T200, ""(\d{1,2}) mar\. 2025""))), 
  TEXT(DATE(2025,3,REGEXEXTRACT(T200, ""(\d{1,2}) mar\. 2025"")), ""dd/"&amp;"mm/yyyy""),
 IF(NOT(ISERROR(REGEXEXTRACT(T200, ""(\d{1,2}) abr\. 2025""))), 
  TEXT(DATE(2025,4,REGEXEXTRACT(T200, ""(\d{1,2}) abr\. 2025"")), ""dd/mm/yyyy""),
 IF(NOT(ISERROR(REGEXEXTRACT(T200, ""(\d{1,2}) (mai|maio)\. 2025""))), 
  TEXT(DATE(2025,5,REGE"&amp;"XEXTRACT(T200, ""(\d{1,2}) (mai|maio)\. 2025"")), ""dd/mm/yyyy""),
 IF(NOT(ISERROR(REGEXEXTRACT(T200, ""(\d{1,2}) jun\. 2025""))), 
  TEXT(DATE(2025,6,REGEXEXTRACT(T200, ""(\d{1,2}) jun\. 2025"")), ""dd/mm/yyyy""),
 IF(NOT(ISERROR(REGEXEXTRACT(T200, ""(\d"&amp;"{1,2}) jul\. 2025""))), 
  TEXT(DATE(2025,7,REGEXEXTRACT(T200, ""(\d{1,2}) jul\. 2025"")), ""dd/mm/yyyy""),
 IF(NOT(ISERROR(REGEXEXTRACT(T200, ""(\d{1,2}) ago\. 2025""))), 
  TEXT(DATE(2025,8,REGEXEXTRACT(T200, ""(\d{1,2}) ago\. 2025"")), ""dd/mm/yyyy""),"&amp;"
 IF(NOT(ISERROR(REGEXEXTRACT(T200, ""(\d{1,2}) set\. 2025""))), 
  TEXT(DATE(2025,9,REGEXEXTRACT(T200, ""(\d{1,2}) set\. 2025"")), ""dd/mm/yyyy""),
 IF(NOT(ISERROR(REGEXEXTRACT(T200, ""(\d{1,2}) out\. 2025""))), 
  TEXT(DATE(2025,10,REGEXEXTRACT(T200, """&amp;"(\d{1,2}) out\. 2025"")), ""dd/mm/yyyy""),
 IF(NOT(ISERROR(REGEXEXTRACT(T200, ""(\d{1,2}) nov\. 2025""))), 
  TEXT(DATE(2025,11,REGEXEXTRACT(T200, ""(\d{1,2}) nov\. 2025"")), ""dd/mm/yyyy""),
 IF(NOT(ISERROR(REGEXEXTRACT(T200, ""(\d{1,2}) dez\. 2025""))),"&amp;" 
  TEXT(DATE(2025,12,REGEXEXTRACT(T200, ""(\d{1,2}) dez\. 2025"")), ""dd/mm/yyyy""),
 ""Insira a data manualmente"")))))))))))), """"))"),"30/10/2025")</f>
        <v>30/10/2025</v>
      </c>
      <c r="H200" s="22">
        <f t="shared" si="1"/>
        <v>2025</v>
      </c>
      <c r="I200" s="18" t="str">
        <f>IFERROR(__xludf.DUMMYFUNCTION("IF(REGEXMATCH(T200,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IF(REGEXMATCH(T200, ""(?i)\bBrasília\b""), ""Distrito Federal, Brasil"",
REGEXEXTRACT(T200,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00" s="30" t="s">
        <v>527</v>
      </c>
      <c r="K200" s="24" t="s">
        <v>528</v>
      </c>
      <c r="L200" s="24" t="s">
        <v>26</v>
      </c>
      <c r="M200" s="25" t="s">
        <v>27</v>
      </c>
      <c r="N200" s="18" t="str">
        <f t="shared" si="8"/>
        <v>TV Brasil</v>
      </c>
      <c r="O200" s="17" t="s">
        <v>28</v>
      </c>
      <c r="P200" s="17" t="s">
        <v>251</v>
      </c>
      <c r="Q200" s="26">
        <v>45972.0</v>
      </c>
      <c r="R200" s="17" t="s">
        <v>30</v>
      </c>
      <c r="S200" s="27" t="str">
        <f t="shared" si="3"/>
        <v>Aqui</v>
      </c>
      <c r="T200" s="29" t="s">
        <v>529</v>
      </c>
      <c r="U200" s="29"/>
    </row>
    <row r="201">
      <c r="A201" s="16">
        <v>199.0</v>
      </c>
      <c r="B201" s="17" t="s">
        <v>23</v>
      </c>
      <c r="C201" s="18" t="str">
        <f>IFERROR(__xludf.DUMMYFUNCTION("IF(B201="""","""",IF(OR(
  REGEXMATCH(B201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REGEXMATCH(B201,""Notícia|Reportagem|Artigo de opinião|Verbete"")
),""Difusão"","""")))
"),"Difusão")</f>
        <v>Difusão</v>
      </c>
      <c r="D201" s="19" t="str">
        <f>IFERROR(__xludf.DUMMYFUNCTION("IF(B201="""","""",IF(OR(
  REGEXMATCH(B201,""Performance|Instalação|Álbum|Música|Poema|Livro|Filme|Documentário|Recitação|Espetáculo|Peça|Intervenção|Desfile|Fotografia|Exposição|Charge|Grafite|Leitura pública|Fabricação de cachaça artesanal""),
  REGEXMA"&amp;"TCH(B201,""dança|teatral|artístico|musical|artística"")
),""Manifestação artístico-cultural"",
IF(OR(
  REGEXMATCH(B201,""Crônica|Série|Reportagem|Podcast|Audiotour|Entrevista|Vídeo|Rádio|Notícia|Artigo de opinião|Coletiva de imprensa""),
  REGEXMATCH(B20"&amp;"1,""midiática"")
),""Produção midiática"","""")))
"),"Produção midiática")</f>
        <v>Produção midiática</v>
      </c>
      <c r="E201" s="20" t="str">
        <f>IFERROR(__xludf.DUMMYFUNCTION("IF(B201="""","""",IF(OR(
  REGEXMATCH(B201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REGEXMATCH(B201,""público|Imediato|artística|teatral|memória|Ação popular"")
),""Público Imediato"",
IF(REGEXMATCH(B201,""Música|Álbum|Filme|Documentár"&amp;"io|Série|Podcast|Rádio|Audiotour|Entrevista|Reportagem|Crônica|Relatório|Abaixo-assinado|Manifesto|Petição|Poema|Livro|Fotografia|Curta|Live|Webinário|Charge|Leitura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01" s="20" t="str">
        <f>IFERROR(__xludf.DUMMYFUNCTION("IF(B201="""","""",IF(OR(
  REGEXMATCH(B201,""Live|Webinário|Virtual|Verbete""),
  REGEXMATCH(B201,""online"")
),""Virtual"",
IF(REGEXMATCH(B201,""Música|Álbum|Filme|Documentário|Série|Podcast|Rádio|Audiotour|Episódio|Reportagem|Curta|Charge|Vídeo|Entrevis"&amp;"ta|Notícia|Artigo de opinião""),
""Midiático"",
IF(REGEXMATCH(B201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01" s="21" t="str">
        <f>IFERROR(__xludf.DUMMYFUNCTION("IF(C201=""rememoração"", ""Insira a data manualmente"", IF(C201=""difusão"", 
 IF(NOT(ISERROR(REGEXEXTRACT(T201, ""(\d{1,2}) jan\. 2025""))), 
  TEXT(DATE(2025,1,REGEXEXTRACT(T201, ""(\d{1,2}) jan\. 2025"")), ""dd/mm/yyyy""),
 IF(NOT(ISERROR(REGEXEXTRACT("&amp;"T201, ""(\d{1,2}) fev\. 2025""))), 
  TEXT(DATE(2025,2,REGEXEXTRACT(T201, ""(\d{1,2}) fev\. 2025"")), ""dd/mm/yyyy""),
 IF(NOT(ISERROR(REGEXEXTRACT(T201, ""(\d{1,2}) mar\. 2025""))), 
  TEXT(DATE(2025,3,REGEXEXTRACT(T201, ""(\d{1,2}) mar\. 2025"")), ""dd/"&amp;"mm/yyyy""),
 IF(NOT(ISERROR(REGEXEXTRACT(T201, ""(\d{1,2}) abr\. 2025""))), 
  TEXT(DATE(2025,4,REGEXEXTRACT(T201, ""(\d{1,2}) abr\. 2025"")), ""dd/mm/yyyy""),
 IF(NOT(ISERROR(REGEXEXTRACT(T201, ""(\d{1,2}) (mai|maio)\. 2025""))), 
  TEXT(DATE(2025,5,REGE"&amp;"XEXTRACT(T201, ""(\d{1,2}) (mai|maio)\. 2025"")), ""dd/mm/yyyy""),
 IF(NOT(ISERROR(REGEXEXTRACT(T201, ""(\d{1,2}) jun\. 2025""))), 
  TEXT(DATE(2025,6,REGEXEXTRACT(T201, ""(\d{1,2}) jun\. 2025"")), ""dd/mm/yyyy""),
 IF(NOT(ISERROR(REGEXEXTRACT(T201, ""(\d"&amp;"{1,2}) jul\. 2025""))), 
  TEXT(DATE(2025,7,REGEXEXTRACT(T201, ""(\d{1,2}) jul\. 2025"")), ""dd/mm/yyyy""),
 IF(NOT(ISERROR(REGEXEXTRACT(T201, ""(\d{1,2}) ago\. 2025""))), 
  TEXT(DATE(2025,8,REGEXEXTRACT(T201, ""(\d{1,2}) ago\. 2025"")), ""dd/mm/yyyy""),"&amp;"
 IF(NOT(ISERROR(REGEXEXTRACT(T201, ""(\d{1,2}) set\. 2025""))), 
  TEXT(DATE(2025,9,REGEXEXTRACT(T201, ""(\d{1,2}) set\. 2025"")), ""dd/mm/yyyy""),
 IF(NOT(ISERROR(REGEXEXTRACT(T201, ""(\d{1,2}) out\. 2025""))), 
  TEXT(DATE(2025,10,REGEXEXTRACT(T201, """&amp;"(\d{1,2}) out\. 2025"")), ""dd/mm/yyyy""),
 IF(NOT(ISERROR(REGEXEXTRACT(T201, ""(\d{1,2}) nov\. 2025""))), 
  TEXT(DATE(2025,11,REGEXEXTRACT(T201, ""(\d{1,2}) nov\. 2025"")), ""dd/mm/yyyy""),
 IF(NOT(ISERROR(REGEXEXTRACT(T201, ""(\d{1,2}) dez\. 2025""))),"&amp;" 
  TEXT(DATE(2025,12,REGEXEXTRACT(T201, ""(\d{1,2}) dez\. 2025"")), ""dd/mm/yyyy""),
 ""Insira a data manualmente"")))))))))))), """"))"),"03/11/2025")</f>
        <v>03/11/2025</v>
      </c>
      <c r="H201" s="22">
        <f t="shared" si="1"/>
        <v>2025</v>
      </c>
      <c r="I201" s="18" t="str">
        <f>IFERROR(__xludf.DUMMYFUNCTION("IF(REGEXMATCH(T201,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IF(REGEXMATCH(T201, ""(?i)\bBrasília\b""), ""Distrito Federal, Brasil"",
REGEXEXTRACT(T201,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01" s="30" t="s">
        <v>32</v>
      </c>
      <c r="K201" s="24" t="s">
        <v>530</v>
      </c>
      <c r="L201" s="24" t="s">
        <v>26</v>
      </c>
      <c r="M201" s="25" t="s">
        <v>27</v>
      </c>
      <c r="N201" s="18" t="str">
        <f t="shared" si="8"/>
        <v>Agência Brasil</v>
      </c>
      <c r="O201" s="17" t="s">
        <v>28</v>
      </c>
      <c r="P201" s="17" t="s">
        <v>251</v>
      </c>
      <c r="Q201" s="26">
        <v>45972.0</v>
      </c>
      <c r="R201" s="17" t="s">
        <v>30</v>
      </c>
      <c r="S201" s="27" t="str">
        <f t="shared" si="3"/>
        <v>Aqui</v>
      </c>
      <c r="T201" s="29" t="s">
        <v>531</v>
      </c>
      <c r="U201" s="29"/>
    </row>
    <row r="202">
      <c r="A202" s="16">
        <v>200.0</v>
      </c>
      <c r="B202" s="17" t="s">
        <v>23</v>
      </c>
      <c r="C202" s="18" t="str">
        <f>IFERROR(__xludf.DUMMYFUNCTION("IF(B202="""","""",IF(OR(
  REGEXMATCH(B202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REGEXMATCH(B202,""Notícia|Reportagem|Artigo de opinião|Verbete"")
),""Difusão"","""")))
"),"Difusão")</f>
        <v>Difusão</v>
      </c>
      <c r="D202" s="19" t="str">
        <f>IFERROR(__xludf.DUMMYFUNCTION("IF(B202="""","""",IF(OR(
  REGEXMATCH(B202,""Performance|Instalação|Álbum|Música|Poema|Livro|Filme|Documentário|Recitação|Espetáculo|Peça|Intervenção|Desfile|Fotografia|Exposição|Charge|Grafite|Leitura pública|Fabricação de cachaça artesanal""),
  REGEXMA"&amp;"TCH(B202,""dança|teatral|artístico|musical|artística"")
),""Manifestação artístico-cultural"",
IF(OR(
  REGEXMATCH(B202,""Crônica|Série|Reportagem|Podcast|Audiotour|Entrevista|Vídeo|Rádio|Notícia|Artigo de opinião|Coletiva de imprensa""),
  REGEXMATCH(B20"&amp;"2,""midiática"")
),""Produção midiática"","""")))
"),"Produção midiática")</f>
        <v>Produção midiática</v>
      </c>
      <c r="E202" s="20" t="str">
        <f>IFERROR(__xludf.DUMMYFUNCTION("IF(B202="""","""",IF(OR(
  REGEXMATCH(B202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REGEXMATCH(B202,""público|Imediato|artística|teatral|memória|Ação popular"")
),""Público Imediato"",
IF(REGEXMATCH(B202,""Música|Álbum|Filme|Documentár"&amp;"io|Série|Podcast|Rádio|Audiotour|Entrevista|Reportagem|Crônica|Relatório|Abaixo-assinado|Manifesto|Petição|Poema|Livro|Fotografia|Curta|Live|Webinário|Charge|Leitura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02" s="20" t="str">
        <f>IFERROR(__xludf.DUMMYFUNCTION("IF(B202="""","""",IF(OR(
  REGEXMATCH(B202,""Live|Webinário|Virtual|Verbete""),
  REGEXMATCH(B202,""online"")
),""Virtual"",
IF(REGEXMATCH(B202,""Música|Álbum|Filme|Documentário|Série|Podcast|Rádio|Audiotour|Episódio|Reportagem|Curta|Charge|Vídeo|Entrevis"&amp;"ta|Notícia|Artigo de opinião""),
""Midiático"",
IF(REGEXMATCH(B202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02" s="21" t="str">
        <f>IFERROR(__xludf.DUMMYFUNCTION("IF(C202=""rememoração"", ""Insira a data manualmente"", IF(C202=""difusão"", 
 IF(NOT(ISERROR(REGEXEXTRACT(T202, ""(\d{1,2}) jan\. 2025""))), 
  TEXT(DATE(2025,1,REGEXEXTRACT(T202, ""(\d{1,2}) jan\. 2025"")), ""dd/mm/yyyy""),
 IF(NOT(ISERROR(REGEXEXTRACT("&amp;"T202, ""(\d{1,2}) fev\. 2025""))), 
  TEXT(DATE(2025,2,REGEXEXTRACT(T202, ""(\d{1,2}) fev\. 2025"")), ""dd/mm/yyyy""),
 IF(NOT(ISERROR(REGEXEXTRACT(T202, ""(\d{1,2}) mar\. 2025""))), 
  TEXT(DATE(2025,3,REGEXEXTRACT(T202, ""(\d{1,2}) mar\. 2025"")), ""dd/"&amp;"mm/yyyy""),
 IF(NOT(ISERROR(REGEXEXTRACT(T202, ""(\d{1,2}) abr\. 2025""))), 
  TEXT(DATE(2025,4,REGEXEXTRACT(T202, ""(\d{1,2}) abr\. 2025"")), ""dd/mm/yyyy""),
 IF(NOT(ISERROR(REGEXEXTRACT(T202, ""(\d{1,2}) (mai|maio)\. 2025""))), 
  TEXT(DATE(2025,5,REGE"&amp;"XEXTRACT(T202, ""(\d{1,2}) (mai|maio)\. 2025"")), ""dd/mm/yyyy""),
 IF(NOT(ISERROR(REGEXEXTRACT(T202, ""(\d{1,2}) jun\. 2025""))), 
  TEXT(DATE(2025,6,REGEXEXTRACT(T202, ""(\d{1,2}) jun\. 2025"")), ""dd/mm/yyyy""),
 IF(NOT(ISERROR(REGEXEXTRACT(T202, ""(\d"&amp;"{1,2}) jul\. 2025""))), 
  TEXT(DATE(2025,7,REGEXEXTRACT(T202, ""(\d{1,2}) jul\. 2025"")), ""dd/mm/yyyy""),
 IF(NOT(ISERROR(REGEXEXTRACT(T202, ""(\d{1,2}) ago\. 2025""))), 
  TEXT(DATE(2025,8,REGEXEXTRACT(T202, ""(\d{1,2}) ago\. 2025"")), ""dd/mm/yyyy""),"&amp;"
 IF(NOT(ISERROR(REGEXEXTRACT(T202, ""(\d{1,2}) set\. 2025""))), 
  TEXT(DATE(2025,9,REGEXEXTRACT(T202, ""(\d{1,2}) set\. 2025"")), ""dd/mm/yyyy""),
 IF(NOT(ISERROR(REGEXEXTRACT(T202, ""(\d{1,2}) out\. 2025""))), 
  TEXT(DATE(2025,10,REGEXEXTRACT(T202, """&amp;"(\d{1,2}) out\. 2025"")), ""dd/mm/yyyy""),
 IF(NOT(ISERROR(REGEXEXTRACT(T202, ""(\d{1,2}) nov\. 2025""))), 
  TEXT(DATE(2025,11,REGEXEXTRACT(T202, ""(\d{1,2}) nov\. 2025"")), ""dd/mm/yyyy""),
 IF(NOT(ISERROR(REGEXEXTRACT(T202, ""(\d{1,2}) dez\. 2025""))),"&amp;" 
  TEXT(DATE(2025,12,REGEXEXTRACT(T202, ""(\d{1,2}) dez\. 2025"")), ""dd/mm/yyyy""),
 ""Insira a data manualmente"")))))))))))), """"))"),"04/11/2025")</f>
        <v>04/11/2025</v>
      </c>
      <c r="H202" s="22">
        <f t="shared" si="1"/>
        <v>2025</v>
      </c>
      <c r="I202" s="18" t="str">
        <f>IFERROR(__xludf.DUMMYFUNCTION("IF(REGEXMATCH(T202,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IF(REGEXMATCH(T202, ""(?i)\bBrasília\b""), ""Distrito Federal, Brasil"",
REGEXEXTRACT(T202,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02" s="30" t="s">
        <v>527</v>
      </c>
      <c r="K202" s="24" t="s">
        <v>532</v>
      </c>
      <c r="L202" s="24" t="s">
        <v>26</v>
      </c>
      <c r="M202" s="25" t="s">
        <v>27</v>
      </c>
      <c r="N202" s="18" t="str">
        <f t="shared" si="8"/>
        <v>TV Brasil</v>
      </c>
      <c r="O202" s="17" t="s">
        <v>28</v>
      </c>
      <c r="P202" s="17" t="s">
        <v>251</v>
      </c>
      <c r="Q202" s="26">
        <v>45972.0</v>
      </c>
      <c r="R202" s="17" t="s">
        <v>30</v>
      </c>
      <c r="S202" s="27" t="str">
        <f t="shared" si="3"/>
        <v>Aqui</v>
      </c>
      <c r="T202" s="29" t="s">
        <v>533</v>
      </c>
      <c r="U202" s="29"/>
    </row>
    <row r="203">
      <c r="A203" s="16">
        <v>201.0</v>
      </c>
      <c r="B203" s="17" t="s">
        <v>23</v>
      </c>
      <c r="C203" s="18" t="str">
        <f>IFERROR(__xludf.DUMMYFUNCTION("IF(B203="""","""",IF(OR(
  REGEXMATCH(B203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REGEXMATCH(B203,""Notícia|Reportagem|Artigo de opinião|Verbete"")
),""Difusão"","""")))
"),"Difusão")</f>
        <v>Difusão</v>
      </c>
      <c r="D203" s="19" t="str">
        <f>IFERROR(__xludf.DUMMYFUNCTION("IF(B203="""","""",IF(OR(
  REGEXMATCH(B203,""Performance|Instalação|Álbum|Música|Poema|Livro|Filme|Documentário|Recitação|Espetáculo|Peça|Intervenção|Desfile|Fotografia|Exposição|Charge|Grafite|Leitura pública|Fabricação de cachaça artesanal""),
  REGEXMA"&amp;"TCH(B203,""dança|teatral|artístico|musical|artística"")
),""Manifestação artístico-cultural"",
IF(OR(
  REGEXMATCH(B203,""Crônica|Série|Reportagem|Podcast|Audiotour|Entrevista|Vídeo|Rádio|Notícia|Artigo de opinião|Coletiva de imprensa""),
  REGEXMATCH(B20"&amp;"3,""midiática"")
),""Produção midiática"","""")))
"),"Produção midiática")</f>
        <v>Produção midiática</v>
      </c>
      <c r="E203" s="20" t="str">
        <f>IFERROR(__xludf.DUMMYFUNCTION("IF(B203="""","""",IF(OR(
  REGEXMATCH(B203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REGEXMATCH(B203,""público|Imediato|artística|teatral|memória|Ação popular"")
),""Público Imediato"",
IF(REGEXMATCH(B203,""Música|Álbum|Filme|Documentár"&amp;"io|Série|Podcast|Rádio|Audiotour|Entrevista|Reportagem|Crônica|Relatório|Abaixo-assinado|Manifesto|Petição|Poema|Livro|Fotografia|Curta|Live|Webinário|Charge|Leitura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03" s="20" t="str">
        <f>IFERROR(__xludf.DUMMYFUNCTION("IF(B203="""","""",IF(OR(
  REGEXMATCH(B203,""Live|Webinário|Virtual|Verbete""),
  REGEXMATCH(B203,""online"")
),""Virtual"",
IF(REGEXMATCH(B203,""Música|Álbum|Filme|Documentário|Série|Podcast|Rádio|Audiotour|Episódio|Reportagem|Curta|Charge|Vídeo|Entrevis"&amp;"ta|Notícia|Artigo de opinião""),
""Midiático"",
IF(REGEXMATCH(B203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03" s="21" t="str">
        <f>IFERROR(__xludf.DUMMYFUNCTION("IF(C203=""rememoração"", ""Insira a data manualmente"", IF(C203=""difusão"", 
 IF(NOT(ISERROR(REGEXEXTRACT(T203, ""(\d{1,2}) jan\. 2025""))), 
  TEXT(DATE(2025,1,REGEXEXTRACT(T203, ""(\d{1,2}) jan\. 2025"")), ""dd/mm/yyyy""),
 IF(NOT(ISERROR(REGEXEXTRACT("&amp;"T203, ""(\d{1,2}) fev\. 2025""))), 
  TEXT(DATE(2025,2,REGEXEXTRACT(T203, ""(\d{1,2}) fev\. 2025"")), ""dd/mm/yyyy""),
 IF(NOT(ISERROR(REGEXEXTRACT(T203, ""(\d{1,2}) mar\. 2025""))), 
  TEXT(DATE(2025,3,REGEXEXTRACT(T203, ""(\d{1,2}) mar\. 2025"")), ""dd/"&amp;"mm/yyyy""),
 IF(NOT(ISERROR(REGEXEXTRACT(T203, ""(\d{1,2}) abr\. 2025""))), 
  TEXT(DATE(2025,4,REGEXEXTRACT(T203, ""(\d{1,2}) abr\. 2025"")), ""dd/mm/yyyy""),
 IF(NOT(ISERROR(REGEXEXTRACT(T203, ""(\d{1,2}) (mai|maio)\. 2025""))), 
  TEXT(DATE(2025,5,REGE"&amp;"XEXTRACT(T203, ""(\d{1,2}) (mai|maio)\. 2025"")), ""dd/mm/yyyy""),
 IF(NOT(ISERROR(REGEXEXTRACT(T203, ""(\d{1,2}) jun\. 2025""))), 
  TEXT(DATE(2025,6,REGEXEXTRACT(T203, ""(\d{1,2}) jun\. 2025"")), ""dd/mm/yyyy""),
 IF(NOT(ISERROR(REGEXEXTRACT(T203, ""(\d"&amp;"{1,2}) jul\. 2025""))), 
  TEXT(DATE(2025,7,REGEXEXTRACT(T203, ""(\d{1,2}) jul\. 2025"")), ""dd/mm/yyyy""),
 IF(NOT(ISERROR(REGEXEXTRACT(T203, ""(\d{1,2}) ago\. 2025""))), 
  TEXT(DATE(2025,8,REGEXEXTRACT(T203, ""(\d{1,2}) ago\. 2025"")), ""dd/mm/yyyy""),"&amp;"
 IF(NOT(ISERROR(REGEXEXTRACT(T203, ""(\d{1,2}) set\. 2025""))), 
  TEXT(DATE(2025,9,REGEXEXTRACT(T203, ""(\d{1,2}) set\. 2025"")), ""dd/mm/yyyy""),
 IF(NOT(ISERROR(REGEXEXTRACT(T203, ""(\d{1,2}) out\. 2025""))), 
  TEXT(DATE(2025,10,REGEXEXTRACT(T203, """&amp;"(\d{1,2}) out\. 2025"")), ""dd/mm/yyyy""),
 IF(NOT(ISERROR(REGEXEXTRACT(T203, ""(\d{1,2}) nov\. 2025""))), 
  TEXT(DATE(2025,11,REGEXEXTRACT(T203, ""(\d{1,2}) nov\. 2025"")), ""dd/mm/yyyy""),
 IF(NOT(ISERROR(REGEXEXTRACT(T203, ""(\d{1,2}) dez\. 2025""))),"&amp;" 
  TEXT(DATE(2025,12,REGEXEXTRACT(T203, ""(\d{1,2}) dez\. 2025"")), ""dd/mm/yyyy""),
 ""Insira a data manualmente"")))))))))))), """"))"),"13/08/2025")</f>
        <v>13/08/2025</v>
      </c>
      <c r="H203" s="22">
        <f t="shared" si="1"/>
        <v>2025</v>
      </c>
      <c r="I203" s="18" t="str">
        <f>IFERROR(__xludf.DUMMYFUNCTION("IF(REGEXMATCH(T203,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IF(REGEXMATCH(T203, ""(?i)\bBrasília\b""), ""Distrito Federal, Brasil"",
REGEXEXTRACT(T203,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03" s="30" t="s">
        <v>24</v>
      </c>
      <c r="K203" s="24" t="s">
        <v>534</v>
      </c>
      <c r="L203" s="24" t="s">
        <v>26</v>
      </c>
      <c r="M203" s="25" t="s">
        <v>27</v>
      </c>
      <c r="N203" s="18" t="str">
        <f t="shared" si="8"/>
        <v>O Globo</v>
      </c>
      <c r="O203" s="17" t="s">
        <v>28</v>
      </c>
      <c r="P203" s="17" t="s">
        <v>251</v>
      </c>
      <c r="Q203" s="26">
        <v>45972.0</v>
      </c>
      <c r="R203" s="17" t="s">
        <v>37</v>
      </c>
      <c r="S203" s="27" t="str">
        <f t="shared" si="3"/>
        <v>Aqui</v>
      </c>
      <c r="T203" s="29" t="s">
        <v>535</v>
      </c>
      <c r="U203" s="29"/>
    </row>
    <row r="204">
      <c r="A204" s="16">
        <v>202.0</v>
      </c>
      <c r="B204" s="17" t="s">
        <v>23</v>
      </c>
      <c r="C204" s="18" t="str">
        <f>IFERROR(__xludf.DUMMYFUNCTION("IF(B204="""","""",IF(OR(
  REGEXMATCH(B204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REGEXMATCH(B204,""Notícia|Reportagem|Artigo de opinião|Verbete"")
),""Difusão"","""")))
"),"Difusão")</f>
        <v>Difusão</v>
      </c>
      <c r="D204" s="19" t="str">
        <f>IFERROR(__xludf.DUMMYFUNCTION("IF(B204="""","""",IF(OR(
  REGEXMATCH(B204,""Performance|Instalação|Álbum|Música|Poema|Livro|Filme|Documentário|Recitação|Espetáculo|Peça|Intervenção|Desfile|Fotografia|Exposição|Charge|Grafite|Leitura pública|Fabricação de cachaça artesanal""),
  REGEXMA"&amp;"TCH(B204,""dança|teatral|artístico|musical|artística"")
),""Manifestação artístico-cultural"",
IF(OR(
  REGEXMATCH(B204,""Crônica|Série|Reportagem|Podcast|Audiotour|Entrevista|Vídeo|Rádio|Notícia|Artigo de opinião|Coletiva de imprensa""),
  REGEXMATCH(B20"&amp;"4,""midiática"")
),""Produção midiática"","""")))
"),"Produção midiática")</f>
        <v>Produção midiática</v>
      </c>
      <c r="E204" s="20" t="str">
        <f>IFERROR(__xludf.DUMMYFUNCTION("IF(B204="""","""",IF(OR(
  REGEXMATCH(B204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REGEXMATCH(B204,""público|Imediato|artística|teatral|memória|Ação popular"")
),""Público Imediato"",
IF(REGEXMATCH(B204,""Música|Álbum|Filme|Documentár"&amp;"io|Série|Podcast|Rádio|Audiotour|Entrevista|Reportagem|Crônica|Relatório|Abaixo-assinado|Manifesto|Petição|Poema|Livro|Fotografia|Curta|Live|Webinário|Charge|Leitura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04" s="20" t="str">
        <f>IFERROR(__xludf.DUMMYFUNCTION("IF(B204="""","""",IF(OR(
  REGEXMATCH(B204,""Live|Webinário|Virtual|Verbete""),
  REGEXMATCH(B204,""online"")
),""Virtual"",
IF(REGEXMATCH(B204,""Música|Álbum|Filme|Documentário|Série|Podcast|Rádio|Audiotour|Episódio|Reportagem|Curta|Charge|Vídeo|Entrevis"&amp;"ta|Notícia|Artigo de opinião""),
""Midiático"",
IF(REGEXMATCH(B204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04" s="21" t="str">
        <f>IFERROR(__xludf.DUMMYFUNCTION("IF(C204=""rememoração"", ""Insira a data manualmente"", IF(C204=""difusão"", 
 IF(NOT(ISERROR(REGEXEXTRACT(T204, ""(\d{1,2}) jan\. 2025""))), 
  TEXT(DATE(2025,1,REGEXEXTRACT(T204, ""(\d{1,2}) jan\. 2025"")), ""dd/mm/yyyy""),
 IF(NOT(ISERROR(REGEXEXTRACT("&amp;"T204, ""(\d{1,2}) fev\. 2025""))), 
  TEXT(DATE(2025,2,REGEXEXTRACT(T204, ""(\d{1,2}) fev\. 2025"")), ""dd/mm/yyyy""),
 IF(NOT(ISERROR(REGEXEXTRACT(T204, ""(\d{1,2}) mar\. 2025""))), 
  TEXT(DATE(2025,3,REGEXEXTRACT(T204, ""(\d{1,2}) mar\. 2025"")), ""dd/"&amp;"mm/yyyy""),
 IF(NOT(ISERROR(REGEXEXTRACT(T204, ""(\d{1,2}) abr\. 2025""))), 
  TEXT(DATE(2025,4,REGEXEXTRACT(T204, ""(\d{1,2}) abr\. 2025"")), ""dd/mm/yyyy""),
 IF(NOT(ISERROR(REGEXEXTRACT(T204, ""(\d{1,2}) (mai|maio)\. 2025""))), 
  TEXT(DATE(2025,5,REGE"&amp;"XEXTRACT(T204, ""(\d{1,2}) (mai|maio)\. 2025"")), ""dd/mm/yyyy""),
 IF(NOT(ISERROR(REGEXEXTRACT(T204, ""(\d{1,2}) jun\. 2025""))), 
  TEXT(DATE(2025,6,REGEXEXTRACT(T204, ""(\d{1,2}) jun\. 2025"")), ""dd/mm/yyyy""),
 IF(NOT(ISERROR(REGEXEXTRACT(T204, ""(\d"&amp;"{1,2}) jul\. 2025""))), 
  TEXT(DATE(2025,7,REGEXEXTRACT(T204, ""(\d{1,2}) jul\. 2025"")), ""dd/mm/yyyy""),
 IF(NOT(ISERROR(REGEXEXTRACT(T204, ""(\d{1,2}) ago\. 2025""))), 
  TEXT(DATE(2025,8,REGEXEXTRACT(T204, ""(\d{1,2}) ago\. 2025"")), ""dd/mm/yyyy""),"&amp;"
 IF(NOT(ISERROR(REGEXEXTRACT(T204, ""(\d{1,2}) set\. 2025""))), 
  TEXT(DATE(2025,9,REGEXEXTRACT(T204, ""(\d{1,2}) set\. 2025"")), ""dd/mm/yyyy""),
 IF(NOT(ISERROR(REGEXEXTRACT(T204, ""(\d{1,2}) out\. 2025""))), 
  TEXT(DATE(2025,10,REGEXEXTRACT(T204, """&amp;"(\d{1,2}) out\. 2025"")), ""dd/mm/yyyy""),
 IF(NOT(ISERROR(REGEXEXTRACT(T204, ""(\d{1,2}) nov\. 2025""))), 
  TEXT(DATE(2025,11,REGEXEXTRACT(T204, ""(\d{1,2}) nov\. 2025"")), ""dd/mm/yyyy""),
 IF(NOT(ISERROR(REGEXEXTRACT(T204, ""(\d{1,2}) dez\. 2025""))),"&amp;" 
  TEXT(DATE(2025,12,REGEXEXTRACT(T204, ""(\d{1,2}) dez\. 2025"")), ""dd/mm/yyyy""),
 ""Insira a data manualmente"")))))))))))), """"))"),"31/10/2025")</f>
        <v>31/10/2025</v>
      </c>
      <c r="H204" s="22">
        <f t="shared" si="1"/>
        <v>2025</v>
      </c>
      <c r="I204" s="18" t="str">
        <f>IFERROR(__xludf.DUMMYFUNCTION("IF(REGEXMATCH(T204,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IF(REGEXMATCH(T204, ""(?i)\bBrasília\b""), ""Distrito Federal, Brasil"",
REGEXEXTRACT(T204,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04" s="30" t="s">
        <v>527</v>
      </c>
      <c r="K204" s="24" t="s">
        <v>536</v>
      </c>
      <c r="L204" s="24" t="s">
        <v>26</v>
      </c>
      <c r="M204" s="25" t="s">
        <v>27</v>
      </c>
      <c r="N204" s="18" t="str">
        <f t="shared" si="8"/>
        <v>TV Brasil</v>
      </c>
      <c r="O204" s="17" t="s">
        <v>28</v>
      </c>
      <c r="P204" s="17" t="s">
        <v>251</v>
      </c>
      <c r="Q204" s="26">
        <v>45972.0</v>
      </c>
      <c r="R204" s="17" t="s">
        <v>30</v>
      </c>
      <c r="S204" s="27" t="str">
        <f t="shared" si="3"/>
        <v>Aqui</v>
      </c>
      <c r="T204" s="29" t="s">
        <v>537</v>
      </c>
      <c r="U204" s="29"/>
    </row>
    <row r="205">
      <c r="A205" s="16">
        <v>203.0</v>
      </c>
      <c r="B205" s="17" t="s">
        <v>23</v>
      </c>
      <c r="C205" s="18" t="str">
        <f>IFERROR(__xludf.DUMMYFUNCTION("IF(B205="""","""",IF(OR(
  REGEXMATCH(B205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REGEXMATCH(B205,""Notícia|Reportagem|Artigo de opinião|Verbete"")
),""Difusão"","""")))
"),"Difusão")</f>
        <v>Difusão</v>
      </c>
      <c r="D205" s="19" t="str">
        <f>IFERROR(__xludf.DUMMYFUNCTION("IF(B205="""","""",IF(OR(
  REGEXMATCH(B205,""Performance|Instalação|Álbum|Música|Poema|Livro|Filme|Documentário|Recitação|Espetáculo|Peça|Intervenção|Desfile|Fotografia|Exposição|Charge|Grafite|Leitura pública|Fabricação de cachaça artesanal""),
  REGEXMA"&amp;"TCH(B205,""dança|teatral|artístico|musical|artística"")
),""Manifestação artístico-cultural"",
IF(OR(
  REGEXMATCH(B205,""Crônica|Série|Reportagem|Podcast|Audiotour|Entrevista|Vídeo|Rádio|Notícia|Artigo de opinião|Coletiva de imprensa""),
  REGEXMATCH(B20"&amp;"5,""midiática"")
),""Produção midiática"","""")))
"),"Produção midiática")</f>
        <v>Produção midiática</v>
      </c>
      <c r="E205" s="20" t="str">
        <f>IFERROR(__xludf.DUMMYFUNCTION("IF(B205="""","""",IF(OR(
  REGEXMATCH(B205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REGEXMATCH(B205,""público|Imediato|artística|teatral|memória|Ação popular"")
),""Público Imediato"",
IF(REGEXMATCH(B205,""Música|Álbum|Filme|Documentár"&amp;"io|Série|Podcast|Rádio|Audiotour|Entrevista|Reportagem|Crônica|Relatório|Abaixo-assinado|Manifesto|Petição|Poema|Livro|Fotografia|Curta|Live|Webinário|Charge|Leitura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05" s="20" t="str">
        <f>IFERROR(__xludf.DUMMYFUNCTION("IF(B205="""","""",IF(OR(
  REGEXMATCH(B205,""Live|Webinário|Virtual|Verbete""),
  REGEXMATCH(B205,""online"")
),""Virtual"",
IF(REGEXMATCH(B205,""Música|Álbum|Filme|Documentário|Série|Podcast|Rádio|Audiotour|Episódio|Reportagem|Curta|Charge|Vídeo|Entrevis"&amp;"ta|Notícia|Artigo de opinião""),
""Midiático"",
IF(REGEXMATCH(B205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05" s="21" t="str">
        <f>IFERROR(__xludf.DUMMYFUNCTION("IF(C205=""rememoração"", ""Insira a data manualmente"", IF(C205=""difusão"", 
 IF(NOT(ISERROR(REGEXEXTRACT(T205, ""(\d{1,2}) jan\. 2025""))), 
  TEXT(DATE(2025,1,REGEXEXTRACT(T205, ""(\d{1,2}) jan\. 2025"")), ""dd/mm/yyyy""),
 IF(NOT(ISERROR(REGEXEXTRACT("&amp;"T205, ""(\d{1,2}) fev\. 2025""))), 
  TEXT(DATE(2025,2,REGEXEXTRACT(T205, ""(\d{1,2}) fev\. 2025"")), ""dd/mm/yyyy""),
 IF(NOT(ISERROR(REGEXEXTRACT(T205, ""(\d{1,2}) mar\. 2025""))), 
  TEXT(DATE(2025,3,REGEXEXTRACT(T205, ""(\d{1,2}) mar\. 2025"")), ""dd/"&amp;"mm/yyyy""),
 IF(NOT(ISERROR(REGEXEXTRACT(T205, ""(\d{1,2}) abr\. 2025""))), 
  TEXT(DATE(2025,4,REGEXEXTRACT(T205, ""(\d{1,2}) abr\. 2025"")), ""dd/mm/yyyy""),
 IF(NOT(ISERROR(REGEXEXTRACT(T205, ""(\d{1,2}) (mai|maio)\. 2025""))), 
  TEXT(DATE(2025,5,REGE"&amp;"XEXTRACT(T205, ""(\d{1,2}) (mai|maio)\. 2025"")), ""dd/mm/yyyy""),
 IF(NOT(ISERROR(REGEXEXTRACT(T205, ""(\d{1,2}) jun\. 2025""))), 
  TEXT(DATE(2025,6,REGEXEXTRACT(T205, ""(\d{1,2}) jun\. 2025"")), ""dd/mm/yyyy""),
 IF(NOT(ISERROR(REGEXEXTRACT(T205, ""(\d"&amp;"{1,2}) jul\. 2025""))), 
  TEXT(DATE(2025,7,REGEXEXTRACT(T205, ""(\d{1,2}) jul\. 2025"")), ""dd/mm/yyyy""),
 IF(NOT(ISERROR(REGEXEXTRACT(T205, ""(\d{1,2}) ago\. 2025""))), 
  TEXT(DATE(2025,8,REGEXEXTRACT(T205, ""(\d{1,2}) ago\. 2025"")), ""dd/mm/yyyy""),"&amp;"
 IF(NOT(ISERROR(REGEXEXTRACT(T205, ""(\d{1,2}) set\. 2025""))), 
  TEXT(DATE(2025,9,REGEXEXTRACT(T205, ""(\d{1,2}) set\. 2025"")), ""dd/mm/yyyy""),
 IF(NOT(ISERROR(REGEXEXTRACT(T205, ""(\d{1,2}) out\. 2025""))), 
  TEXT(DATE(2025,10,REGEXEXTRACT(T205, """&amp;"(\d{1,2}) out\. 2025"")), ""dd/mm/yyyy""),
 IF(NOT(ISERROR(REGEXEXTRACT(T205, ""(\d{1,2}) nov\. 2025""))), 
  TEXT(DATE(2025,11,REGEXEXTRACT(T205, ""(\d{1,2}) nov\. 2025"")), ""dd/mm/yyyy""),
 IF(NOT(ISERROR(REGEXEXTRACT(T205, ""(\d{1,2}) dez\. 2025""))),"&amp;" 
  TEXT(DATE(2025,12,REGEXEXTRACT(T205, ""(\d{1,2}) dez\. 2025"")), ""dd/mm/yyyy""),
 ""Insira a data manualmente"")))))))))))), """"))"),"29/10/2025")</f>
        <v>29/10/2025</v>
      </c>
      <c r="H205" s="22">
        <f t="shared" si="1"/>
        <v>2025</v>
      </c>
      <c r="I205" s="18" t="str">
        <f>IFERROR(__xludf.DUMMYFUNCTION("IF(REGEXMATCH(T205,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IF(REGEXMATCH(T205, ""(?i)\bBrasília\b""), ""Distrito Federal, Brasil"",
REGEXEXTRACT(T205,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05" s="30" t="s">
        <v>336</v>
      </c>
      <c r="K205" s="24" t="s">
        <v>538</v>
      </c>
      <c r="L205" s="24" t="s">
        <v>26</v>
      </c>
      <c r="M205" s="25" t="s">
        <v>27</v>
      </c>
      <c r="N205" s="18" t="str">
        <f t="shared" si="8"/>
        <v>G1</v>
      </c>
      <c r="O205" s="17" t="s">
        <v>28</v>
      </c>
      <c r="P205" s="17" t="s">
        <v>251</v>
      </c>
      <c r="Q205" s="26">
        <v>45972.0</v>
      </c>
      <c r="R205" s="17" t="s">
        <v>30</v>
      </c>
      <c r="S205" s="27" t="str">
        <f t="shared" si="3"/>
        <v>Aqui</v>
      </c>
      <c r="T205" s="29" t="s">
        <v>539</v>
      </c>
      <c r="U205" s="29"/>
    </row>
    <row r="206">
      <c r="A206" s="16">
        <v>204.0</v>
      </c>
      <c r="B206" s="17" t="s">
        <v>23</v>
      </c>
      <c r="C206" s="18" t="str">
        <f>IFERROR(__xludf.DUMMYFUNCTION("IF(B206="""","""",IF(OR(
  REGEXMATCH(B206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REGEXMATCH(B206,""Notícia|Reportagem|Artigo de opinião|Verbete"")
),""Difusão"","""")))
"),"Difusão")</f>
        <v>Difusão</v>
      </c>
      <c r="D206" s="19" t="str">
        <f>IFERROR(__xludf.DUMMYFUNCTION("IF(B206="""","""",IF(OR(
  REGEXMATCH(B206,""Performance|Instalação|Álbum|Música|Poema|Livro|Filme|Documentário|Recitação|Espetáculo|Peça|Intervenção|Desfile|Fotografia|Exposição|Charge|Grafite|Leitura pública|Fabricação de cachaça artesanal""),
  REGEXMA"&amp;"TCH(B206,""dança|teatral|artístico|musical|artística"")
),""Manifestação artístico-cultural"",
IF(OR(
  REGEXMATCH(B206,""Crônica|Série|Reportagem|Podcast|Audiotour|Entrevista|Vídeo|Rádio|Notícia|Artigo de opinião|Coletiva de imprensa""),
  REGEXMATCH(B20"&amp;"6,""midiática"")
),""Produção midiática"","""")))
"),"Produção midiática")</f>
        <v>Produção midiática</v>
      </c>
      <c r="E206" s="20" t="str">
        <f>IFERROR(__xludf.DUMMYFUNCTION("IF(B206="""","""",IF(OR(
  REGEXMATCH(B206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REGEXMATCH(B206,""público|Imediato|artística|teatral|memória|Ação popular"")
),""Público Imediato"",
IF(REGEXMATCH(B206,""Música|Álbum|Filme|Documentár"&amp;"io|Série|Podcast|Rádio|Audiotour|Entrevista|Reportagem|Crônica|Relatório|Abaixo-assinado|Manifesto|Petição|Poema|Livro|Fotografia|Curta|Live|Webinário|Charge|Leitura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06" s="20" t="str">
        <f>IFERROR(__xludf.DUMMYFUNCTION("IF(B206="""","""",IF(OR(
  REGEXMATCH(B206,""Live|Webinário|Virtual|Verbete""),
  REGEXMATCH(B206,""online"")
),""Virtual"",
IF(REGEXMATCH(B206,""Música|Álbum|Filme|Documentário|Série|Podcast|Rádio|Audiotour|Episódio|Reportagem|Curta|Charge|Vídeo|Entrevis"&amp;"ta|Notícia|Artigo de opinião""),
""Midiático"",
IF(REGEXMATCH(B206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06" s="21" t="str">
        <f>IFERROR(__xludf.DUMMYFUNCTION("IF(C206=""rememoração"", ""Insira a data manualmente"", IF(C206=""difusão"", 
 IF(NOT(ISERROR(REGEXEXTRACT(T206, ""(\d{1,2}) jan\. 2025""))), 
  TEXT(DATE(2025,1,REGEXEXTRACT(T206, ""(\d{1,2}) jan\. 2025"")), ""dd/mm/yyyy""),
 IF(NOT(ISERROR(REGEXEXTRACT("&amp;"T206, ""(\d{1,2}) fev\. 2025""))), 
  TEXT(DATE(2025,2,REGEXEXTRACT(T206, ""(\d{1,2}) fev\. 2025"")), ""dd/mm/yyyy""),
 IF(NOT(ISERROR(REGEXEXTRACT(T206, ""(\d{1,2}) mar\. 2025""))), 
  TEXT(DATE(2025,3,REGEXEXTRACT(T206, ""(\d{1,2}) mar\. 2025"")), ""dd/"&amp;"mm/yyyy""),
 IF(NOT(ISERROR(REGEXEXTRACT(T206, ""(\d{1,2}) abr\. 2025""))), 
  TEXT(DATE(2025,4,REGEXEXTRACT(T206, ""(\d{1,2}) abr\. 2025"")), ""dd/mm/yyyy""),
 IF(NOT(ISERROR(REGEXEXTRACT(T206, ""(\d{1,2}) (mai|maio)\. 2025""))), 
  TEXT(DATE(2025,5,REGE"&amp;"XEXTRACT(T206, ""(\d{1,2}) (mai|maio)\. 2025"")), ""dd/mm/yyyy""),
 IF(NOT(ISERROR(REGEXEXTRACT(T206, ""(\d{1,2}) jun\. 2025""))), 
  TEXT(DATE(2025,6,REGEXEXTRACT(T206, ""(\d{1,2}) jun\. 2025"")), ""dd/mm/yyyy""),
 IF(NOT(ISERROR(REGEXEXTRACT(T206, ""(\d"&amp;"{1,2}) jul\. 2025""))), 
  TEXT(DATE(2025,7,REGEXEXTRACT(T206, ""(\d{1,2}) jul\. 2025"")), ""dd/mm/yyyy""),
 IF(NOT(ISERROR(REGEXEXTRACT(T206, ""(\d{1,2}) ago\. 2025""))), 
  TEXT(DATE(2025,8,REGEXEXTRACT(T206, ""(\d{1,2}) ago\. 2025"")), ""dd/mm/yyyy""),"&amp;"
 IF(NOT(ISERROR(REGEXEXTRACT(T206, ""(\d{1,2}) set\. 2025""))), 
  TEXT(DATE(2025,9,REGEXEXTRACT(T206, ""(\d{1,2}) set\. 2025"")), ""dd/mm/yyyy""),
 IF(NOT(ISERROR(REGEXEXTRACT(T206, ""(\d{1,2}) out\. 2025""))), 
  TEXT(DATE(2025,10,REGEXEXTRACT(T206, """&amp;"(\d{1,2}) out\. 2025"")), ""dd/mm/yyyy""),
 IF(NOT(ISERROR(REGEXEXTRACT(T206, ""(\d{1,2}) nov\. 2025""))), 
  TEXT(DATE(2025,11,REGEXEXTRACT(T206, ""(\d{1,2}) nov\. 2025"")), ""dd/mm/yyyy""),
 IF(NOT(ISERROR(REGEXEXTRACT(T206, ""(\d{1,2}) dez\. 2025""))),"&amp;" 
  TEXT(DATE(2025,12,REGEXEXTRACT(T206, ""(\d{1,2}) dez\. 2025"")), ""dd/mm/yyyy""),
 ""Insira a data manualmente"")))))))))))), """"))"),"03/11/2025")</f>
        <v>03/11/2025</v>
      </c>
      <c r="H206" s="22">
        <f t="shared" si="1"/>
        <v>2025</v>
      </c>
      <c r="I206" s="18" t="str">
        <f>IFERROR(__xludf.DUMMYFUNCTION("IF(REGEXMATCH(T206,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IF(REGEXMATCH(T206, ""(?i)\bBrasília\b""), ""Distrito Federal, Brasil"",
REGEXEXTRACT(T206,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06" s="30" t="s">
        <v>527</v>
      </c>
      <c r="K206" s="24" t="s">
        <v>540</v>
      </c>
      <c r="L206" s="24" t="s">
        <v>26</v>
      </c>
      <c r="M206" s="25" t="s">
        <v>27</v>
      </c>
      <c r="N206" s="18" t="str">
        <f t="shared" si="8"/>
        <v>TV Brasil</v>
      </c>
      <c r="O206" s="17" t="s">
        <v>28</v>
      </c>
      <c r="P206" s="17" t="s">
        <v>251</v>
      </c>
      <c r="Q206" s="26">
        <v>45972.0</v>
      </c>
      <c r="R206" s="17" t="s">
        <v>30</v>
      </c>
      <c r="S206" s="27" t="str">
        <f t="shared" si="3"/>
        <v>Aqui</v>
      </c>
      <c r="T206" s="29" t="s">
        <v>541</v>
      </c>
      <c r="U206" s="29"/>
    </row>
    <row r="207">
      <c r="A207" s="16">
        <v>205.0</v>
      </c>
      <c r="B207" s="17" t="s">
        <v>23</v>
      </c>
      <c r="C207" s="18" t="str">
        <f>IFERROR(__xludf.DUMMYFUNCTION("IF(B207="""","""",IF(OR(
  REGEXMATCH(B207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REGEXMATCH(B207,""Notícia|Reportagem|Artigo de opinião|Verbete"")
),""Difusão"","""")))
"),"Difusão")</f>
        <v>Difusão</v>
      </c>
      <c r="D207" s="19" t="str">
        <f>IFERROR(__xludf.DUMMYFUNCTION("IF(B207="""","""",IF(OR(
  REGEXMATCH(B207,""Performance|Instalação|Álbum|Música|Poema|Livro|Filme|Documentário|Recitação|Espetáculo|Peça|Intervenção|Desfile|Fotografia|Exposição|Charge|Grafite|Leitura pública|Fabricação de cachaça artesanal""),
  REGEXMA"&amp;"TCH(B207,""dança|teatral|artístico|musical|artística"")
),""Manifestação artístico-cultural"",
IF(OR(
  REGEXMATCH(B207,""Crônica|Série|Reportagem|Podcast|Audiotour|Entrevista|Vídeo|Rádio|Notícia|Artigo de opinião|Coletiva de imprensa""),
  REGEXMATCH(B20"&amp;"7,""midiática"")
),""Produção midiática"","""")))
"),"Produção midiática")</f>
        <v>Produção midiática</v>
      </c>
      <c r="E207" s="20" t="str">
        <f>IFERROR(__xludf.DUMMYFUNCTION("IF(B207="""","""",IF(OR(
  REGEXMATCH(B207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REGEXMATCH(B207,""público|Imediato|artística|teatral|memória|Ação popular"")
),""Público Imediato"",
IF(REGEXMATCH(B207,""Música|Álbum|Filme|Documentár"&amp;"io|Série|Podcast|Rádio|Audiotour|Entrevista|Reportagem|Crônica|Relatório|Abaixo-assinado|Manifesto|Petição|Poema|Livro|Fotografia|Curta|Live|Webinário|Charge|Leitura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07" s="20" t="str">
        <f>IFERROR(__xludf.DUMMYFUNCTION("IF(B207="""","""",IF(OR(
  REGEXMATCH(B207,""Live|Webinário|Virtual|Verbete""),
  REGEXMATCH(B207,""online"")
),""Virtual"",
IF(REGEXMATCH(B207,""Música|Álbum|Filme|Documentário|Série|Podcast|Rádio|Audiotour|Episódio|Reportagem|Curta|Charge|Vídeo|Entrevis"&amp;"ta|Notícia|Artigo de opinião""),
""Midiático"",
IF(REGEXMATCH(B207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07" s="21" t="str">
        <f>IFERROR(__xludf.DUMMYFUNCTION("IF(C207=""rememoração"", ""Insira a data manualmente"", IF(C207=""difusão"", 
 IF(NOT(ISERROR(REGEXEXTRACT(T207, ""(\d{1,2}) jan\. 2025""))), 
  TEXT(DATE(2025,1,REGEXEXTRACT(T207, ""(\d{1,2}) jan\. 2025"")), ""dd/mm/yyyy""),
 IF(NOT(ISERROR(REGEXEXTRACT("&amp;"T207, ""(\d{1,2}) fev\. 2025""))), 
  TEXT(DATE(2025,2,REGEXEXTRACT(T207, ""(\d{1,2}) fev\. 2025"")), ""dd/mm/yyyy""),
 IF(NOT(ISERROR(REGEXEXTRACT(T207, ""(\d{1,2}) mar\. 2025""))), 
  TEXT(DATE(2025,3,REGEXEXTRACT(T207, ""(\d{1,2}) mar\. 2025"")), ""dd/"&amp;"mm/yyyy""),
 IF(NOT(ISERROR(REGEXEXTRACT(T207, ""(\d{1,2}) abr\. 2025""))), 
  TEXT(DATE(2025,4,REGEXEXTRACT(T207, ""(\d{1,2}) abr\. 2025"")), ""dd/mm/yyyy""),
 IF(NOT(ISERROR(REGEXEXTRACT(T207, ""(\d{1,2}) (mai|maio)\. 2025""))), 
  TEXT(DATE(2025,5,REGE"&amp;"XEXTRACT(T207, ""(\d{1,2}) (mai|maio)\. 2025"")), ""dd/mm/yyyy""),
 IF(NOT(ISERROR(REGEXEXTRACT(T207, ""(\d{1,2}) jun\. 2025""))), 
  TEXT(DATE(2025,6,REGEXEXTRACT(T207, ""(\d{1,2}) jun\. 2025"")), ""dd/mm/yyyy""),
 IF(NOT(ISERROR(REGEXEXTRACT(T207, ""(\d"&amp;"{1,2}) jul\. 2025""))), 
  TEXT(DATE(2025,7,REGEXEXTRACT(T207, ""(\d{1,2}) jul\. 2025"")), ""dd/mm/yyyy""),
 IF(NOT(ISERROR(REGEXEXTRACT(T207, ""(\d{1,2}) ago\. 2025""))), 
  TEXT(DATE(2025,8,REGEXEXTRACT(T207, ""(\d{1,2}) ago\. 2025"")), ""dd/mm/yyyy""),"&amp;"
 IF(NOT(ISERROR(REGEXEXTRACT(T207, ""(\d{1,2}) set\. 2025""))), 
  TEXT(DATE(2025,9,REGEXEXTRACT(T207, ""(\d{1,2}) set\. 2025"")), ""dd/mm/yyyy""),
 IF(NOT(ISERROR(REGEXEXTRACT(T207, ""(\d{1,2}) out\. 2025""))), 
  TEXT(DATE(2025,10,REGEXEXTRACT(T207, """&amp;"(\d{1,2}) out\. 2025"")), ""dd/mm/yyyy""),
 IF(NOT(ISERROR(REGEXEXTRACT(T207, ""(\d{1,2}) nov\. 2025""))), 
  TEXT(DATE(2025,11,REGEXEXTRACT(T207, ""(\d{1,2}) nov\. 2025"")), ""dd/mm/yyyy""),
 IF(NOT(ISERROR(REGEXEXTRACT(T207, ""(\d{1,2}) dez\. 2025""))),"&amp;" 
  TEXT(DATE(2025,12,REGEXEXTRACT(T207, ""(\d{1,2}) dez\. 2025"")), ""dd/mm/yyyy""),
 ""Insira a data manualmente"")))))))))))), """"))"),"06/11/2025")</f>
        <v>06/11/2025</v>
      </c>
      <c r="H207" s="22">
        <f t="shared" si="1"/>
        <v>2025</v>
      </c>
      <c r="I207" s="18" t="str">
        <f>IFERROR(__xludf.DUMMYFUNCTION("IF(REGEXMATCH(T207,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IF(REGEXMATCH(T207, ""(?i)\bBrasília\b""), ""Distrito Federal, Brasil"",
REGEXEXTRACT(T207,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07" s="30" t="s">
        <v>273</v>
      </c>
      <c r="K207" s="24" t="s">
        <v>542</v>
      </c>
      <c r="L207" s="24" t="s">
        <v>26</v>
      </c>
      <c r="M207" s="25" t="s">
        <v>27</v>
      </c>
      <c r="N207" s="18" t="str">
        <f t="shared" si="8"/>
        <v>CNN Brasil</v>
      </c>
      <c r="O207" s="17" t="s">
        <v>28</v>
      </c>
      <c r="P207" s="17" t="s">
        <v>251</v>
      </c>
      <c r="Q207" s="26">
        <v>45972.0</v>
      </c>
      <c r="R207" s="17" t="s">
        <v>30</v>
      </c>
      <c r="S207" s="27" t="str">
        <f t="shared" si="3"/>
        <v>Aqui</v>
      </c>
      <c r="T207" s="29" t="s">
        <v>543</v>
      </c>
      <c r="U207" s="29"/>
    </row>
    <row r="208">
      <c r="A208" s="16">
        <v>206.0</v>
      </c>
      <c r="B208" s="17" t="s">
        <v>23</v>
      </c>
      <c r="C208" s="18" t="str">
        <f>IFERROR(__xludf.DUMMYFUNCTION("IF(B208="""","""",IF(OR(
  REGEXMATCH(B208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REGEXMATCH(B208,""Notícia|Reportagem|Artigo de opinião|Verbete"")
),""Difusão"","""")))
"),"Difusão")</f>
        <v>Difusão</v>
      </c>
      <c r="D208" s="19" t="str">
        <f>IFERROR(__xludf.DUMMYFUNCTION("IF(B208="""","""",IF(OR(
  REGEXMATCH(B208,""Performance|Instalação|Álbum|Música|Poema|Livro|Filme|Documentário|Recitação|Espetáculo|Peça|Intervenção|Desfile|Fotografia|Exposição|Charge|Grafite|Leitura pública|Fabricação de cachaça artesanal""),
  REGEXMA"&amp;"TCH(B208,""dança|teatral|artístico|musical|artística"")
),""Manifestação artístico-cultural"",
IF(OR(
  REGEXMATCH(B208,""Crônica|Série|Reportagem|Podcast|Audiotour|Entrevista|Vídeo|Rádio|Notícia|Artigo de opinião|Coletiva de imprensa""),
  REGEXMATCH(B20"&amp;"8,""midiática"")
),""Produção midiática"","""")))
"),"Produção midiática")</f>
        <v>Produção midiática</v>
      </c>
      <c r="E208" s="20" t="str">
        <f>IFERROR(__xludf.DUMMYFUNCTION("IF(B208="""","""",IF(OR(
  REGEXMATCH(B208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REGEXMATCH(B208,""público|Imediato|artística|teatral|memória|Ação popular"")
),""Público Imediato"",
IF(REGEXMATCH(B208,""Música|Álbum|Filme|Documentár"&amp;"io|Série|Podcast|Rádio|Audiotour|Entrevista|Reportagem|Crônica|Relatório|Abaixo-assinado|Manifesto|Petição|Poema|Livro|Fotografia|Curta|Live|Webinário|Charge|Leitura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08" s="20" t="str">
        <f>IFERROR(__xludf.DUMMYFUNCTION("IF(B208="""","""",IF(OR(
  REGEXMATCH(B208,""Live|Webinário|Virtual|Verbete""),
  REGEXMATCH(B208,""online"")
),""Virtual"",
IF(REGEXMATCH(B208,""Música|Álbum|Filme|Documentário|Série|Podcast|Rádio|Audiotour|Episódio|Reportagem|Curta|Charge|Vídeo|Entrevis"&amp;"ta|Notícia|Artigo de opinião""),
""Midiático"",
IF(REGEXMATCH(B208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08" s="21" t="str">
        <f>IFERROR(__xludf.DUMMYFUNCTION("IF(C208=""rememoração"", ""Insira a data manualmente"", IF(C208=""difusão"", 
 IF(NOT(ISERROR(REGEXEXTRACT(T208, ""(\d{1,2}) jan\. 2025""))), 
  TEXT(DATE(2025,1,REGEXEXTRACT(T208, ""(\d{1,2}) jan\. 2025"")), ""dd/mm/yyyy""),
 IF(NOT(ISERROR(REGEXEXTRACT("&amp;"T208, ""(\d{1,2}) fev\. 2025""))), 
  TEXT(DATE(2025,2,REGEXEXTRACT(T208, ""(\d{1,2}) fev\. 2025"")), ""dd/mm/yyyy""),
 IF(NOT(ISERROR(REGEXEXTRACT(T208, ""(\d{1,2}) mar\. 2025""))), 
  TEXT(DATE(2025,3,REGEXEXTRACT(T208, ""(\d{1,2}) mar\. 2025"")), ""dd/"&amp;"mm/yyyy""),
 IF(NOT(ISERROR(REGEXEXTRACT(T208, ""(\d{1,2}) abr\. 2025""))), 
  TEXT(DATE(2025,4,REGEXEXTRACT(T208, ""(\d{1,2}) abr\. 2025"")), ""dd/mm/yyyy""),
 IF(NOT(ISERROR(REGEXEXTRACT(T208, ""(\d{1,2}) (mai|maio)\. 2025""))), 
  TEXT(DATE(2025,5,REGE"&amp;"XEXTRACT(T208, ""(\d{1,2}) (mai|maio)\. 2025"")), ""dd/mm/yyyy""),
 IF(NOT(ISERROR(REGEXEXTRACT(T208, ""(\d{1,2}) jun\. 2025""))), 
  TEXT(DATE(2025,6,REGEXEXTRACT(T208, ""(\d{1,2}) jun\. 2025"")), ""dd/mm/yyyy""),
 IF(NOT(ISERROR(REGEXEXTRACT(T208, ""(\d"&amp;"{1,2}) jul\. 2025""))), 
  TEXT(DATE(2025,7,REGEXEXTRACT(T208, ""(\d{1,2}) jul\. 2025"")), ""dd/mm/yyyy""),
 IF(NOT(ISERROR(REGEXEXTRACT(T208, ""(\d{1,2}) ago\. 2025""))), 
  TEXT(DATE(2025,8,REGEXEXTRACT(T208, ""(\d{1,2}) ago\. 2025"")), ""dd/mm/yyyy""),"&amp;"
 IF(NOT(ISERROR(REGEXEXTRACT(T208, ""(\d{1,2}) set\. 2025""))), 
  TEXT(DATE(2025,9,REGEXEXTRACT(T208, ""(\d{1,2}) set\. 2025"")), ""dd/mm/yyyy""),
 IF(NOT(ISERROR(REGEXEXTRACT(T208, ""(\d{1,2}) out\. 2025""))), 
  TEXT(DATE(2025,10,REGEXEXTRACT(T208, """&amp;"(\d{1,2}) out\. 2025"")), ""dd/mm/yyyy""),
 IF(NOT(ISERROR(REGEXEXTRACT(T208, ""(\d{1,2}) nov\. 2025""))), 
  TEXT(DATE(2025,11,REGEXEXTRACT(T208, ""(\d{1,2}) nov\. 2025"")), ""dd/mm/yyyy""),
 IF(NOT(ISERROR(REGEXEXTRACT(T208, ""(\d{1,2}) dez\. 2025""))),"&amp;" 
  TEXT(DATE(2025,12,REGEXEXTRACT(T208, ""(\d{1,2}) dez\. 2025"")), ""dd/mm/yyyy""),
 ""Insira a data manualmente"")))))))))))), """"))"),"04/11/2025")</f>
        <v>04/11/2025</v>
      </c>
      <c r="H208" s="22">
        <f t="shared" si="1"/>
        <v>2025</v>
      </c>
      <c r="I208" s="18" t="str">
        <f>IFERROR(__xludf.DUMMYFUNCTION("IF(REGEXMATCH(T208,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IF(REGEXMATCH(T208, ""(?i)\bBrasília\b""), ""Distrito Federal, Brasil"",
REGEXEXTRACT(T208,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08" s="30" t="s">
        <v>476</v>
      </c>
      <c r="K208" s="24" t="s">
        <v>544</v>
      </c>
      <c r="L208" s="24" t="s">
        <v>26</v>
      </c>
      <c r="M208" s="25" t="s">
        <v>27</v>
      </c>
      <c r="N208" s="18" t="str">
        <f t="shared" si="8"/>
        <v>Valor Econômico</v>
      </c>
      <c r="O208" s="17" t="s">
        <v>28</v>
      </c>
      <c r="P208" s="17" t="s">
        <v>251</v>
      </c>
      <c r="Q208" s="26">
        <v>45972.0</v>
      </c>
      <c r="R208" s="17" t="s">
        <v>37</v>
      </c>
      <c r="S208" s="27" t="str">
        <f t="shared" si="3"/>
        <v>Aqui</v>
      </c>
      <c r="T208" s="29" t="s">
        <v>545</v>
      </c>
      <c r="U208" s="29"/>
    </row>
    <row r="209">
      <c r="A209" s="16">
        <v>207.0</v>
      </c>
      <c r="B209" s="17" t="s">
        <v>23</v>
      </c>
      <c r="C209" s="18" t="str">
        <f>IFERROR(__xludf.DUMMYFUNCTION("IF(B209="""","""",IF(OR(
  REGEXMATCH(B209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REGEXMATCH(B209,""Notícia|Reportagem|Artigo de opinião|Verbete"")
),""Difusão"","""")))
"),"Difusão")</f>
        <v>Difusão</v>
      </c>
      <c r="D209" s="19" t="str">
        <f>IFERROR(__xludf.DUMMYFUNCTION("IF(B209="""","""",IF(OR(
  REGEXMATCH(B209,""Performance|Instalação|Álbum|Música|Poema|Livro|Filme|Documentário|Recitação|Espetáculo|Peça|Intervenção|Desfile|Fotografia|Exposição|Charge|Grafite|Leitura pública|Fabricação de cachaça artesanal""),
  REGEXMA"&amp;"TCH(B209,""dança|teatral|artístico|musical|artística"")
),""Manifestação artístico-cultural"",
IF(OR(
  REGEXMATCH(B209,""Crônica|Série|Reportagem|Podcast|Audiotour|Entrevista|Vídeo|Rádio|Notícia|Artigo de opinião|Coletiva de imprensa""),
  REGEXMATCH(B20"&amp;"9,""midiática"")
),""Produção midiática"","""")))
"),"Produção midiática")</f>
        <v>Produção midiática</v>
      </c>
      <c r="E209" s="20" t="str">
        <f>IFERROR(__xludf.DUMMYFUNCTION("IF(B209="""","""",IF(OR(
  REGEXMATCH(B209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REGEXMATCH(B209,""público|Imediato|artística|teatral|memória|Ação popular"")
),""Público Imediato"",
IF(REGEXMATCH(B209,""Música|Álbum|Filme|Documentár"&amp;"io|Série|Podcast|Rádio|Audiotour|Entrevista|Reportagem|Crônica|Relatório|Abaixo-assinado|Manifesto|Petição|Poema|Livro|Fotografia|Curta|Live|Webinário|Charge|Leitura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09" s="20" t="str">
        <f>IFERROR(__xludf.DUMMYFUNCTION("IF(B209="""","""",IF(OR(
  REGEXMATCH(B209,""Live|Webinário|Virtual|Verbete""),
  REGEXMATCH(B209,""online"")
),""Virtual"",
IF(REGEXMATCH(B209,""Música|Álbum|Filme|Documentário|Série|Podcast|Rádio|Audiotour|Episódio|Reportagem|Curta|Charge|Vídeo|Entrevis"&amp;"ta|Notícia|Artigo de opinião""),
""Midiático"",
IF(REGEXMATCH(B209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09" s="21" t="str">
        <f>IFERROR(__xludf.DUMMYFUNCTION("IF(C209=""rememoração"", ""Insira a data manualmente"", IF(C209=""difusão"", 
 IF(NOT(ISERROR(REGEXEXTRACT(T209, ""(\d{1,2}) jan\. 2025""))), 
  TEXT(DATE(2025,1,REGEXEXTRACT(T209, ""(\d{1,2}) jan\. 2025"")), ""dd/mm/yyyy""),
 IF(NOT(ISERROR(REGEXEXTRACT("&amp;"T209, ""(\d{1,2}) fev\. 2025""))), 
  TEXT(DATE(2025,2,REGEXEXTRACT(T209, ""(\d{1,2}) fev\. 2025"")), ""dd/mm/yyyy""),
 IF(NOT(ISERROR(REGEXEXTRACT(T209, ""(\d{1,2}) mar\. 2025""))), 
  TEXT(DATE(2025,3,REGEXEXTRACT(T209, ""(\d{1,2}) mar\. 2025"")), ""dd/"&amp;"mm/yyyy""),
 IF(NOT(ISERROR(REGEXEXTRACT(T209, ""(\d{1,2}) abr\. 2025""))), 
  TEXT(DATE(2025,4,REGEXEXTRACT(T209, ""(\d{1,2}) abr\. 2025"")), ""dd/mm/yyyy""),
 IF(NOT(ISERROR(REGEXEXTRACT(T209, ""(\d{1,2}) (mai|maio)\. 2025""))), 
  TEXT(DATE(2025,5,REGE"&amp;"XEXTRACT(T209, ""(\d{1,2}) (mai|maio)\. 2025"")), ""dd/mm/yyyy""),
 IF(NOT(ISERROR(REGEXEXTRACT(T209, ""(\d{1,2}) jun\. 2025""))), 
  TEXT(DATE(2025,6,REGEXEXTRACT(T209, ""(\d{1,2}) jun\. 2025"")), ""dd/mm/yyyy""),
 IF(NOT(ISERROR(REGEXEXTRACT(T209, ""(\d"&amp;"{1,2}) jul\. 2025""))), 
  TEXT(DATE(2025,7,REGEXEXTRACT(T209, ""(\d{1,2}) jul\. 2025"")), ""dd/mm/yyyy""),
 IF(NOT(ISERROR(REGEXEXTRACT(T209, ""(\d{1,2}) ago\. 2025""))), 
  TEXT(DATE(2025,8,REGEXEXTRACT(T209, ""(\d{1,2}) ago\. 2025"")), ""dd/mm/yyyy""),"&amp;"
 IF(NOT(ISERROR(REGEXEXTRACT(T209, ""(\d{1,2}) set\. 2025""))), 
  TEXT(DATE(2025,9,REGEXEXTRACT(T209, ""(\d{1,2}) set\. 2025"")), ""dd/mm/yyyy""),
 IF(NOT(ISERROR(REGEXEXTRACT(T209, ""(\d{1,2}) out\. 2025""))), 
  TEXT(DATE(2025,10,REGEXEXTRACT(T209, """&amp;"(\d{1,2}) out\. 2025"")), ""dd/mm/yyyy""),
 IF(NOT(ISERROR(REGEXEXTRACT(T209, ""(\d{1,2}) nov\. 2025""))), 
  TEXT(DATE(2025,11,REGEXEXTRACT(T209, ""(\d{1,2}) nov\. 2025"")), ""dd/mm/yyyy""),
 IF(NOT(ISERROR(REGEXEXTRACT(T209, ""(\d{1,2}) dez\. 2025""))),"&amp;" 
  TEXT(DATE(2025,12,REGEXEXTRACT(T209, ""(\d{1,2}) dez\. 2025"")), ""dd/mm/yyyy""),
 ""Insira a data manualmente"")))))))))))), """"))"),"31/10/2025")</f>
        <v>31/10/2025</v>
      </c>
      <c r="H209" s="22">
        <f t="shared" si="1"/>
        <v>2025</v>
      </c>
      <c r="I209" s="18" t="str">
        <f>IFERROR(__xludf.DUMMYFUNCTION("IF(REGEXMATCH(T209,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IF(REGEXMATCH(T209, ""(?i)\bBrasília\b""), ""Distrito Federal, Brasil"",
REGEXEXTRACT(T209,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09" s="30" t="s">
        <v>273</v>
      </c>
      <c r="K209" s="24" t="s">
        <v>546</v>
      </c>
      <c r="L209" s="24" t="s">
        <v>26</v>
      </c>
      <c r="M209" s="25" t="s">
        <v>27</v>
      </c>
      <c r="N209" s="18" t="str">
        <f t="shared" si="8"/>
        <v>CNN Brasil</v>
      </c>
      <c r="O209" s="17" t="s">
        <v>28</v>
      </c>
      <c r="P209" s="17" t="s">
        <v>251</v>
      </c>
      <c r="Q209" s="26">
        <v>45972.0</v>
      </c>
      <c r="R209" s="17" t="s">
        <v>30</v>
      </c>
      <c r="S209" s="27" t="str">
        <f t="shared" si="3"/>
        <v>Aqui</v>
      </c>
      <c r="T209" s="29" t="s">
        <v>547</v>
      </c>
      <c r="U209" s="29"/>
    </row>
    <row r="210">
      <c r="A210" s="16">
        <v>208.0</v>
      </c>
      <c r="B210" s="17" t="s">
        <v>23</v>
      </c>
      <c r="C210" s="18" t="str">
        <f>IFERROR(__xludf.DUMMYFUNCTION("IF(B210="""","""",IF(OR(
  REGEXMATCH(B210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REGEXMATCH(B210,""Notícia|Reportagem|Artigo de opinião|Verbete"")
),""Difusão"","""")))
"),"Difusão")</f>
        <v>Difusão</v>
      </c>
      <c r="D210" s="19" t="str">
        <f>IFERROR(__xludf.DUMMYFUNCTION("IF(B210="""","""",IF(OR(
  REGEXMATCH(B210,""Performance|Instalação|Álbum|Música|Poema|Livro|Filme|Documentário|Recitação|Espetáculo|Peça|Intervenção|Desfile|Fotografia|Exposição|Charge|Grafite|Leitura pública|Fabricação de cachaça artesanal""),
  REGEXMA"&amp;"TCH(B210,""dança|teatral|artístico|musical|artística"")
),""Manifestação artístico-cultural"",
IF(OR(
  REGEXMATCH(B210,""Crônica|Série|Reportagem|Podcast|Audiotour|Entrevista|Vídeo|Rádio|Notícia|Artigo de opinião|Coletiva de imprensa""),
  REGEXMATCH(B21"&amp;"0,""midiática"")
),""Produção midiática"","""")))
"),"Produção midiática")</f>
        <v>Produção midiática</v>
      </c>
      <c r="E210" s="20" t="str">
        <f>IFERROR(__xludf.DUMMYFUNCTION("IF(B210="""","""",IF(OR(
  REGEXMATCH(B210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REGEXMATCH(B210,""público|Imediato|artística|teatral|memória|Ação popular"")
),""Público Imediato"",
IF(REGEXMATCH(B210,""Música|Álbum|Filme|Documentár"&amp;"io|Série|Podcast|Rádio|Audiotour|Entrevista|Reportagem|Crônica|Relatório|Abaixo-assinado|Manifesto|Petição|Poema|Livro|Fotografia|Curta|Live|Webinário|Charge|Leitura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10" s="20" t="str">
        <f>IFERROR(__xludf.DUMMYFUNCTION("IF(B210="""","""",IF(OR(
  REGEXMATCH(B210,""Live|Webinário|Virtual|Verbete""),
  REGEXMATCH(B210,""online"")
),""Virtual"",
IF(REGEXMATCH(B210,""Música|Álbum|Filme|Documentário|Série|Podcast|Rádio|Audiotour|Episódio|Reportagem|Curta|Charge|Vídeo|Entrevis"&amp;"ta|Notícia|Artigo de opinião""),
""Midiático"",
IF(REGEXMATCH(B210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10" s="21" t="str">
        <f>IFERROR(__xludf.DUMMYFUNCTION("IF(C210=""rememoração"", ""Insira a data manualmente"", IF(C210=""difusão"", 
 IF(NOT(ISERROR(REGEXEXTRACT(T210, ""(\d{1,2}) jan\. 2025""))), 
  TEXT(DATE(2025,1,REGEXEXTRACT(T210, ""(\d{1,2}) jan\. 2025"")), ""dd/mm/yyyy""),
 IF(NOT(ISERROR(REGEXEXTRACT("&amp;"T210, ""(\d{1,2}) fev\. 2025""))), 
  TEXT(DATE(2025,2,REGEXEXTRACT(T210, ""(\d{1,2}) fev\. 2025"")), ""dd/mm/yyyy""),
 IF(NOT(ISERROR(REGEXEXTRACT(T210, ""(\d{1,2}) mar\. 2025""))), 
  TEXT(DATE(2025,3,REGEXEXTRACT(T210, ""(\d{1,2}) mar\. 2025"")), ""dd/"&amp;"mm/yyyy""),
 IF(NOT(ISERROR(REGEXEXTRACT(T210, ""(\d{1,2}) abr\. 2025""))), 
  TEXT(DATE(2025,4,REGEXEXTRACT(T210, ""(\d{1,2}) abr\. 2025"")), ""dd/mm/yyyy""),
 IF(NOT(ISERROR(REGEXEXTRACT(T210, ""(\d{1,2}) (mai|maio)\. 2025""))), 
  TEXT(DATE(2025,5,REGE"&amp;"XEXTRACT(T210, ""(\d{1,2}) (mai|maio)\. 2025"")), ""dd/mm/yyyy""),
 IF(NOT(ISERROR(REGEXEXTRACT(T210, ""(\d{1,2}) jun\. 2025""))), 
  TEXT(DATE(2025,6,REGEXEXTRACT(T210, ""(\d{1,2}) jun\. 2025"")), ""dd/mm/yyyy""),
 IF(NOT(ISERROR(REGEXEXTRACT(T210, ""(\d"&amp;"{1,2}) jul\. 2025""))), 
  TEXT(DATE(2025,7,REGEXEXTRACT(T210, ""(\d{1,2}) jul\. 2025"")), ""dd/mm/yyyy""),
 IF(NOT(ISERROR(REGEXEXTRACT(T210, ""(\d{1,2}) ago\. 2025""))), 
  TEXT(DATE(2025,8,REGEXEXTRACT(T210, ""(\d{1,2}) ago\. 2025"")), ""dd/mm/yyyy""),"&amp;"
 IF(NOT(ISERROR(REGEXEXTRACT(T210, ""(\d{1,2}) set\. 2025""))), 
  TEXT(DATE(2025,9,REGEXEXTRACT(T210, ""(\d{1,2}) set\. 2025"")), ""dd/mm/yyyy""),
 IF(NOT(ISERROR(REGEXEXTRACT(T210, ""(\d{1,2}) out\. 2025""))), 
  TEXT(DATE(2025,10,REGEXEXTRACT(T210, """&amp;"(\d{1,2}) out\. 2025"")), ""dd/mm/yyyy""),
 IF(NOT(ISERROR(REGEXEXTRACT(T210, ""(\d{1,2}) nov\. 2025""))), 
  TEXT(DATE(2025,11,REGEXEXTRACT(T210, ""(\d{1,2}) nov\. 2025"")), ""dd/mm/yyyy""),
 IF(NOT(ISERROR(REGEXEXTRACT(T210, ""(\d{1,2}) dez\. 2025""))),"&amp;" 
  TEXT(DATE(2025,12,REGEXEXTRACT(T210, ""(\d{1,2}) dez\. 2025"")), ""dd/mm/yyyy""),
 ""Insira a data manualmente"")))))))))))), """"))"),"28/10/2025")</f>
        <v>28/10/2025</v>
      </c>
      <c r="H210" s="22">
        <f t="shared" si="1"/>
        <v>2025</v>
      </c>
      <c r="I210" s="18" t="s">
        <v>301</v>
      </c>
      <c r="J210" s="30" t="s">
        <v>336</v>
      </c>
      <c r="K210" s="24" t="s">
        <v>548</v>
      </c>
      <c r="L210" s="24" t="s">
        <v>26</v>
      </c>
      <c r="M210" s="25" t="s">
        <v>27</v>
      </c>
      <c r="N210" s="18" t="str">
        <f t="shared" si="8"/>
        <v>G1</v>
      </c>
      <c r="O210" s="17" t="s">
        <v>28</v>
      </c>
      <c r="P210" s="17" t="s">
        <v>251</v>
      </c>
      <c r="Q210" s="26">
        <v>45972.0</v>
      </c>
      <c r="R210" s="17" t="s">
        <v>30</v>
      </c>
      <c r="S210" s="27" t="str">
        <f t="shared" si="3"/>
        <v>Aqui</v>
      </c>
      <c r="T210" s="29" t="s">
        <v>549</v>
      </c>
      <c r="U210" s="29"/>
    </row>
    <row r="211">
      <c r="A211" s="16">
        <v>209.0</v>
      </c>
      <c r="B211" s="17" t="s">
        <v>23</v>
      </c>
      <c r="C211" s="18" t="str">
        <f>IFERROR(__xludf.DUMMYFUNCTION("IF(B211="""","""",IF(OR(
  REGEXMATCH(B211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REGEXMATCH(B211,""Notícia|Reportagem|Artigo de opinião|Verbete"")
),""Difusão"","""")))
"),"Difusão")</f>
        <v>Difusão</v>
      </c>
      <c r="D211" s="19" t="str">
        <f>IFERROR(__xludf.DUMMYFUNCTION("IF(B211="""","""",IF(OR(
  REGEXMATCH(B211,""Performance|Instalação|Álbum|Música|Poema|Livro|Filme|Documentário|Recitação|Espetáculo|Peça|Intervenção|Desfile|Fotografia|Exposição|Charge|Grafite|Leitura pública|Fabricação de cachaça artesanal""),
  REGEXMA"&amp;"TCH(B211,""dança|teatral|artístico|musical|artística"")
),""Manifestação artístico-cultural"",
IF(OR(
  REGEXMATCH(B211,""Crônica|Série|Reportagem|Podcast|Audiotour|Entrevista|Vídeo|Rádio|Notícia|Artigo de opinião|Coletiva de imprensa""),
  REGEXMATCH(B21"&amp;"1,""midiática"")
),""Produção midiática"","""")))
"),"Produção midiática")</f>
        <v>Produção midiática</v>
      </c>
      <c r="E211" s="20" t="str">
        <f>IFERROR(__xludf.DUMMYFUNCTION("IF(B211="""","""",IF(OR(
  REGEXMATCH(B211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REGEXMATCH(B211,""público|Imediato|artística|teatral|memória|Ação popular"")
),""Público Imediato"",
IF(REGEXMATCH(B211,""Música|Álbum|Filme|Documentár"&amp;"io|Série|Podcast|Rádio|Audiotour|Entrevista|Reportagem|Crônica|Relatório|Abaixo-assinado|Manifesto|Petição|Poema|Livro|Fotografia|Curta|Live|Webinário|Charge|Leitura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11" s="20" t="str">
        <f>IFERROR(__xludf.DUMMYFUNCTION("IF(B211="""","""",IF(OR(
  REGEXMATCH(B211,""Live|Webinário|Virtual|Verbete""),
  REGEXMATCH(B211,""online"")
),""Virtual"",
IF(REGEXMATCH(B211,""Música|Álbum|Filme|Documentário|Série|Podcast|Rádio|Audiotour|Episódio|Reportagem|Curta|Charge|Vídeo|Entrevis"&amp;"ta|Notícia|Artigo de opinião""),
""Midiático"",
IF(REGEXMATCH(B211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11" s="21" t="str">
        <f>IFERROR(__xludf.DUMMYFUNCTION("IF(C211=""rememoração"", ""Insira a data manualmente"", IF(C211=""difusão"", 
 IF(NOT(ISERROR(REGEXEXTRACT(T211, ""(\d{1,2}) jan\. 2025""))), 
  TEXT(DATE(2025,1,REGEXEXTRACT(T211, ""(\d{1,2}) jan\. 2025"")), ""dd/mm/yyyy""),
 IF(NOT(ISERROR(REGEXEXTRACT("&amp;"T211, ""(\d{1,2}) fev\. 2025""))), 
  TEXT(DATE(2025,2,REGEXEXTRACT(T211, ""(\d{1,2}) fev\. 2025"")), ""dd/mm/yyyy""),
 IF(NOT(ISERROR(REGEXEXTRACT(T211, ""(\d{1,2}) mar\. 2025""))), 
  TEXT(DATE(2025,3,REGEXEXTRACT(T211, ""(\d{1,2}) mar\. 2025"")), ""dd/"&amp;"mm/yyyy""),
 IF(NOT(ISERROR(REGEXEXTRACT(T211, ""(\d{1,2}) abr\. 2025""))), 
  TEXT(DATE(2025,4,REGEXEXTRACT(T211, ""(\d{1,2}) abr\. 2025"")), ""dd/mm/yyyy""),
 IF(NOT(ISERROR(REGEXEXTRACT(T211, ""(\d{1,2}) (mai|maio)\. 2025""))), 
  TEXT(DATE(2025,5,REGE"&amp;"XEXTRACT(T211, ""(\d{1,2}) (mai|maio)\. 2025"")), ""dd/mm/yyyy""),
 IF(NOT(ISERROR(REGEXEXTRACT(T211, ""(\d{1,2}) jun\. 2025""))), 
  TEXT(DATE(2025,6,REGEXEXTRACT(T211, ""(\d{1,2}) jun\. 2025"")), ""dd/mm/yyyy""),
 IF(NOT(ISERROR(REGEXEXTRACT(T211, ""(\d"&amp;"{1,2}) jul\. 2025""))), 
  TEXT(DATE(2025,7,REGEXEXTRACT(T211, ""(\d{1,2}) jul\. 2025"")), ""dd/mm/yyyy""),
 IF(NOT(ISERROR(REGEXEXTRACT(T211, ""(\d{1,2}) ago\. 2025""))), 
  TEXT(DATE(2025,8,REGEXEXTRACT(T211, ""(\d{1,2}) ago\. 2025"")), ""dd/mm/yyyy""),"&amp;"
 IF(NOT(ISERROR(REGEXEXTRACT(T211, ""(\d{1,2}) set\. 2025""))), 
  TEXT(DATE(2025,9,REGEXEXTRACT(T211, ""(\d{1,2}) set\. 2025"")), ""dd/mm/yyyy""),
 IF(NOT(ISERROR(REGEXEXTRACT(T211, ""(\d{1,2}) out\. 2025""))), 
  TEXT(DATE(2025,10,REGEXEXTRACT(T211, """&amp;"(\d{1,2}) out\. 2025"")), ""dd/mm/yyyy""),
 IF(NOT(ISERROR(REGEXEXTRACT(T211, ""(\d{1,2}) nov\. 2025""))), 
  TEXT(DATE(2025,11,REGEXEXTRACT(T211, ""(\d{1,2}) nov\. 2025"")), ""dd/mm/yyyy""),
 IF(NOT(ISERROR(REGEXEXTRACT(T211, ""(\d{1,2}) dez\. 2025""))),"&amp;" 
  TEXT(DATE(2025,12,REGEXEXTRACT(T211, ""(\d{1,2}) dez\. 2025"")), ""dd/mm/yyyy""),
 ""Insira a data manualmente"")))))))))))), """"))"),"28/10/2025")</f>
        <v>28/10/2025</v>
      </c>
      <c r="H211" s="22">
        <f t="shared" si="1"/>
        <v>2025</v>
      </c>
      <c r="I211" s="18" t="str">
        <f>IFERROR(__xludf.DUMMYFUNCTION("IF(REGEXMATCH(T211,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IF(REGEXMATCH(T211, ""(?i)\bBrasília\b""), ""Distrito Federal, Brasil"",
REGEXEXTRACT(T211,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11" s="30" t="s">
        <v>273</v>
      </c>
      <c r="K211" s="24" t="s">
        <v>550</v>
      </c>
      <c r="L211" s="24" t="s">
        <v>26</v>
      </c>
      <c r="M211" s="25" t="s">
        <v>27</v>
      </c>
      <c r="N211" s="18" t="str">
        <f t="shared" si="8"/>
        <v>CNN Brasil</v>
      </c>
      <c r="O211" s="17" t="s">
        <v>28</v>
      </c>
      <c r="P211" s="17" t="s">
        <v>251</v>
      </c>
      <c r="Q211" s="26">
        <v>45972.0</v>
      </c>
      <c r="R211" s="17" t="s">
        <v>30</v>
      </c>
      <c r="S211" s="27" t="str">
        <f t="shared" si="3"/>
        <v>Aqui</v>
      </c>
      <c r="T211" s="29" t="s">
        <v>551</v>
      </c>
      <c r="U211" s="29"/>
    </row>
    <row r="212">
      <c r="A212" s="16">
        <v>210.0</v>
      </c>
      <c r="B212" s="17" t="s">
        <v>23</v>
      </c>
      <c r="C212" s="18" t="str">
        <f>IFERROR(__xludf.DUMMYFUNCTION("IF(B212="""","""",IF(OR(
  REGEXMATCH(B212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REGEXMATCH(B212,""Notícia|Reportagem|Artigo de opinião|Verbete"")
),""Difusão"","""")))
"),"Difusão")</f>
        <v>Difusão</v>
      </c>
      <c r="D212" s="19" t="str">
        <f>IFERROR(__xludf.DUMMYFUNCTION("IF(B212="""","""",IF(OR(
  REGEXMATCH(B212,""Performance|Instalação|Álbum|Música|Poema|Livro|Filme|Documentário|Recitação|Espetáculo|Peça|Intervenção|Desfile|Fotografia|Exposição|Charge|Grafite|Leitura pública|Fabricação de cachaça artesanal""),
  REGEXMA"&amp;"TCH(B212,""dança|teatral|artístico|musical|artística"")
),""Manifestação artístico-cultural"",
IF(OR(
  REGEXMATCH(B212,""Crônica|Série|Reportagem|Podcast|Audiotour|Entrevista|Vídeo|Rádio|Notícia|Artigo de opinião|Coletiva de imprensa""),
  REGEXMATCH(B21"&amp;"2,""midiática"")
),""Produção midiática"","""")))
"),"Produção midiática")</f>
        <v>Produção midiática</v>
      </c>
      <c r="E212" s="20" t="str">
        <f>IFERROR(__xludf.DUMMYFUNCTION("IF(B212="""","""",IF(OR(
  REGEXMATCH(B212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REGEXMATCH(B212,""público|Imediato|artística|teatral|memória|Ação popular"")
),""Público Imediato"",
IF(REGEXMATCH(B212,""Música|Álbum|Filme|Documentár"&amp;"io|Série|Podcast|Rádio|Audiotour|Entrevista|Reportagem|Crônica|Relatório|Abaixo-assinado|Manifesto|Petição|Poema|Livro|Fotografia|Curta|Live|Webinário|Charge|Leitura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12" s="20" t="str">
        <f>IFERROR(__xludf.DUMMYFUNCTION("IF(B212="""","""",IF(OR(
  REGEXMATCH(B212,""Live|Webinário|Virtual|Verbete""),
  REGEXMATCH(B212,""online"")
),""Virtual"",
IF(REGEXMATCH(B212,""Música|Álbum|Filme|Documentário|Série|Podcast|Rádio|Audiotour|Episódio|Reportagem|Curta|Charge|Vídeo|Entrevis"&amp;"ta|Notícia|Artigo de opinião""),
""Midiático"",
IF(REGEXMATCH(B212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12" s="21" t="str">
        <f>IFERROR(__xludf.DUMMYFUNCTION("IF(C212=""rememoração"", ""Insira a data manualmente"", IF(C212=""difusão"", 
 IF(NOT(ISERROR(REGEXEXTRACT(T212, ""(\d{1,2}) jan\. 2025""))), 
  TEXT(DATE(2025,1,REGEXEXTRACT(T212, ""(\d{1,2}) jan\. 2025"")), ""dd/mm/yyyy""),
 IF(NOT(ISERROR(REGEXEXTRACT("&amp;"T212, ""(\d{1,2}) fev\. 2025""))), 
  TEXT(DATE(2025,2,REGEXEXTRACT(T212, ""(\d{1,2}) fev\. 2025"")), ""dd/mm/yyyy""),
 IF(NOT(ISERROR(REGEXEXTRACT(T212, ""(\d{1,2}) mar\. 2025""))), 
  TEXT(DATE(2025,3,REGEXEXTRACT(T212, ""(\d{1,2}) mar\. 2025"")), ""dd/"&amp;"mm/yyyy""),
 IF(NOT(ISERROR(REGEXEXTRACT(T212, ""(\d{1,2}) abr\. 2025""))), 
  TEXT(DATE(2025,4,REGEXEXTRACT(T212, ""(\d{1,2}) abr\. 2025"")), ""dd/mm/yyyy""),
 IF(NOT(ISERROR(REGEXEXTRACT(T212, ""(\d{1,2}) (mai|maio)\. 2025""))), 
  TEXT(DATE(2025,5,REGE"&amp;"XEXTRACT(T212, ""(\d{1,2}) (mai|maio)\. 2025"")), ""dd/mm/yyyy""),
 IF(NOT(ISERROR(REGEXEXTRACT(T212, ""(\d{1,2}) jun\. 2025""))), 
  TEXT(DATE(2025,6,REGEXEXTRACT(T212, ""(\d{1,2}) jun\. 2025"")), ""dd/mm/yyyy""),
 IF(NOT(ISERROR(REGEXEXTRACT(T212, ""(\d"&amp;"{1,2}) jul\. 2025""))), 
  TEXT(DATE(2025,7,REGEXEXTRACT(T212, ""(\d{1,2}) jul\. 2025"")), ""dd/mm/yyyy""),
 IF(NOT(ISERROR(REGEXEXTRACT(T212, ""(\d{1,2}) ago\. 2025""))), 
  TEXT(DATE(2025,8,REGEXEXTRACT(T212, ""(\d{1,2}) ago\. 2025"")), ""dd/mm/yyyy""),"&amp;"
 IF(NOT(ISERROR(REGEXEXTRACT(T212, ""(\d{1,2}) set\. 2025""))), 
  TEXT(DATE(2025,9,REGEXEXTRACT(T212, ""(\d{1,2}) set\. 2025"")), ""dd/mm/yyyy""),
 IF(NOT(ISERROR(REGEXEXTRACT(T212, ""(\d{1,2}) out\. 2025""))), 
  TEXT(DATE(2025,10,REGEXEXTRACT(T212, """&amp;"(\d{1,2}) out\. 2025"")), ""dd/mm/yyyy""),
 IF(NOT(ISERROR(REGEXEXTRACT(T212, ""(\d{1,2}) nov\. 2025""))), 
  TEXT(DATE(2025,11,REGEXEXTRACT(T212, ""(\d{1,2}) nov\. 2025"")), ""dd/mm/yyyy""),
 IF(NOT(ISERROR(REGEXEXTRACT(T212, ""(\d{1,2}) dez\. 2025""))),"&amp;" 
  TEXT(DATE(2025,12,REGEXEXTRACT(T212, ""(\d{1,2}) dez\. 2025"")), ""dd/mm/yyyy""),
 ""Insira a data manualmente"")))))))))))), """"))"),"30/10/2025")</f>
        <v>30/10/2025</v>
      </c>
      <c r="H212" s="22">
        <f t="shared" si="1"/>
        <v>2025</v>
      </c>
      <c r="I212" s="18" t="str">
        <f>IFERROR(__xludf.DUMMYFUNCTION("IF(REGEXMATCH(T212,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IF(REGEXMATCH(T212, ""(?i)\bBrasília\b""), ""Distrito Federal, Brasil"",
REGEXEXTRACT(T212,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12" s="30" t="s">
        <v>552</v>
      </c>
      <c r="K212" s="24" t="s">
        <v>553</v>
      </c>
      <c r="L212" s="24" t="s">
        <v>26</v>
      </c>
      <c r="M212" s="25" t="s">
        <v>27</v>
      </c>
      <c r="N212" s="18" t="str">
        <f t="shared" si="8"/>
        <v>Rádio Nacional</v>
      </c>
      <c r="O212" s="17" t="s">
        <v>28</v>
      </c>
      <c r="P212" s="17" t="s">
        <v>251</v>
      </c>
      <c r="Q212" s="26">
        <v>45972.0</v>
      </c>
      <c r="R212" s="17" t="s">
        <v>30</v>
      </c>
      <c r="S212" s="27" t="str">
        <f t="shared" si="3"/>
        <v>Aqui</v>
      </c>
      <c r="T212" s="29" t="s">
        <v>554</v>
      </c>
      <c r="U212" s="29"/>
    </row>
    <row r="213">
      <c r="A213" s="16">
        <v>211.0</v>
      </c>
      <c r="B213" s="17" t="s">
        <v>23</v>
      </c>
      <c r="C213" s="18" t="str">
        <f>IFERROR(__xludf.DUMMYFUNCTION("IF(B213="""","""",IF(OR(
  REGEXMATCH(B213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REGEXMATCH(B213,""Notícia|Reportagem|Artigo de opinião|Verbete"")
),""Difusão"","""")))
"),"Difusão")</f>
        <v>Difusão</v>
      </c>
      <c r="D213" s="19" t="str">
        <f>IFERROR(__xludf.DUMMYFUNCTION("IF(B213="""","""",IF(OR(
  REGEXMATCH(B213,""Performance|Instalação|Álbum|Música|Poema|Livro|Filme|Documentário|Recitação|Espetáculo|Peça|Intervenção|Desfile|Fotografia|Exposição|Charge|Grafite|Leitura pública|Fabricação de cachaça artesanal""),
  REGEXMA"&amp;"TCH(B213,""dança|teatral|artístico|musical|artística"")
),""Manifestação artístico-cultural"",
IF(OR(
  REGEXMATCH(B213,""Crônica|Série|Reportagem|Podcast|Audiotour|Entrevista|Vídeo|Rádio|Notícia|Artigo de opinião|Coletiva de imprensa""),
  REGEXMATCH(B21"&amp;"3,""midiática"")
),""Produção midiática"","""")))
"),"Produção midiática")</f>
        <v>Produção midiática</v>
      </c>
      <c r="E213" s="20" t="str">
        <f>IFERROR(__xludf.DUMMYFUNCTION("IF(B213="""","""",IF(OR(
  REGEXMATCH(B213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REGEXMATCH(B213,""público|Imediato|artística|teatral|memória|Ação popular"")
),""Público Imediato"",
IF(REGEXMATCH(B213,""Música|Álbum|Filme|Documentár"&amp;"io|Série|Podcast|Rádio|Audiotour|Entrevista|Reportagem|Crônica|Relatório|Abaixo-assinado|Manifesto|Petição|Poema|Livro|Fotografia|Curta|Live|Webinário|Charge|Leitura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13" s="20" t="str">
        <f>IFERROR(__xludf.DUMMYFUNCTION("IF(B213="""","""",IF(OR(
  REGEXMATCH(B213,""Live|Webinário|Virtual|Verbete""),
  REGEXMATCH(B213,""online"")
),""Virtual"",
IF(REGEXMATCH(B213,""Música|Álbum|Filme|Documentário|Série|Podcast|Rádio|Audiotour|Episódio|Reportagem|Curta|Charge|Vídeo|Entrevis"&amp;"ta|Notícia|Artigo de opinião""),
""Midiático"",
IF(REGEXMATCH(B213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13" s="21" t="str">
        <f>IFERROR(__xludf.DUMMYFUNCTION("IF(C213=""rememoração"", ""Insira a data manualmente"", IF(C213=""difusão"", 
 IF(NOT(ISERROR(REGEXEXTRACT(T213, ""(\d{1,2}) jan\. 2025""))), 
  TEXT(DATE(2025,1,REGEXEXTRACT(T213, ""(\d{1,2}) jan\. 2025"")), ""dd/mm/yyyy""),
 IF(NOT(ISERROR(REGEXEXTRACT("&amp;"T213, ""(\d{1,2}) fev\. 2025""))), 
  TEXT(DATE(2025,2,REGEXEXTRACT(T213, ""(\d{1,2}) fev\. 2025"")), ""dd/mm/yyyy""),
 IF(NOT(ISERROR(REGEXEXTRACT(T213, ""(\d{1,2}) mar\. 2025""))), 
  TEXT(DATE(2025,3,REGEXEXTRACT(T213, ""(\d{1,2}) mar\. 2025"")), ""dd/"&amp;"mm/yyyy""),
 IF(NOT(ISERROR(REGEXEXTRACT(T213, ""(\d{1,2}) abr\. 2025""))), 
  TEXT(DATE(2025,4,REGEXEXTRACT(T213, ""(\d{1,2}) abr\. 2025"")), ""dd/mm/yyyy""),
 IF(NOT(ISERROR(REGEXEXTRACT(T213, ""(\d{1,2}) (mai|maio)\. 2025""))), 
  TEXT(DATE(2025,5,REGE"&amp;"XEXTRACT(T213, ""(\d{1,2}) (mai|maio)\. 2025"")), ""dd/mm/yyyy""),
 IF(NOT(ISERROR(REGEXEXTRACT(T213, ""(\d{1,2}) jun\. 2025""))), 
  TEXT(DATE(2025,6,REGEXEXTRACT(T213, ""(\d{1,2}) jun\. 2025"")), ""dd/mm/yyyy""),
 IF(NOT(ISERROR(REGEXEXTRACT(T213, ""(\d"&amp;"{1,2}) jul\. 2025""))), 
  TEXT(DATE(2025,7,REGEXEXTRACT(T213, ""(\d{1,2}) jul\. 2025"")), ""dd/mm/yyyy""),
 IF(NOT(ISERROR(REGEXEXTRACT(T213, ""(\d{1,2}) ago\. 2025""))), 
  TEXT(DATE(2025,8,REGEXEXTRACT(T213, ""(\d{1,2}) ago\. 2025"")), ""dd/mm/yyyy""),"&amp;"
 IF(NOT(ISERROR(REGEXEXTRACT(T213, ""(\d{1,2}) set\. 2025""))), 
  TEXT(DATE(2025,9,REGEXEXTRACT(T213, ""(\d{1,2}) set\. 2025"")), ""dd/mm/yyyy""),
 IF(NOT(ISERROR(REGEXEXTRACT(T213, ""(\d{1,2}) out\. 2025""))), 
  TEXT(DATE(2025,10,REGEXEXTRACT(T213, """&amp;"(\d{1,2}) out\. 2025"")), ""dd/mm/yyyy""),
 IF(NOT(ISERROR(REGEXEXTRACT(T213, ""(\d{1,2}) nov\. 2025""))), 
  TEXT(DATE(2025,11,REGEXEXTRACT(T213, ""(\d{1,2}) nov\. 2025"")), ""dd/mm/yyyy""),
 IF(NOT(ISERROR(REGEXEXTRACT(T213, ""(\d{1,2}) dez\. 2025""))),"&amp;" 
  TEXT(DATE(2025,12,REGEXEXTRACT(T213, ""(\d{1,2}) dez\. 2025"")), ""dd/mm/yyyy""),
 ""Insira a data manualmente"")))))))))))), """"))"),"31/10/2025")</f>
        <v>31/10/2025</v>
      </c>
      <c r="H213" s="22">
        <f t="shared" si="1"/>
        <v>2025</v>
      </c>
      <c r="I213" s="18" t="str">
        <f>IFERROR(__xludf.DUMMYFUNCTION("IF(REGEXMATCH(T213,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IF(REGEXMATCH(T213, ""(?i)\bBrasília\b""), ""Distrito Federal, Brasil"",
REGEXEXTRACT(T213,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13" s="30" t="s">
        <v>273</v>
      </c>
      <c r="K213" s="24" t="s">
        <v>555</v>
      </c>
      <c r="L213" s="24" t="s">
        <v>26</v>
      </c>
      <c r="M213" s="25" t="s">
        <v>27</v>
      </c>
      <c r="N213" s="18" t="str">
        <f t="shared" si="8"/>
        <v>CNN Brasil</v>
      </c>
      <c r="O213" s="17" t="s">
        <v>28</v>
      </c>
      <c r="P213" s="17" t="s">
        <v>251</v>
      </c>
      <c r="Q213" s="26">
        <v>45972.0</v>
      </c>
      <c r="R213" s="17" t="s">
        <v>30</v>
      </c>
      <c r="S213" s="27" t="str">
        <f t="shared" si="3"/>
        <v>Aqui</v>
      </c>
      <c r="T213" s="29" t="s">
        <v>556</v>
      </c>
      <c r="U213" s="29"/>
    </row>
    <row r="214">
      <c r="A214" s="16">
        <v>212.0</v>
      </c>
      <c r="B214" s="17" t="s">
        <v>23</v>
      </c>
      <c r="C214" s="18" t="str">
        <f>IFERROR(__xludf.DUMMYFUNCTION("IF(B214="""","""",IF(OR(
  REGEXMATCH(B214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REGEXMATCH(B214,""Notícia|Reportagem|Artigo de opinião|Verbete"")
),""Difusão"","""")))
"),"Difusão")</f>
        <v>Difusão</v>
      </c>
      <c r="D214" s="19" t="str">
        <f>IFERROR(__xludf.DUMMYFUNCTION("IF(B214="""","""",IF(OR(
  REGEXMATCH(B214,""Performance|Instalação|Álbum|Música|Poema|Livro|Filme|Documentário|Recitação|Espetáculo|Peça|Intervenção|Desfile|Fotografia|Exposição|Charge|Grafite|Leitura pública|Fabricação de cachaça artesanal""),
  REGEXMA"&amp;"TCH(B214,""dança|teatral|artístico|musical|artística"")
),""Manifestação artístico-cultural"",
IF(OR(
  REGEXMATCH(B214,""Crônica|Série|Reportagem|Podcast|Audiotour|Entrevista|Vídeo|Rádio|Notícia|Artigo de opinião|Coletiva de imprensa""),
  REGEXMATCH(B21"&amp;"4,""midiática"")
),""Produção midiática"","""")))
"),"Produção midiática")</f>
        <v>Produção midiática</v>
      </c>
      <c r="E214" s="20" t="str">
        <f>IFERROR(__xludf.DUMMYFUNCTION("IF(B214="""","""",IF(OR(
  REGEXMATCH(B214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REGEXMATCH(B214,""público|Imediato|artística|teatral|memória|Ação popular"")
),""Público Imediato"",
IF(REGEXMATCH(B214,""Música|Álbum|Filme|Documentár"&amp;"io|Série|Podcast|Rádio|Audiotour|Entrevista|Reportagem|Crônica|Relatório|Abaixo-assinado|Manifesto|Petição|Poema|Livro|Fotografia|Curta|Live|Webinário|Charge|Leitura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14" s="20" t="str">
        <f>IFERROR(__xludf.DUMMYFUNCTION("IF(B214="""","""",IF(OR(
  REGEXMATCH(B214,""Live|Webinário|Virtual|Verbete""),
  REGEXMATCH(B214,""online"")
),""Virtual"",
IF(REGEXMATCH(B214,""Música|Álbum|Filme|Documentário|Série|Podcast|Rádio|Audiotour|Episódio|Reportagem|Curta|Charge|Vídeo|Entrevis"&amp;"ta|Notícia|Artigo de opinião""),
""Midiático"",
IF(REGEXMATCH(B214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14" s="21" t="str">
        <f>IFERROR(__xludf.DUMMYFUNCTION("IF(C214=""rememoração"", ""Insira a data manualmente"", IF(C214=""difusão"", 
 IF(NOT(ISERROR(REGEXEXTRACT(T214, ""(\d{1,2}) jan\. 2025""))), 
  TEXT(DATE(2025,1,REGEXEXTRACT(T214, ""(\d{1,2}) jan\. 2025"")), ""dd/mm/yyyy""),
 IF(NOT(ISERROR(REGEXEXTRACT("&amp;"T214, ""(\d{1,2}) fev\. 2025""))), 
  TEXT(DATE(2025,2,REGEXEXTRACT(T214, ""(\d{1,2}) fev\. 2025"")), ""dd/mm/yyyy""),
 IF(NOT(ISERROR(REGEXEXTRACT(T214, ""(\d{1,2}) mar\. 2025""))), 
  TEXT(DATE(2025,3,REGEXEXTRACT(T214, ""(\d{1,2}) mar\. 2025"")), ""dd/"&amp;"mm/yyyy""),
 IF(NOT(ISERROR(REGEXEXTRACT(T214, ""(\d{1,2}) abr\. 2025""))), 
  TEXT(DATE(2025,4,REGEXEXTRACT(T214, ""(\d{1,2}) abr\. 2025"")), ""dd/mm/yyyy""),
 IF(NOT(ISERROR(REGEXEXTRACT(T214, ""(\d{1,2}) (mai|maio)\. 2025""))), 
  TEXT(DATE(2025,5,REGE"&amp;"XEXTRACT(T214, ""(\d{1,2}) (mai|maio)\. 2025"")), ""dd/mm/yyyy""),
 IF(NOT(ISERROR(REGEXEXTRACT(T214, ""(\d{1,2}) jun\. 2025""))), 
  TEXT(DATE(2025,6,REGEXEXTRACT(T214, ""(\d{1,2}) jun\. 2025"")), ""dd/mm/yyyy""),
 IF(NOT(ISERROR(REGEXEXTRACT(T214, ""(\d"&amp;"{1,2}) jul\. 2025""))), 
  TEXT(DATE(2025,7,REGEXEXTRACT(T214, ""(\d{1,2}) jul\. 2025"")), ""dd/mm/yyyy""),
 IF(NOT(ISERROR(REGEXEXTRACT(T214, ""(\d{1,2}) ago\. 2025""))), 
  TEXT(DATE(2025,8,REGEXEXTRACT(T214, ""(\d{1,2}) ago\. 2025"")), ""dd/mm/yyyy""),"&amp;"
 IF(NOT(ISERROR(REGEXEXTRACT(T214, ""(\d{1,2}) set\. 2025""))), 
  TEXT(DATE(2025,9,REGEXEXTRACT(T214, ""(\d{1,2}) set\. 2025"")), ""dd/mm/yyyy""),
 IF(NOT(ISERROR(REGEXEXTRACT(T214, ""(\d{1,2}) out\. 2025""))), 
  TEXT(DATE(2025,10,REGEXEXTRACT(T214, """&amp;"(\d{1,2}) out\. 2025"")), ""dd/mm/yyyy""),
 IF(NOT(ISERROR(REGEXEXTRACT(T214, ""(\d{1,2}) nov\. 2025""))), 
  TEXT(DATE(2025,11,REGEXEXTRACT(T214, ""(\d{1,2}) nov\. 2025"")), ""dd/mm/yyyy""),
 IF(NOT(ISERROR(REGEXEXTRACT(T214, ""(\d{1,2}) dez\. 2025""))),"&amp;" 
  TEXT(DATE(2025,12,REGEXEXTRACT(T214, ""(\d{1,2}) dez\. 2025"")), ""dd/mm/yyyy""),
 ""Insira a data manualmente"")))))))))))), """"))"),"29/10/2025")</f>
        <v>29/10/2025</v>
      </c>
      <c r="H214" s="22">
        <f t="shared" si="1"/>
        <v>2025</v>
      </c>
      <c r="I214" s="18" t="str">
        <f>IFERROR(__xludf.DUMMYFUNCTION("IF(REGEXMATCH(T214,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IF(REGEXMATCH(T214, ""(?i)\bBrasília\b""), ""Distrito Federal, Brasil"",
REGEXEXTRACT(T214,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14" s="30" t="s">
        <v>32</v>
      </c>
      <c r="K214" s="24" t="s">
        <v>557</v>
      </c>
      <c r="L214" s="24" t="s">
        <v>26</v>
      </c>
      <c r="M214" s="25" t="s">
        <v>27</v>
      </c>
      <c r="N214" s="18" t="str">
        <f t="shared" si="8"/>
        <v>Agência Brasil</v>
      </c>
      <c r="O214" s="17" t="s">
        <v>28</v>
      </c>
      <c r="P214" s="17" t="s">
        <v>251</v>
      </c>
      <c r="Q214" s="26">
        <v>45972.0</v>
      </c>
      <c r="R214" s="17" t="s">
        <v>30</v>
      </c>
      <c r="S214" s="27" t="str">
        <f t="shared" si="3"/>
        <v>Aqui</v>
      </c>
      <c r="T214" s="29" t="s">
        <v>558</v>
      </c>
      <c r="U214" s="29"/>
    </row>
    <row r="215">
      <c r="A215" s="16">
        <v>213.0</v>
      </c>
      <c r="B215" s="17" t="s">
        <v>23</v>
      </c>
      <c r="C215" s="18" t="str">
        <f>IFERROR(__xludf.DUMMYFUNCTION("IF(B215="""","""",IF(OR(
  REGEXMATCH(B215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REGEXMATCH(B215,""Notícia|Reportagem|Artigo de opinião|Verbete"")
),""Difusão"","""")))
"),"Difusão")</f>
        <v>Difusão</v>
      </c>
      <c r="D215" s="19" t="str">
        <f>IFERROR(__xludf.DUMMYFUNCTION("IF(B215="""","""",IF(OR(
  REGEXMATCH(B215,""Performance|Instalação|Álbum|Música|Poema|Livro|Filme|Documentário|Recitação|Espetáculo|Peça|Intervenção|Desfile|Fotografia|Exposição|Charge|Grafite|Leitura pública|Fabricação de cachaça artesanal""),
  REGEXMA"&amp;"TCH(B215,""dança|teatral|artístico|musical|artística"")
),""Manifestação artístico-cultural"",
IF(OR(
  REGEXMATCH(B215,""Crônica|Série|Reportagem|Podcast|Audiotour|Entrevista|Vídeo|Rádio|Notícia|Artigo de opinião|Coletiva de imprensa""),
  REGEXMATCH(B21"&amp;"5,""midiática"")
),""Produção midiática"","""")))
"),"Produção midiática")</f>
        <v>Produção midiática</v>
      </c>
      <c r="E215" s="20" t="str">
        <f>IFERROR(__xludf.DUMMYFUNCTION("IF(B215="""","""",IF(OR(
  REGEXMATCH(B215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REGEXMATCH(B215,""público|Imediato|artística|teatral|memória|Ação popular"")
),""Público Imediato"",
IF(REGEXMATCH(B215,""Música|Álbum|Filme|Documentár"&amp;"io|Série|Podcast|Rádio|Audiotour|Entrevista|Reportagem|Crônica|Relatório|Abaixo-assinado|Manifesto|Petição|Poema|Livro|Fotografia|Curta|Live|Webinário|Charge|Leitura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15" s="20" t="str">
        <f>IFERROR(__xludf.DUMMYFUNCTION("IF(B215="""","""",IF(OR(
  REGEXMATCH(B215,""Live|Webinário|Virtual|Verbete""),
  REGEXMATCH(B215,""online"")
),""Virtual"",
IF(REGEXMATCH(B215,""Música|Álbum|Filme|Documentário|Série|Podcast|Rádio|Audiotour|Episódio|Reportagem|Curta|Charge|Vídeo|Entrevis"&amp;"ta|Notícia|Artigo de opinião""),
""Midiático"",
IF(REGEXMATCH(B215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15" s="21" t="str">
        <f>IFERROR(__xludf.DUMMYFUNCTION("IF(C215=""rememoração"", ""Insira a data manualmente"", IF(C215=""difusão"", 
 IF(NOT(ISERROR(REGEXEXTRACT(T215, ""(\d{1,2}) jan\. 2025""))), 
  TEXT(DATE(2025,1,REGEXEXTRACT(T215, ""(\d{1,2}) jan\. 2025"")), ""dd/mm/yyyy""),
 IF(NOT(ISERROR(REGEXEXTRACT("&amp;"T215, ""(\d{1,2}) fev\. 2025""))), 
  TEXT(DATE(2025,2,REGEXEXTRACT(T215, ""(\d{1,2}) fev\. 2025"")), ""dd/mm/yyyy""),
 IF(NOT(ISERROR(REGEXEXTRACT(T215, ""(\d{1,2}) mar\. 2025""))), 
  TEXT(DATE(2025,3,REGEXEXTRACT(T215, ""(\d{1,2}) mar\. 2025"")), ""dd/"&amp;"mm/yyyy""),
 IF(NOT(ISERROR(REGEXEXTRACT(T215, ""(\d{1,2}) abr\. 2025""))), 
  TEXT(DATE(2025,4,REGEXEXTRACT(T215, ""(\d{1,2}) abr\. 2025"")), ""dd/mm/yyyy""),
 IF(NOT(ISERROR(REGEXEXTRACT(T215, ""(\d{1,2}) (mai|maio)\. 2025""))), 
  TEXT(DATE(2025,5,REGE"&amp;"XEXTRACT(T215, ""(\d{1,2}) (mai|maio)\. 2025"")), ""dd/mm/yyyy""),
 IF(NOT(ISERROR(REGEXEXTRACT(T215, ""(\d{1,2}) jun\. 2025""))), 
  TEXT(DATE(2025,6,REGEXEXTRACT(T215, ""(\d{1,2}) jun\. 2025"")), ""dd/mm/yyyy""),
 IF(NOT(ISERROR(REGEXEXTRACT(T215, ""(\d"&amp;"{1,2}) jul\. 2025""))), 
  TEXT(DATE(2025,7,REGEXEXTRACT(T215, ""(\d{1,2}) jul\. 2025"")), ""dd/mm/yyyy""),
 IF(NOT(ISERROR(REGEXEXTRACT(T215, ""(\d{1,2}) ago\. 2025""))), 
  TEXT(DATE(2025,8,REGEXEXTRACT(T215, ""(\d{1,2}) ago\. 2025"")), ""dd/mm/yyyy""),"&amp;"
 IF(NOT(ISERROR(REGEXEXTRACT(T215, ""(\d{1,2}) set\. 2025""))), 
  TEXT(DATE(2025,9,REGEXEXTRACT(T215, ""(\d{1,2}) set\. 2025"")), ""dd/mm/yyyy""),
 IF(NOT(ISERROR(REGEXEXTRACT(T215, ""(\d{1,2}) out\. 2025""))), 
  TEXT(DATE(2025,10,REGEXEXTRACT(T215, """&amp;"(\d{1,2}) out\. 2025"")), ""dd/mm/yyyy""),
 IF(NOT(ISERROR(REGEXEXTRACT(T215, ""(\d{1,2}) nov\. 2025""))), 
  TEXT(DATE(2025,11,REGEXEXTRACT(T215, ""(\d{1,2}) nov\. 2025"")), ""dd/mm/yyyy""),
 IF(NOT(ISERROR(REGEXEXTRACT(T215, ""(\d{1,2}) dez\. 2025""))),"&amp;" 
  TEXT(DATE(2025,12,REGEXEXTRACT(T215, ""(\d{1,2}) dez\. 2025"")), ""dd/mm/yyyy""),
 ""Insira a data manualmente"")))))))))))), """"))"),"28/10/2025")</f>
        <v>28/10/2025</v>
      </c>
      <c r="H215" s="22">
        <f t="shared" si="1"/>
        <v>2025</v>
      </c>
      <c r="I215" s="18" t="str">
        <f>IFERROR(__xludf.DUMMYFUNCTION("IF(REGEXMATCH(T215,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IF(REGEXMATCH(T215, ""(?i)\bBrasília\b""), ""Distrito Federal, Brasil"",
REGEXEXTRACT(T215,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15" s="30" t="s">
        <v>273</v>
      </c>
      <c r="K215" s="24" t="s">
        <v>559</v>
      </c>
      <c r="L215" s="24" t="s">
        <v>26</v>
      </c>
      <c r="M215" s="25" t="s">
        <v>27</v>
      </c>
      <c r="N215" s="18" t="str">
        <f t="shared" si="8"/>
        <v>CNN Brasil</v>
      </c>
      <c r="O215" s="17" t="s">
        <v>28</v>
      </c>
      <c r="P215" s="17" t="s">
        <v>251</v>
      </c>
      <c r="Q215" s="26">
        <v>45972.0</v>
      </c>
      <c r="R215" s="17" t="s">
        <v>30</v>
      </c>
      <c r="S215" s="27" t="str">
        <f t="shared" si="3"/>
        <v>Aqui</v>
      </c>
      <c r="T215" s="29" t="s">
        <v>560</v>
      </c>
      <c r="U215" s="29"/>
    </row>
    <row r="216">
      <c r="A216" s="16">
        <v>214.0</v>
      </c>
      <c r="B216" s="17" t="s">
        <v>23</v>
      </c>
      <c r="C216" s="18" t="str">
        <f>IFERROR(__xludf.DUMMYFUNCTION("IF(B216="""","""",IF(OR(
  REGEXMATCH(B216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REGEXMATCH(B216,""Notícia|Reportagem|Artigo de opinião|Verbete"")
),""Difusão"","""")))
"),"Difusão")</f>
        <v>Difusão</v>
      </c>
      <c r="D216" s="19" t="str">
        <f>IFERROR(__xludf.DUMMYFUNCTION("IF(B216="""","""",IF(OR(
  REGEXMATCH(B216,""Performance|Instalação|Álbum|Música|Poema|Livro|Filme|Documentário|Recitação|Espetáculo|Peça|Intervenção|Desfile|Fotografia|Exposição|Charge|Grafite|Leitura pública|Fabricação de cachaça artesanal""),
  REGEXMA"&amp;"TCH(B216,""dança|teatral|artístico|musical|artística"")
),""Manifestação artístico-cultural"",
IF(OR(
  REGEXMATCH(B216,""Crônica|Série|Reportagem|Podcast|Audiotour|Entrevista|Vídeo|Rádio|Notícia|Artigo de opinião|Coletiva de imprensa""),
  REGEXMATCH(B21"&amp;"6,""midiática"")
),""Produção midiática"","""")))
"),"Produção midiática")</f>
        <v>Produção midiática</v>
      </c>
      <c r="E216" s="20" t="str">
        <f>IFERROR(__xludf.DUMMYFUNCTION("IF(B216="""","""",IF(OR(
  REGEXMATCH(B216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REGEXMATCH(B216,""público|Imediato|artística|teatral|memória|Ação popular"")
),""Público Imediato"",
IF(REGEXMATCH(B216,""Música|Álbum|Filme|Documentár"&amp;"io|Série|Podcast|Rádio|Audiotour|Entrevista|Reportagem|Crônica|Relatório|Abaixo-assinado|Manifesto|Petição|Poema|Livro|Fotografia|Curta|Live|Webinário|Charge|Leitura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16" s="20" t="str">
        <f>IFERROR(__xludf.DUMMYFUNCTION("IF(B216="""","""",IF(OR(
  REGEXMATCH(B216,""Live|Webinário|Virtual|Verbete""),
  REGEXMATCH(B216,""online"")
),""Virtual"",
IF(REGEXMATCH(B216,""Música|Álbum|Filme|Documentário|Série|Podcast|Rádio|Audiotour|Episódio|Reportagem|Curta|Charge|Vídeo|Entrevis"&amp;"ta|Notícia|Artigo de opinião""),
""Midiático"",
IF(REGEXMATCH(B216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16" s="21" t="str">
        <f>IFERROR(__xludf.DUMMYFUNCTION("IF(C216=""rememoração"", ""Insira a data manualmente"", IF(C216=""difusão"", 
 IF(NOT(ISERROR(REGEXEXTRACT(T216, ""(\d{1,2}) jan\. 2025""))), 
  TEXT(DATE(2025,1,REGEXEXTRACT(T216, ""(\d{1,2}) jan\. 2025"")), ""dd/mm/yyyy""),
 IF(NOT(ISERROR(REGEXEXTRACT("&amp;"T216, ""(\d{1,2}) fev\. 2025""))), 
  TEXT(DATE(2025,2,REGEXEXTRACT(T216, ""(\d{1,2}) fev\. 2025"")), ""dd/mm/yyyy""),
 IF(NOT(ISERROR(REGEXEXTRACT(T216, ""(\d{1,2}) mar\. 2025""))), 
  TEXT(DATE(2025,3,REGEXEXTRACT(T216, ""(\d{1,2}) mar\. 2025"")), ""dd/"&amp;"mm/yyyy""),
 IF(NOT(ISERROR(REGEXEXTRACT(T216, ""(\d{1,2}) abr\. 2025""))), 
  TEXT(DATE(2025,4,REGEXEXTRACT(T216, ""(\d{1,2}) abr\. 2025"")), ""dd/mm/yyyy""),
 IF(NOT(ISERROR(REGEXEXTRACT(T216, ""(\d{1,2}) (mai|maio)\. 2025""))), 
  TEXT(DATE(2025,5,REGE"&amp;"XEXTRACT(T216, ""(\d{1,2}) (mai|maio)\. 2025"")), ""dd/mm/yyyy""),
 IF(NOT(ISERROR(REGEXEXTRACT(T216, ""(\d{1,2}) jun\. 2025""))), 
  TEXT(DATE(2025,6,REGEXEXTRACT(T216, ""(\d{1,2}) jun\. 2025"")), ""dd/mm/yyyy""),
 IF(NOT(ISERROR(REGEXEXTRACT(T216, ""(\d"&amp;"{1,2}) jul\. 2025""))), 
  TEXT(DATE(2025,7,REGEXEXTRACT(T216, ""(\d{1,2}) jul\. 2025"")), ""dd/mm/yyyy""),
 IF(NOT(ISERROR(REGEXEXTRACT(T216, ""(\d{1,2}) ago\. 2025""))), 
  TEXT(DATE(2025,8,REGEXEXTRACT(T216, ""(\d{1,2}) ago\. 2025"")), ""dd/mm/yyyy""),"&amp;"
 IF(NOT(ISERROR(REGEXEXTRACT(T216, ""(\d{1,2}) set\. 2025""))), 
  TEXT(DATE(2025,9,REGEXEXTRACT(T216, ""(\d{1,2}) set\. 2025"")), ""dd/mm/yyyy""),
 IF(NOT(ISERROR(REGEXEXTRACT(T216, ""(\d{1,2}) out\. 2025""))), 
  TEXT(DATE(2025,10,REGEXEXTRACT(T216, """&amp;"(\d{1,2}) out\. 2025"")), ""dd/mm/yyyy""),
 IF(NOT(ISERROR(REGEXEXTRACT(T216, ""(\d{1,2}) nov\. 2025""))), 
  TEXT(DATE(2025,11,REGEXEXTRACT(T216, ""(\d{1,2}) nov\. 2025"")), ""dd/mm/yyyy""),
 IF(NOT(ISERROR(REGEXEXTRACT(T216, ""(\d{1,2}) dez\. 2025""))),"&amp;" 
  TEXT(DATE(2025,12,REGEXEXTRACT(T216, ""(\d{1,2}) dez\. 2025"")), ""dd/mm/yyyy""),
 ""Insira a data manualmente"")))))))))))), """"))"),"28/10/2025")</f>
        <v>28/10/2025</v>
      </c>
      <c r="H216" s="22">
        <f t="shared" si="1"/>
        <v>2025</v>
      </c>
      <c r="I216" s="18" t="str">
        <f>IFERROR(__xludf.DUMMYFUNCTION("IF(REGEXMATCH(T216,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IF(REGEXMATCH(T216, ""(?i)\bBrasília\b""), ""Distrito Federal, Brasil"",
REGEXEXTRACT(T216,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16" s="30" t="s">
        <v>476</v>
      </c>
      <c r="K216" s="24" t="s">
        <v>561</v>
      </c>
      <c r="L216" s="24" t="s">
        <v>26</v>
      </c>
      <c r="M216" s="25" t="s">
        <v>27</v>
      </c>
      <c r="N216" s="18" t="str">
        <f t="shared" si="8"/>
        <v>Valor Econômico</v>
      </c>
      <c r="O216" s="17" t="s">
        <v>28</v>
      </c>
      <c r="P216" s="17" t="s">
        <v>251</v>
      </c>
      <c r="Q216" s="26">
        <v>45972.0</v>
      </c>
      <c r="R216" s="17" t="s">
        <v>30</v>
      </c>
      <c r="S216" s="27" t="str">
        <f t="shared" si="3"/>
        <v>Aqui</v>
      </c>
      <c r="T216" s="29" t="s">
        <v>562</v>
      </c>
      <c r="U216" s="29"/>
    </row>
    <row r="217">
      <c r="A217" s="16">
        <v>215.0</v>
      </c>
      <c r="B217" s="17" t="s">
        <v>23</v>
      </c>
      <c r="C217" s="18" t="str">
        <f>IFERROR(__xludf.DUMMYFUNCTION("IF(B217="""","""",IF(OR(
  REGEXMATCH(B217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REGEXMATCH(B217,""Notícia|Reportagem|Artigo de opinião|Verbete"")
),""Difusão"","""")))
"),"Difusão")</f>
        <v>Difusão</v>
      </c>
      <c r="D217" s="19" t="str">
        <f>IFERROR(__xludf.DUMMYFUNCTION("IF(B217="""","""",IF(OR(
  REGEXMATCH(B217,""Performance|Instalação|Álbum|Música|Poema|Livro|Filme|Documentário|Recitação|Espetáculo|Peça|Intervenção|Desfile|Fotografia|Exposição|Charge|Grafite|Leitura pública|Fabricação de cachaça artesanal""),
  REGEXMA"&amp;"TCH(B217,""dança|teatral|artístico|musical|artística"")
),""Manifestação artístico-cultural"",
IF(OR(
  REGEXMATCH(B217,""Crônica|Série|Reportagem|Podcast|Audiotour|Entrevista|Vídeo|Rádio|Notícia|Artigo de opinião|Coletiva de imprensa""),
  REGEXMATCH(B21"&amp;"7,""midiática"")
),""Produção midiática"","""")))
"),"Produção midiática")</f>
        <v>Produção midiática</v>
      </c>
      <c r="E217" s="20" t="str">
        <f>IFERROR(__xludf.DUMMYFUNCTION("IF(B217="""","""",IF(OR(
  REGEXMATCH(B217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REGEXMATCH(B217,""público|Imediato|artística|teatral|memória|Ação popular"")
),""Público Imediato"",
IF(REGEXMATCH(B217,""Música|Álbum|Filme|Documentár"&amp;"io|Série|Podcast|Rádio|Audiotour|Entrevista|Reportagem|Crônica|Relatório|Abaixo-assinado|Manifesto|Petição|Poema|Livro|Fotografia|Curta|Live|Webinário|Charge|Leitura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17" s="20" t="str">
        <f>IFERROR(__xludf.DUMMYFUNCTION("IF(B217="""","""",IF(OR(
  REGEXMATCH(B217,""Live|Webinário|Virtual|Verbete""),
  REGEXMATCH(B217,""online"")
),""Virtual"",
IF(REGEXMATCH(B217,""Música|Álbum|Filme|Documentário|Série|Podcast|Rádio|Audiotour|Episódio|Reportagem|Curta|Charge|Vídeo|Entrevis"&amp;"ta|Notícia|Artigo de opinião""),
""Midiático"",
IF(REGEXMATCH(B217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17" s="21" t="str">
        <f>IFERROR(__xludf.DUMMYFUNCTION("IF(C217=""rememoração"", ""Insira a data manualmente"", IF(C217=""difusão"", 
 IF(NOT(ISERROR(REGEXEXTRACT(T217, ""(\d{1,2}) jan\. 2025""))), 
  TEXT(DATE(2025,1,REGEXEXTRACT(T217, ""(\d{1,2}) jan\. 2025"")), ""dd/mm/yyyy""),
 IF(NOT(ISERROR(REGEXEXTRACT("&amp;"T217, ""(\d{1,2}) fev\. 2025""))), 
  TEXT(DATE(2025,2,REGEXEXTRACT(T217, ""(\d{1,2}) fev\. 2025"")), ""dd/mm/yyyy""),
 IF(NOT(ISERROR(REGEXEXTRACT(T217, ""(\d{1,2}) mar\. 2025""))), 
  TEXT(DATE(2025,3,REGEXEXTRACT(T217, ""(\d{1,2}) mar\. 2025"")), ""dd/"&amp;"mm/yyyy""),
 IF(NOT(ISERROR(REGEXEXTRACT(T217, ""(\d{1,2}) abr\. 2025""))), 
  TEXT(DATE(2025,4,REGEXEXTRACT(T217, ""(\d{1,2}) abr\. 2025"")), ""dd/mm/yyyy""),
 IF(NOT(ISERROR(REGEXEXTRACT(T217, ""(\d{1,2}) (mai|maio)\. 2025""))), 
  TEXT(DATE(2025,5,REGE"&amp;"XEXTRACT(T217, ""(\d{1,2}) (mai|maio)\. 2025"")), ""dd/mm/yyyy""),
 IF(NOT(ISERROR(REGEXEXTRACT(T217, ""(\d{1,2}) jun\. 2025""))), 
  TEXT(DATE(2025,6,REGEXEXTRACT(T217, ""(\d{1,2}) jun\. 2025"")), ""dd/mm/yyyy""),
 IF(NOT(ISERROR(REGEXEXTRACT(T217, ""(\d"&amp;"{1,2}) jul\. 2025""))), 
  TEXT(DATE(2025,7,REGEXEXTRACT(T217, ""(\d{1,2}) jul\. 2025"")), ""dd/mm/yyyy""),
 IF(NOT(ISERROR(REGEXEXTRACT(T217, ""(\d{1,2}) ago\. 2025""))), 
  TEXT(DATE(2025,8,REGEXEXTRACT(T217, ""(\d{1,2}) ago\. 2025"")), ""dd/mm/yyyy""),"&amp;"
 IF(NOT(ISERROR(REGEXEXTRACT(T217, ""(\d{1,2}) set\. 2025""))), 
  TEXT(DATE(2025,9,REGEXEXTRACT(T217, ""(\d{1,2}) set\. 2025"")), ""dd/mm/yyyy""),
 IF(NOT(ISERROR(REGEXEXTRACT(T217, ""(\d{1,2}) out\. 2025""))), 
  TEXT(DATE(2025,10,REGEXEXTRACT(T217, """&amp;"(\d{1,2}) out\. 2025"")), ""dd/mm/yyyy""),
 IF(NOT(ISERROR(REGEXEXTRACT(T217, ""(\d{1,2}) nov\. 2025""))), 
  TEXT(DATE(2025,11,REGEXEXTRACT(T217, ""(\d{1,2}) nov\. 2025"")), ""dd/mm/yyyy""),
 IF(NOT(ISERROR(REGEXEXTRACT(T217, ""(\d{1,2}) dez\. 2025""))),"&amp;" 
  TEXT(DATE(2025,12,REGEXEXTRACT(T217, ""(\d{1,2}) dez\. 2025"")), ""dd/mm/yyyy""),
 ""Insira a data manualmente"")))))))))))), """"))"),"28/10/2025")</f>
        <v>28/10/2025</v>
      </c>
      <c r="H217" s="22">
        <f t="shared" si="1"/>
        <v>2025</v>
      </c>
      <c r="I217" s="18" t="str">
        <f>IFERROR(__xludf.DUMMYFUNCTION("IF(REGEXMATCH(T217,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IF(REGEXMATCH(T217, ""(?i)\bBrasília\b""), ""Distrito Federal, Brasil"",
REGEXEXTRACT(T217,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17" s="30" t="s">
        <v>32</v>
      </c>
      <c r="K217" s="24" t="s">
        <v>563</v>
      </c>
      <c r="L217" s="24" t="s">
        <v>26</v>
      </c>
      <c r="M217" s="25" t="s">
        <v>27</v>
      </c>
      <c r="N217" s="18" t="str">
        <f t="shared" si="8"/>
        <v>Agência Brasil</v>
      </c>
      <c r="O217" s="17" t="s">
        <v>28</v>
      </c>
      <c r="P217" s="17" t="s">
        <v>251</v>
      </c>
      <c r="Q217" s="26">
        <v>45972.0</v>
      </c>
      <c r="R217" s="17" t="s">
        <v>30</v>
      </c>
      <c r="S217" s="27" t="str">
        <f t="shared" si="3"/>
        <v>Aqui</v>
      </c>
      <c r="T217" s="29" t="s">
        <v>564</v>
      </c>
      <c r="U217" s="29"/>
    </row>
    <row r="218">
      <c r="A218" s="16">
        <v>216.0</v>
      </c>
      <c r="B218" s="17" t="s">
        <v>23</v>
      </c>
      <c r="C218" s="18" t="str">
        <f>IFERROR(__xludf.DUMMYFUNCTION("IF(B218="""","""",IF(OR(
  REGEXMATCH(B218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REGEXMATCH(B218,""Notícia|Reportagem|Artigo de opinião|Verbete"")
),""Difusão"","""")))
"),"Difusão")</f>
        <v>Difusão</v>
      </c>
      <c r="D218" s="19" t="str">
        <f>IFERROR(__xludf.DUMMYFUNCTION("IF(B218="""","""",IF(OR(
  REGEXMATCH(B218,""Performance|Instalação|Álbum|Música|Poema|Livro|Filme|Documentário|Recitação|Espetáculo|Peça|Intervenção|Desfile|Fotografia|Exposição|Charge|Grafite|Leitura pública|Fabricação de cachaça artesanal""),
  REGEXMA"&amp;"TCH(B218,""dança|teatral|artístico|musical|artística"")
),""Manifestação artístico-cultural"",
IF(OR(
  REGEXMATCH(B218,""Crônica|Série|Reportagem|Podcast|Audiotour|Entrevista|Vídeo|Rádio|Notícia|Artigo de opinião|Coletiva de imprensa""),
  REGEXMATCH(B21"&amp;"8,""midiática"")
),""Produção midiática"","""")))
"),"Produção midiática")</f>
        <v>Produção midiática</v>
      </c>
      <c r="E218" s="20" t="str">
        <f>IFERROR(__xludf.DUMMYFUNCTION("IF(B218="""","""",IF(OR(
  REGEXMATCH(B218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REGEXMATCH(B218,""público|Imediato|artística|teatral|memória|Ação popular"")
),""Público Imediato"",
IF(REGEXMATCH(B218,""Música|Álbum|Filme|Documentár"&amp;"io|Série|Podcast|Rádio|Audiotour|Entrevista|Reportagem|Crônica|Relatório|Abaixo-assinado|Manifesto|Petição|Poema|Livro|Fotografia|Curta|Live|Webinário|Charge|Leitura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18" s="20" t="str">
        <f>IFERROR(__xludf.DUMMYFUNCTION("IF(B218="""","""",IF(OR(
  REGEXMATCH(B218,""Live|Webinário|Virtual|Verbete""),
  REGEXMATCH(B218,""online"")
),""Virtual"",
IF(REGEXMATCH(B218,""Música|Álbum|Filme|Documentário|Série|Podcast|Rádio|Audiotour|Episódio|Reportagem|Curta|Charge|Vídeo|Entrevis"&amp;"ta|Notícia|Artigo de opinião""),
""Midiático"",
IF(REGEXMATCH(B218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18" s="21" t="str">
        <f>IFERROR(__xludf.DUMMYFUNCTION("IF(C218=""rememoração"", ""Insira a data manualmente"", IF(C218=""difusão"", 
 IF(NOT(ISERROR(REGEXEXTRACT(T218, ""(\d{1,2}) jan\. 2025""))), 
  TEXT(DATE(2025,1,REGEXEXTRACT(T218, ""(\d{1,2}) jan\. 2025"")), ""dd/mm/yyyy""),
 IF(NOT(ISERROR(REGEXEXTRACT("&amp;"T218, ""(\d{1,2}) fev\. 2025""))), 
  TEXT(DATE(2025,2,REGEXEXTRACT(T218, ""(\d{1,2}) fev\. 2025"")), ""dd/mm/yyyy""),
 IF(NOT(ISERROR(REGEXEXTRACT(T218, ""(\d{1,2}) mar\. 2025""))), 
  TEXT(DATE(2025,3,REGEXEXTRACT(T218, ""(\d{1,2}) mar\. 2025"")), ""dd/"&amp;"mm/yyyy""),
 IF(NOT(ISERROR(REGEXEXTRACT(T218, ""(\d{1,2}) abr\. 2025""))), 
  TEXT(DATE(2025,4,REGEXEXTRACT(T218, ""(\d{1,2}) abr\. 2025"")), ""dd/mm/yyyy""),
 IF(NOT(ISERROR(REGEXEXTRACT(T218, ""(\d{1,2}) (mai|maio)\. 2025""))), 
  TEXT(DATE(2025,5,REGE"&amp;"XEXTRACT(T218, ""(\d{1,2}) (mai|maio)\. 2025"")), ""dd/mm/yyyy""),
 IF(NOT(ISERROR(REGEXEXTRACT(T218, ""(\d{1,2}) jun\. 2025""))), 
  TEXT(DATE(2025,6,REGEXEXTRACT(T218, ""(\d{1,2}) jun\. 2025"")), ""dd/mm/yyyy""),
 IF(NOT(ISERROR(REGEXEXTRACT(T218, ""(\d"&amp;"{1,2}) jul\. 2025""))), 
  TEXT(DATE(2025,7,REGEXEXTRACT(T218, ""(\d{1,2}) jul\. 2025"")), ""dd/mm/yyyy""),
 IF(NOT(ISERROR(REGEXEXTRACT(T218, ""(\d{1,2}) ago\. 2025""))), 
  TEXT(DATE(2025,8,REGEXEXTRACT(T218, ""(\d{1,2}) ago\. 2025"")), ""dd/mm/yyyy""),"&amp;"
 IF(NOT(ISERROR(REGEXEXTRACT(T218, ""(\d{1,2}) set\. 2025""))), 
  TEXT(DATE(2025,9,REGEXEXTRACT(T218, ""(\d{1,2}) set\. 2025"")), ""dd/mm/yyyy""),
 IF(NOT(ISERROR(REGEXEXTRACT(T218, ""(\d{1,2}) out\. 2025""))), 
  TEXT(DATE(2025,10,REGEXEXTRACT(T218, """&amp;"(\d{1,2}) out\. 2025"")), ""dd/mm/yyyy""),
 IF(NOT(ISERROR(REGEXEXTRACT(T218, ""(\d{1,2}) nov\. 2025""))), 
  TEXT(DATE(2025,11,REGEXEXTRACT(T218, ""(\d{1,2}) nov\. 2025"")), ""dd/mm/yyyy""),
 IF(NOT(ISERROR(REGEXEXTRACT(T218, ""(\d{1,2}) dez\. 2025""))),"&amp;" 
  TEXT(DATE(2025,12,REGEXEXTRACT(T218, ""(\d{1,2}) dez\. 2025"")), ""dd/mm/yyyy""),
 ""Insira a data manualmente"")))))))))))), """"))"),"04/11/2025")</f>
        <v>04/11/2025</v>
      </c>
      <c r="H218" s="22">
        <f t="shared" si="1"/>
        <v>2025</v>
      </c>
      <c r="I218" s="18" t="s">
        <v>435</v>
      </c>
      <c r="J218" s="30" t="s">
        <v>552</v>
      </c>
      <c r="K218" s="24" t="s">
        <v>565</v>
      </c>
      <c r="L218" s="24" t="s">
        <v>26</v>
      </c>
      <c r="M218" s="25" t="s">
        <v>27</v>
      </c>
      <c r="N218" s="18" t="str">
        <f t="shared" si="8"/>
        <v>Rádio Nacional</v>
      </c>
      <c r="O218" s="17" t="s">
        <v>28</v>
      </c>
      <c r="P218" s="17" t="s">
        <v>251</v>
      </c>
      <c r="Q218" s="26">
        <v>45972.0</v>
      </c>
      <c r="R218" s="17" t="s">
        <v>30</v>
      </c>
      <c r="S218" s="27" t="str">
        <f t="shared" si="3"/>
        <v>Aqui</v>
      </c>
      <c r="T218" s="29" t="s">
        <v>566</v>
      </c>
      <c r="U218" s="29"/>
    </row>
    <row r="219">
      <c r="A219" s="16">
        <v>217.0</v>
      </c>
      <c r="B219" s="17" t="s">
        <v>23</v>
      </c>
      <c r="C219" s="18" t="str">
        <f>IFERROR(__xludf.DUMMYFUNCTION("IF(B219="""","""",IF(OR(
  REGEXMATCH(B219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REGEXMATCH(B219,""Notícia|Reportagem|Artigo de opinião|Verbete"")
),""Difusão"","""")))
"),"Difusão")</f>
        <v>Difusão</v>
      </c>
      <c r="D219" s="19" t="str">
        <f>IFERROR(__xludf.DUMMYFUNCTION("IF(B219="""","""",IF(OR(
  REGEXMATCH(B219,""Performance|Instalação|Álbum|Música|Poema|Livro|Filme|Documentário|Recitação|Espetáculo|Peça|Intervenção|Desfile|Fotografia|Exposição|Charge|Grafite|Leitura pública|Fabricação de cachaça artesanal""),
  REGEXMA"&amp;"TCH(B219,""dança|teatral|artístico|musical|artística"")
),""Manifestação artístico-cultural"",
IF(OR(
  REGEXMATCH(B219,""Crônica|Série|Reportagem|Podcast|Audiotour|Entrevista|Vídeo|Rádio|Notícia|Artigo de opinião|Coletiva de imprensa""),
  REGEXMATCH(B21"&amp;"9,""midiática"")
),""Produção midiática"","""")))
"),"Produção midiática")</f>
        <v>Produção midiática</v>
      </c>
      <c r="E219" s="20" t="str">
        <f>IFERROR(__xludf.DUMMYFUNCTION("IF(B219="""","""",IF(OR(
  REGEXMATCH(B219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REGEXMATCH(B219,""público|Imediato|artística|teatral|memória|Ação popular"")
),""Público Imediato"",
IF(REGEXMATCH(B219,""Música|Álbum|Filme|Documentár"&amp;"io|Série|Podcast|Rádio|Audiotour|Entrevista|Reportagem|Crônica|Relatório|Abaixo-assinado|Manifesto|Petição|Poema|Livro|Fotografia|Curta|Live|Webinário|Charge|Leitura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19" s="20" t="str">
        <f>IFERROR(__xludf.DUMMYFUNCTION("IF(B219="""","""",IF(OR(
  REGEXMATCH(B219,""Live|Webinário|Virtual|Verbete""),
  REGEXMATCH(B219,""online"")
),""Virtual"",
IF(REGEXMATCH(B219,""Música|Álbum|Filme|Documentário|Série|Podcast|Rádio|Audiotour|Episódio|Reportagem|Curta|Charge|Vídeo|Entrevis"&amp;"ta|Notícia|Artigo de opinião""),
""Midiático"",
IF(REGEXMATCH(B219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19" s="21" t="str">
        <f>IFERROR(__xludf.DUMMYFUNCTION("IF(C219=""rememoração"", ""Insira a data manualmente"", IF(C219=""difusão"", 
 IF(NOT(ISERROR(REGEXEXTRACT(T219, ""(\d{1,2}) jan\. 2025""))), 
  TEXT(DATE(2025,1,REGEXEXTRACT(T219, ""(\d{1,2}) jan\. 2025"")), ""dd/mm/yyyy""),
 IF(NOT(ISERROR(REGEXEXTRACT("&amp;"T219, ""(\d{1,2}) fev\. 2025""))), 
  TEXT(DATE(2025,2,REGEXEXTRACT(T219, ""(\d{1,2}) fev\. 2025"")), ""dd/mm/yyyy""),
 IF(NOT(ISERROR(REGEXEXTRACT(T219, ""(\d{1,2}) mar\. 2025""))), 
  TEXT(DATE(2025,3,REGEXEXTRACT(T219, ""(\d{1,2}) mar\. 2025"")), ""dd/"&amp;"mm/yyyy""),
 IF(NOT(ISERROR(REGEXEXTRACT(T219, ""(\d{1,2}) abr\. 2025""))), 
  TEXT(DATE(2025,4,REGEXEXTRACT(T219, ""(\d{1,2}) abr\. 2025"")), ""dd/mm/yyyy""),
 IF(NOT(ISERROR(REGEXEXTRACT(T219, ""(\d{1,2}) (mai|maio)\. 2025""))), 
  TEXT(DATE(2025,5,REGE"&amp;"XEXTRACT(T219, ""(\d{1,2}) (mai|maio)\. 2025"")), ""dd/mm/yyyy""),
 IF(NOT(ISERROR(REGEXEXTRACT(T219, ""(\d{1,2}) jun\. 2025""))), 
  TEXT(DATE(2025,6,REGEXEXTRACT(T219, ""(\d{1,2}) jun\. 2025"")), ""dd/mm/yyyy""),
 IF(NOT(ISERROR(REGEXEXTRACT(T219, ""(\d"&amp;"{1,2}) jul\. 2025""))), 
  TEXT(DATE(2025,7,REGEXEXTRACT(T219, ""(\d{1,2}) jul\. 2025"")), ""dd/mm/yyyy""),
 IF(NOT(ISERROR(REGEXEXTRACT(T219, ""(\d{1,2}) ago\. 2025""))), 
  TEXT(DATE(2025,8,REGEXEXTRACT(T219, ""(\d{1,2}) ago\. 2025"")), ""dd/mm/yyyy""),"&amp;"
 IF(NOT(ISERROR(REGEXEXTRACT(T219, ""(\d{1,2}) set\. 2025""))), 
  TEXT(DATE(2025,9,REGEXEXTRACT(T219, ""(\d{1,2}) set\. 2025"")), ""dd/mm/yyyy""),
 IF(NOT(ISERROR(REGEXEXTRACT(T219, ""(\d{1,2}) out\. 2025""))), 
  TEXT(DATE(2025,10,REGEXEXTRACT(T219, """&amp;"(\d{1,2}) out\. 2025"")), ""dd/mm/yyyy""),
 IF(NOT(ISERROR(REGEXEXTRACT(T219, ""(\d{1,2}) nov\. 2025""))), 
  TEXT(DATE(2025,11,REGEXEXTRACT(T219, ""(\d{1,2}) nov\. 2025"")), ""dd/mm/yyyy""),
 IF(NOT(ISERROR(REGEXEXTRACT(T219, ""(\d{1,2}) dez\. 2025""))),"&amp;" 
  TEXT(DATE(2025,12,REGEXEXTRACT(T219, ""(\d{1,2}) dez\. 2025"")), ""dd/mm/yyyy""),
 ""Insira a data manualmente"")))))))))))), """"))"),"28/10/2025")</f>
        <v>28/10/2025</v>
      </c>
      <c r="H219" s="22">
        <f t="shared" si="1"/>
        <v>2025</v>
      </c>
      <c r="I219" s="18" t="str">
        <f>IFERROR(__xludf.DUMMYFUNCTION("IF(REGEXMATCH(T219,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IF(REGEXMATCH(T219, ""(?i)\bBrasília\b""), ""Distrito Federal, Brasil"",
REGEXEXTRACT(T219,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19" s="30" t="s">
        <v>32</v>
      </c>
      <c r="K219" s="24" t="s">
        <v>567</v>
      </c>
      <c r="L219" s="24" t="s">
        <v>26</v>
      </c>
      <c r="M219" s="25" t="s">
        <v>27</v>
      </c>
      <c r="N219" s="18" t="str">
        <f t="shared" si="8"/>
        <v>Agência Brasil</v>
      </c>
      <c r="O219" s="17" t="s">
        <v>28</v>
      </c>
      <c r="P219" s="17" t="s">
        <v>251</v>
      </c>
      <c r="Q219" s="26">
        <v>45972.0</v>
      </c>
      <c r="R219" s="17" t="s">
        <v>30</v>
      </c>
      <c r="S219" s="27" t="str">
        <f t="shared" si="3"/>
        <v>Aqui</v>
      </c>
      <c r="T219" s="29" t="s">
        <v>568</v>
      </c>
      <c r="U219" s="29"/>
    </row>
    <row r="220">
      <c r="A220" s="16">
        <v>218.0</v>
      </c>
      <c r="B220" s="17" t="s">
        <v>23</v>
      </c>
      <c r="C220" s="18" t="str">
        <f>IFERROR(__xludf.DUMMYFUNCTION("IF(B220="""","""",IF(OR(
  REGEXMATCH(B220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REGEXMATCH(B220,""Notícia|Reportagem|Artigo de opinião|Verbete"")
),""Difusão"","""")))
"),"Difusão")</f>
        <v>Difusão</v>
      </c>
      <c r="D220" s="19" t="str">
        <f>IFERROR(__xludf.DUMMYFUNCTION("IF(B220="""","""",IF(OR(
  REGEXMATCH(B220,""Performance|Instalação|Álbum|Música|Poema|Livro|Filme|Documentário|Recitação|Espetáculo|Peça|Intervenção|Desfile|Fotografia|Exposição|Charge|Grafite|Leitura pública|Fabricação de cachaça artesanal""),
  REGEXMA"&amp;"TCH(B220,""dança|teatral|artístico|musical|artística"")
),""Manifestação artístico-cultural"",
IF(OR(
  REGEXMATCH(B220,""Crônica|Série|Reportagem|Podcast|Audiotour|Entrevista|Vídeo|Rádio|Notícia|Artigo de opinião|Coletiva de imprensa""),
  REGEXMATCH(B22"&amp;"0,""midiática"")
),""Produção midiática"","""")))
"),"Produção midiática")</f>
        <v>Produção midiática</v>
      </c>
      <c r="E220" s="20" t="str">
        <f>IFERROR(__xludf.DUMMYFUNCTION("IF(B220="""","""",IF(OR(
  REGEXMATCH(B220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REGEXMATCH(B220,""público|Imediato|artística|teatral|memória|Ação popular"")
),""Público Imediato"",
IF(REGEXMATCH(B220,""Música|Álbum|Filme|Documentár"&amp;"io|Série|Podcast|Rádio|Audiotour|Entrevista|Reportagem|Crônica|Relatório|Abaixo-assinado|Manifesto|Petição|Poema|Livro|Fotografia|Curta|Live|Webinário|Charge|Leitura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20" s="20" t="str">
        <f>IFERROR(__xludf.DUMMYFUNCTION("IF(B220="""","""",IF(OR(
  REGEXMATCH(B220,""Live|Webinário|Virtual|Verbete""),
  REGEXMATCH(B220,""online"")
),""Virtual"",
IF(REGEXMATCH(B220,""Música|Álbum|Filme|Documentário|Série|Podcast|Rádio|Audiotour|Episódio|Reportagem|Curta|Charge|Vídeo|Entrevis"&amp;"ta|Notícia|Artigo de opinião""),
""Midiático"",
IF(REGEXMATCH(B220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20" s="21" t="str">
        <f>IFERROR(__xludf.DUMMYFUNCTION("IF(C220=""rememoração"", ""Insira a data manualmente"", IF(C220=""difusão"", 
 IF(NOT(ISERROR(REGEXEXTRACT(T220, ""(\d{1,2}) jan\. 2025""))), 
  TEXT(DATE(2025,1,REGEXEXTRACT(T220, ""(\d{1,2}) jan\. 2025"")), ""dd/mm/yyyy""),
 IF(NOT(ISERROR(REGEXEXTRACT("&amp;"T220, ""(\d{1,2}) fev\. 2025""))), 
  TEXT(DATE(2025,2,REGEXEXTRACT(T220, ""(\d{1,2}) fev\. 2025"")), ""dd/mm/yyyy""),
 IF(NOT(ISERROR(REGEXEXTRACT(T220, ""(\d{1,2}) mar\. 2025""))), 
  TEXT(DATE(2025,3,REGEXEXTRACT(T220, ""(\d{1,2}) mar\. 2025"")), ""dd/"&amp;"mm/yyyy""),
 IF(NOT(ISERROR(REGEXEXTRACT(T220, ""(\d{1,2}) abr\. 2025""))), 
  TEXT(DATE(2025,4,REGEXEXTRACT(T220, ""(\d{1,2}) abr\. 2025"")), ""dd/mm/yyyy""),
 IF(NOT(ISERROR(REGEXEXTRACT(T220, ""(\d{1,2}) (mai|maio)\. 2025""))), 
  TEXT(DATE(2025,5,REGE"&amp;"XEXTRACT(T220, ""(\d{1,2}) (mai|maio)\. 2025"")), ""dd/mm/yyyy""),
 IF(NOT(ISERROR(REGEXEXTRACT(T220, ""(\d{1,2}) jun\. 2025""))), 
  TEXT(DATE(2025,6,REGEXEXTRACT(T220, ""(\d{1,2}) jun\. 2025"")), ""dd/mm/yyyy""),
 IF(NOT(ISERROR(REGEXEXTRACT(T220, ""(\d"&amp;"{1,2}) jul\. 2025""))), 
  TEXT(DATE(2025,7,REGEXEXTRACT(T220, ""(\d{1,2}) jul\. 2025"")), ""dd/mm/yyyy""),
 IF(NOT(ISERROR(REGEXEXTRACT(T220, ""(\d{1,2}) ago\. 2025""))), 
  TEXT(DATE(2025,8,REGEXEXTRACT(T220, ""(\d{1,2}) ago\. 2025"")), ""dd/mm/yyyy""),"&amp;"
 IF(NOT(ISERROR(REGEXEXTRACT(T220, ""(\d{1,2}) set\. 2025""))), 
  TEXT(DATE(2025,9,REGEXEXTRACT(T220, ""(\d{1,2}) set\. 2025"")), ""dd/mm/yyyy""),
 IF(NOT(ISERROR(REGEXEXTRACT(T220, ""(\d{1,2}) out\. 2025""))), 
  TEXT(DATE(2025,10,REGEXEXTRACT(T220, """&amp;"(\d{1,2}) out\. 2025"")), ""dd/mm/yyyy""),
 IF(NOT(ISERROR(REGEXEXTRACT(T220, ""(\d{1,2}) nov\. 2025""))), 
  TEXT(DATE(2025,11,REGEXEXTRACT(T220, ""(\d{1,2}) nov\. 2025"")), ""dd/mm/yyyy""),
 IF(NOT(ISERROR(REGEXEXTRACT(T220, ""(\d{1,2}) dez\. 2025""))),"&amp;" 
  TEXT(DATE(2025,12,REGEXEXTRACT(T220, ""(\d{1,2}) dez\. 2025"")), ""dd/mm/yyyy""),
 ""Insira a data manualmente"")))))))))))), """"))"),"11/11/2025")</f>
        <v>11/11/2025</v>
      </c>
      <c r="H220" s="22">
        <f t="shared" si="1"/>
        <v>2025</v>
      </c>
      <c r="I220" s="18" t="str">
        <f>IFERROR(__xludf.DUMMYFUNCTION("IF(REGEXMATCH(T220,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IF(REGEXMATCH(T220, ""(?i)\bBrasília\b""), ""Distrito Federal, Brasil"",
REGEXEXTRACT(T220,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20" s="30" t="s">
        <v>569</v>
      </c>
      <c r="K220" s="24" t="s">
        <v>570</v>
      </c>
      <c r="L220" s="24" t="s">
        <v>26</v>
      </c>
      <c r="M220" s="25" t="s">
        <v>27</v>
      </c>
      <c r="N220" s="18" t="str">
        <f t="shared" si="8"/>
        <v>Rádio Roquette Pinto</v>
      </c>
      <c r="O220" s="17" t="s">
        <v>28</v>
      </c>
      <c r="P220" s="17" t="s">
        <v>251</v>
      </c>
      <c r="Q220" s="26">
        <v>45972.0</v>
      </c>
      <c r="R220" s="17" t="s">
        <v>30</v>
      </c>
      <c r="S220" s="27" t="str">
        <f t="shared" si="3"/>
        <v>Aqui</v>
      </c>
      <c r="T220" s="29" t="s">
        <v>571</v>
      </c>
      <c r="U220" s="29"/>
    </row>
    <row r="221">
      <c r="A221" s="16">
        <v>219.0</v>
      </c>
      <c r="B221" s="17" t="s">
        <v>23</v>
      </c>
      <c r="C221" s="18" t="str">
        <f>IFERROR(__xludf.DUMMYFUNCTION("IF(B221="""","""",IF(OR(
  REGEXMATCH(B221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REGEXMATCH(B221,""Notícia|Reportagem|Artigo de opinião|Verbete"")
),""Difusão"","""")))
"),"Difusão")</f>
        <v>Difusão</v>
      </c>
      <c r="D221" s="19" t="str">
        <f>IFERROR(__xludf.DUMMYFUNCTION("IF(B221="""","""",IF(OR(
  REGEXMATCH(B221,""Performance|Instalação|Álbum|Música|Poema|Livro|Filme|Documentário|Recitação|Espetáculo|Peça|Intervenção|Desfile|Fotografia|Exposição|Charge|Grafite|Leitura pública|Fabricação de cachaça artesanal""),
  REGEXMA"&amp;"TCH(B221,""dança|teatral|artístico|musical|artística"")
),""Manifestação artístico-cultural"",
IF(OR(
  REGEXMATCH(B221,""Crônica|Série|Reportagem|Podcast|Audiotour|Entrevista|Vídeo|Rádio|Notícia|Artigo de opinião|Coletiva de imprensa""),
  REGEXMATCH(B22"&amp;"1,""midiática"")
),""Produção midiática"","""")))
"),"Produção midiática")</f>
        <v>Produção midiática</v>
      </c>
      <c r="E221" s="20" t="str">
        <f>IFERROR(__xludf.DUMMYFUNCTION("IF(B221="""","""",IF(OR(
  REGEXMATCH(B221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REGEXMATCH(B221,""público|Imediato|artística|teatral|memória|Ação popular"")
),""Público Imediato"",
IF(REGEXMATCH(B221,""Música|Álbum|Filme|Documentár"&amp;"io|Série|Podcast|Rádio|Audiotour|Entrevista|Reportagem|Crônica|Relatório|Abaixo-assinado|Manifesto|Petição|Poema|Livro|Fotografia|Curta|Live|Webinário|Charge|Leitura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21" s="20" t="str">
        <f>IFERROR(__xludf.DUMMYFUNCTION("IF(B221="""","""",IF(OR(
  REGEXMATCH(B221,""Live|Webinário|Virtual|Verbete""),
  REGEXMATCH(B221,""online"")
),""Virtual"",
IF(REGEXMATCH(B221,""Música|Álbum|Filme|Documentário|Série|Podcast|Rádio|Audiotour|Episódio|Reportagem|Curta|Charge|Vídeo|Entrevis"&amp;"ta|Notícia|Artigo de opinião""),
""Midiático"",
IF(REGEXMATCH(B221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21" s="21" t="str">
        <f>IFERROR(__xludf.DUMMYFUNCTION("IF(C221=""rememoração"", ""Insira a data manualmente"", IF(C221=""difusão"", 
 IF(NOT(ISERROR(REGEXEXTRACT(T221, ""(\d{1,2}) jan\. 2025""))), 
  TEXT(DATE(2025,1,REGEXEXTRACT(T221, ""(\d{1,2}) jan\. 2025"")), ""dd/mm/yyyy""),
 IF(NOT(ISERROR(REGEXEXTRACT("&amp;"T221, ""(\d{1,2}) fev\. 2025""))), 
  TEXT(DATE(2025,2,REGEXEXTRACT(T221, ""(\d{1,2}) fev\. 2025"")), ""dd/mm/yyyy""),
 IF(NOT(ISERROR(REGEXEXTRACT(T221, ""(\d{1,2}) mar\. 2025""))), 
  TEXT(DATE(2025,3,REGEXEXTRACT(T221, ""(\d{1,2}) mar\. 2025"")), ""dd/"&amp;"mm/yyyy""),
 IF(NOT(ISERROR(REGEXEXTRACT(T221, ""(\d{1,2}) abr\. 2025""))), 
  TEXT(DATE(2025,4,REGEXEXTRACT(T221, ""(\d{1,2}) abr\. 2025"")), ""dd/mm/yyyy""),
 IF(NOT(ISERROR(REGEXEXTRACT(T221, ""(\d{1,2}) (mai|maio)\. 2025""))), 
  TEXT(DATE(2025,5,REGE"&amp;"XEXTRACT(T221, ""(\d{1,2}) (mai|maio)\. 2025"")), ""dd/mm/yyyy""),
 IF(NOT(ISERROR(REGEXEXTRACT(T221, ""(\d{1,2}) jun\. 2025""))), 
  TEXT(DATE(2025,6,REGEXEXTRACT(T221, ""(\d{1,2}) jun\. 2025"")), ""dd/mm/yyyy""),
 IF(NOT(ISERROR(REGEXEXTRACT(T221, ""(\d"&amp;"{1,2}) jul\. 2025""))), 
  TEXT(DATE(2025,7,REGEXEXTRACT(T221, ""(\d{1,2}) jul\. 2025"")), ""dd/mm/yyyy""),
 IF(NOT(ISERROR(REGEXEXTRACT(T221, ""(\d{1,2}) ago\. 2025""))), 
  TEXT(DATE(2025,8,REGEXEXTRACT(T221, ""(\d{1,2}) ago\. 2025"")), ""dd/mm/yyyy""),"&amp;"
 IF(NOT(ISERROR(REGEXEXTRACT(T221, ""(\d{1,2}) set\. 2025""))), 
  TEXT(DATE(2025,9,REGEXEXTRACT(T221, ""(\d{1,2}) set\. 2025"")), ""dd/mm/yyyy""),
 IF(NOT(ISERROR(REGEXEXTRACT(T221, ""(\d{1,2}) out\. 2025""))), 
  TEXT(DATE(2025,10,REGEXEXTRACT(T221, """&amp;"(\d{1,2}) out\. 2025"")), ""dd/mm/yyyy""),
 IF(NOT(ISERROR(REGEXEXTRACT(T221, ""(\d{1,2}) nov\. 2025""))), 
  TEXT(DATE(2025,11,REGEXEXTRACT(T221, ""(\d{1,2}) nov\. 2025"")), ""dd/mm/yyyy""),
 IF(NOT(ISERROR(REGEXEXTRACT(T221, ""(\d{1,2}) dez\. 2025""))),"&amp;" 
  TEXT(DATE(2025,12,REGEXEXTRACT(T221, ""(\d{1,2}) dez\. 2025"")), ""dd/mm/yyyy""),
 ""Insira a data manualmente"")))))))))))), """"))"),"04/11/2025")</f>
        <v>04/11/2025</v>
      </c>
      <c r="H221" s="22">
        <f t="shared" si="1"/>
        <v>2025</v>
      </c>
      <c r="I221" s="18" t="str">
        <f>IFERROR(__xludf.DUMMYFUNCTION("IF(REGEXMATCH(T221,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IF(REGEXMATCH(T221, ""(?i)\bBrasília\b""), ""Distrito Federal, Brasil"",
REGEXEXTRACT(T221,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21" s="30" t="s">
        <v>572</v>
      </c>
      <c r="K221" s="24" t="s">
        <v>573</v>
      </c>
      <c r="L221" s="24" t="s">
        <v>26</v>
      </c>
      <c r="M221" s="25" t="s">
        <v>27</v>
      </c>
      <c r="N221" s="18" t="str">
        <f t="shared" si="8"/>
        <v>Correio Fluminense</v>
      </c>
      <c r="O221" s="17" t="s">
        <v>28</v>
      </c>
      <c r="P221" s="17" t="s">
        <v>251</v>
      </c>
      <c r="Q221" s="26">
        <v>45972.0</v>
      </c>
      <c r="R221" s="17" t="s">
        <v>30</v>
      </c>
      <c r="S221" s="27" t="str">
        <f t="shared" si="3"/>
        <v>Aqui</v>
      </c>
      <c r="T221" s="29" t="s">
        <v>574</v>
      </c>
      <c r="U221" s="29"/>
    </row>
    <row r="222">
      <c r="A222" s="16">
        <v>220.0</v>
      </c>
      <c r="B222" s="17" t="s">
        <v>23</v>
      </c>
      <c r="C222" s="18" t="str">
        <f>IFERROR(__xludf.DUMMYFUNCTION("IF(B222="""","""",IF(OR(
  REGEXMATCH(B222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REGEXMATCH(B222,""Notícia|Reportagem|Artigo de opinião|Verbete"")
),""Difusão"","""")))
"),"Difusão")</f>
        <v>Difusão</v>
      </c>
      <c r="D222" s="19" t="str">
        <f>IFERROR(__xludf.DUMMYFUNCTION("IF(B222="""","""",IF(OR(
  REGEXMATCH(B222,""Performance|Instalação|Álbum|Música|Poema|Livro|Filme|Documentário|Recitação|Espetáculo|Peça|Intervenção|Desfile|Fotografia|Exposição|Charge|Grafite|Leitura pública|Fabricação de cachaça artesanal""),
  REGEXMA"&amp;"TCH(B222,""dança|teatral|artístico|musical|artística"")
),""Manifestação artístico-cultural"",
IF(OR(
  REGEXMATCH(B222,""Crônica|Série|Reportagem|Podcast|Audiotour|Entrevista|Vídeo|Rádio|Notícia|Artigo de opinião|Coletiva de imprensa""),
  REGEXMATCH(B22"&amp;"2,""midiática"")
),""Produção midiática"","""")))
"),"Produção midiática")</f>
        <v>Produção midiática</v>
      </c>
      <c r="E222" s="20" t="str">
        <f>IFERROR(__xludf.DUMMYFUNCTION("IF(B222="""","""",IF(OR(
  REGEXMATCH(B222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REGEXMATCH(B222,""público|Imediato|artística|teatral|memória|Ação popular"")
),""Público Imediato"",
IF(REGEXMATCH(B222,""Música|Álbum|Filme|Documentár"&amp;"io|Série|Podcast|Rádio|Audiotour|Entrevista|Reportagem|Crônica|Relatório|Abaixo-assinado|Manifesto|Petição|Poema|Livro|Fotografia|Curta|Live|Webinário|Charge|Leitura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22" s="20" t="str">
        <f>IFERROR(__xludf.DUMMYFUNCTION("IF(B222="""","""",IF(OR(
  REGEXMATCH(B222,""Live|Webinário|Virtual|Verbete""),
  REGEXMATCH(B222,""online"")
),""Virtual"",
IF(REGEXMATCH(B222,""Música|Álbum|Filme|Documentário|Série|Podcast|Rádio|Audiotour|Episódio|Reportagem|Curta|Charge|Vídeo|Entrevis"&amp;"ta|Notícia|Artigo de opinião""),
""Midiático"",
IF(REGEXMATCH(B222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22" s="21" t="str">
        <f>IFERROR(__xludf.DUMMYFUNCTION("IF(C222=""rememoração"", ""Insira a data manualmente"", IF(C222=""difusão"", 
 IF(NOT(ISERROR(REGEXEXTRACT(T222, ""(\d{1,2}) jan\. 2025""))), 
  TEXT(DATE(2025,1,REGEXEXTRACT(T222, ""(\d{1,2}) jan\. 2025"")), ""dd/mm/yyyy""),
 IF(NOT(ISERROR(REGEXEXTRACT("&amp;"T222, ""(\d{1,2}) fev\. 2025""))), 
  TEXT(DATE(2025,2,REGEXEXTRACT(T222, ""(\d{1,2}) fev\. 2025"")), ""dd/mm/yyyy""),
 IF(NOT(ISERROR(REGEXEXTRACT(T222, ""(\d{1,2}) mar\. 2025""))), 
  TEXT(DATE(2025,3,REGEXEXTRACT(T222, ""(\d{1,2}) mar\. 2025"")), ""dd/"&amp;"mm/yyyy""),
 IF(NOT(ISERROR(REGEXEXTRACT(T222, ""(\d{1,2}) abr\. 2025""))), 
  TEXT(DATE(2025,4,REGEXEXTRACT(T222, ""(\d{1,2}) abr\. 2025"")), ""dd/mm/yyyy""),
 IF(NOT(ISERROR(REGEXEXTRACT(T222, ""(\d{1,2}) (mai|maio)\. 2025""))), 
  TEXT(DATE(2025,5,REGE"&amp;"XEXTRACT(T222, ""(\d{1,2}) (mai|maio)\. 2025"")), ""dd/mm/yyyy""),
 IF(NOT(ISERROR(REGEXEXTRACT(T222, ""(\d{1,2}) jun\. 2025""))), 
  TEXT(DATE(2025,6,REGEXEXTRACT(T222, ""(\d{1,2}) jun\. 2025"")), ""dd/mm/yyyy""),
 IF(NOT(ISERROR(REGEXEXTRACT(T222, ""(\d"&amp;"{1,2}) jul\. 2025""))), 
  TEXT(DATE(2025,7,REGEXEXTRACT(T222, ""(\d{1,2}) jul\. 2025"")), ""dd/mm/yyyy""),
 IF(NOT(ISERROR(REGEXEXTRACT(T222, ""(\d{1,2}) ago\. 2025""))), 
  TEXT(DATE(2025,8,REGEXEXTRACT(T222, ""(\d{1,2}) ago\. 2025"")), ""dd/mm/yyyy""),"&amp;"
 IF(NOT(ISERROR(REGEXEXTRACT(T222, ""(\d{1,2}) set\. 2025""))), 
  TEXT(DATE(2025,9,REGEXEXTRACT(T222, ""(\d{1,2}) set\. 2025"")), ""dd/mm/yyyy""),
 IF(NOT(ISERROR(REGEXEXTRACT(T222, ""(\d{1,2}) out\. 2025""))), 
  TEXT(DATE(2025,10,REGEXEXTRACT(T222, """&amp;"(\d{1,2}) out\. 2025"")), ""dd/mm/yyyy""),
 IF(NOT(ISERROR(REGEXEXTRACT(T222, ""(\d{1,2}) nov\. 2025""))), 
  TEXT(DATE(2025,11,REGEXEXTRACT(T222, ""(\d{1,2}) nov\. 2025"")), ""dd/mm/yyyy""),
 IF(NOT(ISERROR(REGEXEXTRACT(T222, ""(\d{1,2}) dez\. 2025""))),"&amp;" 
  TEXT(DATE(2025,12,REGEXEXTRACT(T222, ""(\d{1,2}) dez\. 2025"")), ""dd/mm/yyyy""),
 ""Insira a data manualmente"")))))))))))), """"))"),"28/10/2025")</f>
        <v>28/10/2025</v>
      </c>
      <c r="H222" s="22">
        <f t="shared" si="1"/>
        <v>2025</v>
      </c>
      <c r="I222" s="18" t="str">
        <f>IFERROR(__xludf.DUMMYFUNCTION("IF(REGEXMATCH(T222,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IF(REGEXMATCH(T222, ""(?i)\bBrasília\b""), ""Distrito Federal, Brasil"",
REGEXEXTRACT(T222,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22" s="30" t="s">
        <v>336</v>
      </c>
      <c r="K222" s="24" t="s">
        <v>575</v>
      </c>
      <c r="L222" s="24" t="s">
        <v>26</v>
      </c>
      <c r="M222" s="25" t="s">
        <v>27</v>
      </c>
      <c r="N222" s="18" t="str">
        <f t="shared" si="8"/>
        <v>G1</v>
      </c>
      <c r="O222" s="17" t="s">
        <v>28</v>
      </c>
      <c r="P222" s="17" t="s">
        <v>251</v>
      </c>
      <c r="Q222" s="26">
        <v>45972.0</v>
      </c>
      <c r="R222" s="17" t="s">
        <v>30</v>
      </c>
      <c r="S222" s="27" t="str">
        <f t="shared" si="3"/>
        <v>Aqui</v>
      </c>
      <c r="T222" s="29" t="s">
        <v>576</v>
      </c>
      <c r="U222" s="29"/>
    </row>
    <row r="223">
      <c r="A223" s="16">
        <v>221.0</v>
      </c>
      <c r="B223" s="17" t="s">
        <v>23</v>
      </c>
      <c r="C223" s="18" t="str">
        <f>IFERROR(__xludf.DUMMYFUNCTION("IF(B223="""","""",IF(OR(
  REGEXMATCH(B223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REGEXMATCH(B223,""Notícia|Reportagem|Artigo de opinião|Verbete"")
),""Difusão"","""")))
"),"Difusão")</f>
        <v>Difusão</v>
      </c>
      <c r="D223" s="19" t="str">
        <f>IFERROR(__xludf.DUMMYFUNCTION("IF(B223="""","""",IF(OR(
  REGEXMATCH(B223,""Performance|Instalação|Álbum|Música|Poema|Livro|Filme|Documentário|Recitação|Espetáculo|Peça|Intervenção|Desfile|Fotografia|Exposição|Charge|Grafite|Leitura pública|Fabricação de cachaça artesanal""),
  REGEXMA"&amp;"TCH(B223,""dança|teatral|artístico|musical|artística"")
),""Manifestação artístico-cultural"",
IF(OR(
  REGEXMATCH(B223,""Crônica|Série|Reportagem|Podcast|Audiotour|Entrevista|Vídeo|Rádio|Notícia|Artigo de opinião|Coletiva de imprensa""),
  REGEXMATCH(B22"&amp;"3,""midiática"")
),""Produção midiática"","""")))
"),"Produção midiática")</f>
        <v>Produção midiática</v>
      </c>
      <c r="E223" s="20" t="str">
        <f>IFERROR(__xludf.DUMMYFUNCTION("IF(B223="""","""",IF(OR(
  REGEXMATCH(B223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REGEXMATCH(B223,""público|Imediato|artística|teatral|memória|Ação popular"")
),""Público Imediato"",
IF(REGEXMATCH(B223,""Música|Álbum|Filme|Documentár"&amp;"io|Série|Podcast|Rádio|Audiotour|Entrevista|Reportagem|Crônica|Relatório|Abaixo-assinado|Manifesto|Petição|Poema|Livro|Fotografia|Curta|Live|Webinário|Charge|Leitura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23" s="20" t="str">
        <f>IFERROR(__xludf.DUMMYFUNCTION("IF(B223="""","""",IF(OR(
  REGEXMATCH(B223,""Live|Webinário|Virtual|Verbete""),
  REGEXMATCH(B223,""online"")
),""Virtual"",
IF(REGEXMATCH(B223,""Música|Álbum|Filme|Documentário|Série|Podcast|Rádio|Audiotour|Episódio|Reportagem|Curta|Charge|Vídeo|Entrevis"&amp;"ta|Notícia|Artigo de opinião""),
""Midiático"",
IF(REGEXMATCH(B223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23" s="21" t="str">
        <f>IFERROR(__xludf.DUMMYFUNCTION("IF(C223=""rememoração"", ""Insira a data manualmente"", IF(C223=""difusão"", 
 IF(NOT(ISERROR(REGEXEXTRACT(T223, ""(\d{1,2}) jan\. 2025""))), 
  TEXT(DATE(2025,1,REGEXEXTRACT(T223, ""(\d{1,2}) jan\. 2025"")), ""dd/mm/yyyy""),
 IF(NOT(ISERROR(REGEXEXTRACT("&amp;"T223, ""(\d{1,2}) fev\. 2025""))), 
  TEXT(DATE(2025,2,REGEXEXTRACT(T223, ""(\d{1,2}) fev\. 2025"")), ""dd/mm/yyyy""),
 IF(NOT(ISERROR(REGEXEXTRACT(T223, ""(\d{1,2}) mar\. 2025""))), 
  TEXT(DATE(2025,3,REGEXEXTRACT(T223, ""(\d{1,2}) mar\. 2025"")), ""dd/"&amp;"mm/yyyy""),
 IF(NOT(ISERROR(REGEXEXTRACT(T223, ""(\d{1,2}) abr\. 2025""))), 
  TEXT(DATE(2025,4,REGEXEXTRACT(T223, ""(\d{1,2}) abr\. 2025"")), ""dd/mm/yyyy""),
 IF(NOT(ISERROR(REGEXEXTRACT(T223, ""(\d{1,2}) (mai|maio)\. 2025""))), 
  TEXT(DATE(2025,5,REGE"&amp;"XEXTRACT(T223, ""(\d{1,2}) (mai|maio)\. 2025"")), ""dd/mm/yyyy""),
 IF(NOT(ISERROR(REGEXEXTRACT(T223, ""(\d{1,2}) jun\. 2025""))), 
  TEXT(DATE(2025,6,REGEXEXTRACT(T223, ""(\d{1,2}) jun\. 2025"")), ""dd/mm/yyyy""),
 IF(NOT(ISERROR(REGEXEXTRACT(T223, ""(\d"&amp;"{1,2}) jul\. 2025""))), 
  TEXT(DATE(2025,7,REGEXEXTRACT(T223, ""(\d{1,2}) jul\. 2025"")), ""dd/mm/yyyy""),
 IF(NOT(ISERROR(REGEXEXTRACT(T223, ""(\d{1,2}) ago\. 2025""))), 
  TEXT(DATE(2025,8,REGEXEXTRACT(T223, ""(\d{1,2}) ago\. 2025"")), ""dd/mm/yyyy""),"&amp;"
 IF(NOT(ISERROR(REGEXEXTRACT(T223, ""(\d{1,2}) set\. 2025""))), 
  TEXT(DATE(2025,9,REGEXEXTRACT(T223, ""(\d{1,2}) set\. 2025"")), ""dd/mm/yyyy""),
 IF(NOT(ISERROR(REGEXEXTRACT(T223, ""(\d{1,2}) out\. 2025""))), 
  TEXT(DATE(2025,10,REGEXEXTRACT(T223, """&amp;"(\d{1,2}) out\. 2025"")), ""dd/mm/yyyy""),
 IF(NOT(ISERROR(REGEXEXTRACT(T223, ""(\d{1,2}) nov\. 2025""))), 
  TEXT(DATE(2025,11,REGEXEXTRACT(T223, ""(\d{1,2}) nov\. 2025"")), ""dd/mm/yyyy""),
 IF(NOT(ISERROR(REGEXEXTRACT(T223, ""(\d{1,2}) dez\. 2025""))),"&amp;" 
  TEXT(DATE(2025,12,REGEXEXTRACT(T223, ""(\d{1,2}) dez\. 2025"")), ""dd/mm/yyyy""),
 ""Insira a data manualmente"")))))))))))), """"))"),"31/10/2025")</f>
        <v>31/10/2025</v>
      </c>
      <c r="H223" s="22">
        <f t="shared" si="1"/>
        <v>2025</v>
      </c>
      <c r="I223" s="18" t="str">
        <f>IFERROR(__xludf.DUMMYFUNCTION("IF(REGEXMATCH(T223,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IF(REGEXMATCH(T223, ""(?i)\bBrasília\b""), ""Distrito Federal, Brasil"",
REGEXEXTRACT(T223,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23" s="30" t="s">
        <v>273</v>
      </c>
      <c r="K223" s="24" t="s">
        <v>577</v>
      </c>
      <c r="L223" s="24" t="s">
        <v>26</v>
      </c>
      <c r="M223" s="25" t="s">
        <v>27</v>
      </c>
      <c r="N223" s="18" t="str">
        <f t="shared" si="8"/>
        <v>CNN Brasil</v>
      </c>
      <c r="O223" s="17" t="s">
        <v>28</v>
      </c>
      <c r="P223" s="17" t="s">
        <v>251</v>
      </c>
      <c r="Q223" s="26">
        <v>45972.0</v>
      </c>
      <c r="R223" s="17" t="s">
        <v>30</v>
      </c>
      <c r="S223" s="27" t="str">
        <f t="shared" si="3"/>
        <v>Aqui</v>
      </c>
      <c r="T223" s="29" t="s">
        <v>578</v>
      </c>
      <c r="U223" s="29"/>
    </row>
    <row r="224">
      <c r="A224" s="16">
        <v>222.0</v>
      </c>
      <c r="B224" s="17" t="s">
        <v>23</v>
      </c>
      <c r="C224" s="18" t="str">
        <f>IFERROR(__xludf.DUMMYFUNCTION("IF(B224="""","""",IF(OR(
  REGEXMATCH(B224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REGEXMATCH(B224,""Notícia|Reportagem|Artigo de opinião|Verbete"")
),""Difusão"","""")))
"),"Difusão")</f>
        <v>Difusão</v>
      </c>
      <c r="D224" s="19" t="str">
        <f>IFERROR(__xludf.DUMMYFUNCTION("IF(B224="""","""",IF(OR(
  REGEXMATCH(B224,""Performance|Instalação|Álbum|Música|Poema|Livro|Filme|Documentário|Recitação|Espetáculo|Peça|Intervenção|Desfile|Fotografia|Exposição|Charge|Grafite|Leitura pública|Fabricação de cachaça artesanal""),
  REGEXMA"&amp;"TCH(B224,""dança|teatral|artístico|musical|artística"")
),""Manifestação artístico-cultural"",
IF(OR(
  REGEXMATCH(B224,""Crônica|Série|Reportagem|Podcast|Audiotour|Entrevista|Vídeo|Rádio|Notícia|Artigo de opinião|Coletiva de imprensa""),
  REGEXMATCH(B22"&amp;"4,""midiática"")
),""Produção midiática"","""")))
"),"Produção midiática")</f>
        <v>Produção midiática</v>
      </c>
      <c r="E224" s="20" t="str">
        <f>IFERROR(__xludf.DUMMYFUNCTION("IF(B224="""","""",IF(OR(
  REGEXMATCH(B224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REGEXMATCH(B224,""público|Imediato|artística|teatral|memória|Ação popular"")
),""Público Imediato"",
IF(REGEXMATCH(B224,""Música|Álbum|Filme|Documentár"&amp;"io|Série|Podcast|Rádio|Audiotour|Entrevista|Reportagem|Crônica|Relatório|Abaixo-assinado|Manifesto|Petição|Poema|Livro|Fotografia|Curta|Live|Webinário|Charge|Leitura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24" s="20" t="str">
        <f>IFERROR(__xludf.DUMMYFUNCTION("IF(B224="""","""",IF(OR(
  REGEXMATCH(B224,""Live|Webinário|Virtual|Verbete""),
  REGEXMATCH(B224,""online"")
),""Virtual"",
IF(REGEXMATCH(B224,""Música|Álbum|Filme|Documentário|Série|Podcast|Rádio|Audiotour|Episódio|Reportagem|Curta|Charge|Vídeo|Entrevis"&amp;"ta|Notícia|Artigo de opinião""),
""Midiático"",
IF(REGEXMATCH(B224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24" s="21" t="str">
        <f>IFERROR(__xludf.DUMMYFUNCTION("IF(C224=""rememoração"", ""Insira a data manualmente"", IF(C224=""difusão"", 
 IF(NOT(ISERROR(REGEXEXTRACT(T224, ""(\d{1,2}) jan\. 2025""))), 
  TEXT(DATE(2025,1,REGEXEXTRACT(T224, ""(\d{1,2}) jan\. 2025"")), ""dd/mm/yyyy""),
 IF(NOT(ISERROR(REGEXEXTRACT("&amp;"T224, ""(\d{1,2}) fev\. 2025""))), 
  TEXT(DATE(2025,2,REGEXEXTRACT(T224, ""(\d{1,2}) fev\. 2025"")), ""dd/mm/yyyy""),
 IF(NOT(ISERROR(REGEXEXTRACT(T224, ""(\d{1,2}) mar\. 2025""))), 
  TEXT(DATE(2025,3,REGEXEXTRACT(T224, ""(\d{1,2}) mar\. 2025"")), ""dd/"&amp;"mm/yyyy""),
 IF(NOT(ISERROR(REGEXEXTRACT(T224, ""(\d{1,2}) abr\. 2025""))), 
  TEXT(DATE(2025,4,REGEXEXTRACT(T224, ""(\d{1,2}) abr\. 2025"")), ""dd/mm/yyyy""),
 IF(NOT(ISERROR(REGEXEXTRACT(T224, ""(\d{1,2}) (mai|maio)\. 2025""))), 
  TEXT(DATE(2025,5,REGE"&amp;"XEXTRACT(T224, ""(\d{1,2}) (mai|maio)\. 2025"")), ""dd/mm/yyyy""),
 IF(NOT(ISERROR(REGEXEXTRACT(T224, ""(\d{1,2}) jun\. 2025""))), 
  TEXT(DATE(2025,6,REGEXEXTRACT(T224, ""(\d{1,2}) jun\. 2025"")), ""dd/mm/yyyy""),
 IF(NOT(ISERROR(REGEXEXTRACT(T224, ""(\d"&amp;"{1,2}) jul\. 2025""))), 
  TEXT(DATE(2025,7,REGEXEXTRACT(T224, ""(\d{1,2}) jul\. 2025"")), ""dd/mm/yyyy""),
 IF(NOT(ISERROR(REGEXEXTRACT(T224, ""(\d{1,2}) ago\. 2025""))), 
  TEXT(DATE(2025,8,REGEXEXTRACT(T224, ""(\d{1,2}) ago\. 2025"")), ""dd/mm/yyyy""),"&amp;"
 IF(NOT(ISERROR(REGEXEXTRACT(T224, ""(\d{1,2}) set\. 2025""))), 
  TEXT(DATE(2025,9,REGEXEXTRACT(T224, ""(\d{1,2}) set\. 2025"")), ""dd/mm/yyyy""),
 IF(NOT(ISERROR(REGEXEXTRACT(T224, ""(\d{1,2}) out\. 2025""))), 
  TEXT(DATE(2025,10,REGEXEXTRACT(T224, """&amp;"(\d{1,2}) out\. 2025"")), ""dd/mm/yyyy""),
 IF(NOT(ISERROR(REGEXEXTRACT(T224, ""(\d{1,2}) nov\. 2025""))), 
  TEXT(DATE(2025,11,REGEXEXTRACT(T224, ""(\d{1,2}) nov\. 2025"")), ""dd/mm/yyyy""),
 IF(NOT(ISERROR(REGEXEXTRACT(T224, ""(\d{1,2}) dez\. 2025""))),"&amp;" 
  TEXT(DATE(2025,12,REGEXEXTRACT(T224, ""(\d{1,2}) dez\. 2025"")), ""dd/mm/yyyy""),
 ""Insira a data manualmente"")))))))))))), """"))"),"10/11/2025")</f>
        <v>10/11/2025</v>
      </c>
      <c r="H224" s="22">
        <f t="shared" si="1"/>
        <v>2025</v>
      </c>
      <c r="I224" s="18" t="s">
        <v>74</v>
      </c>
      <c r="J224" s="30" t="s">
        <v>93</v>
      </c>
      <c r="K224" s="24" t="s">
        <v>579</v>
      </c>
      <c r="L224" s="24" t="s">
        <v>26</v>
      </c>
      <c r="M224" s="25" t="s">
        <v>27</v>
      </c>
      <c r="N224" s="18" t="str">
        <f t="shared" si="8"/>
        <v>Gazeta do Povo</v>
      </c>
      <c r="O224" s="17" t="s">
        <v>28</v>
      </c>
      <c r="P224" s="17" t="s">
        <v>251</v>
      </c>
      <c r="Q224" s="26">
        <v>45972.0</v>
      </c>
      <c r="R224" s="17" t="s">
        <v>37</v>
      </c>
      <c r="S224" s="27" t="str">
        <f t="shared" si="3"/>
        <v>Aqui</v>
      </c>
      <c r="T224" s="29" t="s">
        <v>580</v>
      </c>
      <c r="U224" s="29"/>
    </row>
    <row r="225">
      <c r="A225" s="16">
        <v>223.0</v>
      </c>
      <c r="B225" s="17" t="s">
        <v>23</v>
      </c>
      <c r="C225" s="18" t="str">
        <f>IFERROR(__xludf.DUMMYFUNCTION("IF(B225="""","""",IF(OR(
  REGEXMATCH(B225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REGEXMATCH(B225,""Notícia|Reportagem|Artigo de opinião|Verbete"")
),""Difusão"","""")))
"),"Difusão")</f>
        <v>Difusão</v>
      </c>
      <c r="D225" s="19" t="str">
        <f>IFERROR(__xludf.DUMMYFUNCTION("IF(B225="""","""",IF(OR(
  REGEXMATCH(B225,""Performance|Instalação|Álbum|Música|Poema|Livro|Filme|Documentário|Recitação|Espetáculo|Peça|Intervenção|Desfile|Fotografia|Exposição|Charge|Grafite|Leitura pública|Fabricação de cachaça artesanal""),
  REGEXMA"&amp;"TCH(B225,""dança|teatral|artístico|musical|artística"")
),""Manifestação artístico-cultural"",
IF(OR(
  REGEXMATCH(B225,""Crônica|Série|Reportagem|Podcast|Audiotour|Entrevista|Vídeo|Rádio|Notícia|Artigo de opinião|Coletiva de imprensa""),
  REGEXMATCH(B22"&amp;"5,""midiática"")
),""Produção midiática"","""")))
"),"Produção midiática")</f>
        <v>Produção midiática</v>
      </c>
      <c r="E225" s="20" t="str">
        <f>IFERROR(__xludf.DUMMYFUNCTION("IF(B225="""","""",IF(OR(
  REGEXMATCH(B225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REGEXMATCH(B225,""público|Imediato|artística|teatral|memória|Ação popular"")
),""Público Imediato"",
IF(REGEXMATCH(B225,""Música|Álbum|Filme|Documentár"&amp;"io|Série|Podcast|Rádio|Audiotour|Entrevista|Reportagem|Crônica|Relatório|Abaixo-assinado|Manifesto|Petição|Poema|Livro|Fotografia|Curta|Live|Webinário|Charge|Leitura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25" s="20" t="str">
        <f>IFERROR(__xludf.DUMMYFUNCTION("IF(B225="""","""",IF(OR(
  REGEXMATCH(B225,""Live|Webinário|Virtual|Verbete""),
  REGEXMATCH(B225,""online"")
),""Virtual"",
IF(REGEXMATCH(B225,""Música|Álbum|Filme|Documentário|Série|Podcast|Rádio|Audiotour|Episódio|Reportagem|Curta|Charge|Vídeo|Entrevis"&amp;"ta|Notícia|Artigo de opinião""),
""Midiático"",
IF(REGEXMATCH(B225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25" s="21" t="str">
        <f>IFERROR(__xludf.DUMMYFUNCTION("IF(C225=""rememoração"", ""Insira a data manualmente"", IF(C225=""difusão"", 
 IF(NOT(ISERROR(REGEXEXTRACT(T225, ""(\d{1,2}) jan\. 2025""))), 
  TEXT(DATE(2025,1,REGEXEXTRACT(T225, ""(\d{1,2}) jan\. 2025"")), ""dd/mm/yyyy""),
 IF(NOT(ISERROR(REGEXEXTRACT("&amp;"T225, ""(\d{1,2}) fev\. 2025""))), 
  TEXT(DATE(2025,2,REGEXEXTRACT(T225, ""(\d{1,2}) fev\. 2025"")), ""dd/mm/yyyy""),
 IF(NOT(ISERROR(REGEXEXTRACT(T225, ""(\d{1,2}) mar\. 2025""))), 
  TEXT(DATE(2025,3,REGEXEXTRACT(T225, ""(\d{1,2}) mar\. 2025"")), ""dd/"&amp;"mm/yyyy""),
 IF(NOT(ISERROR(REGEXEXTRACT(T225, ""(\d{1,2}) abr\. 2025""))), 
  TEXT(DATE(2025,4,REGEXEXTRACT(T225, ""(\d{1,2}) abr\. 2025"")), ""dd/mm/yyyy""),
 IF(NOT(ISERROR(REGEXEXTRACT(T225, ""(\d{1,2}) (mai|maio)\. 2025""))), 
  TEXT(DATE(2025,5,REGE"&amp;"XEXTRACT(T225, ""(\d{1,2}) (mai|maio)\. 2025"")), ""dd/mm/yyyy""),
 IF(NOT(ISERROR(REGEXEXTRACT(T225, ""(\d{1,2}) jun\. 2025""))), 
  TEXT(DATE(2025,6,REGEXEXTRACT(T225, ""(\d{1,2}) jun\. 2025"")), ""dd/mm/yyyy""),
 IF(NOT(ISERROR(REGEXEXTRACT(T225, ""(\d"&amp;"{1,2}) jul\. 2025""))), 
  TEXT(DATE(2025,7,REGEXEXTRACT(T225, ""(\d{1,2}) jul\. 2025"")), ""dd/mm/yyyy""),
 IF(NOT(ISERROR(REGEXEXTRACT(T225, ""(\d{1,2}) ago\. 2025""))), 
  TEXT(DATE(2025,8,REGEXEXTRACT(T225, ""(\d{1,2}) ago\. 2025"")), ""dd/mm/yyyy""),"&amp;"
 IF(NOT(ISERROR(REGEXEXTRACT(T225, ""(\d{1,2}) set\. 2025""))), 
  TEXT(DATE(2025,9,REGEXEXTRACT(T225, ""(\d{1,2}) set\. 2025"")), ""dd/mm/yyyy""),
 IF(NOT(ISERROR(REGEXEXTRACT(T225, ""(\d{1,2}) out\. 2025""))), 
  TEXT(DATE(2025,10,REGEXEXTRACT(T225, """&amp;"(\d{1,2}) out\. 2025"")), ""dd/mm/yyyy""),
 IF(NOT(ISERROR(REGEXEXTRACT(T225, ""(\d{1,2}) nov\. 2025""))), 
  TEXT(DATE(2025,11,REGEXEXTRACT(T225, ""(\d{1,2}) nov\. 2025"")), ""dd/mm/yyyy""),
 IF(NOT(ISERROR(REGEXEXTRACT(T225, ""(\d{1,2}) dez\. 2025""))),"&amp;" 
  TEXT(DATE(2025,12,REGEXEXTRACT(T225, ""(\d{1,2}) dez\. 2025"")), ""dd/mm/yyyy""),
 ""Insira a data manualmente"")))))))))))), """"))"),"10/11/2025")</f>
        <v>10/11/2025</v>
      </c>
      <c r="H225" s="22">
        <f t="shared" si="1"/>
        <v>2025</v>
      </c>
      <c r="I225" s="18" t="str">
        <f>IFERROR(__xludf.DUMMYFUNCTION("IF(REGEXMATCH(T225,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IF(REGEXMATCH(T225, ""(?i)\bBrasília\b""), ""Distrito Federal, Brasil"",
REGEXEXTRACT(T225,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25" s="30" t="s">
        <v>93</v>
      </c>
      <c r="K225" s="24" t="s">
        <v>581</v>
      </c>
      <c r="L225" s="24" t="s">
        <v>26</v>
      </c>
      <c r="M225" s="25" t="s">
        <v>27</v>
      </c>
      <c r="N225" s="18" t="str">
        <f t="shared" si="8"/>
        <v>Gazeta do Povo</v>
      </c>
      <c r="O225" s="17" t="s">
        <v>28</v>
      </c>
      <c r="P225" s="17" t="s">
        <v>251</v>
      </c>
      <c r="Q225" s="26">
        <v>45972.0</v>
      </c>
      <c r="R225" s="17" t="s">
        <v>37</v>
      </c>
      <c r="S225" s="27" t="str">
        <f t="shared" si="3"/>
        <v>Aqui</v>
      </c>
      <c r="T225" s="29" t="s">
        <v>582</v>
      </c>
      <c r="U225" s="29"/>
    </row>
    <row r="226">
      <c r="A226" s="16">
        <v>224.0</v>
      </c>
      <c r="B226" s="17" t="s">
        <v>23</v>
      </c>
      <c r="C226" s="18" t="str">
        <f>IFERROR(__xludf.DUMMYFUNCTION("IF(B226="""","""",IF(OR(
  REGEXMATCH(B226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REGEXMATCH(B226,""Notícia|Reportagem|Artigo de opinião|Verbete"")
),""Difusão"","""")))
"),"Difusão")</f>
        <v>Difusão</v>
      </c>
      <c r="D226" s="19" t="str">
        <f>IFERROR(__xludf.DUMMYFUNCTION("IF(B226="""","""",IF(OR(
  REGEXMATCH(B226,""Performance|Instalação|Álbum|Música|Poema|Livro|Filme|Documentário|Recitação|Espetáculo|Peça|Intervenção|Desfile|Fotografia|Exposição|Charge|Grafite|Leitura pública|Fabricação de cachaça artesanal""),
  REGEXMA"&amp;"TCH(B226,""dança|teatral|artístico|musical|artística"")
),""Manifestação artístico-cultural"",
IF(OR(
  REGEXMATCH(B226,""Crônica|Série|Reportagem|Podcast|Audiotour|Entrevista|Vídeo|Rádio|Notícia|Artigo de opinião|Coletiva de imprensa""),
  REGEXMATCH(B22"&amp;"6,""midiática"")
),""Produção midiática"","""")))
"),"Produção midiática")</f>
        <v>Produção midiática</v>
      </c>
      <c r="E226" s="20" t="str">
        <f>IFERROR(__xludf.DUMMYFUNCTION("IF(B226="""","""",IF(OR(
  REGEXMATCH(B226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REGEXMATCH(B226,""público|Imediato|artística|teatral|memória|Ação popular"")
),""Público Imediato"",
IF(REGEXMATCH(B226,""Música|Álbum|Filme|Documentár"&amp;"io|Série|Podcast|Rádio|Audiotour|Entrevista|Reportagem|Crônica|Relatório|Abaixo-assinado|Manifesto|Petição|Poema|Livro|Fotografia|Curta|Live|Webinário|Charge|Leitura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26" s="20" t="str">
        <f>IFERROR(__xludf.DUMMYFUNCTION("IF(B226="""","""",IF(OR(
  REGEXMATCH(B226,""Live|Webinário|Virtual|Verbete""),
  REGEXMATCH(B226,""online"")
),""Virtual"",
IF(REGEXMATCH(B226,""Música|Álbum|Filme|Documentário|Série|Podcast|Rádio|Audiotour|Episódio|Reportagem|Curta|Charge|Vídeo|Entrevis"&amp;"ta|Notícia|Artigo de opinião""),
""Midiático"",
IF(REGEXMATCH(B226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26" s="21" t="str">
        <f>IFERROR(__xludf.DUMMYFUNCTION("IF(C226=""rememoração"", ""Insira a data manualmente"", IF(C226=""difusão"", 
 IF(NOT(ISERROR(REGEXEXTRACT(T226, ""(\d{1,2}) jan\. 2025""))), 
  TEXT(DATE(2025,1,REGEXEXTRACT(T226, ""(\d{1,2}) jan\. 2025"")), ""dd/mm/yyyy""),
 IF(NOT(ISERROR(REGEXEXTRACT("&amp;"T226, ""(\d{1,2}) fev\. 2025""))), 
  TEXT(DATE(2025,2,REGEXEXTRACT(T226, ""(\d{1,2}) fev\. 2025"")), ""dd/mm/yyyy""),
 IF(NOT(ISERROR(REGEXEXTRACT(T226, ""(\d{1,2}) mar\. 2025""))), 
  TEXT(DATE(2025,3,REGEXEXTRACT(T226, ""(\d{1,2}) mar\. 2025"")), ""dd/"&amp;"mm/yyyy""),
 IF(NOT(ISERROR(REGEXEXTRACT(T226, ""(\d{1,2}) abr\. 2025""))), 
  TEXT(DATE(2025,4,REGEXEXTRACT(T226, ""(\d{1,2}) abr\. 2025"")), ""dd/mm/yyyy""),
 IF(NOT(ISERROR(REGEXEXTRACT(T226, ""(\d{1,2}) (mai|maio)\. 2025""))), 
  TEXT(DATE(2025,5,REGE"&amp;"XEXTRACT(T226, ""(\d{1,2}) (mai|maio)\. 2025"")), ""dd/mm/yyyy""),
 IF(NOT(ISERROR(REGEXEXTRACT(T226, ""(\d{1,2}) jun\. 2025""))), 
  TEXT(DATE(2025,6,REGEXEXTRACT(T226, ""(\d{1,2}) jun\. 2025"")), ""dd/mm/yyyy""),
 IF(NOT(ISERROR(REGEXEXTRACT(T226, ""(\d"&amp;"{1,2}) jul\. 2025""))), 
  TEXT(DATE(2025,7,REGEXEXTRACT(T226, ""(\d{1,2}) jul\. 2025"")), ""dd/mm/yyyy""),
 IF(NOT(ISERROR(REGEXEXTRACT(T226, ""(\d{1,2}) ago\. 2025""))), 
  TEXT(DATE(2025,8,REGEXEXTRACT(T226, ""(\d{1,2}) ago\. 2025"")), ""dd/mm/yyyy""),"&amp;"
 IF(NOT(ISERROR(REGEXEXTRACT(T226, ""(\d{1,2}) set\. 2025""))), 
  TEXT(DATE(2025,9,REGEXEXTRACT(T226, ""(\d{1,2}) set\. 2025"")), ""dd/mm/yyyy""),
 IF(NOT(ISERROR(REGEXEXTRACT(T226, ""(\d{1,2}) out\. 2025""))), 
  TEXT(DATE(2025,10,REGEXEXTRACT(T226, """&amp;"(\d{1,2}) out\. 2025"")), ""dd/mm/yyyy""),
 IF(NOT(ISERROR(REGEXEXTRACT(T226, ""(\d{1,2}) nov\. 2025""))), 
  TEXT(DATE(2025,11,REGEXEXTRACT(T226, ""(\d{1,2}) nov\. 2025"")), ""dd/mm/yyyy""),
 IF(NOT(ISERROR(REGEXEXTRACT(T226, ""(\d{1,2}) dez\. 2025""))),"&amp;" 
  TEXT(DATE(2025,12,REGEXEXTRACT(T226, ""(\d{1,2}) dez\. 2025"")), ""dd/mm/yyyy""),
 ""Insira a data manualmente"")))))))))))), """"))"),"10/11/2025")</f>
        <v>10/11/2025</v>
      </c>
      <c r="H226" s="22">
        <f t="shared" si="1"/>
        <v>2025</v>
      </c>
      <c r="I226" s="18" t="s">
        <v>74</v>
      </c>
      <c r="J226" s="30" t="s">
        <v>93</v>
      </c>
      <c r="K226" s="24" t="s">
        <v>583</v>
      </c>
      <c r="L226" s="24" t="s">
        <v>26</v>
      </c>
      <c r="M226" s="25" t="s">
        <v>27</v>
      </c>
      <c r="N226" s="18" t="str">
        <f t="shared" si="8"/>
        <v>Gazeta do Povo</v>
      </c>
      <c r="O226" s="17" t="s">
        <v>28</v>
      </c>
      <c r="P226" s="17" t="s">
        <v>251</v>
      </c>
      <c r="Q226" s="26">
        <v>45972.0</v>
      </c>
      <c r="R226" s="17" t="s">
        <v>37</v>
      </c>
      <c r="S226" s="27" t="str">
        <f t="shared" si="3"/>
        <v>Aqui</v>
      </c>
      <c r="T226" s="29" t="s">
        <v>584</v>
      </c>
      <c r="U226" s="29"/>
    </row>
    <row r="227">
      <c r="A227" s="16">
        <v>225.0</v>
      </c>
      <c r="B227" s="17" t="s">
        <v>23</v>
      </c>
      <c r="C227" s="18" t="str">
        <f>IFERROR(__xludf.DUMMYFUNCTION("IF(B227="""","""",IF(OR(
  REGEXMATCH(B227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REGEXMATCH(B227,""Notícia|Reportagem|Artigo de opinião|Verbete"")
),""Difusão"","""")))
"),"Difusão")</f>
        <v>Difusão</v>
      </c>
      <c r="D227" s="19" t="str">
        <f>IFERROR(__xludf.DUMMYFUNCTION("IF(B227="""","""",IF(OR(
  REGEXMATCH(B227,""Performance|Instalação|Álbum|Música|Poema|Livro|Filme|Documentário|Recitação|Espetáculo|Peça|Intervenção|Desfile|Fotografia|Exposição|Charge|Grafite|Leitura pública|Fabricação de cachaça artesanal""),
  REGEXMA"&amp;"TCH(B227,""dança|teatral|artístico|musical|artística"")
),""Manifestação artístico-cultural"",
IF(OR(
  REGEXMATCH(B227,""Crônica|Série|Reportagem|Podcast|Audiotour|Entrevista|Vídeo|Rádio|Notícia|Artigo de opinião|Coletiva de imprensa""),
  REGEXMATCH(B22"&amp;"7,""midiática"")
),""Produção midiática"","""")))
"),"Produção midiática")</f>
        <v>Produção midiática</v>
      </c>
      <c r="E227" s="20" t="str">
        <f>IFERROR(__xludf.DUMMYFUNCTION("IF(B227="""","""",IF(OR(
  REGEXMATCH(B227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REGEXMATCH(B227,""público|Imediato|artística|teatral|memória|Ação popular"")
),""Público Imediato"",
IF(REGEXMATCH(B227,""Música|Álbum|Filme|Documentár"&amp;"io|Série|Podcast|Rádio|Audiotour|Entrevista|Reportagem|Crônica|Relatório|Abaixo-assinado|Manifesto|Petição|Poema|Livro|Fotografia|Curta|Live|Webinário|Charge|Leitura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27" s="20" t="str">
        <f>IFERROR(__xludf.DUMMYFUNCTION("IF(B227="""","""",IF(OR(
  REGEXMATCH(B227,""Live|Webinário|Virtual|Verbete""),
  REGEXMATCH(B227,""online"")
),""Virtual"",
IF(REGEXMATCH(B227,""Música|Álbum|Filme|Documentário|Série|Podcast|Rádio|Audiotour|Episódio|Reportagem|Curta|Charge|Vídeo|Entrevis"&amp;"ta|Notícia|Artigo de opinião""),
""Midiático"",
IF(REGEXMATCH(B227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27" s="21" t="str">
        <f>IFERROR(__xludf.DUMMYFUNCTION("IF(C227=""rememoração"", ""Insira a data manualmente"", IF(C227=""difusão"", 
 IF(NOT(ISERROR(REGEXEXTRACT(T227, ""(\d{1,2}) jan\. 2025""))), 
  TEXT(DATE(2025,1,REGEXEXTRACT(T227, ""(\d{1,2}) jan\. 2025"")), ""dd/mm/yyyy""),
 IF(NOT(ISERROR(REGEXEXTRACT("&amp;"T227, ""(\d{1,2}) fev\. 2025""))), 
  TEXT(DATE(2025,2,REGEXEXTRACT(T227, ""(\d{1,2}) fev\. 2025"")), ""dd/mm/yyyy""),
 IF(NOT(ISERROR(REGEXEXTRACT(T227, ""(\d{1,2}) mar\. 2025""))), 
  TEXT(DATE(2025,3,REGEXEXTRACT(T227, ""(\d{1,2}) mar\. 2025"")), ""dd/"&amp;"mm/yyyy""),
 IF(NOT(ISERROR(REGEXEXTRACT(T227, ""(\d{1,2}) abr\. 2025""))), 
  TEXT(DATE(2025,4,REGEXEXTRACT(T227, ""(\d{1,2}) abr\. 2025"")), ""dd/mm/yyyy""),
 IF(NOT(ISERROR(REGEXEXTRACT(T227, ""(\d{1,2}) (mai|maio)\. 2025""))), 
  TEXT(DATE(2025,5,REGE"&amp;"XEXTRACT(T227, ""(\d{1,2}) (mai|maio)\. 2025"")), ""dd/mm/yyyy""),
 IF(NOT(ISERROR(REGEXEXTRACT(T227, ""(\d{1,2}) jun\. 2025""))), 
  TEXT(DATE(2025,6,REGEXEXTRACT(T227, ""(\d{1,2}) jun\. 2025"")), ""dd/mm/yyyy""),
 IF(NOT(ISERROR(REGEXEXTRACT(T227, ""(\d"&amp;"{1,2}) jul\. 2025""))), 
  TEXT(DATE(2025,7,REGEXEXTRACT(T227, ""(\d{1,2}) jul\. 2025"")), ""dd/mm/yyyy""),
 IF(NOT(ISERROR(REGEXEXTRACT(T227, ""(\d{1,2}) ago\. 2025""))), 
  TEXT(DATE(2025,8,REGEXEXTRACT(T227, ""(\d{1,2}) ago\. 2025"")), ""dd/mm/yyyy""),"&amp;"
 IF(NOT(ISERROR(REGEXEXTRACT(T227, ""(\d{1,2}) set\. 2025""))), 
  TEXT(DATE(2025,9,REGEXEXTRACT(T227, ""(\d{1,2}) set\. 2025"")), ""dd/mm/yyyy""),
 IF(NOT(ISERROR(REGEXEXTRACT(T227, ""(\d{1,2}) out\. 2025""))), 
  TEXT(DATE(2025,10,REGEXEXTRACT(T227, """&amp;"(\d{1,2}) out\. 2025"")), ""dd/mm/yyyy""),
 IF(NOT(ISERROR(REGEXEXTRACT(T227, ""(\d{1,2}) nov\. 2025""))), 
  TEXT(DATE(2025,11,REGEXEXTRACT(T227, ""(\d{1,2}) nov\. 2025"")), ""dd/mm/yyyy""),
 IF(NOT(ISERROR(REGEXEXTRACT(T227, ""(\d{1,2}) dez\. 2025""))),"&amp;" 
  TEXT(DATE(2025,12,REGEXEXTRACT(T227, ""(\d{1,2}) dez\. 2025"")), ""dd/mm/yyyy""),
 ""Insira a data manualmente"")))))))))))), """"))"),"10/11/2025")</f>
        <v>10/11/2025</v>
      </c>
      <c r="H227" s="22">
        <f t="shared" si="1"/>
        <v>2025</v>
      </c>
      <c r="I227" s="18" t="s">
        <v>74</v>
      </c>
      <c r="J227" s="30" t="s">
        <v>93</v>
      </c>
      <c r="K227" s="24" t="s">
        <v>585</v>
      </c>
      <c r="L227" s="24" t="s">
        <v>26</v>
      </c>
      <c r="M227" s="25" t="s">
        <v>27</v>
      </c>
      <c r="N227" s="18" t="str">
        <f t="shared" si="8"/>
        <v>Gazeta do Povo</v>
      </c>
      <c r="O227" s="17" t="s">
        <v>28</v>
      </c>
      <c r="P227" s="17" t="s">
        <v>251</v>
      </c>
      <c r="Q227" s="26">
        <v>45972.0</v>
      </c>
      <c r="R227" s="17" t="s">
        <v>37</v>
      </c>
      <c r="S227" s="27" t="str">
        <f t="shared" si="3"/>
        <v>Aqui</v>
      </c>
      <c r="T227" s="29" t="s">
        <v>586</v>
      </c>
      <c r="U227" s="29"/>
    </row>
    <row r="228">
      <c r="A228" s="16">
        <v>226.0</v>
      </c>
      <c r="B228" s="17" t="s">
        <v>23</v>
      </c>
      <c r="C228" s="18" t="str">
        <f>IFERROR(__xludf.DUMMYFUNCTION("IF(B228="""","""",IF(OR(
  REGEXMATCH(B228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REGEXMATCH(B228,""Notícia|Reportagem|Artigo de opinião|Verbete"")
),""Difusão"","""")))
"),"Difusão")</f>
        <v>Difusão</v>
      </c>
      <c r="D228" s="19" t="str">
        <f>IFERROR(__xludf.DUMMYFUNCTION("IF(B228="""","""",IF(OR(
  REGEXMATCH(B228,""Performance|Instalação|Álbum|Música|Poema|Livro|Filme|Documentário|Recitação|Espetáculo|Peça|Intervenção|Desfile|Fotografia|Exposição|Charge|Grafite|Leitura pública|Fabricação de cachaça artesanal""),
  REGEXMA"&amp;"TCH(B228,""dança|teatral|artístico|musical|artística"")
),""Manifestação artístico-cultural"",
IF(OR(
  REGEXMATCH(B228,""Crônica|Série|Reportagem|Podcast|Audiotour|Entrevista|Vídeo|Rádio|Notícia|Artigo de opinião|Coletiva de imprensa""),
  REGEXMATCH(B22"&amp;"8,""midiática"")
),""Produção midiática"","""")))
"),"Produção midiática")</f>
        <v>Produção midiática</v>
      </c>
      <c r="E228" s="20" t="str">
        <f>IFERROR(__xludf.DUMMYFUNCTION("IF(B228="""","""",IF(OR(
  REGEXMATCH(B228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REGEXMATCH(B228,""público|Imediato|artística|teatral|memória|Ação popular"")
),""Público Imediato"",
IF(REGEXMATCH(B228,""Música|Álbum|Filme|Documentár"&amp;"io|Série|Podcast|Rádio|Audiotour|Entrevista|Reportagem|Crônica|Relatório|Abaixo-assinado|Manifesto|Petição|Poema|Livro|Fotografia|Curta|Live|Webinário|Charge|Leitura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28" s="20" t="str">
        <f>IFERROR(__xludf.DUMMYFUNCTION("IF(B228="""","""",IF(OR(
  REGEXMATCH(B228,""Live|Webinário|Virtual|Verbete""),
  REGEXMATCH(B228,""online"")
),""Virtual"",
IF(REGEXMATCH(B228,""Música|Álbum|Filme|Documentário|Série|Podcast|Rádio|Audiotour|Episódio|Reportagem|Curta|Charge|Vídeo|Entrevis"&amp;"ta|Notícia|Artigo de opinião""),
""Midiático"",
IF(REGEXMATCH(B228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28" s="21" t="str">
        <f>IFERROR(__xludf.DUMMYFUNCTION("IF(C228=""rememoração"", ""Insira a data manualmente"", IF(C228=""difusão"", 
 IF(NOT(ISERROR(REGEXEXTRACT(T228, ""(\d{1,2}) jan\. 2025""))), 
  TEXT(DATE(2025,1,REGEXEXTRACT(T228, ""(\d{1,2}) jan\. 2025"")), ""dd/mm/yyyy""),
 IF(NOT(ISERROR(REGEXEXTRACT("&amp;"T228, ""(\d{1,2}) fev\. 2025""))), 
  TEXT(DATE(2025,2,REGEXEXTRACT(T228, ""(\d{1,2}) fev\. 2025"")), ""dd/mm/yyyy""),
 IF(NOT(ISERROR(REGEXEXTRACT(T228, ""(\d{1,2}) mar\. 2025""))), 
  TEXT(DATE(2025,3,REGEXEXTRACT(T228, ""(\d{1,2}) mar\. 2025"")), ""dd/"&amp;"mm/yyyy""),
 IF(NOT(ISERROR(REGEXEXTRACT(T228, ""(\d{1,2}) abr\. 2025""))), 
  TEXT(DATE(2025,4,REGEXEXTRACT(T228, ""(\d{1,2}) abr\. 2025"")), ""dd/mm/yyyy""),
 IF(NOT(ISERROR(REGEXEXTRACT(T228, ""(\d{1,2}) (mai|maio)\. 2025""))), 
  TEXT(DATE(2025,5,REGE"&amp;"XEXTRACT(T228, ""(\d{1,2}) (mai|maio)\. 2025"")), ""dd/mm/yyyy""),
 IF(NOT(ISERROR(REGEXEXTRACT(T228, ""(\d{1,2}) jun\. 2025""))), 
  TEXT(DATE(2025,6,REGEXEXTRACT(T228, ""(\d{1,2}) jun\. 2025"")), ""dd/mm/yyyy""),
 IF(NOT(ISERROR(REGEXEXTRACT(T228, ""(\d"&amp;"{1,2}) jul\. 2025""))), 
  TEXT(DATE(2025,7,REGEXEXTRACT(T228, ""(\d{1,2}) jul\. 2025"")), ""dd/mm/yyyy""),
 IF(NOT(ISERROR(REGEXEXTRACT(T228, ""(\d{1,2}) ago\. 2025""))), 
  TEXT(DATE(2025,8,REGEXEXTRACT(T228, ""(\d{1,2}) ago\. 2025"")), ""dd/mm/yyyy""),"&amp;"
 IF(NOT(ISERROR(REGEXEXTRACT(T228, ""(\d{1,2}) set\. 2025""))), 
  TEXT(DATE(2025,9,REGEXEXTRACT(T228, ""(\d{1,2}) set\. 2025"")), ""dd/mm/yyyy""),
 IF(NOT(ISERROR(REGEXEXTRACT(T228, ""(\d{1,2}) out\. 2025""))), 
  TEXT(DATE(2025,10,REGEXEXTRACT(T228, """&amp;"(\d{1,2}) out\. 2025"")), ""dd/mm/yyyy""),
 IF(NOT(ISERROR(REGEXEXTRACT(T228, ""(\d{1,2}) nov\. 2025""))), 
  TEXT(DATE(2025,11,REGEXEXTRACT(T228, ""(\d{1,2}) nov\. 2025"")), ""dd/mm/yyyy""),
 IF(NOT(ISERROR(REGEXEXTRACT(T228, ""(\d{1,2}) dez\. 2025""))),"&amp;" 
  TEXT(DATE(2025,12,REGEXEXTRACT(T228, ""(\d{1,2}) dez\. 2025"")), ""dd/mm/yyyy""),
 ""Insira a data manualmente"")))))))))))), """"))"),"28/10/2025")</f>
        <v>28/10/2025</v>
      </c>
      <c r="H228" s="22">
        <f t="shared" si="1"/>
        <v>2025</v>
      </c>
      <c r="I228" s="18" t="str">
        <f>IFERROR(__xludf.DUMMYFUNCTION("IF(REGEXMATCH(T228,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IF(REGEXMATCH(T228, ""(?i)\bBrasília\b""), ""Distrito Federal, Brasil"",
REGEXEXTRACT(T228,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28" s="30" t="s">
        <v>24</v>
      </c>
      <c r="K228" s="24" t="s">
        <v>587</v>
      </c>
      <c r="L228" s="24" t="s">
        <v>26</v>
      </c>
      <c r="M228" s="25" t="s">
        <v>27</v>
      </c>
      <c r="N228" s="18" t="str">
        <f t="shared" si="8"/>
        <v>O Globo</v>
      </c>
      <c r="O228" s="17" t="s">
        <v>28</v>
      </c>
      <c r="P228" s="17" t="s">
        <v>251</v>
      </c>
      <c r="Q228" s="26">
        <v>45972.0</v>
      </c>
      <c r="R228" s="17" t="s">
        <v>37</v>
      </c>
      <c r="S228" s="27" t="str">
        <f t="shared" si="3"/>
        <v>Aqui</v>
      </c>
      <c r="T228" s="29" t="s">
        <v>588</v>
      </c>
      <c r="U228" s="29"/>
    </row>
    <row r="229">
      <c r="A229" s="16">
        <v>227.0</v>
      </c>
      <c r="B229" s="17" t="s">
        <v>23</v>
      </c>
      <c r="C229" s="18" t="str">
        <f>IFERROR(__xludf.DUMMYFUNCTION("IF(B229="""","""",IF(OR(
  REGEXMATCH(B229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REGEXMATCH(B229,""Notícia|Reportagem|Artigo de opinião|Verbete"")
),""Difusão"","""")))
"),"Difusão")</f>
        <v>Difusão</v>
      </c>
      <c r="D229" s="19" t="str">
        <f>IFERROR(__xludf.DUMMYFUNCTION("IF(B229="""","""",IF(OR(
  REGEXMATCH(B229,""Performance|Instalação|Álbum|Música|Poema|Livro|Filme|Documentário|Recitação|Espetáculo|Peça|Intervenção|Desfile|Fotografia|Exposição|Charge|Grafite|Leitura pública|Fabricação de cachaça artesanal""),
  REGEXMA"&amp;"TCH(B229,""dança|teatral|artístico|musical|artística"")
),""Manifestação artístico-cultural"",
IF(OR(
  REGEXMATCH(B229,""Crônica|Série|Reportagem|Podcast|Audiotour|Entrevista|Vídeo|Rádio|Notícia|Artigo de opinião|Coletiva de imprensa""),
  REGEXMATCH(B22"&amp;"9,""midiática"")
),""Produção midiática"","""")))
"),"Produção midiática")</f>
        <v>Produção midiática</v>
      </c>
      <c r="E229" s="20" t="str">
        <f>IFERROR(__xludf.DUMMYFUNCTION("IF(B229="""","""",IF(OR(
  REGEXMATCH(B229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REGEXMATCH(B229,""público|Imediato|artística|teatral|memória|Ação popular"")
),""Público Imediato"",
IF(REGEXMATCH(B229,""Música|Álbum|Filme|Documentár"&amp;"io|Série|Podcast|Rádio|Audiotour|Entrevista|Reportagem|Crônica|Relatório|Abaixo-assinado|Manifesto|Petição|Poema|Livro|Fotografia|Curta|Live|Webinário|Charge|Leitura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29" s="20" t="str">
        <f>IFERROR(__xludf.DUMMYFUNCTION("IF(B229="""","""",IF(OR(
  REGEXMATCH(B229,""Live|Webinário|Virtual|Verbete""),
  REGEXMATCH(B229,""online"")
),""Virtual"",
IF(REGEXMATCH(B229,""Música|Álbum|Filme|Documentário|Série|Podcast|Rádio|Audiotour|Episódio|Reportagem|Curta|Charge|Vídeo|Entrevis"&amp;"ta|Notícia|Artigo de opinião""),
""Midiático"",
IF(REGEXMATCH(B229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29" s="21" t="str">
        <f>IFERROR(__xludf.DUMMYFUNCTION("IF(C229=""rememoração"", ""Insira a data manualmente"", IF(C229=""difusão"", 
 IF(NOT(ISERROR(REGEXEXTRACT(T229, ""(\d{1,2}) jan\. 2025""))), 
  TEXT(DATE(2025,1,REGEXEXTRACT(T229, ""(\d{1,2}) jan\. 2025"")), ""dd/mm/yyyy""),
 IF(NOT(ISERROR(REGEXEXTRACT("&amp;"T229, ""(\d{1,2}) fev\. 2025""))), 
  TEXT(DATE(2025,2,REGEXEXTRACT(T229, ""(\d{1,2}) fev\. 2025"")), ""dd/mm/yyyy""),
 IF(NOT(ISERROR(REGEXEXTRACT(T229, ""(\d{1,2}) mar\. 2025""))), 
  TEXT(DATE(2025,3,REGEXEXTRACT(T229, ""(\d{1,2}) mar\. 2025"")), ""dd/"&amp;"mm/yyyy""),
 IF(NOT(ISERROR(REGEXEXTRACT(T229, ""(\d{1,2}) abr\. 2025""))), 
  TEXT(DATE(2025,4,REGEXEXTRACT(T229, ""(\d{1,2}) abr\. 2025"")), ""dd/mm/yyyy""),
 IF(NOT(ISERROR(REGEXEXTRACT(T229, ""(\d{1,2}) (mai|maio)\. 2025""))), 
  TEXT(DATE(2025,5,REGE"&amp;"XEXTRACT(T229, ""(\d{1,2}) (mai|maio)\. 2025"")), ""dd/mm/yyyy""),
 IF(NOT(ISERROR(REGEXEXTRACT(T229, ""(\d{1,2}) jun\. 2025""))), 
  TEXT(DATE(2025,6,REGEXEXTRACT(T229, ""(\d{1,2}) jun\. 2025"")), ""dd/mm/yyyy""),
 IF(NOT(ISERROR(REGEXEXTRACT(T229, ""(\d"&amp;"{1,2}) jul\. 2025""))), 
  TEXT(DATE(2025,7,REGEXEXTRACT(T229, ""(\d{1,2}) jul\. 2025"")), ""dd/mm/yyyy""),
 IF(NOT(ISERROR(REGEXEXTRACT(T229, ""(\d{1,2}) ago\. 2025""))), 
  TEXT(DATE(2025,8,REGEXEXTRACT(T229, ""(\d{1,2}) ago\. 2025"")), ""dd/mm/yyyy""),"&amp;"
 IF(NOT(ISERROR(REGEXEXTRACT(T229, ""(\d{1,2}) set\. 2025""))), 
  TEXT(DATE(2025,9,REGEXEXTRACT(T229, ""(\d{1,2}) set\. 2025"")), ""dd/mm/yyyy""),
 IF(NOT(ISERROR(REGEXEXTRACT(T229, ""(\d{1,2}) out\. 2025""))), 
  TEXT(DATE(2025,10,REGEXEXTRACT(T229, """&amp;"(\d{1,2}) out\. 2025"")), ""dd/mm/yyyy""),
 IF(NOT(ISERROR(REGEXEXTRACT(T229, ""(\d{1,2}) nov\. 2025""))), 
  TEXT(DATE(2025,11,REGEXEXTRACT(T229, ""(\d{1,2}) nov\. 2025"")), ""dd/mm/yyyy""),
 IF(NOT(ISERROR(REGEXEXTRACT(T229, ""(\d{1,2}) dez\. 2025""))),"&amp;" 
  TEXT(DATE(2025,12,REGEXEXTRACT(T229, ""(\d{1,2}) dez\. 2025"")), ""dd/mm/yyyy""),
 ""Insira a data manualmente"")))))))))))), """"))"),"31/10/2025")</f>
        <v>31/10/2025</v>
      </c>
      <c r="H229" s="22">
        <f t="shared" si="1"/>
        <v>2025</v>
      </c>
      <c r="I229" s="18" t="s">
        <v>298</v>
      </c>
      <c r="J229" s="30" t="s">
        <v>93</v>
      </c>
      <c r="K229" s="24" t="s">
        <v>589</v>
      </c>
      <c r="L229" s="24" t="s">
        <v>26</v>
      </c>
      <c r="M229" s="25" t="s">
        <v>27</v>
      </c>
      <c r="N229" s="18" t="str">
        <f t="shared" si="8"/>
        <v>Gazeta do Povo</v>
      </c>
      <c r="O229" s="17" t="s">
        <v>28</v>
      </c>
      <c r="P229" s="17" t="s">
        <v>251</v>
      </c>
      <c r="Q229" s="26">
        <v>45972.0</v>
      </c>
      <c r="R229" s="17" t="s">
        <v>37</v>
      </c>
      <c r="S229" s="27" t="str">
        <f t="shared" si="3"/>
        <v>Aqui</v>
      </c>
      <c r="T229" s="29" t="s">
        <v>590</v>
      </c>
      <c r="U229" s="29"/>
    </row>
    <row r="230">
      <c r="A230" s="16">
        <v>228.0</v>
      </c>
      <c r="B230" s="17" t="s">
        <v>23</v>
      </c>
      <c r="C230" s="18" t="str">
        <f>IFERROR(__xludf.DUMMYFUNCTION("IF(B230="""","""",IF(OR(
  REGEXMATCH(B230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REGEXMATCH(B230,""Notícia|Reportagem|Artigo de opinião|Verbete"")
),""Difusão"","""")))
"),"Difusão")</f>
        <v>Difusão</v>
      </c>
      <c r="D230" s="19" t="str">
        <f>IFERROR(__xludf.DUMMYFUNCTION("IF(B230="""","""",IF(OR(
  REGEXMATCH(B230,""Performance|Instalação|Álbum|Música|Poema|Livro|Filme|Documentário|Recitação|Espetáculo|Peça|Intervenção|Desfile|Fotografia|Exposição|Charge|Grafite|Leitura pública|Fabricação de cachaça artesanal""),
  REGEXMA"&amp;"TCH(B230,""dança|teatral|artístico|musical|artística"")
),""Manifestação artístico-cultural"",
IF(OR(
  REGEXMATCH(B230,""Crônica|Série|Reportagem|Podcast|Audiotour|Entrevista|Vídeo|Rádio|Notícia|Artigo de opinião|Coletiva de imprensa""),
  REGEXMATCH(B23"&amp;"0,""midiática"")
),""Produção midiática"","""")))
"),"Produção midiática")</f>
        <v>Produção midiática</v>
      </c>
      <c r="E230" s="20" t="str">
        <f>IFERROR(__xludf.DUMMYFUNCTION("IF(B230="""","""",IF(OR(
  REGEXMATCH(B230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REGEXMATCH(B230,""público|Imediato|artística|teatral|memória|Ação popular"")
),""Público Imediato"",
IF(REGEXMATCH(B230,""Música|Álbum|Filme|Documentár"&amp;"io|Série|Podcast|Rádio|Audiotour|Entrevista|Reportagem|Crônica|Relatório|Abaixo-assinado|Manifesto|Petição|Poema|Livro|Fotografia|Curta|Live|Webinário|Charge|Leitura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30" s="20" t="str">
        <f>IFERROR(__xludf.DUMMYFUNCTION("IF(B230="""","""",IF(OR(
  REGEXMATCH(B230,""Live|Webinário|Virtual|Verbete""),
  REGEXMATCH(B230,""online"")
),""Virtual"",
IF(REGEXMATCH(B230,""Música|Álbum|Filme|Documentário|Série|Podcast|Rádio|Audiotour|Episódio|Reportagem|Curta|Charge|Vídeo|Entrevis"&amp;"ta|Notícia|Artigo de opinião""),
""Midiático"",
IF(REGEXMATCH(B230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30" s="21" t="str">
        <f>IFERROR(__xludf.DUMMYFUNCTION("IF(C230=""rememoração"", ""Insira a data manualmente"", IF(C230=""difusão"", 
 IF(NOT(ISERROR(REGEXEXTRACT(T230, ""(\d{1,2}) jan\. 2025""))), 
  TEXT(DATE(2025,1,REGEXEXTRACT(T230, ""(\d{1,2}) jan\. 2025"")), ""dd/mm/yyyy""),
 IF(NOT(ISERROR(REGEXEXTRACT("&amp;"T230, ""(\d{1,2}) fev\. 2025""))), 
  TEXT(DATE(2025,2,REGEXEXTRACT(T230, ""(\d{1,2}) fev\. 2025"")), ""dd/mm/yyyy""),
 IF(NOT(ISERROR(REGEXEXTRACT(T230, ""(\d{1,2}) mar\. 2025""))), 
  TEXT(DATE(2025,3,REGEXEXTRACT(T230, ""(\d{1,2}) mar\. 2025"")), ""dd/"&amp;"mm/yyyy""),
 IF(NOT(ISERROR(REGEXEXTRACT(T230, ""(\d{1,2}) abr\. 2025""))), 
  TEXT(DATE(2025,4,REGEXEXTRACT(T230, ""(\d{1,2}) abr\. 2025"")), ""dd/mm/yyyy""),
 IF(NOT(ISERROR(REGEXEXTRACT(T230, ""(\d{1,2}) (mai|maio)\. 2025""))), 
  TEXT(DATE(2025,5,REGE"&amp;"XEXTRACT(T230, ""(\d{1,2}) (mai|maio)\. 2025"")), ""dd/mm/yyyy""),
 IF(NOT(ISERROR(REGEXEXTRACT(T230, ""(\d{1,2}) jun\. 2025""))), 
  TEXT(DATE(2025,6,REGEXEXTRACT(T230, ""(\d{1,2}) jun\. 2025"")), ""dd/mm/yyyy""),
 IF(NOT(ISERROR(REGEXEXTRACT(T230, ""(\d"&amp;"{1,2}) jul\. 2025""))), 
  TEXT(DATE(2025,7,REGEXEXTRACT(T230, ""(\d{1,2}) jul\. 2025"")), ""dd/mm/yyyy""),
 IF(NOT(ISERROR(REGEXEXTRACT(T230, ""(\d{1,2}) ago\. 2025""))), 
  TEXT(DATE(2025,8,REGEXEXTRACT(T230, ""(\d{1,2}) ago\. 2025"")), ""dd/mm/yyyy""),"&amp;"
 IF(NOT(ISERROR(REGEXEXTRACT(T230, ""(\d{1,2}) set\. 2025""))), 
  TEXT(DATE(2025,9,REGEXEXTRACT(T230, ""(\d{1,2}) set\. 2025"")), ""dd/mm/yyyy""),
 IF(NOT(ISERROR(REGEXEXTRACT(T230, ""(\d{1,2}) out\. 2025""))), 
  TEXT(DATE(2025,10,REGEXEXTRACT(T230, """&amp;"(\d{1,2}) out\. 2025"")), ""dd/mm/yyyy""),
 IF(NOT(ISERROR(REGEXEXTRACT(T230, ""(\d{1,2}) nov\. 2025""))), 
  TEXT(DATE(2025,11,REGEXEXTRACT(T230, ""(\d{1,2}) nov\. 2025"")), ""dd/mm/yyyy""),
 IF(NOT(ISERROR(REGEXEXTRACT(T230, ""(\d{1,2}) dez\. 2025""))),"&amp;" 
  TEXT(DATE(2025,12,REGEXEXTRACT(T230, ""(\d{1,2}) dez\. 2025"")), ""dd/mm/yyyy""),
 ""Insira a data manualmente"")))))))))))), """"))"),"28/10/2025")</f>
        <v>28/10/2025</v>
      </c>
      <c r="H230" s="22">
        <f t="shared" si="1"/>
        <v>2025</v>
      </c>
      <c r="I230" s="18" t="str">
        <f>IFERROR(__xludf.DUMMYFUNCTION("IF(REGEXMATCH(T230,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IF(REGEXMATCH(T230, ""(?i)\bBrasília\b""), ""Distrito Federal, Brasil"",
REGEXEXTRACT(T230,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30" s="30" t="s">
        <v>24</v>
      </c>
      <c r="K230" s="24" t="s">
        <v>591</v>
      </c>
      <c r="L230" s="24" t="s">
        <v>26</v>
      </c>
      <c r="M230" s="25" t="s">
        <v>27</v>
      </c>
      <c r="N230" s="18" t="str">
        <f t="shared" si="8"/>
        <v>O Globo</v>
      </c>
      <c r="O230" s="17" t="s">
        <v>28</v>
      </c>
      <c r="P230" s="17" t="s">
        <v>251</v>
      </c>
      <c r="Q230" s="26">
        <v>45972.0</v>
      </c>
      <c r="R230" s="17" t="s">
        <v>37</v>
      </c>
      <c r="S230" s="27" t="str">
        <f t="shared" si="3"/>
        <v>Aqui</v>
      </c>
      <c r="T230" s="29" t="s">
        <v>592</v>
      </c>
      <c r="U230" s="29"/>
    </row>
    <row r="231">
      <c r="A231" s="16">
        <v>229.0</v>
      </c>
      <c r="B231" s="17" t="s">
        <v>23</v>
      </c>
      <c r="C231" s="18" t="str">
        <f>IFERROR(__xludf.DUMMYFUNCTION("IF(B231="""","""",IF(OR(
  REGEXMATCH(B231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REGEXMATCH(B231,""Notícia|Reportagem|Artigo de opinião|Verbete"")
),""Difusão"","""")))
"),"Difusão")</f>
        <v>Difusão</v>
      </c>
      <c r="D231" s="19" t="str">
        <f>IFERROR(__xludf.DUMMYFUNCTION("IF(B231="""","""",IF(OR(
  REGEXMATCH(B231,""Performance|Instalação|Álbum|Música|Poema|Livro|Filme|Documentário|Recitação|Espetáculo|Peça|Intervenção|Desfile|Fotografia|Exposição|Charge|Grafite|Leitura pública|Fabricação de cachaça artesanal""),
  REGEXMA"&amp;"TCH(B231,""dança|teatral|artístico|musical|artística"")
),""Manifestação artístico-cultural"",
IF(OR(
  REGEXMATCH(B231,""Crônica|Série|Reportagem|Podcast|Audiotour|Entrevista|Vídeo|Rádio|Notícia|Artigo de opinião|Coletiva de imprensa""),
  REGEXMATCH(B23"&amp;"1,""midiática"")
),""Produção midiática"","""")))
"),"Produção midiática")</f>
        <v>Produção midiática</v>
      </c>
      <c r="E231" s="20" t="str">
        <f>IFERROR(__xludf.DUMMYFUNCTION("IF(B231="""","""",IF(OR(
  REGEXMATCH(B231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REGEXMATCH(B231,""público|Imediato|artística|teatral|memória|Ação popular"")
),""Público Imediato"",
IF(REGEXMATCH(B231,""Música|Álbum|Filme|Documentár"&amp;"io|Série|Podcast|Rádio|Audiotour|Entrevista|Reportagem|Crônica|Relatório|Abaixo-assinado|Manifesto|Petição|Poema|Livro|Fotografia|Curta|Live|Webinário|Charge|Leitura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31" s="20" t="str">
        <f>IFERROR(__xludf.DUMMYFUNCTION("IF(B231="""","""",IF(OR(
  REGEXMATCH(B231,""Live|Webinário|Virtual|Verbete""),
  REGEXMATCH(B231,""online"")
),""Virtual"",
IF(REGEXMATCH(B231,""Música|Álbum|Filme|Documentário|Série|Podcast|Rádio|Audiotour|Episódio|Reportagem|Curta|Charge|Vídeo|Entrevis"&amp;"ta|Notícia|Artigo de opinião""),
""Midiático"",
IF(REGEXMATCH(B231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31" s="21" t="str">
        <f>IFERROR(__xludf.DUMMYFUNCTION("IF(C231=""rememoração"", ""Insira a data manualmente"", IF(C231=""difusão"", 
 IF(NOT(ISERROR(REGEXEXTRACT(T231, ""(\d{1,2}) jan\. 2025""))), 
  TEXT(DATE(2025,1,REGEXEXTRACT(T231, ""(\d{1,2}) jan\. 2025"")), ""dd/mm/yyyy""),
 IF(NOT(ISERROR(REGEXEXTRACT("&amp;"T231, ""(\d{1,2}) fev\. 2025""))), 
  TEXT(DATE(2025,2,REGEXEXTRACT(T231, ""(\d{1,2}) fev\. 2025"")), ""dd/mm/yyyy""),
 IF(NOT(ISERROR(REGEXEXTRACT(T231, ""(\d{1,2}) mar\. 2025""))), 
  TEXT(DATE(2025,3,REGEXEXTRACT(T231, ""(\d{1,2}) mar\. 2025"")), ""dd/"&amp;"mm/yyyy""),
 IF(NOT(ISERROR(REGEXEXTRACT(T231, ""(\d{1,2}) abr\. 2025""))), 
  TEXT(DATE(2025,4,REGEXEXTRACT(T231, ""(\d{1,2}) abr\. 2025"")), ""dd/mm/yyyy""),
 IF(NOT(ISERROR(REGEXEXTRACT(T231, ""(\d{1,2}) (mai|maio)\. 2025""))), 
  TEXT(DATE(2025,5,REGE"&amp;"XEXTRACT(T231, ""(\d{1,2}) (mai|maio)\. 2025"")), ""dd/mm/yyyy""),
 IF(NOT(ISERROR(REGEXEXTRACT(T231, ""(\d{1,2}) jun\. 2025""))), 
  TEXT(DATE(2025,6,REGEXEXTRACT(T231, ""(\d{1,2}) jun\. 2025"")), ""dd/mm/yyyy""),
 IF(NOT(ISERROR(REGEXEXTRACT(T231, ""(\d"&amp;"{1,2}) jul\. 2025""))), 
  TEXT(DATE(2025,7,REGEXEXTRACT(T231, ""(\d{1,2}) jul\. 2025"")), ""dd/mm/yyyy""),
 IF(NOT(ISERROR(REGEXEXTRACT(T231, ""(\d{1,2}) ago\. 2025""))), 
  TEXT(DATE(2025,8,REGEXEXTRACT(T231, ""(\d{1,2}) ago\. 2025"")), ""dd/mm/yyyy""),"&amp;"
 IF(NOT(ISERROR(REGEXEXTRACT(T231, ""(\d{1,2}) set\. 2025""))), 
  TEXT(DATE(2025,9,REGEXEXTRACT(T231, ""(\d{1,2}) set\. 2025"")), ""dd/mm/yyyy""),
 IF(NOT(ISERROR(REGEXEXTRACT(T231, ""(\d{1,2}) out\. 2025""))), 
  TEXT(DATE(2025,10,REGEXEXTRACT(T231, """&amp;"(\d{1,2}) out\. 2025"")), ""dd/mm/yyyy""),
 IF(NOT(ISERROR(REGEXEXTRACT(T231, ""(\d{1,2}) nov\. 2025""))), 
  TEXT(DATE(2025,11,REGEXEXTRACT(T231, ""(\d{1,2}) nov\. 2025"")), ""dd/mm/yyyy""),
 IF(NOT(ISERROR(REGEXEXTRACT(T231, ""(\d{1,2}) dez\. 2025""))),"&amp;" 
  TEXT(DATE(2025,12,REGEXEXTRACT(T231, ""(\d{1,2}) dez\. 2025"")), ""dd/mm/yyyy""),
 ""Insira a data manualmente"")))))))))))), """"))"),"28/10/2025")</f>
        <v>28/10/2025</v>
      </c>
      <c r="H231" s="22">
        <f t="shared" si="1"/>
        <v>2025</v>
      </c>
      <c r="I231" s="18" t="str">
        <f>IFERROR(__xludf.DUMMYFUNCTION("IF(REGEXMATCH(T231,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IF(REGEXMATCH(T231, ""(?i)\bBrasília\b""), ""Distrito Federal, Brasil"",
REGEXEXTRACT(T231,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31" s="30" t="s">
        <v>273</v>
      </c>
      <c r="K231" s="24" t="s">
        <v>593</v>
      </c>
      <c r="L231" s="24" t="s">
        <v>26</v>
      </c>
      <c r="M231" s="25" t="s">
        <v>27</v>
      </c>
      <c r="N231" s="18" t="str">
        <f t="shared" si="8"/>
        <v>CNN Brasil</v>
      </c>
      <c r="O231" s="17" t="s">
        <v>28</v>
      </c>
      <c r="P231" s="17" t="s">
        <v>251</v>
      </c>
      <c r="Q231" s="26">
        <v>45972.0</v>
      </c>
      <c r="R231" s="17" t="s">
        <v>30</v>
      </c>
      <c r="S231" s="27" t="str">
        <f t="shared" si="3"/>
        <v>Aqui</v>
      </c>
      <c r="T231" s="29" t="s">
        <v>594</v>
      </c>
      <c r="U231" s="29"/>
    </row>
    <row r="232">
      <c r="A232" s="16">
        <v>230.0</v>
      </c>
      <c r="B232" s="17" t="s">
        <v>23</v>
      </c>
      <c r="C232" s="18" t="str">
        <f>IFERROR(__xludf.DUMMYFUNCTION("IF(B232="""","""",IF(OR(
  REGEXMATCH(B232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REGEXMATCH(B232,""Notícia|Reportagem|Artigo de opinião|Verbete"")
),""Difusão"","""")))
"),"Difusão")</f>
        <v>Difusão</v>
      </c>
      <c r="D232" s="19" t="str">
        <f>IFERROR(__xludf.DUMMYFUNCTION("IF(B232="""","""",IF(OR(
  REGEXMATCH(B232,""Performance|Instalação|Álbum|Música|Poema|Livro|Filme|Documentário|Recitação|Espetáculo|Peça|Intervenção|Desfile|Fotografia|Exposição|Charge|Grafite|Leitura pública|Fabricação de cachaça artesanal""),
  REGEXMA"&amp;"TCH(B232,""dança|teatral|artístico|musical|artística"")
),""Manifestação artístico-cultural"",
IF(OR(
  REGEXMATCH(B232,""Crônica|Série|Reportagem|Podcast|Audiotour|Entrevista|Vídeo|Rádio|Notícia|Artigo de opinião|Coletiva de imprensa""),
  REGEXMATCH(B23"&amp;"2,""midiática"")
),""Produção midiática"","""")))
"),"Produção midiática")</f>
        <v>Produção midiática</v>
      </c>
      <c r="E232" s="20" t="str">
        <f>IFERROR(__xludf.DUMMYFUNCTION("IF(B232="""","""",IF(OR(
  REGEXMATCH(B232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REGEXMATCH(B232,""público|Imediato|artística|teatral|memória|Ação popular"")
),""Público Imediato"",
IF(REGEXMATCH(B232,""Música|Álbum|Filme|Documentár"&amp;"io|Série|Podcast|Rádio|Audiotour|Entrevista|Reportagem|Crônica|Relatório|Abaixo-assinado|Manifesto|Petição|Poema|Livro|Fotografia|Curta|Live|Webinário|Charge|Leitura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32" s="20" t="str">
        <f>IFERROR(__xludf.DUMMYFUNCTION("IF(B232="""","""",IF(OR(
  REGEXMATCH(B232,""Live|Webinário|Virtual|Verbete""),
  REGEXMATCH(B232,""online"")
),""Virtual"",
IF(REGEXMATCH(B232,""Música|Álbum|Filme|Documentário|Série|Podcast|Rádio|Audiotour|Episódio|Reportagem|Curta|Charge|Vídeo|Entrevis"&amp;"ta|Notícia|Artigo de opinião""),
""Midiático"",
IF(REGEXMATCH(B232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32" s="21" t="str">
        <f>IFERROR(__xludf.DUMMYFUNCTION("IF(C232=""rememoração"", ""Insira a data manualmente"", IF(C232=""difusão"", 
 IF(NOT(ISERROR(REGEXEXTRACT(T232, ""(\d{1,2}) jan\. 2025""))), 
  TEXT(DATE(2025,1,REGEXEXTRACT(T232, ""(\d{1,2}) jan\. 2025"")), ""dd/mm/yyyy""),
 IF(NOT(ISERROR(REGEXEXTRACT("&amp;"T232, ""(\d{1,2}) fev\. 2025""))), 
  TEXT(DATE(2025,2,REGEXEXTRACT(T232, ""(\d{1,2}) fev\. 2025"")), ""dd/mm/yyyy""),
 IF(NOT(ISERROR(REGEXEXTRACT(T232, ""(\d{1,2}) mar\. 2025""))), 
  TEXT(DATE(2025,3,REGEXEXTRACT(T232, ""(\d{1,2}) mar\. 2025"")), ""dd/"&amp;"mm/yyyy""),
 IF(NOT(ISERROR(REGEXEXTRACT(T232, ""(\d{1,2}) abr\. 2025""))), 
  TEXT(DATE(2025,4,REGEXEXTRACT(T232, ""(\d{1,2}) abr\. 2025"")), ""dd/mm/yyyy""),
 IF(NOT(ISERROR(REGEXEXTRACT(T232, ""(\d{1,2}) (mai|maio)\. 2025""))), 
  TEXT(DATE(2025,5,REGE"&amp;"XEXTRACT(T232, ""(\d{1,2}) (mai|maio)\. 2025"")), ""dd/mm/yyyy""),
 IF(NOT(ISERROR(REGEXEXTRACT(T232, ""(\d{1,2}) jun\. 2025""))), 
  TEXT(DATE(2025,6,REGEXEXTRACT(T232, ""(\d{1,2}) jun\. 2025"")), ""dd/mm/yyyy""),
 IF(NOT(ISERROR(REGEXEXTRACT(T232, ""(\d"&amp;"{1,2}) jul\. 2025""))), 
  TEXT(DATE(2025,7,REGEXEXTRACT(T232, ""(\d{1,2}) jul\. 2025"")), ""dd/mm/yyyy""),
 IF(NOT(ISERROR(REGEXEXTRACT(T232, ""(\d{1,2}) ago\. 2025""))), 
  TEXT(DATE(2025,8,REGEXEXTRACT(T232, ""(\d{1,2}) ago\. 2025"")), ""dd/mm/yyyy""),"&amp;"
 IF(NOT(ISERROR(REGEXEXTRACT(T232, ""(\d{1,2}) set\. 2025""))), 
  TEXT(DATE(2025,9,REGEXEXTRACT(T232, ""(\d{1,2}) set\. 2025"")), ""dd/mm/yyyy""),
 IF(NOT(ISERROR(REGEXEXTRACT(T232, ""(\d{1,2}) out\. 2025""))), 
  TEXT(DATE(2025,10,REGEXEXTRACT(T232, """&amp;"(\d{1,2}) out\. 2025"")), ""dd/mm/yyyy""),
 IF(NOT(ISERROR(REGEXEXTRACT(T232, ""(\d{1,2}) nov\. 2025""))), 
  TEXT(DATE(2025,11,REGEXEXTRACT(T232, ""(\d{1,2}) nov\. 2025"")), ""dd/mm/yyyy""),
 IF(NOT(ISERROR(REGEXEXTRACT(T232, ""(\d{1,2}) dez\. 2025""))),"&amp;" 
  TEXT(DATE(2025,12,REGEXEXTRACT(T232, ""(\d{1,2}) dez\. 2025"")), ""dd/mm/yyyy""),
 ""Insira a data manualmente"")))))))))))), """"))"),"04/11/2025")</f>
        <v>04/11/2025</v>
      </c>
      <c r="H232" s="22">
        <f t="shared" si="1"/>
        <v>2025</v>
      </c>
      <c r="I232" s="18" t="s">
        <v>298</v>
      </c>
      <c r="J232" s="30" t="s">
        <v>93</v>
      </c>
      <c r="K232" s="24" t="s">
        <v>595</v>
      </c>
      <c r="L232" s="24" t="s">
        <v>26</v>
      </c>
      <c r="M232" s="25" t="s">
        <v>27</v>
      </c>
      <c r="N232" s="18" t="str">
        <f t="shared" si="8"/>
        <v>Gazeta do Povo</v>
      </c>
      <c r="O232" s="17" t="s">
        <v>28</v>
      </c>
      <c r="P232" s="17" t="s">
        <v>251</v>
      </c>
      <c r="Q232" s="26">
        <v>45972.0</v>
      </c>
      <c r="R232" s="17" t="s">
        <v>37</v>
      </c>
      <c r="S232" s="27" t="str">
        <f t="shared" si="3"/>
        <v>Aqui</v>
      </c>
      <c r="T232" s="29" t="s">
        <v>596</v>
      </c>
      <c r="U232" s="29"/>
    </row>
    <row r="233">
      <c r="A233" s="16">
        <v>231.0</v>
      </c>
      <c r="B233" s="17" t="s">
        <v>23</v>
      </c>
      <c r="C233" s="18" t="str">
        <f>IFERROR(__xludf.DUMMYFUNCTION("IF(B233="""","""",IF(OR(
  REGEXMATCH(B233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REGEXMATCH(B233,""Notícia|Reportagem|Artigo de opinião|Verbete"")
),""Difusão"","""")))
"),"Difusão")</f>
        <v>Difusão</v>
      </c>
      <c r="D233" s="19" t="str">
        <f>IFERROR(__xludf.DUMMYFUNCTION("IF(B233="""","""",IF(OR(
  REGEXMATCH(B233,""Performance|Instalação|Álbum|Música|Poema|Livro|Filme|Documentário|Recitação|Espetáculo|Peça|Intervenção|Desfile|Fotografia|Exposição|Charge|Grafite|Leitura pública|Fabricação de cachaça artesanal""),
  REGEXMA"&amp;"TCH(B233,""dança|teatral|artístico|musical|artística"")
),""Manifestação artístico-cultural"",
IF(OR(
  REGEXMATCH(B233,""Crônica|Série|Reportagem|Podcast|Audiotour|Entrevista|Vídeo|Rádio|Notícia|Artigo de opinião|Coletiva de imprensa""),
  REGEXMATCH(B23"&amp;"3,""midiática"")
),""Produção midiática"","""")))
"),"Produção midiática")</f>
        <v>Produção midiática</v>
      </c>
      <c r="E233" s="20" t="str">
        <f>IFERROR(__xludf.DUMMYFUNCTION("IF(B233="""","""",IF(OR(
  REGEXMATCH(B233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REGEXMATCH(B233,""público|Imediato|artística|teatral|memória|Ação popular"")
),""Público Imediato"",
IF(REGEXMATCH(B233,""Música|Álbum|Filme|Documentár"&amp;"io|Série|Podcast|Rádio|Audiotour|Entrevista|Reportagem|Crônica|Relatório|Abaixo-assinado|Manifesto|Petição|Poema|Livro|Fotografia|Curta|Live|Webinário|Charge|Leitura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33" s="20" t="str">
        <f>IFERROR(__xludf.DUMMYFUNCTION("IF(B233="""","""",IF(OR(
  REGEXMATCH(B233,""Live|Webinário|Virtual|Verbete""),
  REGEXMATCH(B233,""online"")
),""Virtual"",
IF(REGEXMATCH(B233,""Música|Álbum|Filme|Documentário|Série|Podcast|Rádio|Audiotour|Episódio|Reportagem|Curta|Charge|Vídeo|Entrevis"&amp;"ta|Notícia|Artigo de opinião""),
""Midiático"",
IF(REGEXMATCH(B233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33" s="21" t="str">
        <f>IFERROR(__xludf.DUMMYFUNCTION("IF(C233=""rememoração"", ""Insira a data manualmente"", IF(C233=""difusão"", 
 IF(NOT(ISERROR(REGEXEXTRACT(T233, ""(\d{1,2}) jan\. 2025""))), 
  TEXT(DATE(2025,1,REGEXEXTRACT(T233, ""(\d{1,2}) jan\. 2025"")), ""dd/mm/yyyy""),
 IF(NOT(ISERROR(REGEXEXTRACT("&amp;"T233, ""(\d{1,2}) fev\. 2025""))), 
  TEXT(DATE(2025,2,REGEXEXTRACT(T233, ""(\d{1,2}) fev\. 2025"")), ""dd/mm/yyyy""),
 IF(NOT(ISERROR(REGEXEXTRACT(T233, ""(\d{1,2}) mar\. 2025""))), 
  TEXT(DATE(2025,3,REGEXEXTRACT(T233, ""(\d{1,2}) mar\. 2025"")), ""dd/"&amp;"mm/yyyy""),
 IF(NOT(ISERROR(REGEXEXTRACT(T233, ""(\d{1,2}) abr\. 2025""))), 
  TEXT(DATE(2025,4,REGEXEXTRACT(T233, ""(\d{1,2}) abr\. 2025"")), ""dd/mm/yyyy""),
 IF(NOT(ISERROR(REGEXEXTRACT(T233, ""(\d{1,2}) (mai|maio)\. 2025""))), 
  TEXT(DATE(2025,5,REGE"&amp;"XEXTRACT(T233, ""(\d{1,2}) (mai|maio)\. 2025"")), ""dd/mm/yyyy""),
 IF(NOT(ISERROR(REGEXEXTRACT(T233, ""(\d{1,2}) jun\. 2025""))), 
  TEXT(DATE(2025,6,REGEXEXTRACT(T233, ""(\d{1,2}) jun\. 2025"")), ""dd/mm/yyyy""),
 IF(NOT(ISERROR(REGEXEXTRACT(T233, ""(\d"&amp;"{1,2}) jul\. 2025""))), 
  TEXT(DATE(2025,7,REGEXEXTRACT(T233, ""(\d{1,2}) jul\. 2025"")), ""dd/mm/yyyy""),
 IF(NOT(ISERROR(REGEXEXTRACT(T233, ""(\d{1,2}) ago\. 2025""))), 
  TEXT(DATE(2025,8,REGEXEXTRACT(T233, ""(\d{1,2}) ago\. 2025"")), ""dd/mm/yyyy""),"&amp;"
 IF(NOT(ISERROR(REGEXEXTRACT(T233, ""(\d{1,2}) set\. 2025""))), 
  TEXT(DATE(2025,9,REGEXEXTRACT(T233, ""(\d{1,2}) set\. 2025"")), ""dd/mm/yyyy""),
 IF(NOT(ISERROR(REGEXEXTRACT(T233, ""(\d{1,2}) out\. 2025""))), 
  TEXT(DATE(2025,10,REGEXEXTRACT(T233, """&amp;"(\d{1,2}) out\. 2025"")), ""dd/mm/yyyy""),
 IF(NOT(ISERROR(REGEXEXTRACT(T233, ""(\d{1,2}) nov\. 2025""))), 
  TEXT(DATE(2025,11,REGEXEXTRACT(T233, ""(\d{1,2}) nov\. 2025"")), ""dd/mm/yyyy""),
 IF(NOT(ISERROR(REGEXEXTRACT(T233, ""(\d{1,2}) dez\. 2025""))),"&amp;" 
  TEXT(DATE(2025,12,REGEXEXTRACT(T233, ""(\d{1,2}) dez\. 2025"")), ""dd/mm/yyyy""),
 ""Insira a data manualmente"")))))))))))), """"))"),"29/10/2025")</f>
        <v>29/10/2025</v>
      </c>
      <c r="H233" s="22">
        <f t="shared" si="1"/>
        <v>2025</v>
      </c>
      <c r="I233" s="18" t="str">
        <f>IFERROR(__xludf.DUMMYFUNCTION("IF(REGEXMATCH(T233,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IF(REGEXMATCH(T233, ""(?i)\bBrasília\b""), ""Distrito Federal, Brasil"",
REGEXEXTRACT(T233,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33" s="30" t="s">
        <v>32</v>
      </c>
      <c r="K233" s="24" t="s">
        <v>597</v>
      </c>
      <c r="L233" s="24" t="s">
        <v>26</v>
      </c>
      <c r="M233" s="25" t="s">
        <v>27</v>
      </c>
      <c r="N233" s="18" t="str">
        <f t="shared" si="8"/>
        <v>Agência Brasil</v>
      </c>
      <c r="O233" s="17" t="s">
        <v>28</v>
      </c>
      <c r="P233" s="17" t="s">
        <v>251</v>
      </c>
      <c r="Q233" s="26">
        <v>45972.0</v>
      </c>
      <c r="R233" s="17" t="s">
        <v>30</v>
      </c>
      <c r="S233" s="27" t="str">
        <f t="shared" si="3"/>
        <v>Aqui</v>
      </c>
      <c r="T233" s="29" t="s">
        <v>598</v>
      </c>
      <c r="U233" s="29"/>
    </row>
    <row r="234">
      <c r="A234" s="16">
        <v>232.0</v>
      </c>
      <c r="B234" s="17" t="s">
        <v>23</v>
      </c>
      <c r="C234" s="18" t="str">
        <f>IFERROR(__xludf.DUMMYFUNCTION("IF(B234="""","""",IF(OR(
  REGEXMATCH(B234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REGEXMATCH(B234,""Notícia|Reportagem|Artigo de opinião|Verbete"")
),""Difusão"","""")))
"),"Difusão")</f>
        <v>Difusão</v>
      </c>
      <c r="D234" s="19" t="str">
        <f>IFERROR(__xludf.DUMMYFUNCTION("IF(B234="""","""",IF(OR(
  REGEXMATCH(B234,""Performance|Instalação|Álbum|Música|Poema|Livro|Filme|Documentário|Recitação|Espetáculo|Peça|Intervenção|Desfile|Fotografia|Exposição|Charge|Grafite|Leitura pública|Fabricação de cachaça artesanal""),
  REGEXMA"&amp;"TCH(B234,""dança|teatral|artístico|musical|artística"")
),""Manifestação artístico-cultural"",
IF(OR(
  REGEXMATCH(B234,""Crônica|Série|Reportagem|Podcast|Audiotour|Entrevista|Vídeo|Rádio|Notícia|Artigo de opinião|Coletiva de imprensa""),
  REGEXMATCH(B23"&amp;"4,""midiática"")
),""Produção midiática"","""")))
"),"Produção midiática")</f>
        <v>Produção midiática</v>
      </c>
      <c r="E234" s="20" t="str">
        <f>IFERROR(__xludf.DUMMYFUNCTION("IF(B234="""","""",IF(OR(
  REGEXMATCH(B234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REGEXMATCH(B234,""público|Imediato|artística|teatral|memória|Ação popular"")
),""Público Imediato"",
IF(REGEXMATCH(B234,""Música|Álbum|Filme|Documentár"&amp;"io|Série|Podcast|Rádio|Audiotour|Entrevista|Reportagem|Crônica|Relatório|Abaixo-assinado|Manifesto|Petição|Poema|Livro|Fotografia|Curta|Live|Webinário|Charge|Leitura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34" s="20" t="str">
        <f>IFERROR(__xludf.DUMMYFUNCTION("IF(B234="""","""",IF(OR(
  REGEXMATCH(B234,""Live|Webinário|Virtual|Verbete""),
  REGEXMATCH(B234,""online"")
),""Virtual"",
IF(REGEXMATCH(B234,""Música|Álbum|Filme|Documentário|Série|Podcast|Rádio|Audiotour|Episódio|Reportagem|Curta|Charge|Vídeo|Entrevis"&amp;"ta|Notícia|Artigo de opinião""),
""Midiático"",
IF(REGEXMATCH(B234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34" s="21" t="str">
        <f>IFERROR(__xludf.DUMMYFUNCTION("IF(C234=""rememoração"", ""Insira a data manualmente"", IF(C234=""difusão"", 
 IF(NOT(ISERROR(REGEXEXTRACT(T234, ""(\d{1,2}) jan\. 2025""))), 
  TEXT(DATE(2025,1,REGEXEXTRACT(T234, ""(\d{1,2}) jan\. 2025"")), ""dd/mm/yyyy""),
 IF(NOT(ISERROR(REGEXEXTRACT("&amp;"T234, ""(\d{1,2}) fev\. 2025""))), 
  TEXT(DATE(2025,2,REGEXEXTRACT(T234, ""(\d{1,2}) fev\. 2025"")), ""dd/mm/yyyy""),
 IF(NOT(ISERROR(REGEXEXTRACT(T234, ""(\d{1,2}) mar\. 2025""))), 
  TEXT(DATE(2025,3,REGEXEXTRACT(T234, ""(\d{1,2}) mar\. 2025"")), ""dd/"&amp;"mm/yyyy""),
 IF(NOT(ISERROR(REGEXEXTRACT(T234, ""(\d{1,2}) abr\. 2025""))), 
  TEXT(DATE(2025,4,REGEXEXTRACT(T234, ""(\d{1,2}) abr\. 2025"")), ""dd/mm/yyyy""),
 IF(NOT(ISERROR(REGEXEXTRACT(T234, ""(\d{1,2}) (mai|maio)\. 2025""))), 
  TEXT(DATE(2025,5,REGE"&amp;"XEXTRACT(T234, ""(\d{1,2}) (mai|maio)\. 2025"")), ""dd/mm/yyyy""),
 IF(NOT(ISERROR(REGEXEXTRACT(T234, ""(\d{1,2}) jun\. 2025""))), 
  TEXT(DATE(2025,6,REGEXEXTRACT(T234, ""(\d{1,2}) jun\. 2025"")), ""dd/mm/yyyy""),
 IF(NOT(ISERROR(REGEXEXTRACT(T234, ""(\d"&amp;"{1,2}) jul\. 2025""))), 
  TEXT(DATE(2025,7,REGEXEXTRACT(T234, ""(\d{1,2}) jul\. 2025"")), ""dd/mm/yyyy""),
 IF(NOT(ISERROR(REGEXEXTRACT(T234, ""(\d{1,2}) ago\. 2025""))), 
  TEXT(DATE(2025,8,REGEXEXTRACT(T234, ""(\d{1,2}) ago\. 2025"")), ""dd/mm/yyyy""),"&amp;"
 IF(NOT(ISERROR(REGEXEXTRACT(T234, ""(\d{1,2}) set\. 2025""))), 
  TEXT(DATE(2025,9,REGEXEXTRACT(T234, ""(\d{1,2}) set\. 2025"")), ""dd/mm/yyyy""),
 IF(NOT(ISERROR(REGEXEXTRACT(T234, ""(\d{1,2}) out\. 2025""))), 
  TEXT(DATE(2025,10,REGEXEXTRACT(T234, """&amp;"(\d{1,2}) out\. 2025"")), ""dd/mm/yyyy""),
 IF(NOT(ISERROR(REGEXEXTRACT(T234, ""(\d{1,2}) nov\. 2025""))), 
  TEXT(DATE(2025,11,REGEXEXTRACT(T234, ""(\d{1,2}) nov\. 2025"")), ""dd/mm/yyyy""),
 IF(NOT(ISERROR(REGEXEXTRACT(T234, ""(\d{1,2}) dez\. 2025""))),"&amp;" 
  TEXT(DATE(2025,12,REGEXEXTRACT(T234, ""(\d{1,2}) dez\. 2025"")), ""dd/mm/yyyy""),
 ""Insira a data manualmente"")))))))))))), """"))"),"28/10/2025")</f>
        <v>28/10/2025</v>
      </c>
      <c r="H234" s="22">
        <f t="shared" si="1"/>
        <v>2025</v>
      </c>
      <c r="I234" s="18" t="str">
        <f>IFERROR(__xludf.DUMMYFUNCTION("IF(REGEXMATCH(T234,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IF(REGEXMATCH(T234, ""(?i)\bBrasília\b""), ""Distrito Federal, Brasil"",
REGEXEXTRACT(T234,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34" s="30" t="s">
        <v>599</v>
      </c>
      <c r="K234" s="24" t="s">
        <v>600</v>
      </c>
      <c r="L234" s="24" t="s">
        <v>26</v>
      </c>
      <c r="M234" s="25" t="s">
        <v>27</v>
      </c>
      <c r="N234" s="18" t="str">
        <f t="shared" si="8"/>
        <v>BBC News Brasil</v>
      </c>
      <c r="O234" s="17" t="s">
        <v>28</v>
      </c>
      <c r="P234" s="17" t="s">
        <v>251</v>
      </c>
      <c r="Q234" s="26">
        <v>45972.0</v>
      </c>
      <c r="R234" s="17" t="s">
        <v>30</v>
      </c>
      <c r="S234" s="27" t="str">
        <f t="shared" si="3"/>
        <v>Aqui</v>
      </c>
      <c r="T234" s="29" t="s">
        <v>601</v>
      </c>
      <c r="U234" s="29"/>
    </row>
    <row r="235">
      <c r="A235" s="16">
        <v>233.0</v>
      </c>
      <c r="B235" s="17" t="s">
        <v>23</v>
      </c>
      <c r="C235" s="18" t="str">
        <f>IFERROR(__xludf.DUMMYFUNCTION("IF(B235="""","""",IF(OR(
  REGEXMATCH(B235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REGEXMATCH(B235,""Notícia|Reportagem|Artigo de opinião|Verbete"")
),""Difusão"","""")))
"),"Difusão")</f>
        <v>Difusão</v>
      </c>
      <c r="D235" s="19" t="str">
        <f>IFERROR(__xludf.DUMMYFUNCTION("IF(B235="""","""",IF(OR(
  REGEXMATCH(B235,""Performance|Instalação|Álbum|Música|Poema|Livro|Filme|Documentário|Recitação|Espetáculo|Peça|Intervenção|Desfile|Fotografia|Exposição|Charge|Grafite|Leitura pública|Fabricação de cachaça artesanal""),
  REGEXMA"&amp;"TCH(B235,""dança|teatral|artístico|musical|artística"")
),""Manifestação artístico-cultural"",
IF(OR(
  REGEXMATCH(B235,""Crônica|Série|Reportagem|Podcast|Audiotour|Entrevista|Vídeo|Rádio|Notícia|Artigo de opinião|Coletiva de imprensa""),
  REGEXMATCH(B23"&amp;"5,""midiática"")
),""Produção midiática"","""")))
"),"Produção midiática")</f>
        <v>Produção midiática</v>
      </c>
      <c r="E235" s="20" t="str">
        <f>IFERROR(__xludf.DUMMYFUNCTION("IF(B235="""","""",IF(OR(
  REGEXMATCH(B235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REGEXMATCH(B235,""público|Imediato|artística|teatral|memória|Ação popular"")
),""Público Imediato"",
IF(REGEXMATCH(B235,""Música|Álbum|Filme|Documentár"&amp;"io|Série|Podcast|Rádio|Audiotour|Entrevista|Reportagem|Crônica|Relatório|Abaixo-assinado|Manifesto|Petição|Poema|Livro|Fotografia|Curta|Live|Webinário|Charge|Leitura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35" s="20" t="str">
        <f>IFERROR(__xludf.DUMMYFUNCTION("IF(B235="""","""",IF(OR(
  REGEXMATCH(B235,""Live|Webinário|Virtual|Verbete""),
  REGEXMATCH(B235,""online"")
),""Virtual"",
IF(REGEXMATCH(B235,""Música|Álbum|Filme|Documentário|Série|Podcast|Rádio|Audiotour|Episódio|Reportagem|Curta|Charge|Vídeo|Entrevis"&amp;"ta|Notícia|Artigo de opinião""),
""Midiático"",
IF(REGEXMATCH(B235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35" s="21" t="str">
        <f>IFERROR(__xludf.DUMMYFUNCTION("IF(C235=""rememoração"", ""Insira a data manualmente"", IF(C235=""difusão"", 
 IF(NOT(ISERROR(REGEXEXTRACT(T235, ""(\d{1,2}) jan\. 2025""))), 
  TEXT(DATE(2025,1,REGEXEXTRACT(T235, ""(\d{1,2}) jan\. 2025"")), ""dd/mm/yyyy""),
 IF(NOT(ISERROR(REGEXEXTRACT("&amp;"T235, ""(\d{1,2}) fev\. 2025""))), 
  TEXT(DATE(2025,2,REGEXEXTRACT(T235, ""(\d{1,2}) fev\. 2025"")), ""dd/mm/yyyy""),
 IF(NOT(ISERROR(REGEXEXTRACT(T235, ""(\d{1,2}) mar\. 2025""))), 
  TEXT(DATE(2025,3,REGEXEXTRACT(T235, ""(\d{1,2}) mar\. 2025"")), ""dd/"&amp;"mm/yyyy""),
 IF(NOT(ISERROR(REGEXEXTRACT(T235, ""(\d{1,2}) abr\. 2025""))), 
  TEXT(DATE(2025,4,REGEXEXTRACT(T235, ""(\d{1,2}) abr\. 2025"")), ""dd/mm/yyyy""),
 IF(NOT(ISERROR(REGEXEXTRACT(T235, ""(\d{1,2}) (mai|maio)\. 2025""))), 
  TEXT(DATE(2025,5,REGE"&amp;"XEXTRACT(T235, ""(\d{1,2}) (mai|maio)\. 2025"")), ""dd/mm/yyyy""),
 IF(NOT(ISERROR(REGEXEXTRACT(T235, ""(\d{1,2}) jun\. 2025""))), 
  TEXT(DATE(2025,6,REGEXEXTRACT(T235, ""(\d{1,2}) jun\. 2025"")), ""dd/mm/yyyy""),
 IF(NOT(ISERROR(REGEXEXTRACT(T235, ""(\d"&amp;"{1,2}) jul\. 2025""))), 
  TEXT(DATE(2025,7,REGEXEXTRACT(T235, ""(\d{1,2}) jul\. 2025"")), ""dd/mm/yyyy""),
 IF(NOT(ISERROR(REGEXEXTRACT(T235, ""(\d{1,2}) ago\. 2025""))), 
  TEXT(DATE(2025,8,REGEXEXTRACT(T235, ""(\d{1,2}) ago\. 2025"")), ""dd/mm/yyyy""),"&amp;"
 IF(NOT(ISERROR(REGEXEXTRACT(T235, ""(\d{1,2}) set\. 2025""))), 
  TEXT(DATE(2025,9,REGEXEXTRACT(T235, ""(\d{1,2}) set\. 2025"")), ""dd/mm/yyyy""),
 IF(NOT(ISERROR(REGEXEXTRACT(T235, ""(\d{1,2}) out\. 2025""))), 
  TEXT(DATE(2025,10,REGEXEXTRACT(T235, """&amp;"(\d{1,2}) out\. 2025"")), ""dd/mm/yyyy""),
 IF(NOT(ISERROR(REGEXEXTRACT(T235, ""(\d{1,2}) nov\. 2025""))), 
  TEXT(DATE(2025,11,REGEXEXTRACT(T235, ""(\d{1,2}) nov\. 2025"")), ""dd/mm/yyyy""),
 IF(NOT(ISERROR(REGEXEXTRACT(T235, ""(\d{1,2}) dez\. 2025""))),"&amp;" 
  TEXT(DATE(2025,12,REGEXEXTRACT(T235, ""(\d{1,2}) dez\. 2025"")), ""dd/mm/yyyy""),
 ""Insira a data manualmente"")))))))))))), """"))"),"28/10/2025")</f>
        <v>28/10/2025</v>
      </c>
      <c r="H235" s="22">
        <f t="shared" si="1"/>
        <v>2025</v>
      </c>
      <c r="I235" s="18" t="str">
        <f>IFERROR(__xludf.DUMMYFUNCTION("IF(REGEXMATCH(T235,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IF(REGEXMATCH(T235, ""(?i)\bBrasília\b""), ""Distrito Federal, Brasil"",
REGEXEXTRACT(T235,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35" s="30" t="s">
        <v>599</v>
      </c>
      <c r="K235" s="24" t="s">
        <v>602</v>
      </c>
      <c r="L235" s="24" t="s">
        <v>26</v>
      </c>
      <c r="M235" s="25" t="s">
        <v>27</v>
      </c>
      <c r="N235" s="18" t="str">
        <f t="shared" si="8"/>
        <v>BBC News Brasil</v>
      </c>
      <c r="O235" s="17" t="s">
        <v>28</v>
      </c>
      <c r="P235" s="17" t="s">
        <v>251</v>
      </c>
      <c r="Q235" s="26">
        <v>45972.0</v>
      </c>
      <c r="R235" s="17" t="s">
        <v>30</v>
      </c>
      <c r="S235" s="27" t="str">
        <f t="shared" si="3"/>
        <v>Aqui</v>
      </c>
      <c r="T235" s="29" t="s">
        <v>603</v>
      </c>
      <c r="U235" s="29"/>
    </row>
    <row r="236">
      <c r="A236" s="16">
        <v>234.0</v>
      </c>
      <c r="B236" s="17" t="s">
        <v>23</v>
      </c>
      <c r="C236" s="18" t="str">
        <f>IFERROR(__xludf.DUMMYFUNCTION("IF(B236="""","""",IF(OR(
  REGEXMATCH(B236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REGEXMATCH(B236,""Notícia|Reportagem|Artigo de opinião|Verbete"")
),""Difusão"","""")))
"),"Difusão")</f>
        <v>Difusão</v>
      </c>
      <c r="D236" s="19" t="str">
        <f>IFERROR(__xludf.DUMMYFUNCTION("IF(B236="""","""",IF(OR(
  REGEXMATCH(B236,""Performance|Instalação|Álbum|Música|Poema|Livro|Filme|Documentário|Recitação|Espetáculo|Peça|Intervenção|Desfile|Fotografia|Exposição|Charge|Grafite|Leitura pública|Fabricação de cachaça artesanal""),
  REGEXMA"&amp;"TCH(B236,""dança|teatral|artístico|musical|artística"")
),""Manifestação artístico-cultural"",
IF(OR(
  REGEXMATCH(B236,""Crônica|Série|Reportagem|Podcast|Audiotour|Entrevista|Vídeo|Rádio|Notícia|Artigo de opinião|Coletiva de imprensa""),
  REGEXMATCH(B23"&amp;"6,""midiática"")
),""Produção midiática"","""")))
"),"Produção midiática")</f>
        <v>Produção midiática</v>
      </c>
      <c r="E236" s="20" t="str">
        <f>IFERROR(__xludf.DUMMYFUNCTION("IF(B236="""","""",IF(OR(
  REGEXMATCH(B236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REGEXMATCH(B236,""público|Imediato|artística|teatral|memória|Ação popular"")
),""Público Imediato"",
IF(REGEXMATCH(B236,""Música|Álbum|Filme|Documentár"&amp;"io|Série|Podcast|Rádio|Audiotour|Entrevista|Reportagem|Crônica|Relatório|Abaixo-assinado|Manifesto|Petição|Poema|Livro|Fotografia|Curta|Live|Webinário|Charge|Leitura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36" s="20" t="str">
        <f>IFERROR(__xludf.DUMMYFUNCTION("IF(B236="""","""",IF(OR(
  REGEXMATCH(B236,""Live|Webinário|Virtual|Verbete""),
  REGEXMATCH(B236,""online"")
),""Virtual"",
IF(REGEXMATCH(B236,""Música|Álbum|Filme|Documentário|Série|Podcast|Rádio|Audiotour|Episódio|Reportagem|Curta|Charge|Vídeo|Entrevis"&amp;"ta|Notícia|Artigo de opinião""),
""Midiático"",
IF(REGEXMATCH(B236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36" s="21" t="str">
        <f>IFERROR(__xludf.DUMMYFUNCTION("IF(C236=""rememoração"", ""Insira a data manualmente"", IF(C236=""difusão"", 
 IF(NOT(ISERROR(REGEXEXTRACT(T236, ""(\d{1,2}) jan\. 2025""))), 
  TEXT(DATE(2025,1,REGEXEXTRACT(T236, ""(\d{1,2}) jan\. 2025"")), ""dd/mm/yyyy""),
 IF(NOT(ISERROR(REGEXEXTRACT("&amp;"T236, ""(\d{1,2}) fev\. 2025""))), 
  TEXT(DATE(2025,2,REGEXEXTRACT(T236, ""(\d{1,2}) fev\. 2025"")), ""dd/mm/yyyy""),
 IF(NOT(ISERROR(REGEXEXTRACT(T236, ""(\d{1,2}) mar\. 2025""))), 
  TEXT(DATE(2025,3,REGEXEXTRACT(T236, ""(\d{1,2}) mar\. 2025"")), ""dd/"&amp;"mm/yyyy""),
 IF(NOT(ISERROR(REGEXEXTRACT(T236, ""(\d{1,2}) abr\. 2025""))), 
  TEXT(DATE(2025,4,REGEXEXTRACT(T236, ""(\d{1,2}) abr\. 2025"")), ""dd/mm/yyyy""),
 IF(NOT(ISERROR(REGEXEXTRACT(T236, ""(\d{1,2}) (mai|maio)\. 2025""))), 
  TEXT(DATE(2025,5,REGE"&amp;"XEXTRACT(T236, ""(\d{1,2}) (mai|maio)\. 2025"")), ""dd/mm/yyyy""),
 IF(NOT(ISERROR(REGEXEXTRACT(T236, ""(\d{1,2}) jun\. 2025""))), 
  TEXT(DATE(2025,6,REGEXEXTRACT(T236, ""(\d{1,2}) jun\. 2025"")), ""dd/mm/yyyy""),
 IF(NOT(ISERROR(REGEXEXTRACT(T236, ""(\d"&amp;"{1,2}) jul\. 2025""))), 
  TEXT(DATE(2025,7,REGEXEXTRACT(T236, ""(\d{1,2}) jul\. 2025"")), ""dd/mm/yyyy""),
 IF(NOT(ISERROR(REGEXEXTRACT(T236, ""(\d{1,2}) ago\. 2025""))), 
  TEXT(DATE(2025,8,REGEXEXTRACT(T236, ""(\d{1,2}) ago\. 2025"")), ""dd/mm/yyyy""),"&amp;"
 IF(NOT(ISERROR(REGEXEXTRACT(T236, ""(\d{1,2}) set\. 2025""))), 
  TEXT(DATE(2025,9,REGEXEXTRACT(T236, ""(\d{1,2}) set\. 2025"")), ""dd/mm/yyyy""),
 IF(NOT(ISERROR(REGEXEXTRACT(T236, ""(\d{1,2}) out\. 2025""))), 
  TEXT(DATE(2025,10,REGEXEXTRACT(T236, """&amp;"(\d{1,2}) out\. 2025"")), ""dd/mm/yyyy""),
 IF(NOT(ISERROR(REGEXEXTRACT(T236, ""(\d{1,2}) nov\. 2025""))), 
  TEXT(DATE(2025,11,REGEXEXTRACT(T236, ""(\d{1,2}) nov\. 2025"")), ""dd/mm/yyyy""),
 IF(NOT(ISERROR(REGEXEXTRACT(T236, ""(\d{1,2}) dez\. 2025""))),"&amp;" 
  TEXT(DATE(2025,12,REGEXEXTRACT(T236, ""(\d{1,2}) dez\. 2025"")), ""dd/mm/yyyy""),
 ""Insira a data manualmente"")))))))))))), """"))"),"02/11/2025")</f>
        <v>02/11/2025</v>
      </c>
      <c r="H236" s="22">
        <f t="shared" si="1"/>
        <v>2025</v>
      </c>
      <c r="I236" s="18" t="s">
        <v>604</v>
      </c>
      <c r="J236" s="30" t="s">
        <v>605</v>
      </c>
      <c r="K236" s="24" t="s">
        <v>606</v>
      </c>
      <c r="L236" s="24" t="s">
        <v>26</v>
      </c>
      <c r="M236" s="25" t="s">
        <v>27</v>
      </c>
      <c r="N236" s="18" t="str">
        <f t="shared" si="8"/>
        <v>Deutsche Welle</v>
      </c>
      <c r="O236" s="17" t="s">
        <v>28</v>
      </c>
      <c r="P236" s="17" t="s">
        <v>251</v>
      </c>
      <c r="Q236" s="26">
        <v>45972.0</v>
      </c>
      <c r="R236" s="17" t="s">
        <v>30</v>
      </c>
      <c r="S236" s="27" t="str">
        <f t="shared" si="3"/>
        <v>Aqui</v>
      </c>
      <c r="T236" s="29" t="s">
        <v>607</v>
      </c>
      <c r="U236" s="29"/>
    </row>
    <row r="237">
      <c r="A237" s="16">
        <v>235.0</v>
      </c>
      <c r="B237" s="17" t="s">
        <v>23</v>
      </c>
      <c r="C237" s="18" t="str">
        <f>IFERROR(__xludf.DUMMYFUNCTION("IF(B237="""","""",IF(OR(
  REGEXMATCH(B237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REGEXMATCH(B237,""Notícia|Reportagem|Artigo de opinião|Verbete"")
),""Difusão"","""")))
"),"Difusão")</f>
        <v>Difusão</v>
      </c>
      <c r="D237" s="19" t="str">
        <f>IFERROR(__xludf.DUMMYFUNCTION("IF(B237="""","""",IF(OR(
  REGEXMATCH(B237,""Performance|Instalação|Álbum|Música|Poema|Livro|Filme|Documentário|Recitação|Espetáculo|Peça|Intervenção|Desfile|Fotografia|Exposição|Charge|Grafite|Leitura pública|Fabricação de cachaça artesanal""),
  REGEXMA"&amp;"TCH(B237,""dança|teatral|artístico|musical|artística"")
),""Manifestação artístico-cultural"",
IF(OR(
  REGEXMATCH(B237,""Crônica|Série|Reportagem|Podcast|Audiotour|Entrevista|Vídeo|Rádio|Notícia|Artigo de opinião|Coletiva de imprensa""),
  REGEXMATCH(B23"&amp;"7,""midiática"")
),""Produção midiática"","""")))
"),"Produção midiática")</f>
        <v>Produção midiática</v>
      </c>
      <c r="E237" s="20" t="str">
        <f>IFERROR(__xludf.DUMMYFUNCTION("IF(B237="""","""",IF(OR(
  REGEXMATCH(B237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REGEXMATCH(B237,""público|Imediato|artística|teatral|memória|Ação popular"")
),""Público Imediato"",
IF(REGEXMATCH(B237,""Música|Álbum|Filme|Documentár"&amp;"io|Série|Podcast|Rádio|Audiotour|Entrevista|Reportagem|Crônica|Relatório|Abaixo-assinado|Manifesto|Petição|Poema|Livro|Fotografia|Curta|Live|Webinário|Charge|Leitura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37" s="20" t="str">
        <f>IFERROR(__xludf.DUMMYFUNCTION("IF(B237="""","""",IF(OR(
  REGEXMATCH(B237,""Live|Webinário|Virtual|Verbete""),
  REGEXMATCH(B237,""online"")
),""Virtual"",
IF(REGEXMATCH(B237,""Música|Álbum|Filme|Documentário|Série|Podcast|Rádio|Audiotour|Episódio|Reportagem|Curta|Charge|Vídeo|Entrevis"&amp;"ta|Notícia|Artigo de opinião""),
""Midiático"",
IF(REGEXMATCH(B237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37" s="21" t="str">
        <f>IFERROR(__xludf.DUMMYFUNCTION("IF(C237=""rememoração"", ""Insira a data manualmente"", IF(C237=""difusão"", 
 IF(NOT(ISERROR(REGEXEXTRACT(T237, ""(\d{1,2}) jan\. 2025""))), 
  TEXT(DATE(2025,1,REGEXEXTRACT(T237, ""(\d{1,2}) jan\. 2025"")), ""dd/mm/yyyy""),
 IF(NOT(ISERROR(REGEXEXTRACT("&amp;"T237, ""(\d{1,2}) fev\. 2025""))), 
  TEXT(DATE(2025,2,REGEXEXTRACT(T237, ""(\d{1,2}) fev\. 2025"")), ""dd/mm/yyyy""),
 IF(NOT(ISERROR(REGEXEXTRACT(T237, ""(\d{1,2}) mar\. 2025""))), 
  TEXT(DATE(2025,3,REGEXEXTRACT(T237, ""(\d{1,2}) mar\. 2025"")), ""dd/"&amp;"mm/yyyy""),
 IF(NOT(ISERROR(REGEXEXTRACT(T237, ""(\d{1,2}) abr\. 2025""))), 
  TEXT(DATE(2025,4,REGEXEXTRACT(T237, ""(\d{1,2}) abr\. 2025"")), ""dd/mm/yyyy""),
 IF(NOT(ISERROR(REGEXEXTRACT(T237, ""(\d{1,2}) (mai|maio)\. 2025""))), 
  TEXT(DATE(2025,5,REGE"&amp;"XEXTRACT(T237, ""(\d{1,2}) (mai|maio)\. 2025"")), ""dd/mm/yyyy""),
 IF(NOT(ISERROR(REGEXEXTRACT(T237, ""(\d{1,2}) jun\. 2025""))), 
  TEXT(DATE(2025,6,REGEXEXTRACT(T237, ""(\d{1,2}) jun\. 2025"")), ""dd/mm/yyyy""),
 IF(NOT(ISERROR(REGEXEXTRACT(T237, ""(\d"&amp;"{1,2}) jul\. 2025""))), 
  TEXT(DATE(2025,7,REGEXEXTRACT(T237, ""(\d{1,2}) jul\. 2025"")), ""dd/mm/yyyy""),
 IF(NOT(ISERROR(REGEXEXTRACT(T237, ""(\d{1,2}) ago\. 2025""))), 
  TEXT(DATE(2025,8,REGEXEXTRACT(T237, ""(\d{1,2}) ago\. 2025"")), ""dd/mm/yyyy""),"&amp;"
 IF(NOT(ISERROR(REGEXEXTRACT(T237, ""(\d{1,2}) set\. 2025""))), 
  TEXT(DATE(2025,9,REGEXEXTRACT(T237, ""(\d{1,2}) set\. 2025"")), ""dd/mm/yyyy""),
 IF(NOT(ISERROR(REGEXEXTRACT(T237, ""(\d{1,2}) out\. 2025""))), 
  TEXT(DATE(2025,10,REGEXEXTRACT(T237, """&amp;"(\d{1,2}) out\. 2025"")), ""dd/mm/yyyy""),
 IF(NOT(ISERROR(REGEXEXTRACT(T237, ""(\d{1,2}) nov\. 2025""))), 
  TEXT(DATE(2025,11,REGEXEXTRACT(T237, ""(\d{1,2}) nov\. 2025"")), ""dd/mm/yyyy""),
 IF(NOT(ISERROR(REGEXEXTRACT(T237, ""(\d{1,2}) dez\. 2025""))),"&amp;" 
  TEXT(DATE(2025,12,REGEXEXTRACT(T237, ""(\d{1,2}) dez\. 2025"")), ""dd/mm/yyyy""),
 ""Insira a data manualmente"")))))))))))), """"))"),"03/11/2025")</f>
        <v>03/11/2025</v>
      </c>
      <c r="H237" s="22">
        <f t="shared" si="1"/>
        <v>2025</v>
      </c>
      <c r="I237" s="18" t="str">
        <f>IFERROR(__xludf.DUMMYFUNCTION("IF(REGEXMATCH(T237,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IF(REGEXMATCH(T237, ""(?i)\bBrasília\b""), ""Distrito Federal, Brasil"",
REGEXEXTRACT(T237,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37" s="30" t="s">
        <v>273</v>
      </c>
      <c r="K237" s="24" t="s">
        <v>608</v>
      </c>
      <c r="L237" s="24" t="s">
        <v>26</v>
      </c>
      <c r="M237" s="25" t="s">
        <v>27</v>
      </c>
      <c r="N237" s="18" t="str">
        <f t="shared" si="8"/>
        <v>CNN Brasil</v>
      </c>
      <c r="O237" s="17" t="s">
        <v>28</v>
      </c>
      <c r="P237" s="17" t="s">
        <v>251</v>
      </c>
      <c r="Q237" s="26">
        <v>45972.0</v>
      </c>
      <c r="R237" s="17" t="s">
        <v>30</v>
      </c>
      <c r="S237" s="27" t="str">
        <f t="shared" si="3"/>
        <v>Aqui</v>
      </c>
      <c r="T237" s="29" t="s">
        <v>609</v>
      </c>
      <c r="U237" s="29"/>
    </row>
    <row r="238">
      <c r="A238" s="16">
        <v>236.0</v>
      </c>
      <c r="B238" s="17" t="s">
        <v>23</v>
      </c>
      <c r="C238" s="18" t="str">
        <f>IFERROR(__xludf.DUMMYFUNCTION("IF(B238="""","""",IF(OR(
  REGEXMATCH(B238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REGEXMATCH(B238,""Notícia|Reportagem|Artigo de opinião|Verbete"")
),""Difusão"","""")))
"),"Difusão")</f>
        <v>Difusão</v>
      </c>
      <c r="D238" s="19" t="str">
        <f>IFERROR(__xludf.DUMMYFUNCTION("IF(B238="""","""",IF(OR(
  REGEXMATCH(B238,""Performance|Instalação|Álbum|Música|Poema|Livro|Filme|Documentário|Recitação|Espetáculo|Peça|Intervenção|Desfile|Fotografia|Exposição|Charge|Grafite|Leitura pública|Fabricação de cachaça artesanal""),
  REGEXMA"&amp;"TCH(B238,""dança|teatral|artístico|musical|artística"")
),""Manifestação artístico-cultural"",
IF(OR(
  REGEXMATCH(B238,""Crônica|Série|Reportagem|Podcast|Audiotour|Entrevista|Vídeo|Rádio|Notícia|Artigo de opinião|Coletiva de imprensa""),
  REGEXMATCH(B23"&amp;"8,""midiática"")
),""Produção midiática"","""")))
"),"Produção midiática")</f>
        <v>Produção midiática</v>
      </c>
      <c r="E238" s="20" t="str">
        <f>IFERROR(__xludf.DUMMYFUNCTION("IF(B238="""","""",IF(OR(
  REGEXMATCH(B238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REGEXMATCH(B238,""público|Imediato|artística|teatral|memória|Ação popular"")
),""Público Imediato"",
IF(REGEXMATCH(B238,""Música|Álbum|Filme|Documentár"&amp;"io|Série|Podcast|Rádio|Audiotour|Entrevista|Reportagem|Crônica|Relatório|Abaixo-assinado|Manifesto|Petição|Poema|Livro|Fotografia|Curta|Live|Webinário|Charge|Leitura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38" s="20" t="str">
        <f>IFERROR(__xludf.DUMMYFUNCTION("IF(B238="""","""",IF(OR(
  REGEXMATCH(B238,""Live|Webinário|Virtual|Verbete""),
  REGEXMATCH(B238,""online"")
),""Virtual"",
IF(REGEXMATCH(B238,""Música|Álbum|Filme|Documentário|Série|Podcast|Rádio|Audiotour|Episódio|Reportagem|Curta|Charge|Vídeo|Entrevis"&amp;"ta|Notícia|Artigo de opinião""),
""Midiático"",
IF(REGEXMATCH(B238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38" s="21" t="str">
        <f>IFERROR(__xludf.DUMMYFUNCTION("IF(C238=""rememoração"", ""Insira a data manualmente"", IF(C238=""difusão"", 
 IF(NOT(ISERROR(REGEXEXTRACT(T238, ""(\d{1,2}) jan\. 2025""))), 
  TEXT(DATE(2025,1,REGEXEXTRACT(T238, ""(\d{1,2}) jan\. 2025"")), ""dd/mm/yyyy""),
 IF(NOT(ISERROR(REGEXEXTRACT("&amp;"T238, ""(\d{1,2}) fev\. 2025""))), 
  TEXT(DATE(2025,2,REGEXEXTRACT(T238, ""(\d{1,2}) fev\. 2025"")), ""dd/mm/yyyy""),
 IF(NOT(ISERROR(REGEXEXTRACT(T238, ""(\d{1,2}) mar\. 2025""))), 
  TEXT(DATE(2025,3,REGEXEXTRACT(T238, ""(\d{1,2}) mar\. 2025"")), ""dd/"&amp;"mm/yyyy""),
 IF(NOT(ISERROR(REGEXEXTRACT(T238, ""(\d{1,2}) abr\. 2025""))), 
  TEXT(DATE(2025,4,REGEXEXTRACT(T238, ""(\d{1,2}) abr\. 2025"")), ""dd/mm/yyyy""),
 IF(NOT(ISERROR(REGEXEXTRACT(T238, ""(\d{1,2}) (mai|maio)\. 2025""))), 
  TEXT(DATE(2025,5,REGE"&amp;"XEXTRACT(T238, ""(\d{1,2}) (mai|maio)\. 2025"")), ""dd/mm/yyyy""),
 IF(NOT(ISERROR(REGEXEXTRACT(T238, ""(\d{1,2}) jun\. 2025""))), 
  TEXT(DATE(2025,6,REGEXEXTRACT(T238, ""(\d{1,2}) jun\. 2025"")), ""dd/mm/yyyy""),
 IF(NOT(ISERROR(REGEXEXTRACT(T238, ""(\d"&amp;"{1,2}) jul\. 2025""))), 
  TEXT(DATE(2025,7,REGEXEXTRACT(T238, ""(\d{1,2}) jul\. 2025"")), ""dd/mm/yyyy""),
 IF(NOT(ISERROR(REGEXEXTRACT(T238, ""(\d{1,2}) ago\. 2025""))), 
  TEXT(DATE(2025,8,REGEXEXTRACT(T238, ""(\d{1,2}) ago\. 2025"")), ""dd/mm/yyyy""),"&amp;"
 IF(NOT(ISERROR(REGEXEXTRACT(T238, ""(\d{1,2}) set\. 2025""))), 
  TEXT(DATE(2025,9,REGEXEXTRACT(T238, ""(\d{1,2}) set\. 2025"")), ""dd/mm/yyyy""),
 IF(NOT(ISERROR(REGEXEXTRACT(T238, ""(\d{1,2}) out\. 2025""))), 
  TEXT(DATE(2025,10,REGEXEXTRACT(T238, """&amp;"(\d{1,2}) out\. 2025"")), ""dd/mm/yyyy""),
 IF(NOT(ISERROR(REGEXEXTRACT(T238, ""(\d{1,2}) nov\. 2025""))), 
  TEXT(DATE(2025,11,REGEXEXTRACT(T238, ""(\d{1,2}) nov\. 2025"")), ""dd/mm/yyyy""),
 IF(NOT(ISERROR(REGEXEXTRACT(T238, ""(\d{1,2}) dez\. 2025""))),"&amp;" 
  TEXT(DATE(2025,12,REGEXEXTRACT(T238, ""(\d{1,2}) dez\. 2025"")), ""dd/mm/yyyy""),
 ""Insira a data manualmente"")))))))))))), """"))"),"31/10/2025")</f>
        <v>31/10/2025</v>
      </c>
      <c r="H238" s="22">
        <f t="shared" si="1"/>
        <v>2025</v>
      </c>
      <c r="I238" s="18" t="str">
        <f>IFERROR(__xludf.DUMMYFUNCTION("IF(REGEXMATCH(T238,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IF(REGEXMATCH(T238, ""(?i)\bBrasília\b""), ""Distrito Federal, Brasil"",
REGEXEXTRACT(T238,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38" s="30" t="s">
        <v>273</v>
      </c>
      <c r="K238" s="24" t="s">
        <v>610</v>
      </c>
      <c r="L238" s="24" t="s">
        <v>26</v>
      </c>
      <c r="M238" s="25" t="s">
        <v>27</v>
      </c>
      <c r="N238" s="18" t="str">
        <f t="shared" si="8"/>
        <v>CNN Brasil</v>
      </c>
      <c r="O238" s="17" t="s">
        <v>28</v>
      </c>
      <c r="P238" s="17" t="s">
        <v>251</v>
      </c>
      <c r="Q238" s="26">
        <v>45972.0</v>
      </c>
      <c r="R238" s="17" t="s">
        <v>30</v>
      </c>
      <c r="S238" s="27" t="str">
        <f t="shared" si="3"/>
        <v>Aqui</v>
      </c>
      <c r="T238" s="29" t="s">
        <v>611</v>
      </c>
      <c r="U238" s="29"/>
    </row>
    <row r="239">
      <c r="A239" s="16">
        <v>237.0</v>
      </c>
      <c r="B239" s="17" t="s">
        <v>23</v>
      </c>
      <c r="C239" s="18" t="str">
        <f>IFERROR(__xludf.DUMMYFUNCTION("IF(B239="""","""",IF(OR(
  REGEXMATCH(B239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REGEXMATCH(B239,""Notícia|Reportagem|Artigo de opinião|Verbete"")
),""Difusão"","""")))
"),"Difusão")</f>
        <v>Difusão</v>
      </c>
      <c r="D239" s="19" t="str">
        <f>IFERROR(__xludf.DUMMYFUNCTION("IF(B239="""","""",IF(OR(
  REGEXMATCH(B239,""Performance|Instalação|Álbum|Música|Poema|Livro|Filme|Documentário|Recitação|Espetáculo|Peça|Intervenção|Desfile|Fotografia|Exposição|Charge|Grafite|Leitura pública|Fabricação de cachaça artesanal""),
  REGEXMA"&amp;"TCH(B239,""dança|teatral|artístico|musical|artística"")
),""Manifestação artístico-cultural"",
IF(OR(
  REGEXMATCH(B239,""Crônica|Série|Reportagem|Podcast|Audiotour|Entrevista|Vídeo|Rádio|Notícia|Artigo de opinião|Coletiva de imprensa""),
  REGEXMATCH(B23"&amp;"9,""midiática"")
),""Produção midiática"","""")))
"),"Produção midiática")</f>
        <v>Produção midiática</v>
      </c>
      <c r="E239" s="20" t="str">
        <f>IFERROR(__xludf.DUMMYFUNCTION("IF(B239="""","""",IF(OR(
  REGEXMATCH(B239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REGEXMATCH(B239,""público|Imediato|artística|teatral|memória|Ação popular"")
),""Público Imediato"",
IF(REGEXMATCH(B239,""Música|Álbum|Filme|Documentár"&amp;"io|Série|Podcast|Rádio|Audiotour|Entrevista|Reportagem|Crônica|Relatório|Abaixo-assinado|Manifesto|Petição|Poema|Livro|Fotografia|Curta|Live|Webinário|Charge|Leitura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39" s="20" t="str">
        <f>IFERROR(__xludf.DUMMYFUNCTION("IF(B239="""","""",IF(OR(
  REGEXMATCH(B239,""Live|Webinário|Virtual|Verbete""),
  REGEXMATCH(B239,""online"")
),""Virtual"",
IF(REGEXMATCH(B239,""Música|Álbum|Filme|Documentário|Série|Podcast|Rádio|Audiotour|Episódio|Reportagem|Curta|Charge|Vídeo|Entrevis"&amp;"ta|Notícia|Artigo de opinião""),
""Midiático"",
IF(REGEXMATCH(B239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39" s="21" t="str">
        <f>IFERROR(__xludf.DUMMYFUNCTION("IF(C239=""rememoração"", ""Insira a data manualmente"", IF(C239=""difusão"", 
 IF(NOT(ISERROR(REGEXEXTRACT(T239, ""(\d{1,2}) jan\. 2025""))), 
  TEXT(DATE(2025,1,REGEXEXTRACT(T239, ""(\d{1,2}) jan\. 2025"")), ""dd/mm/yyyy""),
 IF(NOT(ISERROR(REGEXEXTRACT("&amp;"T239, ""(\d{1,2}) fev\. 2025""))), 
  TEXT(DATE(2025,2,REGEXEXTRACT(T239, ""(\d{1,2}) fev\. 2025"")), ""dd/mm/yyyy""),
 IF(NOT(ISERROR(REGEXEXTRACT(T239, ""(\d{1,2}) mar\. 2025""))), 
  TEXT(DATE(2025,3,REGEXEXTRACT(T239, ""(\d{1,2}) mar\. 2025"")), ""dd/"&amp;"mm/yyyy""),
 IF(NOT(ISERROR(REGEXEXTRACT(T239, ""(\d{1,2}) abr\. 2025""))), 
  TEXT(DATE(2025,4,REGEXEXTRACT(T239, ""(\d{1,2}) abr\. 2025"")), ""dd/mm/yyyy""),
 IF(NOT(ISERROR(REGEXEXTRACT(T239, ""(\d{1,2}) (mai|maio)\. 2025""))), 
  TEXT(DATE(2025,5,REGE"&amp;"XEXTRACT(T239, ""(\d{1,2}) (mai|maio)\. 2025"")), ""dd/mm/yyyy""),
 IF(NOT(ISERROR(REGEXEXTRACT(T239, ""(\d{1,2}) jun\. 2025""))), 
  TEXT(DATE(2025,6,REGEXEXTRACT(T239, ""(\d{1,2}) jun\. 2025"")), ""dd/mm/yyyy""),
 IF(NOT(ISERROR(REGEXEXTRACT(T239, ""(\d"&amp;"{1,2}) jul\. 2025""))), 
  TEXT(DATE(2025,7,REGEXEXTRACT(T239, ""(\d{1,2}) jul\. 2025"")), ""dd/mm/yyyy""),
 IF(NOT(ISERROR(REGEXEXTRACT(T239, ""(\d{1,2}) ago\. 2025""))), 
  TEXT(DATE(2025,8,REGEXEXTRACT(T239, ""(\d{1,2}) ago\. 2025"")), ""dd/mm/yyyy""),"&amp;"
 IF(NOT(ISERROR(REGEXEXTRACT(T239, ""(\d{1,2}) set\. 2025""))), 
  TEXT(DATE(2025,9,REGEXEXTRACT(T239, ""(\d{1,2}) set\. 2025"")), ""dd/mm/yyyy""),
 IF(NOT(ISERROR(REGEXEXTRACT(T239, ""(\d{1,2}) out\. 2025""))), 
  TEXT(DATE(2025,10,REGEXEXTRACT(T239, """&amp;"(\d{1,2}) out\. 2025"")), ""dd/mm/yyyy""),
 IF(NOT(ISERROR(REGEXEXTRACT(T239, ""(\d{1,2}) nov\. 2025""))), 
  TEXT(DATE(2025,11,REGEXEXTRACT(T239, ""(\d{1,2}) nov\. 2025"")), ""dd/mm/yyyy""),
 IF(NOT(ISERROR(REGEXEXTRACT(T239, ""(\d{1,2}) dez\. 2025""))),"&amp;" 
  TEXT(DATE(2025,12,REGEXEXTRACT(T239, ""(\d{1,2}) dez\. 2025"")), ""dd/mm/yyyy""),
 ""Insira a data manualmente"")))))))))))), """"))"),"29/10/2025")</f>
        <v>29/10/2025</v>
      </c>
      <c r="H239" s="22">
        <f t="shared" si="1"/>
        <v>2025</v>
      </c>
      <c r="I239" s="18" t="str">
        <f>IFERROR(__xludf.DUMMYFUNCTION("IF(REGEXMATCH(T239,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IF(REGEXMATCH(T239, ""(?i)\bBrasília\b""), ""Distrito Federal, Brasil"",
REGEXEXTRACT(T239,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39" s="30" t="s">
        <v>599</v>
      </c>
      <c r="K239" s="24" t="s">
        <v>612</v>
      </c>
      <c r="L239" s="24" t="s">
        <v>26</v>
      </c>
      <c r="M239" s="25" t="s">
        <v>27</v>
      </c>
      <c r="N239" s="18" t="str">
        <f t="shared" si="8"/>
        <v>BBC News Brasil</v>
      </c>
      <c r="O239" s="17" t="s">
        <v>28</v>
      </c>
      <c r="P239" s="17" t="s">
        <v>251</v>
      </c>
      <c r="Q239" s="26">
        <v>45972.0</v>
      </c>
      <c r="R239" s="17" t="s">
        <v>30</v>
      </c>
      <c r="S239" s="27" t="str">
        <f t="shared" si="3"/>
        <v>Aqui</v>
      </c>
      <c r="T239" s="29" t="s">
        <v>613</v>
      </c>
      <c r="U239" s="29"/>
    </row>
    <row r="240">
      <c r="A240" s="16">
        <v>238.0</v>
      </c>
      <c r="B240" s="17" t="s">
        <v>23</v>
      </c>
      <c r="C240" s="18" t="str">
        <f>IFERROR(__xludf.DUMMYFUNCTION("IF(B240="""","""",IF(OR(
  REGEXMATCH(B240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REGEXMATCH(B240,""Notícia|Reportagem|Artigo de opinião|Verbete"")
),""Difusão"","""")))
"),"Difusão")</f>
        <v>Difusão</v>
      </c>
      <c r="D240" s="19" t="str">
        <f>IFERROR(__xludf.DUMMYFUNCTION("IF(B240="""","""",IF(OR(
  REGEXMATCH(B240,""Performance|Instalação|Álbum|Música|Poema|Livro|Filme|Documentário|Recitação|Espetáculo|Peça|Intervenção|Desfile|Fotografia|Exposição|Charge|Grafite|Leitura pública|Fabricação de cachaça artesanal""),
  REGEXMA"&amp;"TCH(B240,""dança|teatral|artístico|musical|artística"")
),""Manifestação artístico-cultural"",
IF(OR(
  REGEXMATCH(B240,""Crônica|Série|Reportagem|Podcast|Audiotour|Entrevista|Vídeo|Rádio|Notícia|Artigo de opinião|Coletiva de imprensa""),
  REGEXMATCH(B24"&amp;"0,""midiática"")
),""Produção midiática"","""")))
"),"Produção midiática")</f>
        <v>Produção midiática</v>
      </c>
      <c r="E240" s="20" t="str">
        <f>IFERROR(__xludf.DUMMYFUNCTION("IF(B240="""","""",IF(OR(
  REGEXMATCH(B240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REGEXMATCH(B240,""público|Imediato|artística|teatral|memória|Ação popular"")
),""Público Imediato"",
IF(REGEXMATCH(B240,""Música|Álbum|Filme|Documentár"&amp;"io|Série|Podcast|Rádio|Audiotour|Entrevista|Reportagem|Crônica|Relatório|Abaixo-assinado|Manifesto|Petição|Poema|Livro|Fotografia|Curta|Live|Webinário|Charge|Leitura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40" s="20" t="str">
        <f>IFERROR(__xludf.DUMMYFUNCTION("IF(B240="""","""",IF(OR(
  REGEXMATCH(B240,""Live|Webinário|Virtual|Verbete""),
  REGEXMATCH(B240,""online"")
),""Virtual"",
IF(REGEXMATCH(B240,""Música|Álbum|Filme|Documentário|Série|Podcast|Rádio|Audiotour|Episódio|Reportagem|Curta|Charge|Vídeo|Entrevis"&amp;"ta|Notícia|Artigo de opinião""),
""Midiático"",
IF(REGEXMATCH(B240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40" s="21" t="str">
        <f>IFERROR(__xludf.DUMMYFUNCTION("IF(C240=""rememoração"", ""Insira a data manualmente"", IF(C240=""difusão"", 
 IF(NOT(ISERROR(REGEXEXTRACT(T240, ""(\d{1,2}) jan\. 2025""))), 
  TEXT(DATE(2025,1,REGEXEXTRACT(T240, ""(\d{1,2}) jan\. 2025"")), ""dd/mm/yyyy""),
 IF(NOT(ISERROR(REGEXEXTRACT("&amp;"T240, ""(\d{1,2}) fev\. 2025""))), 
  TEXT(DATE(2025,2,REGEXEXTRACT(T240, ""(\d{1,2}) fev\. 2025"")), ""dd/mm/yyyy""),
 IF(NOT(ISERROR(REGEXEXTRACT(T240, ""(\d{1,2}) mar\. 2025""))), 
  TEXT(DATE(2025,3,REGEXEXTRACT(T240, ""(\d{1,2}) mar\. 2025"")), ""dd/"&amp;"mm/yyyy""),
 IF(NOT(ISERROR(REGEXEXTRACT(T240, ""(\d{1,2}) abr\. 2025""))), 
  TEXT(DATE(2025,4,REGEXEXTRACT(T240, ""(\d{1,2}) abr\. 2025"")), ""dd/mm/yyyy""),
 IF(NOT(ISERROR(REGEXEXTRACT(T240, ""(\d{1,2}) (mai|maio)\. 2025""))), 
  TEXT(DATE(2025,5,REGE"&amp;"XEXTRACT(T240, ""(\d{1,2}) (mai|maio)\. 2025"")), ""dd/mm/yyyy""),
 IF(NOT(ISERROR(REGEXEXTRACT(T240, ""(\d{1,2}) jun\. 2025""))), 
  TEXT(DATE(2025,6,REGEXEXTRACT(T240, ""(\d{1,2}) jun\. 2025"")), ""dd/mm/yyyy""),
 IF(NOT(ISERROR(REGEXEXTRACT(T240, ""(\d"&amp;"{1,2}) jul\. 2025""))), 
  TEXT(DATE(2025,7,REGEXEXTRACT(T240, ""(\d{1,2}) jul\. 2025"")), ""dd/mm/yyyy""),
 IF(NOT(ISERROR(REGEXEXTRACT(T240, ""(\d{1,2}) ago\. 2025""))), 
  TEXT(DATE(2025,8,REGEXEXTRACT(T240, ""(\d{1,2}) ago\. 2025"")), ""dd/mm/yyyy""),"&amp;"
 IF(NOT(ISERROR(REGEXEXTRACT(T240, ""(\d{1,2}) set\. 2025""))), 
  TEXT(DATE(2025,9,REGEXEXTRACT(T240, ""(\d{1,2}) set\. 2025"")), ""dd/mm/yyyy""),
 IF(NOT(ISERROR(REGEXEXTRACT(T240, ""(\d{1,2}) out\. 2025""))), 
  TEXT(DATE(2025,10,REGEXEXTRACT(T240, """&amp;"(\d{1,2}) out\. 2025"")), ""dd/mm/yyyy""),
 IF(NOT(ISERROR(REGEXEXTRACT(T240, ""(\d{1,2}) nov\. 2025""))), 
  TEXT(DATE(2025,11,REGEXEXTRACT(T240, ""(\d{1,2}) nov\. 2025"")), ""dd/mm/yyyy""),
 IF(NOT(ISERROR(REGEXEXTRACT(T240, ""(\d{1,2}) dez\. 2025""))),"&amp;" 
  TEXT(DATE(2025,12,REGEXEXTRACT(T240, ""(\d{1,2}) dez\. 2025"")), ""dd/mm/yyyy""),
 ""Insira a data manualmente"")))))))))))), """"))"),"05/11/2025")</f>
        <v>05/11/2025</v>
      </c>
      <c r="H240" s="22">
        <f t="shared" si="1"/>
        <v>2025</v>
      </c>
      <c r="I240" s="18" t="str">
        <f>IFERROR(__xludf.DUMMYFUNCTION("IF(REGEXMATCH(T240,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IF(REGEXMATCH(T240, ""(?i)\bBrasília\b""), ""Distrito Federal, Brasil"",
REGEXEXTRACT(T240,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40" s="30" t="s">
        <v>24</v>
      </c>
      <c r="K240" s="24" t="s">
        <v>614</v>
      </c>
      <c r="L240" s="24" t="s">
        <v>26</v>
      </c>
      <c r="M240" s="25" t="s">
        <v>27</v>
      </c>
      <c r="N240" s="18" t="str">
        <f t="shared" si="8"/>
        <v>O Globo</v>
      </c>
      <c r="O240" s="17" t="s">
        <v>28</v>
      </c>
      <c r="P240" s="17" t="s">
        <v>251</v>
      </c>
      <c r="Q240" s="26">
        <v>45972.0</v>
      </c>
      <c r="R240" s="17" t="s">
        <v>37</v>
      </c>
      <c r="S240" s="27" t="str">
        <f t="shared" si="3"/>
        <v>Aqui</v>
      </c>
      <c r="T240" s="29" t="s">
        <v>615</v>
      </c>
      <c r="U240" s="29"/>
    </row>
    <row r="241">
      <c r="A241" s="16">
        <v>239.0</v>
      </c>
      <c r="B241" s="17" t="s">
        <v>23</v>
      </c>
      <c r="C241" s="18" t="str">
        <f>IFERROR(__xludf.DUMMYFUNCTION("IF(B241="""","""",IF(OR(
  REGEXMATCH(B241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REGEXMATCH(B241,""Notícia|Reportagem|Artigo de opinião|Verbete"")
),""Difusão"","""")))
"),"Difusão")</f>
        <v>Difusão</v>
      </c>
      <c r="D241" s="19" t="str">
        <f>IFERROR(__xludf.DUMMYFUNCTION("IF(B241="""","""",IF(OR(
  REGEXMATCH(B241,""Performance|Instalação|Álbum|Música|Poema|Livro|Filme|Documentário|Recitação|Espetáculo|Peça|Intervenção|Desfile|Fotografia|Exposição|Charge|Grafite|Leitura pública|Fabricação de cachaça artesanal""),
  REGEXMA"&amp;"TCH(B241,""dança|teatral|artístico|musical|artística"")
),""Manifestação artístico-cultural"",
IF(OR(
  REGEXMATCH(B241,""Crônica|Série|Reportagem|Podcast|Audiotour|Entrevista|Vídeo|Rádio|Notícia|Artigo de opinião|Coletiva de imprensa""),
  REGEXMATCH(B24"&amp;"1,""midiática"")
),""Produção midiática"","""")))
"),"Produção midiática")</f>
        <v>Produção midiática</v>
      </c>
      <c r="E241" s="20" t="str">
        <f>IFERROR(__xludf.DUMMYFUNCTION("IF(B241="""","""",IF(OR(
  REGEXMATCH(B241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REGEXMATCH(B241,""público|Imediato|artística|teatral|memória|Ação popular"")
),""Público Imediato"",
IF(REGEXMATCH(B241,""Música|Álbum|Filme|Documentár"&amp;"io|Série|Podcast|Rádio|Audiotour|Entrevista|Reportagem|Crônica|Relatório|Abaixo-assinado|Manifesto|Petição|Poema|Livro|Fotografia|Curta|Live|Webinário|Charge|Leitura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41" s="20" t="str">
        <f>IFERROR(__xludf.DUMMYFUNCTION("IF(B241="""","""",IF(OR(
  REGEXMATCH(B241,""Live|Webinário|Virtual|Verbete""),
  REGEXMATCH(B241,""online"")
),""Virtual"",
IF(REGEXMATCH(B241,""Música|Álbum|Filme|Documentário|Série|Podcast|Rádio|Audiotour|Episódio|Reportagem|Curta|Charge|Vídeo|Entrevis"&amp;"ta|Notícia|Artigo de opinião""),
""Midiático"",
IF(REGEXMATCH(B241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41" s="21" t="str">
        <f>IFERROR(__xludf.DUMMYFUNCTION("IF(C241=""rememoração"", ""Insira a data manualmente"", IF(C241=""difusão"", 
 IF(NOT(ISERROR(REGEXEXTRACT(T241, ""(\d{1,2}) jan\. 2025""))), 
  TEXT(DATE(2025,1,REGEXEXTRACT(T241, ""(\d{1,2}) jan\. 2025"")), ""dd/mm/yyyy""),
 IF(NOT(ISERROR(REGEXEXTRACT("&amp;"T241, ""(\d{1,2}) fev\. 2025""))), 
  TEXT(DATE(2025,2,REGEXEXTRACT(T241, ""(\d{1,2}) fev\. 2025"")), ""dd/mm/yyyy""),
 IF(NOT(ISERROR(REGEXEXTRACT(T241, ""(\d{1,2}) mar\. 2025""))), 
  TEXT(DATE(2025,3,REGEXEXTRACT(T241, ""(\d{1,2}) mar\. 2025"")), ""dd/"&amp;"mm/yyyy""),
 IF(NOT(ISERROR(REGEXEXTRACT(T241, ""(\d{1,2}) abr\. 2025""))), 
  TEXT(DATE(2025,4,REGEXEXTRACT(T241, ""(\d{1,2}) abr\. 2025"")), ""dd/mm/yyyy""),
 IF(NOT(ISERROR(REGEXEXTRACT(T241, ""(\d{1,2}) (mai|maio)\. 2025""))), 
  TEXT(DATE(2025,5,REGE"&amp;"XEXTRACT(T241, ""(\d{1,2}) (mai|maio)\. 2025"")), ""dd/mm/yyyy""),
 IF(NOT(ISERROR(REGEXEXTRACT(T241, ""(\d{1,2}) jun\. 2025""))), 
  TEXT(DATE(2025,6,REGEXEXTRACT(T241, ""(\d{1,2}) jun\. 2025"")), ""dd/mm/yyyy""),
 IF(NOT(ISERROR(REGEXEXTRACT(T241, ""(\d"&amp;"{1,2}) jul\. 2025""))), 
  TEXT(DATE(2025,7,REGEXEXTRACT(T241, ""(\d{1,2}) jul\. 2025"")), ""dd/mm/yyyy""),
 IF(NOT(ISERROR(REGEXEXTRACT(T241, ""(\d{1,2}) ago\. 2025""))), 
  TEXT(DATE(2025,8,REGEXEXTRACT(T241, ""(\d{1,2}) ago\. 2025"")), ""dd/mm/yyyy""),"&amp;"
 IF(NOT(ISERROR(REGEXEXTRACT(T241, ""(\d{1,2}) set\. 2025""))), 
  TEXT(DATE(2025,9,REGEXEXTRACT(T241, ""(\d{1,2}) set\. 2025"")), ""dd/mm/yyyy""),
 IF(NOT(ISERROR(REGEXEXTRACT(T241, ""(\d{1,2}) out\. 2025""))), 
  TEXT(DATE(2025,10,REGEXEXTRACT(T241, """&amp;"(\d{1,2}) out\. 2025"")), ""dd/mm/yyyy""),
 IF(NOT(ISERROR(REGEXEXTRACT(T241, ""(\d{1,2}) nov\. 2025""))), 
  TEXT(DATE(2025,11,REGEXEXTRACT(T241, ""(\d{1,2}) nov\. 2025"")), ""dd/mm/yyyy""),
 IF(NOT(ISERROR(REGEXEXTRACT(T241, ""(\d{1,2}) dez\. 2025""))),"&amp;" 
  TEXT(DATE(2025,12,REGEXEXTRACT(T241, ""(\d{1,2}) dez\. 2025"")), ""dd/mm/yyyy""),
 ""Insira a data manualmente"")))))))))))), """"))"),"04/11/2025")</f>
        <v>04/11/2025</v>
      </c>
      <c r="H241" s="22">
        <f t="shared" si="1"/>
        <v>2025</v>
      </c>
      <c r="I241" s="18" t="s">
        <v>298</v>
      </c>
      <c r="J241" s="30" t="s">
        <v>93</v>
      </c>
      <c r="K241" s="24" t="s">
        <v>616</v>
      </c>
      <c r="L241" s="24" t="s">
        <v>26</v>
      </c>
      <c r="M241" s="25" t="s">
        <v>27</v>
      </c>
      <c r="N241" s="18" t="str">
        <f t="shared" si="8"/>
        <v>Gazeta do Povo</v>
      </c>
      <c r="O241" s="17" t="s">
        <v>28</v>
      </c>
      <c r="P241" s="17" t="s">
        <v>251</v>
      </c>
      <c r="Q241" s="26">
        <v>45972.0</v>
      </c>
      <c r="R241" s="17" t="s">
        <v>37</v>
      </c>
      <c r="S241" s="27" t="str">
        <f t="shared" si="3"/>
        <v>Aqui</v>
      </c>
      <c r="T241" s="29" t="s">
        <v>617</v>
      </c>
      <c r="U241" s="29"/>
    </row>
    <row r="242">
      <c r="A242" s="16">
        <v>240.0</v>
      </c>
      <c r="B242" s="17" t="s">
        <v>23</v>
      </c>
      <c r="C242" s="18" t="str">
        <f>IFERROR(__xludf.DUMMYFUNCTION("IF(B242="""","""",IF(OR(
  REGEXMATCH(B242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REGEXMATCH(B242,""Notícia|Reportagem|Artigo de opinião|Verbete"")
),""Difusão"","""")))
"),"Difusão")</f>
        <v>Difusão</v>
      </c>
      <c r="D242" s="19" t="str">
        <f>IFERROR(__xludf.DUMMYFUNCTION("IF(B242="""","""",IF(OR(
  REGEXMATCH(B242,""Performance|Instalação|Álbum|Música|Poema|Livro|Filme|Documentário|Recitação|Espetáculo|Peça|Intervenção|Desfile|Fotografia|Exposição|Charge|Grafite|Leitura pública|Fabricação de cachaça artesanal""),
  REGEXMA"&amp;"TCH(B242,""dança|teatral|artístico|musical|artística"")
),""Manifestação artístico-cultural"",
IF(OR(
  REGEXMATCH(B242,""Crônica|Série|Reportagem|Podcast|Audiotour|Entrevista|Vídeo|Rádio|Notícia|Artigo de opinião|Coletiva de imprensa""),
  REGEXMATCH(B24"&amp;"2,""midiática"")
),""Produção midiática"","""")))
"),"Produção midiática")</f>
        <v>Produção midiática</v>
      </c>
      <c r="E242" s="20" t="str">
        <f>IFERROR(__xludf.DUMMYFUNCTION("IF(B242="""","""",IF(OR(
  REGEXMATCH(B242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REGEXMATCH(B242,""público|Imediato|artística|teatral|memória|Ação popular"")
),""Público Imediato"",
IF(REGEXMATCH(B242,""Música|Álbum|Filme|Documentár"&amp;"io|Série|Podcast|Rádio|Audiotour|Entrevista|Reportagem|Crônica|Relatório|Abaixo-assinado|Manifesto|Petição|Poema|Livro|Fotografia|Curta|Live|Webinário|Charge|Leitura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42" s="20" t="str">
        <f>IFERROR(__xludf.DUMMYFUNCTION("IF(B242="""","""",IF(OR(
  REGEXMATCH(B242,""Live|Webinário|Virtual|Verbete""),
  REGEXMATCH(B242,""online"")
),""Virtual"",
IF(REGEXMATCH(B242,""Música|Álbum|Filme|Documentário|Série|Podcast|Rádio|Audiotour|Episódio|Reportagem|Curta|Charge|Vídeo|Entrevis"&amp;"ta|Notícia|Artigo de opinião""),
""Midiático"",
IF(REGEXMATCH(B242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42" s="21" t="str">
        <f>IFERROR(__xludf.DUMMYFUNCTION("IF(C242=""rememoração"", ""Insira a data manualmente"", IF(C242=""difusão"", 
 IF(NOT(ISERROR(REGEXEXTRACT(T242, ""(\d{1,2}) jan\. 2025""))), 
  TEXT(DATE(2025,1,REGEXEXTRACT(T242, ""(\d{1,2}) jan\. 2025"")), ""dd/mm/yyyy""),
 IF(NOT(ISERROR(REGEXEXTRACT("&amp;"T242, ""(\d{1,2}) fev\. 2025""))), 
  TEXT(DATE(2025,2,REGEXEXTRACT(T242, ""(\d{1,2}) fev\. 2025"")), ""dd/mm/yyyy""),
 IF(NOT(ISERROR(REGEXEXTRACT(T242, ""(\d{1,2}) mar\. 2025""))), 
  TEXT(DATE(2025,3,REGEXEXTRACT(T242, ""(\d{1,2}) mar\. 2025"")), ""dd/"&amp;"mm/yyyy""),
 IF(NOT(ISERROR(REGEXEXTRACT(T242, ""(\d{1,2}) abr\. 2025""))), 
  TEXT(DATE(2025,4,REGEXEXTRACT(T242, ""(\d{1,2}) abr\. 2025"")), ""dd/mm/yyyy""),
 IF(NOT(ISERROR(REGEXEXTRACT(T242, ""(\d{1,2}) (mai|maio)\. 2025""))), 
  TEXT(DATE(2025,5,REGE"&amp;"XEXTRACT(T242, ""(\d{1,2}) (mai|maio)\. 2025"")), ""dd/mm/yyyy""),
 IF(NOT(ISERROR(REGEXEXTRACT(T242, ""(\d{1,2}) jun\. 2025""))), 
  TEXT(DATE(2025,6,REGEXEXTRACT(T242, ""(\d{1,2}) jun\. 2025"")), ""dd/mm/yyyy""),
 IF(NOT(ISERROR(REGEXEXTRACT(T242, ""(\d"&amp;"{1,2}) jul\. 2025""))), 
  TEXT(DATE(2025,7,REGEXEXTRACT(T242, ""(\d{1,2}) jul\. 2025"")), ""dd/mm/yyyy""),
 IF(NOT(ISERROR(REGEXEXTRACT(T242, ""(\d{1,2}) ago\. 2025""))), 
  TEXT(DATE(2025,8,REGEXEXTRACT(T242, ""(\d{1,2}) ago\. 2025"")), ""dd/mm/yyyy""),"&amp;"
 IF(NOT(ISERROR(REGEXEXTRACT(T242, ""(\d{1,2}) set\. 2025""))), 
  TEXT(DATE(2025,9,REGEXEXTRACT(T242, ""(\d{1,2}) set\. 2025"")), ""dd/mm/yyyy""),
 IF(NOT(ISERROR(REGEXEXTRACT(T242, ""(\d{1,2}) out\. 2025""))), 
  TEXT(DATE(2025,10,REGEXEXTRACT(T242, """&amp;"(\d{1,2}) out\. 2025"")), ""dd/mm/yyyy""),
 IF(NOT(ISERROR(REGEXEXTRACT(T242, ""(\d{1,2}) nov\. 2025""))), 
  TEXT(DATE(2025,11,REGEXEXTRACT(T242, ""(\d{1,2}) nov\. 2025"")), ""dd/mm/yyyy""),
 IF(NOT(ISERROR(REGEXEXTRACT(T242, ""(\d{1,2}) dez\. 2025""))),"&amp;" 
  TEXT(DATE(2025,12,REGEXEXTRACT(T242, ""(\d{1,2}) dez\. 2025"")), ""dd/mm/yyyy""),
 ""Insira a data manualmente"")))))))))))), """"))"),"30/10/2025")</f>
        <v>30/10/2025</v>
      </c>
      <c r="H242" s="22">
        <f t="shared" si="1"/>
        <v>2025</v>
      </c>
      <c r="I242" s="18" t="s">
        <v>298</v>
      </c>
      <c r="J242" s="30" t="s">
        <v>93</v>
      </c>
      <c r="K242" s="24" t="s">
        <v>618</v>
      </c>
      <c r="L242" s="24" t="s">
        <v>26</v>
      </c>
      <c r="M242" s="25" t="s">
        <v>27</v>
      </c>
      <c r="N242" s="18" t="str">
        <f t="shared" si="8"/>
        <v>Gazeta do Povo</v>
      </c>
      <c r="O242" s="17" t="s">
        <v>28</v>
      </c>
      <c r="P242" s="17" t="s">
        <v>251</v>
      </c>
      <c r="Q242" s="26">
        <v>45972.0</v>
      </c>
      <c r="R242" s="17" t="s">
        <v>37</v>
      </c>
      <c r="S242" s="27" t="str">
        <f t="shared" si="3"/>
        <v>Aqui</v>
      </c>
      <c r="T242" s="29" t="s">
        <v>619</v>
      </c>
      <c r="U242" s="29"/>
    </row>
    <row r="243">
      <c r="A243" s="16">
        <v>241.0</v>
      </c>
      <c r="B243" s="17" t="s">
        <v>23</v>
      </c>
      <c r="C243" s="18" t="str">
        <f>IFERROR(__xludf.DUMMYFUNCTION("IF(B243="""","""",IF(OR(
  REGEXMATCH(B243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REGEXMATCH(B243,""Notícia|Reportagem|Artigo de opinião|Verbete"")
),""Difusão"","""")))
"),"Difusão")</f>
        <v>Difusão</v>
      </c>
      <c r="D243" s="19" t="str">
        <f>IFERROR(__xludf.DUMMYFUNCTION("IF(B243="""","""",IF(OR(
  REGEXMATCH(B243,""Performance|Instalação|Álbum|Música|Poema|Livro|Filme|Documentário|Recitação|Espetáculo|Peça|Intervenção|Desfile|Fotografia|Exposição|Charge|Grafite|Leitura pública|Fabricação de cachaça artesanal""),
  REGEXMA"&amp;"TCH(B243,""dança|teatral|artístico|musical|artística"")
),""Manifestação artístico-cultural"",
IF(OR(
  REGEXMATCH(B243,""Crônica|Série|Reportagem|Podcast|Audiotour|Entrevista|Vídeo|Rádio|Notícia|Artigo de opinião|Coletiva de imprensa""),
  REGEXMATCH(B24"&amp;"3,""midiática"")
),""Produção midiática"","""")))
"),"Produção midiática")</f>
        <v>Produção midiática</v>
      </c>
      <c r="E243" s="20" t="str">
        <f>IFERROR(__xludf.DUMMYFUNCTION("IF(B243="""","""",IF(OR(
  REGEXMATCH(B243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REGEXMATCH(B243,""público|Imediato|artística|teatral|memória|Ação popular"")
),""Público Imediato"",
IF(REGEXMATCH(B243,""Música|Álbum|Filme|Documentár"&amp;"io|Série|Podcast|Rádio|Audiotour|Entrevista|Reportagem|Crônica|Relatório|Abaixo-assinado|Manifesto|Petição|Poema|Livro|Fotografia|Curta|Live|Webinário|Charge|Leitura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43" s="20" t="str">
        <f>IFERROR(__xludf.DUMMYFUNCTION("IF(B243="""","""",IF(OR(
  REGEXMATCH(B243,""Live|Webinário|Virtual|Verbete""),
  REGEXMATCH(B243,""online"")
),""Virtual"",
IF(REGEXMATCH(B243,""Música|Álbum|Filme|Documentário|Série|Podcast|Rádio|Audiotour|Episódio|Reportagem|Curta|Charge|Vídeo|Entrevis"&amp;"ta|Notícia|Artigo de opinião""),
""Midiático"",
IF(REGEXMATCH(B243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43" s="21" t="str">
        <f>IFERROR(__xludf.DUMMYFUNCTION("IF(C243=""rememoração"", ""Insira a data manualmente"", IF(C243=""difusão"", 
 IF(NOT(ISERROR(REGEXEXTRACT(T243, ""(\d{1,2}) jan\. 2025""))), 
  TEXT(DATE(2025,1,REGEXEXTRACT(T243, ""(\d{1,2}) jan\. 2025"")), ""dd/mm/yyyy""),
 IF(NOT(ISERROR(REGEXEXTRACT("&amp;"T243, ""(\d{1,2}) fev\. 2025""))), 
  TEXT(DATE(2025,2,REGEXEXTRACT(T243, ""(\d{1,2}) fev\. 2025"")), ""dd/mm/yyyy""),
 IF(NOT(ISERROR(REGEXEXTRACT(T243, ""(\d{1,2}) mar\. 2025""))), 
  TEXT(DATE(2025,3,REGEXEXTRACT(T243, ""(\d{1,2}) mar\. 2025"")), ""dd/"&amp;"mm/yyyy""),
 IF(NOT(ISERROR(REGEXEXTRACT(T243, ""(\d{1,2}) abr\. 2025""))), 
  TEXT(DATE(2025,4,REGEXEXTRACT(T243, ""(\d{1,2}) abr\. 2025"")), ""dd/mm/yyyy""),
 IF(NOT(ISERROR(REGEXEXTRACT(T243, ""(\d{1,2}) (mai|maio)\. 2025""))), 
  TEXT(DATE(2025,5,REGE"&amp;"XEXTRACT(T243, ""(\d{1,2}) (mai|maio)\. 2025"")), ""dd/mm/yyyy""),
 IF(NOT(ISERROR(REGEXEXTRACT(T243, ""(\d{1,2}) jun\. 2025""))), 
  TEXT(DATE(2025,6,REGEXEXTRACT(T243, ""(\d{1,2}) jun\. 2025"")), ""dd/mm/yyyy""),
 IF(NOT(ISERROR(REGEXEXTRACT(T243, ""(\d"&amp;"{1,2}) jul\. 2025""))), 
  TEXT(DATE(2025,7,REGEXEXTRACT(T243, ""(\d{1,2}) jul\. 2025"")), ""dd/mm/yyyy""),
 IF(NOT(ISERROR(REGEXEXTRACT(T243, ""(\d{1,2}) ago\. 2025""))), 
  TEXT(DATE(2025,8,REGEXEXTRACT(T243, ""(\d{1,2}) ago\. 2025"")), ""dd/mm/yyyy""),"&amp;"
 IF(NOT(ISERROR(REGEXEXTRACT(T243, ""(\d{1,2}) set\. 2025""))), 
  TEXT(DATE(2025,9,REGEXEXTRACT(T243, ""(\d{1,2}) set\. 2025"")), ""dd/mm/yyyy""),
 IF(NOT(ISERROR(REGEXEXTRACT(T243, ""(\d{1,2}) out\. 2025""))), 
  TEXT(DATE(2025,10,REGEXEXTRACT(T243, """&amp;"(\d{1,2}) out\. 2025"")), ""dd/mm/yyyy""),
 IF(NOT(ISERROR(REGEXEXTRACT(T243, ""(\d{1,2}) nov\. 2025""))), 
  TEXT(DATE(2025,11,REGEXEXTRACT(T243, ""(\d{1,2}) nov\. 2025"")), ""dd/mm/yyyy""),
 IF(NOT(ISERROR(REGEXEXTRACT(T243, ""(\d{1,2}) dez\. 2025""))),"&amp;" 
  TEXT(DATE(2025,12,REGEXEXTRACT(T243, ""(\d{1,2}) dez\. 2025"")), ""dd/mm/yyyy""),
 ""Insira a data manualmente"")))))))))))), """"))"),"30/10/2025")</f>
        <v>30/10/2025</v>
      </c>
      <c r="H243" s="22">
        <f t="shared" si="1"/>
        <v>2025</v>
      </c>
      <c r="I243" s="18" t="str">
        <f>IFERROR(__xludf.DUMMYFUNCTION("IF(REGEXMATCH(T243,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IF(REGEXMATCH(T243, ""(?i)\bBrasília\b""), ""Distrito Federal, Brasil"",
REGEXEXTRACT(T243,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43" s="30" t="s">
        <v>599</v>
      </c>
      <c r="K243" s="24" t="s">
        <v>620</v>
      </c>
      <c r="L243" s="24" t="s">
        <v>26</v>
      </c>
      <c r="M243" s="25" t="s">
        <v>27</v>
      </c>
      <c r="N243" s="18" t="str">
        <f t="shared" si="8"/>
        <v>BBC News Brasil</v>
      </c>
      <c r="O243" s="17" t="s">
        <v>28</v>
      </c>
      <c r="P243" s="17" t="s">
        <v>251</v>
      </c>
      <c r="Q243" s="26">
        <v>45972.0</v>
      </c>
      <c r="R243" s="17" t="s">
        <v>30</v>
      </c>
      <c r="S243" s="36" t="str">
        <f t="shared" si="3"/>
        <v>#VALUE!</v>
      </c>
      <c r="T243" s="29" t="s">
        <v>621</v>
      </c>
      <c r="U243" s="29"/>
    </row>
    <row r="244">
      <c r="A244" s="16">
        <v>242.0</v>
      </c>
      <c r="B244" s="17" t="s">
        <v>23</v>
      </c>
      <c r="C244" s="18" t="str">
        <f>IFERROR(__xludf.DUMMYFUNCTION("IF(B244="""","""",IF(OR(
  REGEXMATCH(B244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REGEXMATCH(B244,""Notícia|Reportagem|Artigo de opinião|Verbete"")
),""Difusão"","""")))
"),"Difusão")</f>
        <v>Difusão</v>
      </c>
      <c r="D244" s="19" t="str">
        <f>IFERROR(__xludf.DUMMYFUNCTION("IF(B244="""","""",IF(OR(
  REGEXMATCH(B244,""Performance|Instalação|Álbum|Música|Poema|Livro|Filme|Documentário|Recitação|Espetáculo|Peça|Intervenção|Desfile|Fotografia|Exposição|Charge|Grafite|Leitura pública|Fabricação de cachaça artesanal""),
  REGEXMA"&amp;"TCH(B244,""dança|teatral|artístico|musical|artística"")
),""Manifestação artístico-cultural"",
IF(OR(
  REGEXMATCH(B244,""Crônica|Série|Reportagem|Podcast|Audiotour|Entrevista|Vídeo|Rádio|Notícia|Artigo de opinião|Coletiva de imprensa""),
  REGEXMATCH(B24"&amp;"4,""midiática"")
),""Produção midiática"","""")))
"),"Produção midiática")</f>
        <v>Produção midiática</v>
      </c>
      <c r="E244" s="20" t="str">
        <f>IFERROR(__xludf.DUMMYFUNCTION("IF(B244="""","""",IF(OR(
  REGEXMATCH(B244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REGEXMATCH(B244,""público|Imediato|artística|teatral|memória|Ação popular"")
),""Público Imediato"",
IF(REGEXMATCH(B244,""Música|Álbum|Filme|Documentár"&amp;"io|Série|Podcast|Rádio|Audiotour|Entrevista|Reportagem|Crônica|Relatório|Abaixo-assinado|Manifesto|Petição|Poema|Livro|Fotografia|Curta|Live|Webinário|Charge|Leitura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44" s="20" t="str">
        <f>IFERROR(__xludf.DUMMYFUNCTION("IF(B244="""","""",IF(OR(
  REGEXMATCH(B244,""Live|Webinário|Virtual|Verbete""),
  REGEXMATCH(B244,""online"")
),""Virtual"",
IF(REGEXMATCH(B244,""Música|Álbum|Filme|Documentário|Série|Podcast|Rádio|Audiotour|Episódio|Reportagem|Curta|Charge|Vídeo|Entrevis"&amp;"ta|Notícia|Artigo de opinião""),
""Midiático"",
IF(REGEXMATCH(B244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44" s="21" t="str">
        <f>IFERROR(__xludf.DUMMYFUNCTION("IF(C244=""rememoração"", ""Insira a data manualmente"", IF(C244=""difusão"", 
 IF(NOT(ISERROR(REGEXEXTRACT(T244, ""(\d{1,2}) jan\. 2025""))), 
  TEXT(DATE(2025,1,REGEXEXTRACT(T244, ""(\d{1,2}) jan\. 2025"")), ""dd/mm/yyyy""),
 IF(NOT(ISERROR(REGEXEXTRACT("&amp;"T244, ""(\d{1,2}) fev\. 2025""))), 
  TEXT(DATE(2025,2,REGEXEXTRACT(T244, ""(\d{1,2}) fev\. 2025"")), ""dd/mm/yyyy""),
 IF(NOT(ISERROR(REGEXEXTRACT(T244, ""(\d{1,2}) mar\. 2025""))), 
  TEXT(DATE(2025,3,REGEXEXTRACT(T244, ""(\d{1,2}) mar\. 2025"")), ""dd/"&amp;"mm/yyyy""),
 IF(NOT(ISERROR(REGEXEXTRACT(T244, ""(\d{1,2}) abr\. 2025""))), 
  TEXT(DATE(2025,4,REGEXEXTRACT(T244, ""(\d{1,2}) abr\. 2025"")), ""dd/mm/yyyy""),
 IF(NOT(ISERROR(REGEXEXTRACT(T244, ""(\d{1,2}) (mai|maio)\. 2025""))), 
  TEXT(DATE(2025,5,REGE"&amp;"XEXTRACT(T244, ""(\d{1,2}) (mai|maio)\. 2025"")), ""dd/mm/yyyy""),
 IF(NOT(ISERROR(REGEXEXTRACT(T244, ""(\d{1,2}) jun\. 2025""))), 
  TEXT(DATE(2025,6,REGEXEXTRACT(T244, ""(\d{1,2}) jun\. 2025"")), ""dd/mm/yyyy""),
 IF(NOT(ISERROR(REGEXEXTRACT(T244, ""(\d"&amp;"{1,2}) jul\. 2025""))), 
  TEXT(DATE(2025,7,REGEXEXTRACT(T244, ""(\d{1,2}) jul\. 2025"")), ""dd/mm/yyyy""),
 IF(NOT(ISERROR(REGEXEXTRACT(T244, ""(\d{1,2}) ago\. 2025""))), 
  TEXT(DATE(2025,8,REGEXEXTRACT(T244, ""(\d{1,2}) ago\. 2025"")), ""dd/mm/yyyy""),"&amp;"
 IF(NOT(ISERROR(REGEXEXTRACT(T244, ""(\d{1,2}) set\. 2025""))), 
  TEXT(DATE(2025,9,REGEXEXTRACT(T244, ""(\d{1,2}) set\. 2025"")), ""dd/mm/yyyy""),
 IF(NOT(ISERROR(REGEXEXTRACT(T244, ""(\d{1,2}) out\. 2025""))), 
  TEXT(DATE(2025,10,REGEXEXTRACT(T244, """&amp;"(\d{1,2}) out\. 2025"")), ""dd/mm/yyyy""),
 IF(NOT(ISERROR(REGEXEXTRACT(T244, ""(\d{1,2}) nov\. 2025""))), 
  TEXT(DATE(2025,11,REGEXEXTRACT(T244, ""(\d{1,2}) nov\. 2025"")), ""dd/mm/yyyy""),
 IF(NOT(ISERROR(REGEXEXTRACT(T244, ""(\d{1,2}) dez\. 2025""))),"&amp;" 
  TEXT(DATE(2025,12,REGEXEXTRACT(T244, ""(\d{1,2}) dez\. 2025"")), ""dd/mm/yyyy""),
 ""Insira a data manualmente"")))))))))))), """"))"),"28/10/2025")</f>
        <v>28/10/2025</v>
      </c>
      <c r="H244" s="22">
        <f t="shared" si="1"/>
        <v>2025</v>
      </c>
      <c r="I244" s="18" t="str">
        <f>IFERROR(__xludf.DUMMYFUNCTION("IF(REGEXMATCH(T244,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IF(REGEXMATCH(T244, ""(?i)\bBrasília\b""), ""Distrito Federal, Brasil"",
REGEXEXTRACT(T244,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44" s="30" t="s">
        <v>273</v>
      </c>
      <c r="K244" s="24" t="s">
        <v>622</v>
      </c>
      <c r="L244" s="24" t="s">
        <v>26</v>
      </c>
      <c r="M244" s="25" t="s">
        <v>27</v>
      </c>
      <c r="N244" s="18" t="str">
        <f t="shared" si="8"/>
        <v>CNN Brasil</v>
      </c>
      <c r="O244" s="17" t="s">
        <v>28</v>
      </c>
      <c r="P244" s="17" t="s">
        <v>251</v>
      </c>
      <c r="Q244" s="26">
        <v>45972.0</v>
      </c>
      <c r="R244" s="17" t="s">
        <v>30</v>
      </c>
      <c r="S244" s="27" t="str">
        <f t="shared" si="3"/>
        <v>Aqui</v>
      </c>
      <c r="T244" s="29" t="s">
        <v>623</v>
      </c>
      <c r="U244" s="29"/>
    </row>
    <row r="245">
      <c r="A245" s="16">
        <v>243.0</v>
      </c>
      <c r="B245" s="17" t="s">
        <v>23</v>
      </c>
      <c r="C245" s="18" t="str">
        <f>IFERROR(__xludf.DUMMYFUNCTION("IF(B245="""","""",IF(OR(
  REGEXMATCH(B245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REGEXMATCH(B245,""Notícia|Reportagem|Artigo de opinião|Verbete"")
),""Difusão"","""")))
"),"Difusão")</f>
        <v>Difusão</v>
      </c>
      <c r="D245" s="19" t="str">
        <f>IFERROR(__xludf.DUMMYFUNCTION("IF(B245="""","""",IF(OR(
  REGEXMATCH(B245,""Performance|Instalação|Álbum|Música|Poema|Livro|Filme|Documentário|Recitação|Espetáculo|Peça|Intervenção|Desfile|Fotografia|Exposição|Charge|Grafite|Leitura pública|Fabricação de cachaça artesanal""),
  REGEXMA"&amp;"TCH(B245,""dança|teatral|artístico|musical|artística"")
),""Manifestação artístico-cultural"",
IF(OR(
  REGEXMATCH(B245,""Crônica|Série|Reportagem|Podcast|Audiotour|Entrevista|Vídeo|Rádio|Notícia|Artigo de opinião|Coletiva de imprensa""),
  REGEXMATCH(B24"&amp;"5,""midiática"")
),""Produção midiática"","""")))
"),"Produção midiática")</f>
        <v>Produção midiática</v>
      </c>
      <c r="E245" s="20" t="str">
        <f>IFERROR(__xludf.DUMMYFUNCTION("IF(B245="""","""",IF(OR(
  REGEXMATCH(B245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REGEXMATCH(B245,""público|Imediato|artística|teatral|memória|Ação popular"")
),""Público Imediato"",
IF(REGEXMATCH(B245,""Música|Álbum|Filme|Documentár"&amp;"io|Série|Podcast|Rádio|Audiotour|Entrevista|Reportagem|Crônica|Relatório|Abaixo-assinado|Manifesto|Petição|Poema|Livro|Fotografia|Curta|Live|Webinário|Charge|Leitura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45" s="20" t="str">
        <f>IFERROR(__xludf.DUMMYFUNCTION("IF(B245="""","""",IF(OR(
  REGEXMATCH(B245,""Live|Webinário|Virtual|Verbete""),
  REGEXMATCH(B245,""online"")
),""Virtual"",
IF(REGEXMATCH(B245,""Música|Álbum|Filme|Documentário|Série|Podcast|Rádio|Audiotour|Episódio|Reportagem|Curta|Charge|Vídeo|Entrevis"&amp;"ta|Notícia|Artigo de opinião""),
""Midiático"",
IF(REGEXMATCH(B245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45" s="21" t="str">
        <f>IFERROR(__xludf.DUMMYFUNCTION("IF(C245=""rememoração"", ""Insira a data manualmente"", IF(C245=""difusão"", 
 IF(NOT(ISERROR(REGEXEXTRACT(T245, ""(\d{1,2}) jan\. 2025""))), 
  TEXT(DATE(2025,1,REGEXEXTRACT(T245, ""(\d{1,2}) jan\. 2025"")), ""dd/mm/yyyy""),
 IF(NOT(ISERROR(REGEXEXTRACT("&amp;"T245, ""(\d{1,2}) fev\. 2025""))), 
  TEXT(DATE(2025,2,REGEXEXTRACT(T245, ""(\d{1,2}) fev\. 2025"")), ""dd/mm/yyyy""),
 IF(NOT(ISERROR(REGEXEXTRACT(T245, ""(\d{1,2}) mar\. 2025""))), 
  TEXT(DATE(2025,3,REGEXEXTRACT(T245, ""(\d{1,2}) mar\. 2025"")), ""dd/"&amp;"mm/yyyy""),
 IF(NOT(ISERROR(REGEXEXTRACT(T245, ""(\d{1,2}) abr\. 2025""))), 
  TEXT(DATE(2025,4,REGEXEXTRACT(T245, ""(\d{1,2}) abr\. 2025"")), ""dd/mm/yyyy""),
 IF(NOT(ISERROR(REGEXEXTRACT(T245, ""(\d{1,2}) (mai|maio)\. 2025""))), 
  TEXT(DATE(2025,5,REGE"&amp;"XEXTRACT(T245, ""(\d{1,2}) (mai|maio)\. 2025"")), ""dd/mm/yyyy""),
 IF(NOT(ISERROR(REGEXEXTRACT(T245, ""(\d{1,2}) jun\. 2025""))), 
  TEXT(DATE(2025,6,REGEXEXTRACT(T245, ""(\d{1,2}) jun\. 2025"")), ""dd/mm/yyyy""),
 IF(NOT(ISERROR(REGEXEXTRACT(T245, ""(\d"&amp;"{1,2}) jul\. 2025""))), 
  TEXT(DATE(2025,7,REGEXEXTRACT(T245, ""(\d{1,2}) jul\. 2025"")), ""dd/mm/yyyy""),
 IF(NOT(ISERROR(REGEXEXTRACT(T245, ""(\d{1,2}) ago\. 2025""))), 
  TEXT(DATE(2025,8,REGEXEXTRACT(T245, ""(\d{1,2}) ago\. 2025"")), ""dd/mm/yyyy""),"&amp;"
 IF(NOT(ISERROR(REGEXEXTRACT(T245, ""(\d{1,2}) set\. 2025""))), 
  TEXT(DATE(2025,9,REGEXEXTRACT(T245, ""(\d{1,2}) set\. 2025"")), ""dd/mm/yyyy""),
 IF(NOT(ISERROR(REGEXEXTRACT(T245, ""(\d{1,2}) out\. 2025""))), 
  TEXT(DATE(2025,10,REGEXEXTRACT(T245, """&amp;"(\d{1,2}) out\. 2025"")), ""dd/mm/yyyy""),
 IF(NOT(ISERROR(REGEXEXTRACT(T245, ""(\d{1,2}) nov\. 2025""))), 
  TEXT(DATE(2025,11,REGEXEXTRACT(T245, ""(\d{1,2}) nov\. 2025"")), ""dd/mm/yyyy""),
 IF(NOT(ISERROR(REGEXEXTRACT(T245, ""(\d{1,2}) dez\. 2025""))),"&amp;" 
  TEXT(DATE(2025,12,REGEXEXTRACT(T245, ""(\d{1,2}) dez\. 2025"")), ""dd/mm/yyyy""),
 ""Insira a data manualmente"")))))))))))), """"))"),"10/11/2025")</f>
        <v>10/11/2025</v>
      </c>
      <c r="H245" s="22">
        <f t="shared" si="1"/>
        <v>2025</v>
      </c>
      <c r="I245" s="18" t="str">
        <f>IFERROR(__xludf.DUMMYFUNCTION("IF(REGEXMATCH(T245,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IF(REGEXMATCH(T245, ""(?i)\bBrasília\b""), ""Distrito Federal, Brasil"",
REGEXEXTRACT(T245,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45" s="30" t="s">
        <v>491</v>
      </c>
      <c r="K245" s="24" t="s">
        <v>624</v>
      </c>
      <c r="L245" s="24" t="s">
        <v>26</v>
      </c>
      <c r="M245" s="25" t="s">
        <v>27</v>
      </c>
      <c r="N245" s="18" t="str">
        <f t="shared" si="8"/>
        <v>Poder 360</v>
      </c>
      <c r="O245" s="17" t="s">
        <v>28</v>
      </c>
      <c r="P245" s="17" t="s">
        <v>251</v>
      </c>
      <c r="Q245" s="26">
        <v>45972.0</v>
      </c>
      <c r="R245" s="17" t="s">
        <v>30</v>
      </c>
      <c r="S245" s="27" t="str">
        <f t="shared" si="3"/>
        <v>Aqui</v>
      </c>
      <c r="T245" s="29" t="s">
        <v>625</v>
      </c>
      <c r="U245" s="29"/>
    </row>
    <row r="246">
      <c r="A246" s="16">
        <v>244.0</v>
      </c>
      <c r="B246" s="17" t="s">
        <v>23</v>
      </c>
      <c r="C246" s="18" t="str">
        <f>IFERROR(__xludf.DUMMYFUNCTION("IF(B246="""","""",IF(OR(
  REGEXMATCH(B246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REGEXMATCH(B246,""Notícia|Reportagem|Artigo de opinião|Verbete"")
),""Difusão"","""")))
"),"Difusão")</f>
        <v>Difusão</v>
      </c>
      <c r="D246" s="19" t="str">
        <f>IFERROR(__xludf.DUMMYFUNCTION("IF(B246="""","""",IF(OR(
  REGEXMATCH(B246,""Performance|Instalação|Álbum|Música|Poema|Livro|Filme|Documentário|Recitação|Espetáculo|Peça|Intervenção|Desfile|Fotografia|Exposição|Charge|Grafite|Leitura pública|Fabricação de cachaça artesanal""),
  REGEXMA"&amp;"TCH(B246,""dança|teatral|artístico|musical|artística"")
),""Manifestação artístico-cultural"",
IF(OR(
  REGEXMATCH(B246,""Crônica|Série|Reportagem|Podcast|Audiotour|Entrevista|Vídeo|Rádio|Notícia|Artigo de opinião|Coletiva de imprensa""),
  REGEXMATCH(B24"&amp;"6,""midiática"")
),""Produção midiática"","""")))
"),"Produção midiática")</f>
        <v>Produção midiática</v>
      </c>
      <c r="E246" s="20" t="str">
        <f>IFERROR(__xludf.DUMMYFUNCTION("IF(B246="""","""",IF(OR(
  REGEXMATCH(B246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REGEXMATCH(B246,""público|Imediato|artística|teatral|memória|Ação popular"")
),""Público Imediato"",
IF(REGEXMATCH(B246,""Música|Álbum|Filme|Documentár"&amp;"io|Série|Podcast|Rádio|Audiotour|Entrevista|Reportagem|Crônica|Relatório|Abaixo-assinado|Manifesto|Petição|Poema|Livro|Fotografia|Curta|Live|Webinário|Charge|Leitura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46" s="20" t="str">
        <f>IFERROR(__xludf.DUMMYFUNCTION("IF(B246="""","""",IF(OR(
  REGEXMATCH(B246,""Live|Webinário|Virtual|Verbete""),
  REGEXMATCH(B246,""online"")
),""Virtual"",
IF(REGEXMATCH(B246,""Música|Álbum|Filme|Documentário|Série|Podcast|Rádio|Audiotour|Episódio|Reportagem|Curta|Charge|Vídeo|Entrevis"&amp;"ta|Notícia|Artigo de opinião""),
""Midiático"",
IF(REGEXMATCH(B246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46" s="21" t="str">
        <f>IFERROR(__xludf.DUMMYFUNCTION("IF(C246=""rememoração"", ""Insira a data manualmente"", IF(C246=""difusão"", 
 IF(NOT(ISERROR(REGEXEXTRACT(T246, ""(\d{1,2}) jan\. 2025""))), 
  TEXT(DATE(2025,1,REGEXEXTRACT(T246, ""(\d{1,2}) jan\. 2025"")), ""dd/mm/yyyy""),
 IF(NOT(ISERROR(REGEXEXTRACT("&amp;"T246, ""(\d{1,2}) fev\. 2025""))), 
  TEXT(DATE(2025,2,REGEXEXTRACT(T246, ""(\d{1,2}) fev\. 2025"")), ""dd/mm/yyyy""),
 IF(NOT(ISERROR(REGEXEXTRACT(T246, ""(\d{1,2}) mar\. 2025""))), 
  TEXT(DATE(2025,3,REGEXEXTRACT(T246, ""(\d{1,2}) mar\. 2025"")), ""dd/"&amp;"mm/yyyy""),
 IF(NOT(ISERROR(REGEXEXTRACT(T246, ""(\d{1,2}) abr\. 2025""))), 
  TEXT(DATE(2025,4,REGEXEXTRACT(T246, ""(\d{1,2}) abr\. 2025"")), ""dd/mm/yyyy""),
 IF(NOT(ISERROR(REGEXEXTRACT(T246, ""(\d{1,2}) (mai|maio)\. 2025""))), 
  TEXT(DATE(2025,5,REGE"&amp;"XEXTRACT(T246, ""(\d{1,2}) (mai|maio)\. 2025"")), ""dd/mm/yyyy""),
 IF(NOT(ISERROR(REGEXEXTRACT(T246, ""(\d{1,2}) jun\. 2025""))), 
  TEXT(DATE(2025,6,REGEXEXTRACT(T246, ""(\d{1,2}) jun\. 2025"")), ""dd/mm/yyyy""),
 IF(NOT(ISERROR(REGEXEXTRACT(T246, ""(\d"&amp;"{1,2}) jul\. 2025""))), 
  TEXT(DATE(2025,7,REGEXEXTRACT(T246, ""(\d{1,2}) jul\. 2025"")), ""dd/mm/yyyy""),
 IF(NOT(ISERROR(REGEXEXTRACT(T246, ""(\d{1,2}) ago\. 2025""))), 
  TEXT(DATE(2025,8,REGEXEXTRACT(T246, ""(\d{1,2}) ago\. 2025"")), ""dd/mm/yyyy""),"&amp;"
 IF(NOT(ISERROR(REGEXEXTRACT(T246, ""(\d{1,2}) set\. 2025""))), 
  TEXT(DATE(2025,9,REGEXEXTRACT(T246, ""(\d{1,2}) set\. 2025"")), ""dd/mm/yyyy""),
 IF(NOT(ISERROR(REGEXEXTRACT(T246, ""(\d{1,2}) out\. 2025""))), 
  TEXT(DATE(2025,10,REGEXEXTRACT(T246, """&amp;"(\d{1,2}) out\. 2025"")), ""dd/mm/yyyy""),
 IF(NOT(ISERROR(REGEXEXTRACT(T246, ""(\d{1,2}) nov\. 2025""))), 
  TEXT(DATE(2025,11,REGEXEXTRACT(T246, ""(\d{1,2}) nov\. 2025"")), ""dd/mm/yyyy""),
 IF(NOT(ISERROR(REGEXEXTRACT(T246, ""(\d{1,2}) dez\. 2025""))),"&amp;" 
  TEXT(DATE(2025,12,REGEXEXTRACT(T246, ""(\d{1,2}) dez\. 2025"")), ""dd/mm/yyyy""),
 ""Insira a data manualmente"")))))))))))), """"))"),"28/10/2025")</f>
        <v>28/10/2025</v>
      </c>
      <c r="H246" s="22">
        <f t="shared" si="1"/>
        <v>2025</v>
      </c>
      <c r="I246" s="18" t="str">
        <f>IFERROR(__xludf.DUMMYFUNCTION("IF(REGEXMATCH(T246,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IF(REGEXMATCH(T246, ""(?i)\bBrasília\b""), ""Distrito Federal, Brasil"",
REGEXEXTRACT(T246,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46" s="30" t="s">
        <v>24</v>
      </c>
      <c r="K246" s="24" t="s">
        <v>626</v>
      </c>
      <c r="L246" s="24" t="s">
        <v>26</v>
      </c>
      <c r="M246" s="25" t="s">
        <v>27</v>
      </c>
      <c r="N246" s="18" t="str">
        <f t="shared" si="8"/>
        <v>O Globo</v>
      </c>
      <c r="O246" s="17" t="s">
        <v>28</v>
      </c>
      <c r="P246" s="17" t="s">
        <v>251</v>
      </c>
      <c r="Q246" s="26">
        <v>45972.0</v>
      </c>
      <c r="R246" s="17" t="s">
        <v>37</v>
      </c>
      <c r="S246" s="27" t="str">
        <f t="shared" si="3"/>
        <v>Aqui</v>
      </c>
      <c r="T246" s="29" t="s">
        <v>627</v>
      </c>
      <c r="U246" s="29"/>
    </row>
    <row r="247">
      <c r="A247" s="16">
        <v>245.0</v>
      </c>
      <c r="B247" s="17" t="s">
        <v>23</v>
      </c>
      <c r="C247" s="18" t="str">
        <f>IFERROR(__xludf.DUMMYFUNCTION("IF(B247="""","""",IF(OR(
  REGEXMATCH(B247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REGEXMATCH(B247,""Notícia|Reportagem|Artigo de opinião|Verbete"")
),""Difusão"","""")))
"),"Difusão")</f>
        <v>Difusão</v>
      </c>
      <c r="D247" s="19" t="str">
        <f>IFERROR(__xludf.DUMMYFUNCTION("IF(B247="""","""",IF(OR(
  REGEXMATCH(B247,""Performance|Instalação|Álbum|Música|Poema|Livro|Filme|Documentário|Recitação|Espetáculo|Peça|Intervenção|Desfile|Fotografia|Exposição|Charge|Grafite|Leitura pública|Fabricação de cachaça artesanal""),
  REGEXMA"&amp;"TCH(B247,""dança|teatral|artístico|musical|artística"")
),""Manifestação artístico-cultural"",
IF(OR(
  REGEXMATCH(B247,""Crônica|Série|Reportagem|Podcast|Audiotour|Entrevista|Vídeo|Rádio|Notícia|Artigo de opinião|Coletiva de imprensa""),
  REGEXMATCH(B24"&amp;"7,""midiática"")
),""Produção midiática"","""")))
"),"Produção midiática")</f>
        <v>Produção midiática</v>
      </c>
      <c r="E247" s="20" t="str">
        <f>IFERROR(__xludf.DUMMYFUNCTION("IF(B247="""","""",IF(OR(
  REGEXMATCH(B247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REGEXMATCH(B247,""público|Imediato|artística|teatral|memória|Ação popular"")
),""Público Imediato"",
IF(REGEXMATCH(B247,""Música|Álbum|Filme|Documentár"&amp;"io|Série|Podcast|Rádio|Audiotour|Entrevista|Reportagem|Crônica|Relatório|Abaixo-assinado|Manifesto|Petição|Poema|Livro|Fotografia|Curta|Live|Webinário|Charge|Leitura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47" s="20" t="str">
        <f>IFERROR(__xludf.DUMMYFUNCTION("IF(B247="""","""",IF(OR(
  REGEXMATCH(B247,""Live|Webinário|Virtual|Verbete""),
  REGEXMATCH(B247,""online"")
),""Virtual"",
IF(REGEXMATCH(B247,""Música|Álbum|Filme|Documentário|Série|Podcast|Rádio|Audiotour|Episódio|Reportagem|Curta|Charge|Vídeo|Entrevis"&amp;"ta|Notícia|Artigo de opinião""),
""Midiático"",
IF(REGEXMATCH(B247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47" s="21" t="str">
        <f>IFERROR(__xludf.DUMMYFUNCTION("IF(C247=""rememoração"", ""Insira a data manualmente"", IF(C247=""difusão"", 
 IF(NOT(ISERROR(REGEXEXTRACT(T247, ""(\d{1,2}) jan\. 2025""))), 
  TEXT(DATE(2025,1,REGEXEXTRACT(T247, ""(\d{1,2}) jan\. 2025"")), ""dd/mm/yyyy""),
 IF(NOT(ISERROR(REGEXEXTRACT("&amp;"T247, ""(\d{1,2}) fev\. 2025""))), 
  TEXT(DATE(2025,2,REGEXEXTRACT(T247, ""(\d{1,2}) fev\. 2025"")), ""dd/mm/yyyy""),
 IF(NOT(ISERROR(REGEXEXTRACT(T247, ""(\d{1,2}) mar\. 2025""))), 
  TEXT(DATE(2025,3,REGEXEXTRACT(T247, ""(\d{1,2}) mar\. 2025"")), ""dd/"&amp;"mm/yyyy""),
 IF(NOT(ISERROR(REGEXEXTRACT(T247, ""(\d{1,2}) abr\. 2025""))), 
  TEXT(DATE(2025,4,REGEXEXTRACT(T247, ""(\d{1,2}) abr\. 2025"")), ""dd/mm/yyyy""),
 IF(NOT(ISERROR(REGEXEXTRACT(T247, ""(\d{1,2}) (mai|maio)\. 2025""))), 
  TEXT(DATE(2025,5,REGE"&amp;"XEXTRACT(T247, ""(\d{1,2}) (mai|maio)\. 2025"")), ""dd/mm/yyyy""),
 IF(NOT(ISERROR(REGEXEXTRACT(T247, ""(\d{1,2}) jun\. 2025""))), 
  TEXT(DATE(2025,6,REGEXEXTRACT(T247, ""(\d{1,2}) jun\. 2025"")), ""dd/mm/yyyy""),
 IF(NOT(ISERROR(REGEXEXTRACT(T247, ""(\d"&amp;"{1,2}) jul\. 2025""))), 
  TEXT(DATE(2025,7,REGEXEXTRACT(T247, ""(\d{1,2}) jul\. 2025"")), ""dd/mm/yyyy""),
 IF(NOT(ISERROR(REGEXEXTRACT(T247, ""(\d{1,2}) ago\. 2025""))), 
  TEXT(DATE(2025,8,REGEXEXTRACT(T247, ""(\d{1,2}) ago\. 2025"")), ""dd/mm/yyyy""),"&amp;"
 IF(NOT(ISERROR(REGEXEXTRACT(T247, ""(\d{1,2}) set\. 2025""))), 
  TEXT(DATE(2025,9,REGEXEXTRACT(T247, ""(\d{1,2}) set\. 2025"")), ""dd/mm/yyyy""),
 IF(NOT(ISERROR(REGEXEXTRACT(T247, ""(\d{1,2}) out\. 2025""))), 
  TEXT(DATE(2025,10,REGEXEXTRACT(T247, """&amp;"(\d{1,2}) out\. 2025"")), ""dd/mm/yyyy""),
 IF(NOT(ISERROR(REGEXEXTRACT(T247, ""(\d{1,2}) nov\. 2025""))), 
  TEXT(DATE(2025,11,REGEXEXTRACT(T247, ""(\d{1,2}) nov\. 2025"")), ""dd/mm/yyyy""),
 IF(NOT(ISERROR(REGEXEXTRACT(T247, ""(\d{1,2}) dez\. 2025""))),"&amp;" 
  TEXT(DATE(2025,12,REGEXEXTRACT(T247, ""(\d{1,2}) dez\. 2025"")), ""dd/mm/yyyy""),
 ""Insira a data manualmente"")))))))))))), """"))"),"28/10/2025")</f>
        <v>28/10/2025</v>
      </c>
      <c r="H247" s="22">
        <f t="shared" si="1"/>
        <v>2025</v>
      </c>
      <c r="I247" s="18" t="str">
        <f>IFERROR(__xludf.DUMMYFUNCTION("IF(REGEXMATCH(T247,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IF(REGEXMATCH(T247, ""(?i)\bBrasília\b""), ""Distrito Federal, Brasil"",
REGEXEXTRACT(T247,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47" s="30" t="s">
        <v>93</v>
      </c>
      <c r="K247" s="24" t="s">
        <v>628</v>
      </c>
      <c r="L247" s="24" t="s">
        <v>26</v>
      </c>
      <c r="M247" s="25" t="s">
        <v>27</v>
      </c>
      <c r="N247" s="18" t="str">
        <f t="shared" si="8"/>
        <v>Gazeta do Povo</v>
      </c>
      <c r="O247" s="17" t="s">
        <v>28</v>
      </c>
      <c r="P247" s="17" t="s">
        <v>251</v>
      </c>
      <c r="Q247" s="26">
        <v>45972.0</v>
      </c>
      <c r="R247" s="17" t="s">
        <v>37</v>
      </c>
      <c r="S247" s="27" t="str">
        <f t="shared" si="3"/>
        <v>Aqui</v>
      </c>
      <c r="T247" s="29" t="s">
        <v>629</v>
      </c>
      <c r="U247" s="29"/>
    </row>
    <row r="248">
      <c r="A248" s="16">
        <v>246.0</v>
      </c>
      <c r="B248" s="17" t="s">
        <v>23</v>
      </c>
      <c r="C248" s="18" t="str">
        <f>IFERROR(__xludf.DUMMYFUNCTION("IF(B248="""","""",IF(OR(
  REGEXMATCH(B248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REGEXMATCH(B248,""Notícia|Reportagem|Artigo de opinião|Verbete"")
),""Difusão"","""")))
"),"Difusão")</f>
        <v>Difusão</v>
      </c>
      <c r="D248" s="19" t="str">
        <f>IFERROR(__xludf.DUMMYFUNCTION("IF(B248="""","""",IF(OR(
  REGEXMATCH(B248,""Performance|Instalação|Álbum|Música|Poema|Livro|Filme|Documentário|Recitação|Espetáculo|Peça|Intervenção|Desfile|Fotografia|Exposição|Charge|Grafite|Leitura pública|Fabricação de cachaça artesanal""),
  REGEXMA"&amp;"TCH(B248,""dança|teatral|artístico|musical|artística"")
),""Manifestação artístico-cultural"",
IF(OR(
  REGEXMATCH(B248,""Crônica|Série|Reportagem|Podcast|Audiotour|Entrevista|Vídeo|Rádio|Notícia|Artigo de opinião|Coletiva de imprensa""),
  REGEXMATCH(B24"&amp;"8,""midiática"")
),""Produção midiática"","""")))
"),"Produção midiática")</f>
        <v>Produção midiática</v>
      </c>
      <c r="E248" s="20" t="str">
        <f>IFERROR(__xludf.DUMMYFUNCTION("IF(B248="""","""",IF(OR(
  REGEXMATCH(B248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REGEXMATCH(B248,""público|Imediato|artística|teatral|memória|Ação popular"")
),""Público Imediato"",
IF(REGEXMATCH(B248,""Música|Álbum|Filme|Documentár"&amp;"io|Série|Podcast|Rádio|Audiotour|Entrevista|Reportagem|Crônica|Relatório|Abaixo-assinado|Manifesto|Petição|Poema|Livro|Fotografia|Curta|Live|Webinário|Charge|Leitura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48" s="20" t="str">
        <f>IFERROR(__xludf.DUMMYFUNCTION("IF(B248="""","""",IF(OR(
  REGEXMATCH(B248,""Live|Webinário|Virtual|Verbete""),
  REGEXMATCH(B248,""online"")
),""Virtual"",
IF(REGEXMATCH(B248,""Música|Álbum|Filme|Documentário|Série|Podcast|Rádio|Audiotour|Episódio|Reportagem|Curta|Charge|Vídeo|Entrevis"&amp;"ta|Notícia|Artigo de opinião""),
""Midiático"",
IF(REGEXMATCH(B248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48" s="21" t="str">
        <f>IFERROR(__xludf.DUMMYFUNCTION("IF(C248=""rememoração"", ""Insira a data manualmente"", IF(C248=""difusão"", 
 IF(NOT(ISERROR(REGEXEXTRACT(T248, ""(\d{1,2}) jan\. 2025""))), 
  TEXT(DATE(2025,1,REGEXEXTRACT(T248, ""(\d{1,2}) jan\. 2025"")), ""dd/mm/yyyy""),
 IF(NOT(ISERROR(REGEXEXTRACT("&amp;"T248, ""(\d{1,2}) fev\. 2025""))), 
  TEXT(DATE(2025,2,REGEXEXTRACT(T248, ""(\d{1,2}) fev\. 2025"")), ""dd/mm/yyyy""),
 IF(NOT(ISERROR(REGEXEXTRACT(T248, ""(\d{1,2}) mar\. 2025""))), 
  TEXT(DATE(2025,3,REGEXEXTRACT(T248, ""(\d{1,2}) mar\. 2025"")), ""dd/"&amp;"mm/yyyy""),
 IF(NOT(ISERROR(REGEXEXTRACT(T248, ""(\d{1,2}) abr\. 2025""))), 
  TEXT(DATE(2025,4,REGEXEXTRACT(T248, ""(\d{1,2}) abr\. 2025"")), ""dd/mm/yyyy""),
 IF(NOT(ISERROR(REGEXEXTRACT(T248, ""(\d{1,2}) (mai|maio)\. 2025""))), 
  TEXT(DATE(2025,5,REGE"&amp;"XEXTRACT(T248, ""(\d{1,2}) (mai|maio)\. 2025"")), ""dd/mm/yyyy""),
 IF(NOT(ISERROR(REGEXEXTRACT(T248, ""(\d{1,2}) jun\. 2025""))), 
  TEXT(DATE(2025,6,REGEXEXTRACT(T248, ""(\d{1,2}) jun\. 2025"")), ""dd/mm/yyyy""),
 IF(NOT(ISERROR(REGEXEXTRACT(T248, ""(\d"&amp;"{1,2}) jul\. 2025""))), 
  TEXT(DATE(2025,7,REGEXEXTRACT(T248, ""(\d{1,2}) jul\. 2025"")), ""dd/mm/yyyy""),
 IF(NOT(ISERROR(REGEXEXTRACT(T248, ""(\d{1,2}) ago\. 2025""))), 
  TEXT(DATE(2025,8,REGEXEXTRACT(T248, ""(\d{1,2}) ago\. 2025"")), ""dd/mm/yyyy""),"&amp;"
 IF(NOT(ISERROR(REGEXEXTRACT(T248, ""(\d{1,2}) set\. 2025""))), 
  TEXT(DATE(2025,9,REGEXEXTRACT(T248, ""(\d{1,2}) set\. 2025"")), ""dd/mm/yyyy""),
 IF(NOT(ISERROR(REGEXEXTRACT(T248, ""(\d{1,2}) out\. 2025""))), 
  TEXT(DATE(2025,10,REGEXEXTRACT(T248, """&amp;"(\d{1,2}) out\. 2025"")), ""dd/mm/yyyy""),
 IF(NOT(ISERROR(REGEXEXTRACT(T248, ""(\d{1,2}) nov\. 2025""))), 
  TEXT(DATE(2025,11,REGEXEXTRACT(T248, ""(\d{1,2}) nov\. 2025"")), ""dd/mm/yyyy""),
 IF(NOT(ISERROR(REGEXEXTRACT(T248, ""(\d{1,2}) dez\. 2025""))),"&amp;" 
  TEXT(DATE(2025,12,REGEXEXTRACT(T248, ""(\d{1,2}) dez\. 2025"")), ""dd/mm/yyyy""),
 ""Insira a data manualmente"")))))))))))), """"))"),"07/11/2025")</f>
        <v>07/11/2025</v>
      </c>
      <c r="H248" s="22">
        <f t="shared" si="1"/>
        <v>2025</v>
      </c>
      <c r="I248" s="18" t="str">
        <f>IFERROR(__xludf.DUMMYFUNCTION("IF(REGEXMATCH(T248,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IF(REGEXMATCH(T248, ""(?i)\bBrasília\b""), ""Distrito Federal, Brasil"",
REGEXEXTRACT(T248,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48" s="30" t="s">
        <v>32</v>
      </c>
      <c r="K248" s="24" t="s">
        <v>630</v>
      </c>
      <c r="L248" s="24" t="s">
        <v>26</v>
      </c>
      <c r="M248" s="25" t="s">
        <v>27</v>
      </c>
      <c r="N248" s="18" t="str">
        <f t="shared" si="8"/>
        <v>Agência Brasil</v>
      </c>
      <c r="O248" s="17" t="s">
        <v>28</v>
      </c>
      <c r="P248" s="17" t="s">
        <v>251</v>
      </c>
      <c r="Q248" s="26">
        <v>45972.0</v>
      </c>
      <c r="R248" s="17" t="s">
        <v>30</v>
      </c>
      <c r="S248" s="27" t="str">
        <f t="shared" si="3"/>
        <v>Aqui</v>
      </c>
      <c r="T248" s="29" t="s">
        <v>631</v>
      </c>
      <c r="U248" s="29"/>
    </row>
    <row r="249">
      <c r="A249" s="16">
        <v>247.0</v>
      </c>
      <c r="B249" s="17" t="s">
        <v>23</v>
      </c>
      <c r="C249" s="18" t="str">
        <f>IFERROR(__xludf.DUMMYFUNCTION("IF(B249="""","""",IF(OR(
  REGEXMATCH(B249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REGEXMATCH(B249,""Notícia|Reportagem|Artigo de opinião|Verbete"")
),""Difusão"","""")))
"),"Difusão")</f>
        <v>Difusão</v>
      </c>
      <c r="D249" s="19" t="str">
        <f>IFERROR(__xludf.DUMMYFUNCTION("IF(B249="""","""",IF(OR(
  REGEXMATCH(B249,""Performance|Instalação|Álbum|Música|Poema|Livro|Filme|Documentário|Recitação|Espetáculo|Peça|Intervenção|Desfile|Fotografia|Exposição|Charge|Grafite|Leitura pública|Fabricação de cachaça artesanal""),
  REGEXMA"&amp;"TCH(B249,""dança|teatral|artístico|musical|artística"")
),""Manifestação artístico-cultural"",
IF(OR(
  REGEXMATCH(B249,""Crônica|Série|Reportagem|Podcast|Audiotour|Entrevista|Vídeo|Rádio|Notícia|Artigo de opinião|Coletiva de imprensa""),
  REGEXMATCH(B24"&amp;"9,""midiática"")
),""Produção midiática"","""")))
"),"Produção midiática")</f>
        <v>Produção midiática</v>
      </c>
      <c r="E249" s="20" t="str">
        <f>IFERROR(__xludf.DUMMYFUNCTION("IF(B249="""","""",IF(OR(
  REGEXMATCH(B249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REGEXMATCH(B249,""público|Imediato|artística|teatral|memória|Ação popular"")
),""Público Imediato"",
IF(REGEXMATCH(B249,""Música|Álbum|Filme|Documentár"&amp;"io|Série|Podcast|Rádio|Audiotour|Entrevista|Reportagem|Crônica|Relatório|Abaixo-assinado|Manifesto|Petição|Poema|Livro|Fotografia|Curta|Live|Webinário|Charge|Leitura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49" s="20" t="str">
        <f>IFERROR(__xludf.DUMMYFUNCTION("IF(B249="""","""",IF(OR(
  REGEXMATCH(B249,""Live|Webinário|Virtual|Verbete""),
  REGEXMATCH(B249,""online"")
),""Virtual"",
IF(REGEXMATCH(B249,""Música|Álbum|Filme|Documentário|Série|Podcast|Rádio|Audiotour|Episódio|Reportagem|Curta|Charge|Vídeo|Entrevis"&amp;"ta|Notícia|Artigo de opinião""),
""Midiático"",
IF(REGEXMATCH(B249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49" s="21" t="str">
        <f>IFERROR(__xludf.DUMMYFUNCTION("IF(C249=""rememoração"", ""Insira a data manualmente"", IF(C249=""difusão"", 
 IF(NOT(ISERROR(REGEXEXTRACT(T249, ""(\d{1,2}) jan\. 2025""))), 
  TEXT(DATE(2025,1,REGEXEXTRACT(T249, ""(\d{1,2}) jan\. 2025"")), ""dd/mm/yyyy""),
 IF(NOT(ISERROR(REGEXEXTRACT("&amp;"T249, ""(\d{1,2}) fev\. 2025""))), 
  TEXT(DATE(2025,2,REGEXEXTRACT(T249, ""(\d{1,2}) fev\. 2025"")), ""dd/mm/yyyy""),
 IF(NOT(ISERROR(REGEXEXTRACT(T249, ""(\d{1,2}) mar\. 2025""))), 
  TEXT(DATE(2025,3,REGEXEXTRACT(T249, ""(\d{1,2}) mar\. 2025"")), ""dd/"&amp;"mm/yyyy""),
 IF(NOT(ISERROR(REGEXEXTRACT(T249, ""(\d{1,2}) abr\. 2025""))), 
  TEXT(DATE(2025,4,REGEXEXTRACT(T249, ""(\d{1,2}) abr\. 2025"")), ""dd/mm/yyyy""),
 IF(NOT(ISERROR(REGEXEXTRACT(T249, ""(\d{1,2}) (mai|maio)\. 2025""))), 
  TEXT(DATE(2025,5,REGE"&amp;"XEXTRACT(T249, ""(\d{1,2}) (mai|maio)\. 2025"")), ""dd/mm/yyyy""),
 IF(NOT(ISERROR(REGEXEXTRACT(T249, ""(\d{1,2}) jun\. 2025""))), 
  TEXT(DATE(2025,6,REGEXEXTRACT(T249, ""(\d{1,2}) jun\. 2025"")), ""dd/mm/yyyy""),
 IF(NOT(ISERROR(REGEXEXTRACT(T249, ""(\d"&amp;"{1,2}) jul\. 2025""))), 
  TEXT(DATE(2025,7,REGEXEXTRACT(T249, ""(\d{1,2}) jul\. 2025"")), ""dd/mm/yyyy""),
 IF(NOT(ISERROR(REGEXEXTRACT(T249, ""(\d{1,2}) ago\. 2025""))), 
  TEXT(DATE(2025,8,REGEXEXTRACT(T249, ""(\d{1,2}) ago\. 2025"")), ""dd/mm/yyyy""),"&amp;"
 IF(NOT(ISERROR(REGEXEXTRACT(T249, ""(\d{1,2}) set\. 2025""))), 
  TEXT(DATE(2025,9,REGEXEXTRACT(T249, ""(\d{1,2}) set\. 2025"")), ""dd/mm/yyyy""),
 IF(NOT(ISERROR(REGEXEXTRACT(T249, ""(\d{1,2}) out\. 2025""))), 
  TEXT(DATE(2025,10,REGEXEXTRACT(T249, """&amp;"(\d{1,2}) out\. 2025"")), ""dd/mm/yyyy""),
 IF(NOT(ISERROR(REGEXEXTRACT(T249, ""(\d{1,2}) nov\. 2025""))), 
  TEXT(DATE(2025,11,REGEXEXTRACT(T249, ""(\d{1,2}) nov\. 2025"")), ""dd/mm/yyyy""),
 IF(NOT(ISERROR(REGEXEXTRACT(T249, ""(\d{1,2}) dez\. 2025""))),"&amp;" 
  TEXT(DATE(2025,12,REGEXEXTRACT(T249, ""(\d{1,2}) dez\. 2025"")), ""dd/mm/yyyy""),
 ""Insira a data manualmente"")))))))))))), """"))"),"10/11/2025")</f>
        <v>10/11/2025</v>
      </c>
      <c r="H249" s="22">
        <f t="shared" si="1"/>
        <v>2025</v>
      </c>
      <c r="I249" s="18" t="str">
        <f>IFERROR(__xludf.DUMMYFUNCTION("IF(REGEXMATCH(T249,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IF(REGEXMATCH(T249, ""(?i)\bBrasília\b""), ""Distrito Federal, Brasil"",
REGEXEXTRACT(T249,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49" s="30" t="s">
        <v>491</v>
      </c>
      <c r="K249" s="24" t="s">
        <v>632</v>
      </c>
      <c r="L249" s="24" t="s">
        <v>26</v>
      </c>
      <c r="M249" s="25" t="s">
        <v>27</v>
      </c>
      <c r="N249" s="18" t="str">
        <f t="shared" si="8"/>
        <v>Poder 360</v>
      </c>
      <c r="O249" s="17" t="s">
        <v>28</v>
      </c>
      <c r="P249" s="17" t="s">
        <v>251</v>
      </c>
      <c r="Q249" s="26">
        <v>45972.0</v>
      </c>
      <c r="R249" s="17" t="s">
        <v>30</v>
      </c>
      <c r="S249" s="27" t="str">
        <f t="shared" si="3"/>
        <v>Aqui</v>
      </c>
      <c r="T249" s="29" t="s">
        <v>633</v>
      </c>
      <c r="U249" s="29"/>
    </row>
    <row r="250">
      <c r="A250" s="16">
        <v>248.0</v>
      </c>
      <c r="B250" s="17" t="s">
        <v>23</v>
      </c>
      <c r="C250" s="18" t="str">
        <f>IFERROR(__xludf.DUMMYFUNCTION("IF(B250="""","""",IF(OR(
  REGEXMATCH(B250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REGEXMATCH(B250,""Notícia|Reportagem|Artigo de opinião|Verbete"")
),""Difusão"","""")))
"),"Difusão")</f>
        <v>Difusão</v>
      </c>
      <c r="D250" s="19" t="str">
        <f>IFERROR(__xludf.DUMMYFUNCTION("IF(B250="""","""",IF(OR(
  REGEXMATCH(B250,""Performance|Instalação|Álbum|Música|Poema|Livro|Filme|Documentário|Recitação|Espetáculo|Peça|Intervenção|Desfile|Fotografia|Exposição|Charge|Grafite|Leitura pública|Fabricação de cachaça artesanal""),
  REGEXMA"&amp;"TCH(B250,""dança|teatral|artístico|musical|artística"")
),""Manifestação artístico-cultural"",
IF(OR(
  REGEXMATCH(B250,""Crônica|Série|Reportagem|Podcast|Audiotour|Entrevista|Vídeo|Rádio|Notícia|Artigo de opinião|Coletiva de imprensa""),
  REGEXMATCH(B25"&amp;"0,""midiática"")
),""Produção midiática"","""")))
"),"Produção midiática")</f>
        <v>Produção midiática</v>
      </c>
      <c r="E250" s="20" t="str">
        <f>IFERROR(__xludf.DUMMYFUNCTION("IF(B250="""","""",IF(OR(
  REGEXMATCH(B250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REGEXMATCH(B250,""público|Imediato|artística|teatral|memória|Ação popular"")
),""Público Imediato"",
IF(REGEXMATCH(B250,""Música|Álbum|Filme|Documentár"&amp;"io|Série|Podcast|Rádio|Audiotour|Entrevista|Reportagem|Crônica|Relatório|Abaixo-assinado|Manifesto|Petição|Poema|Livro|Fotografia|Curta|Live|Webinário|Charge|Leitura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50" s="20" t="str">
        <f>IFERROR(__xludf.DUMMYFUNCTION("IF(B250="""","""",IF(OR(
  REGEXMATCH(B250,""Live|Webinário|Virtual|Verbete""),
  REGEXMATCH(B250,""online"")
),""Virtual"",
IF(REGEXMATCH(B250,""Música|Álbum|Filme|Documentário|Série|Podcast|Rádio|Audiotour|Episódio|Reportagem|Curta|Charge|Vídeo|Entrevis"&amp;"ta|Notícia|Artigo de opinião""),
""Midiático"",
IF(REGEXMATCH(B250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50" s="21" t="str">
        <f>IFERROR(__xludf.DUMMYFUNCTION("IF(C250=""rememoração"", ""Insira a data manualmente"", IF(C250=""difusão"", 
 IF(NOT(ISERROR(REGEXEXTRACT(T250, ""(\d{1,2}) jan\. 2025""))), 
  TEXT(DATE(2025,1,REGEXEXTRACT(T250, ""(\d{1,2}) jan\. 2025"")), ""dd/mm/yyyy""),
 IF(NOT(ISERROR(REGEXEXTRACT("&amp;"T250, ""(\d{1,2}) fev\. 2025""))), 
  TEXT(DATE(2025,2,REGEXEXTRACT(T250, ""(\d{1,2}) fev\. 2025"")), ""dd/mm/yyyy""),
 IF(NOT(ISERROR(REGEXEXTRACT(T250, ""(\d{1,2}) mar\. 2025""))), 
  TEXT(DATE(2025,3,REGEXEXTRACT(T250, ""(\d{1,2}) mar\. 2025"")), ""dd/"&amp;"mm/yyyy""),
 IF(NOT(ISERROR(REGEXEXTRACT(T250, ""(\d{1,2}) abr\. 2025""))), 
  TEXT(DATE(2025,4,REGEXEXTRACT(T250, ""(\d{1,2}) abr\. 2025"")), ""dd/mm/yyyy""),
 IF(NOT(ISERROR(REGEXEXTRACT(T250, ""(\d{1,2}) (mai|maio)\. 2025""))), 
  TEXT(DATE(2025,5,REGE"&amp;"XEXTRACT(T250, ""(\d{1,2}) (mai|maio)\. 2025"")), ""dd/mm/yyyy""),
 IF(NOT(ISERROR(REGEXEXTRACT(T250, ""(\d{1,2}) jun\. 2025""))), 
  TEXT(DATE(2025,6,REGEXEXTRACT(T250, ""(\d{1,2}) jun\. 2025"")), ""dd/mm/yyyy""),
 IF(NOT(ISERROR(REGEXEXTRACT(T250, ""(\d"&amp;"{1,2}) jul\. 2025""))), 
  TEXT(DATE(2025,7,REGEXEXTRACT(T250, ""(\d{1,2}) jul\. 2025"")), ""dd/mm/yyyy""),
 IF(NOT(ISERROR(REGEXEXTRACT(T250, ""(\d{1,2}) ago\. 2025""))), 
  TEXT(DATE(2025,8,REGEXEXTRACT(T250, ""(\d{1,2}) ago\. 2025"")), ""dd/mm/yyyy""),"&amp;"
 IF(NOT(ISERROR(REGEXEXTRACT(T250, ""(\d{1,2}) set\. 2025""))), 
  TEXT(DATE(2025,9,REGEXEXTRACT(T250, ""(\d{1,2}) set\. 2025"")), ""dd/mm/yyyy""),
 IF(NOT(ISERROR(REGEXEXTRACT(T250, ""(\d{1,2}) out\. 2025""))), 
  TEXT(DATE(2025,10,REGEXEXTRACT(T250, """&amp;"(\d{1,2}) out\. 2025"")), ""dd/mm/yyyy""),
 IF(NOT(ISERROR(REGEXEXTRACT(T250, ""(\d{1,2}) nov\. 2025""))), 
  TEXT(DATE(2025,11,REGEXEXTRACT(T250, ""(\d{1,2}) nov\. 2025"")), ""dd/mm/yyyy""),
 IF(NOT(ISERROR(REGEXEXTRACT(T250, ""(\d{1,2}) dez\. 2025""))),"&amp;" 
  TEXT(DATE(2025,12,REGEXEXTRACT(T250, ""(\d{1,2}) dez\. 2025"")), ""dd/mm/yyyy""),
 ""Insira a data manualmente"")))))))))))), """"))"),"29/10/2025")</f>
        <v>29/10/2025</v>
      </c>
      <c r="H250" s="22">
        <f t="shared" si="1"/>
        <v>2025</v>
      </c>
      <c r="I250" s="18" t="str">
        <f>IFERROR(__xludf.DUMMYFUNCTION("IF(REGEXMATCH(T250,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IF(REGEXMATCH(T250, ""(?i)\bBrasília\b""), ""Distrito Federal, Brasil"",
REGEXEXTRACT(T250,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50" s="30" t="s">
        <v>599</v>
      </c>
      <c r="K250" s="24" t="s">
        <v>634</v>
      </c>
      <c r="L250" s="24" t="s">
        <v>26</v>
      </c>
      <c r="M250" s="25" t="s">
        <v>27</v>
      </c>
      <c r="N250" s="18" t="str">
        <f t="shared" si="8"/>
        <v>BBC News Brasil</v>
      </c>
      <c r="O250" s="17" t="s">
        <v>28</v>
      </c>
      <c r="P250" s="17" t="s">
        <v>251</v>
      </c>
      <c r="Q250" s="26">
        <v>45972.0</v>
      </c>
      <c r="R250" s="17" t="s">
        <v>30</v>
      </c>
      <c r="S250" s="27" t="str">
        <f t="shared" si="3"/>
        <v>Aqui</v>
      </c>
      <c r="T250" s="29" t="s">
        <v>635</v>
      </c>
      <c r="U250" s="29"/>
    </row>
    <row r="251">
      <c r="A251" s="16">
        <v>249.0</v>
      </c>
      <c r="B251" s="17" t="s">
        <v>23</v>
      </c>
      <c r="C251" s="18" t="str">
        <f>IFERROR(__xludf.DUMMYFUNCTION("IF(B251="""","""",IF(OR(
  REGEXMATCH(B251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REGEXMATCH(B251,""Notícia|Reportagem|Artigo de opinião|Verbete"")
),""Difusão"","""")))
"),"Difusão")</f>
        <v>Difusão</v>
      </c>
      <c r="D251" s="19" t="str">
        <f>IFERROR(__xludf.DUMMYFUNCTION("IF(B251="""","""",IF(OR(
  REGEXMATCH(B251,""Performance|Instalação|Álbum|Música|Poema|Livro|Filme|Documentário|Recitação|Espetáculo|Peça|Intervenção|Desfile|Fotografia|Exposição|Charge|Grafite|Leitura pública|Fabricação de cachaça artesanal""),
  REGEXMA"&amp;"TCH(B251,""dança|teatral|artístico|musical|artística"")
),""Manifestação artístico-cultural"",
IF(OR(
  REGEXMATCH(B251,""Crônica|Série|Reportagem|Podcast|Audiotour|Entrevista|Vídeo|Rádio|Notícia|Artigo de opinião|Coletiva de imprensa""),
  REGEXMATCH(B25"&amp;"1,""midiática"")
),""Produção midiática"","""")))
"),"Produção midiática")</f>
        <v>Produção midiática</v>
      </c>
      <c r="E251" s="20" t="str">
        <f>IFERROR(__xludf.DUMMYFUNCTION("IF(B251="""","""",IF(OR(
  REGEXMATCH(B251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REGEXMATCH(B251,""público|Imediato|artística|teatral|memória|Ação popular"")
),""Público Imediato"",
IF(REGEXMATCH(B251,""Música|Álbum|Filme|Documentár"&amp;"io|Série|Podcast|Rádio|Audiotour|Entrevista|Reportagem|Crônica|Relatório|Abaixo-assinado|Manifesto|Petição|Poema|Livro|Fotografia|Curta|Live|Webinário|Charge|Leitura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51" s="20" t="str">
        <f>IFERROR(__xludf.DUMMYFUNCTION("IF(B251="""","""",IF(OR(
  REGEXMATCH(B251,""Live|Webinário|Virtual|Verbete""),
  REGEXMATCH(B251,""online"")
),""Virtual"",
IF(REGEXMATCH(B251,""Música|Álbum|Filme|Documentário|Série|Podcast|Rádio|Audiotour|Episódio|Reportagem|Curta|Charge|Vídeo|Entrevis"&amp;"ta|Notícia|Artigo de opinião""),
""Midiático"",
IF(REGEXMATCH(B251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51" s="21" t="str">
        <f>IFERROR(__xludf.DUMMYFUNCTION("IF(C251=""rememoração"", ""Insira a data manualmente"", IF(C251=""difusão"", 
 IF(NOT(ISERROR(REGEXEXTRACT(T251, ""(\d{1,2}) jan\. 2025""))), 
  TEXT(DATE(2025,1,REGEXEXTRACT(T251, ""(\d{1,2}) jan\. 2025"")), ""dd/mm/yyyy""),
 IF(NOT(ISERROR(REGEXEXTRACT("&amp;"T251, ""(\d{1,2}) fev\. 2025""))), 
  TEXT(DATE(2025,2,REGEXEXTRACT(T251, ""(\d{1,2}) fev\. 2025"")), ""dd/mm/yyyy""),
 IF(NOT(ISERROR(REGEXEXTRACT(T251, ""(\d{1,2}) mar\. 2025""))), 
  TEXT(DATE(2025,3,REGEXEXTRACT(T251, ""(\d{1,2}) mar\. 2025"")), ""dd/"&amp;"mm/yyyy""),
 IF(NOT(ISERROR(REGEXEXTRACT(T251, ""(\d{1,2}) abr\. 2025""))), 
  TEXT(DATE(2025,4,REGEXEXTRACT(T251, ""(\d{1,2}) abr\. 2025"")), ""dd/mm/yyyy""),
 IF(NOT(ISERROR(REGEXEXTRACT(T251, ""(\d{1,2}) (mai|maio)\. 2025""))), 
  TEXT(DATE(2025,5,REGE"&amp;"XEXTRACT(T251, ""(\d{1,2}) (mai|maio)\. 2025"")), ""dd/mm/yyyy""),
 IF(NOT(ISERROR(REGEXEXTRACT(T251, ""(\d{1,2}) jun\. 2025""))), 
  TEXT(DATE(2025,6,REGEXEXTRACT(T251, ""(\d{1,2}) jun\. 2025"")), ""dd/mm/yyyy""),
 IF(NOT(ISERROR(REGEXEXTRACT(T251, ""(\d"&amp;"{1,2}) jul\. 2025""))), 
  TEXT(DATE(2025,7,REGEXEXTRACT(T251, ""(\d{1,2}) jul\. 2025"")), ""dd/mm/yyyy""),
 IF(NOT(ISERROR(REGEXEXTRACT(T251, ""(\d{1,2}) ago\. 2025""))), 
  TEXT(DATE(2025,8,REGEXEXTRACT(T251, ""(\d{1,2}) ago\. 2025"")), ""dd/mm/yyyy""),"&amp;"
 IF(NOT(ISERROR(REGEXEXTRACT(T251, ""(\d{1,2}) set\. 2025""))), 
  TEXT(DATE(2025,9,REGEXEXTRACT(T251, ""(\d{1,2}) set\. 2025"")), ""dd/mm/yyyy""),
 IF(NOT(ISERROR(REGEXEXTRACT(T251, ""(\d{1,2}) out\. 2025""))), 
  TEXT(DATE(2025,10,REGEXEXTRACT(T251, """&amp;"(\d{1,2}) out\. 2025"")), ""dd/mm/yyyy""),
 IF(NOT(ISERROR(REGEXEXTRACT(T251, ""(\d{1,2}) nov\. 2025""))), 
  TEXT(DATE(2025,11,REGEXEXTRACT(T251, ""(\d{1,2}) nov\. 2025"")), ""dd/mm/yyyy""),
 IF(NOT(ISERROR(REGEXEXTRACT(T251, ""(\d{1,2}) dez\. 2025""))),"&amp;" 
  TEXT(DATE(2025,12,REGEXEXTRACT(T251, ""(\d{1,2}) dez\. 2025"")), ""dd/mm/yyyy""),
 ""Insira a data manualmente"")))))))))))), """"))"),"10/11/2025")</f>
        <v>10/11/2025</v>
      </c>
      <c r="H251" s="22">
        <f t="shared" si="1"/>
        <v>2025</v>
      </c>
      <c r="I251" s="18" t="str">
        <f>IFERROR(__xludf.DUMMYFUNCTION("IF(REGEXMATCH(T251,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IF(REGEXMATCH(T251, ""(?i)\bBrasília\b""), ""Distrito Federal, Brasil"",
REGEXEXTRACT(T251,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51" s="30" t="s">
        <v>48</v>
      </c>
      <c r="K251" s="24" t="s">
        <v>636</v>
      </c>
      <c r="L251" s="24" t="s">
        <v>26</v>
      </c>
      <c r="M251" s="25" t="s">
        <v>27</v>
      </c>
      <c r="N251" s="18" t="str">
        <f t="shared" si="8"/>
        <v>Folha de S. Paulo</v>
      </c>
      <c r="O251" s="17" t="s">
        <v>28</v>
      </c>
      <c r="P251" s="17" t="s">
        <v>251</v>
      </c>
      <c r="Q251" s="26">
        <v>45972.0</v>
      </c>
      <c r="R251" s="17" t="s">
        <v>30</v>
      </c>
      <c r="S251" s="27" t="str">
        <f t="shared" si="3"/>
        <v>Aqui</v>
      </c>
      <c r="T251" s="29" t="s">
        <v>637</v>
      </c>
      <c r="U251" s="29"/>
    </row>
    <row r="252">
      <c r="A252" s="16">
        <v>250.0</v>
      </c>
      <c r="B252" s="17" t="s">
        <v>23</v>
      </c>
      <c r="C252" s="18" t="str">
        <f>IFERROR(__xludf.DUMMYFUNCTION("IF(B252="""","""",IF(OR(
  REGEXMATCH(B252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REGEXMATCH(B252,""Notícia|Reportagem|Artigo de opinião|Verbete"")
),""Difusão"","""")))
"),"Difusão")</f>
        <v>Difusão</v>
      </c>
      <c r="D252" s="19" t="str">
        <f>IFERROR(__xludf.DUMMYFUNCTION("IF(B252="""","""",IF(OR(
  REGEXMATCH(B252,""Performance|Instalação|Álbum|Música|Poema|Livro|Filme|Documentário|Recitação|Espetáculo|Peça|Intervenção|Desfile|Fotografia|Exposição|Charge|Grafite|Leitura pública|Fabricação de cachaça artesanal""),
  REGEXMA"&amp;"TCH(B252,""dança|teatral|artístico|musical|artística"")
),""Manifestação artístico-cultural"",
IF(OR(
  REGEXMATCH(B252,""Crônica|Série|Reportagem|Podcast|Audiotour|Entrevista|Vídeo|Rádio|Notícia|Artigo de opinião|Coletiva de imprensa""),
  REGEXMATCH(B25"&amp;"2,""midiática"")
),""Produção midiática"","""")))
"),"Produção midiática")</f>
        <v>Produção midiática</v>
      </c>
      <c r="E252" s="20" t="str">
        <f>IFERROR(__xludf.DUMMYFUNCTION("IF(B252="""","""",IF(OR(
  REGEXMATCH(B252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REGEXMATCH(B252,""público|Imediato|artística|teatral|memória|Ação popular"")
),""Público Imediato"",
IF(REGEXMATCH(B252,""Música|Álbum|Filme|Documentár"&amp;"io|Série|Podcast|Rádio|Audiotour|Entrevista|Reportagem|Crônica|Relatório|Abaixo-assinado|Manifesto|Petição|Poema|Livro|Fotografia|Curta|Live|Webinário|Charge|Leitura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52" s="20" t="str">
        <f>IFERROR(__xludf.DUMMYFUNCTION("IF(B252="""","""",IF(OR(
  REGEXMATCH(B252,""Live|Webinário|Virtual|Verbete""),
  REGEXMATCH(B252,""online"")
),""Virtual"",
IF(REGEXMATCH(B252,""Música|Álbum|Filme|Documentário|Série|Podcast|Rádio|Audiotour|Episódio|Reportagem|Curta|Charge|Vídeo|Entrevis"&amp;"ta|Notícia|Artigo de opinião""),
""Midiático"",
IF(REGEXMATCH(B252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52" s="21" t="str">
        <f>IFERROR(__xludf.DUMMYFUNCTION("IF(C252=""rememoração"", ""Insira a data manualmente"", IF(C252=""difusão"", 
 IF(NOT(ISERROR(REGEXEXTRACT(T252, ""(\d{1,2}) jan\. 2025""))), 
  TEXT(DATE(2025,1,REGEXEXTRACT(T252, ""(\d{1,2}) jan\. 2025"")), ""dd/mm/yyyy""),
 IF(NOT(ISERROR(REGEXEXTRACT("&amp;"T252, ""(\d{1,2}) fev\. 2025""))), 
  TEXT(DATE(2025,2,REGEXEXTRACT(T252, ""(\d{1,2}) fev\. 2025"")), ""dd/mm/yyyy""),
 IF(NOT(ISERROR(REGEXEXTRACT(T252, ""(\d{1,2}) mar\. 2025""))), 
  TEXT(DATE(2025,3,REGEXEXTRACT(T252, ""(\d{1,2}) mar\. 2025"")), ""dd/"&amp;"mm/yyyy""),
 IF(NOT(ISERROR(REGEXEXTRACT(T252, ""(\d{1,2}) abr\. 2025""))), 
  TEXT(DATE(2025,4,REGEXEXTRACT(T252, ""(\d{1,2}) abr\. 2025"")), ""dd/mm/yyyy""),
 IF(NOT(ISERROR(REGEXEXTRACT(T252, ""(\d{1,2}) (mai|maio)\. 2025""))), 
  TEXT(DATE(2025,5,REGE"&amp;"XEXTRACT(T252, ""(\d{1,2}) (mai|maio)\. 2025"")), ""dd/mm/yyyy""),
 IF(NOT(ISERROR(REGEXEXTRACT(T252, ""(\d{1,2}) jun\. 2025""))), 
  TEXT(DATE(2025,6,REGEXEXTRACT(T252, ""(\d{1,2}) jun\. 2025"")), ""dd/mm/yyyy""),
 IF(NOT(ISERROR(REGEXEXTRACT(T252, ""(\d"&amp;"{1,2}) jul\. 2025""))), 
  TEXT(DATE(2025,7,REGEXEXTRACT(T252, ""(\d{1,2}) jul\. 2025"")), ""dd/mm/yyyy""),
 IF(NOT(ISERROR(REGEXEXTRACT(T252, ""(\d{1,2}) ago\. 2025""))), 
  TEXT(DATE(2025,8,REGEXEXTRACT(T252, ""(\d{1,2}) ago\. 2025"")), ""dd/mm/yyyy""),"&amp;"
 IF(NOT(ISERROR(REGEXEXTRACT(T252, ""(\d{1,2}) set\. 2025""))), 
  TEXT(DATE(2025,9,REGEXEXTRACT(T252, ""(\d{1,2}) set\. 2025"")), ""dd/mm/yyyy""),
 IF(NOT(ISERROR(REGEXEXTRACT(T252, ""(\d{1,2}) out\. 2025""))), 
  TEXT(DATE(2025,10,REGEXEXTRACT(T252, """&amp;"(\d{1,2}) out\. 2025"")), ""dd/mm/yyyy""),
 IF(NOT(ISERROR(REGEXEXTRACT(T252, ""(\d{1,2}) nov\. 2025""))), 
  TEXT(DATE(2025,11,REGEXEXTRACT(T252, ""(\d{1,2}) nov\. 2025"")), ""dd/mm/yyyy""),
 IF(NOT(ISERROR(REGEXEXTRACT(T252, ""(\d{1,2}) dez\. 2025""))),"&amp;" 
  TEXT(DATE(2025,12,REGEXEXTRACT(T252, ""(\d{1,2}) dez\. 2025"")), ""dd/mm/yyyy""),
 ""Insira a data manualmente"")))))))))))), """"))"),"10/11/2025")</f>
        <v>10/11/2025</v>
      </c>
      <c r="H252" s="22">
        <f t="shared" si="1"/>
        <v>2025</v>
      </c>
      <c r="I252" s="18" t="str">
        <f>IFERROR(__xludf.DUMMYFUNCTION("IF(REGEXMATCH(T252,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IF(REGEXMATCH(T252, ""(?i)\bBrasília\b""), ""Distrito Federal, Brasil"",
REGEXEXTRACT(T252,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52" s="30" t="s">
        <v>638</v>
      </c>
      <c r="K252" s="24" t="s">
        <v>639</v>
      </c>
      <c r="L252" s="24" t="s">
        <v>26</v>
      </c>
      <c r="M252" s="25" t="s">
        <v>27</v>
      </c>
      <c r="N252" s="18" t="str">
        <f t="shared" si="8"/>
        <v>Veja</v>
      </c>
      <c r="O252" s="17" t="s">
        <v>28</v>
      </c>
      <c r="P252" s="17" t="s">
        <v>251</v>
      </c>
      <c r="Q252" s="26">
        <v>45972.0</v>
      </c>
      <c r="R252" s="17" t="s">
        <v>30</v>
      </c>
      <c r="S252" s="27" t="str">
        <f t="shared" si="3"/>
        <v>Aqui</v>
      </c>
      <c r="T252" s="29" t="s">
        <v>640</v>
      </c>
      <c r="U252" s="29"/>
    </row>
    <row r="253">
      <c r="A253" s="16">
        <v>251.0</v>
      </c>
      <c r="B253" s="17" t="s">
        <v>23</v>
      </c>
      <c r="C253" s="18" t="str">
        <f>IFERROR(__xludf.DUMMYFUNCTION("IF(B253="""","""",IF(OR(
  REGEXMATCH(B253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REGEXMATCH(B253,""Notícia|Reportagem|Artigo de opinião|Verbete"")
),""Difusão"","""")))
"),"Difusão")</f>
        <v>Difusão</v>
      </c>
      <c r="D253" s="19" t="str">
        <f>IFERROR(__xludf.DUMMYFUNCTION("IF(B253="""","""",IF(OR(
  REGEXMATCH(B253,""Performance|Instalação|Álbum|Música|Poema|Livro|Filme|Documentário|Recitação|Espetáculo|Peça|Intervenção|Desfile|Fotografia|Exposição|Charge|Grafite|Leitura pública|Fabricação de cachaça artesanal""),
  REGEXMA"&amp;"TCH(B253,""dança|teatral|artístico|musical|artística"")
),""Manifestação artístico-cultural"",
IF(OR(
  REGEXMATCH(B253,""Crônica|Série|Reportagem|Podcast|Audiotour|Entrevista|Vídeo|Rádio|Notícia|Artigo de opinião|Coletiva de imprensa""),
  REGEXMATCH(B25"&amp;"3,""midiática"")
),""Produção midiática"","""")))
"),"Produção midiática")</f>
        <v>Produção midiática</v>
      </c>
      <c r="E253" s="20" t="str">
        <f>IFERROR(__xludf.DUMMYFUNCTION("IF(B253="""","""",IF(OR(
  REGEXMATCH(B253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REGEXMATCH(B253,""público|Imediato|artística|teatral|memória|Ação popular"")
),""Público Imediato"",
IF(REGEXMATCH(B253,""Música|Álbum|Filme|Documentár"&amp;"io|Série|Podcast|Rádio|Audiotour|Entrevista|Reportagem|Crônica|Relatório|Abaixo-assinado|Manifesto|Petição|Poema|Livro|Fotografia|Curta|Live|Webinário|Charge|Leitura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53" s="20" t="str">
        <f>IFERROR(__xludf.DUMMYFUNCTION("IF(B253="""","""",IF(OR(
  REGEXMATCH(B253,""Live|Webinário|Virtual|Verbete""),
  REGEXMATCH(B253,""online"")
),""Virtual"",
IF(REGEXMATCH(B253,""Música|Álbum|Filme|Documentário|Série|Podcast|Rádio|Audiotour|Episódio|Reportagem|Curta|Charge|Vídeo|Entrevis"&amp;"ta|Notícia|Artigo de opinião""),
""Midiático"",
IF(REGEXMATCH(B253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53" s="21" t="str">
        <f>IFERROR(__xludf.DUMMYFUNCTION("IF(C253=""rememoração"", ""Insira a data manualmente"", IF(C253=""difusão"", 
 IF(NOT(ISERROR(REGEXEXTRACT(T253, ""(\d{1,2}) jan\. 2025""))), 
  TEXT(DATE(2025,1,REGEXEXTRACT(T253, ""(\d{1,2}) jan\. 2025"")), ""dd/mm/yyyy""),
 IF(NOT(ISERROR(REGEXEXTRACT("&amp;"T253, ""(\d{1,2}) fev\. 2025""))), 
  TEXT(DATE(2025,2,REGEXEXTRACT(T253, ""(\d{1,2}) fev\. 2025"")), ""dd/mm/yyyy""),
 IF(NOT(ISERROR(REGEXEXTRACT(T253, ""(\d{1,2}) mar\. 2025""))), 
  TEXT(DATE(2025,3,REGEXEXTRACT(T253, ""(\d{1,2}) mar\. 2025"")), ""dd/"&amp;"mm/yyyy""),
 IF(NOT(ISERROR(REGEXEXTRACT(T253, ""(\d{1,2}) abr\. 2025""))), 
  TEXT(DATE(2025,4,REGEXEXTRACT(T253, ""(\d{1,2}) abr\. 2025"")), ""dd/mm/yyyy""),
 IF(NOT(ISERROR(REGEXEXTRACT(T253, ""(\d{1,2}) (mai|maio)\. 2025""))), 
  TEXT(DATE(2025,5,REGE"&amp;"XEXTRACT(T253, ""(\d{1,2}) (mai|maio)\. 2025"")), ""dd/mm/yyyy""),
 IF(NOT(ISERROR(REGEXEXTRACT(T253, ""(\d{1,2}) jun\. 2025""))), 
  TEXT(DATE(2025,6,REGEXEXTRACT(T253, ""(\d{1,2}) jun\. 2025"")), ""dd/mm/yyyy""),
 IF(NOT(ISERROR(REGEXEXTRACT(T253, ""(\d"&amp;"{1,2}) jul\. 2025""))), 
  TEXT(DATE(2025,7,REGEXEXTRACT(T253, ""(\d{1,2}) jul\. 2025"")), ""dd/mm/yyyy""),
 IF(NOT(ISERROR(REGEXEXTRACT(T253, ""(\d{1,2}) ago\. 2025""))), 
  TEXT(DATE(2025,8,REGEXEXTRACT(T253, ""(\d{1,2}) ago\. 2025"")), ""dd/mm/yyyy""),"&amp;"
 IF(NOT(ISERROR(REGEXEXTRACT(T253, ""(\d{1,2}) set\. 2025""))), 
  TEXT(DATE(2025,9,REGEXEXTRACT(T253, ""(\d{1,2}) set\. 2025"")), ""dd/mm/yyyy""),
 IF(NOT(ISERROR(REGEXEXTRACT(T253, ""(\d{1,2}) out\. 2025""))), 
  TEXT(DATE(2025,10,REGEXEXTRACT(T253, """&amp;"(\d{1,2}) out\. 2025"")), ""dd/mm/yyyy""),
 IF(NOT(ISERROR(REGEXEXTRACT(T253, ""(\d{1,2}) nov\. 2025""))), 
  TEXT(DATE(2025,11,REGEXEXTRACT(T253, ""(\d{1,2}) nov\. 2025"")), ""dd/mm/yyyy""),
 IF(NOT(ISERROR(REGEXEXTRACT(T253, ""(\d{1,2}) dez\. 2025""))),"&amp;" 
  TEXT(DATE(2025,12,REGEXEXTRACT(T253, ""(\d{1,2}) dez\. 2025"")), ""dd/mm/yyyy""),
 ""Insira a data manualmente"")))))))))))), """"))"),"28/10/2025")</f>
        <v>28/10/2025</v>
      </c>
      <c r="H253" s="22">
        <f t="shared" si="1"/>
        <v>2025</v>
      </c>
      <c r="I253" s="18" t="str">
        <f>IFERROR(__xludf.DUMMYFUNCTION("IF(REGEXMATCH(T253,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IF(REGEXMATCH(T253, ""(?i)\bBrasília\b""), ""Distrito Federal, Brasil"",
REGEXEXTRACT(T253,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53" s="30" t="s">
        <v>56</v>
      </c>
      <c r="K253" s="24" t="s">
        <v>641</v>
      </c>
      <c r="L253" s="24" t="s">
        <v>26</v>
      </c>
      <c r="M253" s="25" t="s">
        <v>27</v>
      </c>
      <c r="N253" s="18" t="str">
        <f t="shared" si="8"/>
        <v>UOL</v>
      </c>
      <c r="O253" s="17" t="s">
        <v>28</v>
      </c>
      <c r="P253" s="17" t="s">
        <v>251</v>
      </c>
      <c r="Q253" s="26">
        <v>45972.0</v>
      </c>
      <c r="R253" s="17" t="s">
        <v>30</v>
      </c>
      <c r="S253" s="27" t="str">
        <f t="shared" si="3"/>
        <v>Aqui</v>
      </c>
      <c r="T253" s="29" t="s">
        <v>642</v>
      </c>
      <c r="U253" s="29"/>
    </row>
    <row r="254">
      <c r="A254" s="16">
        <v>252.0</v>
      </c>
      <c r="B254" s="17" t="s">
        <v>23</v>
      </c>
      <c r="C254" s="18" t="str">
        <f>IFERROR(__xludf.DUMMYFUNCTION("IF(B254="""","""",IF(OR(
  REGEXMATCH(B254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REGEXMATCH(B254,""Notícia|Reportagem|Artigo de opinião|Verbete"")
),""Difusão"","""")))
"),"Difusão")</f>
        <v>Difusão</v>
      </c>
      <c r="D254" s="19" t="str">
        <f>IFERROR(__xludf.DUMMYFUNCTION("IF(B254="""","""",IF(OR(
  REGEXMATCH(B254,""Performance|Instalação|Álbum|Música|Poema|Livro|Filme|Documentário|Recitação|Espetáculo|Peça|Intervenção|Desfile|Fotografia|Exposição|Charge|Grafite|Leitura pública|Fabricação de cachaça artesanal""),
  REGEXMA"&amp;"TCH(B254,""dança|teatral|artístico|musical|artística"")
),""Manifestação artístico-cultural"",
IF(OR(
  REGEXMATCH(B254,""Crônica|Série|Reportagem|Podcast|Audiotour|Entrevista|Vídeo|Rádio|Notícia|Artigo de opinião|Coletiva de imprensa""),
  REGEXMATCH(B25"&amp;"4,""midiática"")
),""Produção midiática"","""")))
"),"Produção midiática")</f>
        <v>Produção midiática</v>
      </c>
      <c r="E254" s="20" t="str">
        <f>IFERROR(__xludf.DUMMYFUNCTION("IF(B254="""","""",IF(OR(
  REGEXMATCH(B254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REGEXMATCH(B254,""público|Imediato|artística|teatral|memória|Ação popular"")
),""Público Imediato"",
IF(REGEXMATCH(B254,""Música|Álbum|Filme|Documentár"&amp;"io|Série|Podcast|Rádio|Audiotour|Entrevista|Reportagem|Crônica|Relatório|Abaixo-assinado|Manifesto|Petição|Poema|Livro|Fotografia|Curta|Live|Webinário|Charge|Leitura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54" s="20" t="str">
        <f>IFERROR(__xludf.DUMMYFUNCTION("IF(B254="""","""",IF(OR(
  REGEXMATCH(B254,""Live|Webinário|Virtual|Verbete""),
  REGEXMATCH(B254,""online"")
),""Virtual"",
IF(REGEXMATCH(B254,""Música|Álbum|Filme|Documentário|Série|Podcast|Rádio|Audiotour|Episódio|Reportagem|Curta|Charge|Vídeo|Entrevis"&amp;"ta|Notícia|Artigo de opinião""),
""Midiático"",
IF(REGEXMATCH(B254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54" s="21" t="str">
        <f>IFERROR(__xludf.DUMMYFUNCTION("IF(C254=""rememoração"", ""Insira a data manualmente"", IF(C254=""difusão"", 
 IF(NOT(ISERROR(REGEXEXTRACT(T254, ""(\d{1,2}) jan\. 2025""))), 
  TEXT(DATE(2025,1,REGEXEXTRACT(T254, ""(\d{1,2}) jan\. 2025"")), ""dd/mm/yyyy""),
 IF(NOT(ISERROR(REGEXEXTRACT("&amp;"T254, ""(\d{1,2}) fev\. 2025""))), 
  TEXT(DATE(2025,2,REGEXEXTRACT(T254, ""(\d{1,2}) fev\. 2025"")), ""dd/mm/yyyy""),
 IF(NOT(ISERROR(REGEXEXTRACT(T254, ""(\d{1,2}) mar\. 2025""))), 
  TEXT(DATE(2025,3,REGEXEXTRACT(T254, ""(\d{1,2}) mar\. 2025"")), ""dd/"&amp;"mm/yyyy""),
 IF(NOT(ISERROR(REGEXEXTRACT(T254, ""(\d{1,2}) abr\. 2025""))), 
  TEXT(DATE(2025,4,REGEXEXTRACT(T254, ""(\d{1,2}) abr\. 2025"")), ""dd/mm/yyyy""),
 IF(NOT(ISERROR(REGEXEXTRACT(T254, ""(\d{1,2}) (mai|maio)\. 2025""))), 
  TEXT(DATE(2025,5,REGE"&amp;"XEXTRACT(T254, ""(\d{1,2}) (mai|maio)\. 2025"")), ""dd/mm/yyyy""),
 IF(NOT(ISERROR(REGEXEXTRACT(T254, ""(\d{1,2}) jun\. 2025""))), 
  TEXT(DATE(2025,6,REGEXEXTRACT(T254, ""(\d{1,2}) jun\. 2025"")), ""dd/mm/yyyy""),
 IF(NOT(ISERROR(REGEXEXTRACT(T254, ""(\d"&amp;"{1,2}) jul\. 2025""))), 
  TEXT(DATE(2025,7,REGEXEXTRACT(T254, ""(\d{1,2}) jul\. 2025"")), ""dd/mm/yyyy""),
 IF(NOT(ISERROR(REGEXEXTRACT(T254, ""(\d{1,2}) ago\. 2025""))), 
  TEXT(DATE(2025,8,REGEXEXTRACT(T254, ""(\d{1,2}) ago\. 2025"")), ""dd/mm/yyyy""),"&amp;"
 IF(NOT(ISERROR(REGEXEXTRACT(T254, ""(\d{1,2}) set\. 2025""))), 
  TEXT(DATE(2025,9,REGEXEXTRACT(T254, ""(\d{1,2}) set\. 2025"")), ""dd/mm/yyyy""),
 IF(NOT(ISERROR(REGEXEXTRACT(T254, ""(\d{1,2}) out\. 2025""))), 
  TEXT(DATE(2025,10,REGEXEXTRACT(T254, """&amp;"(\d{1,2}) out\. 2025"")), ""dd/mm/yyyy""),
 IF(NOT(ISERROR(REGEXEXTRACT(T254, ""(\d{1,2}) nov\. 2025""))), 
  TEXT(DATE(2025,11,REGEXEXTRACT(T254, ""(\d{1,2}) nov\. 2025"")), ""dd/mm/yyyy""),
 IF(NOT(ISERROR(REGEXEXTRACT(T254, ""(\d{1,2}) dez\. 2025""))),"&amp;" 
  TEXT(DATE(2025,12,REGEXEXTRACT(T254, ""(\d{1,2}) dez\. 2025"")), ""dd/mm/yyyy""),
 ""Insira a data manualmente"")))))))))))), """"))"),"07/11/2025")</f>
        <v>07/11/2025</v>
      </c>
      <c r="H254" s="22">
        <f t="shared" si="1"/>
        <v>2025</v>
      </c>
      <c r="I254" s="18" t="str">
        <f>IFERROR(__xludf.DUMMYFUNCTION("IF(REGEXMATCH(T254,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IF(REGEXMATCH(T254, ""(?i)\bBrasília\b""), ""Distrito Federal, Brasil"",
REGEXEXTRACT(T254,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54" s="30" t="s">
        <v>48</v>
      </c>
      <c r="K254" s="24" t="s">
        <v>643</v>
      </c>
      <c r="L254" s="24" t="s">
        <v>26</v>
      </c>
      <c r="M254" s="25" t="s">
        <v>27</v>
      </c>
      <c r="N254" s="18" t="str">
        <f t="shared" si="8"/>
        <v>Folha de S. Paulo</v>
      </c>
      <c r="O254" s="17" t="s">
        <v>28</v>
      </c>
      <c r="P254" s="17" t="s">
        <v>251</v>
      </c>
      <c r="Q254" s="26">
        <v>45972.0</v>
      </c>
      <c r="R254" s="17" t="s">
        <v>30</v>
      </c>
      <c r="S254" s="27" t="str">
        <f t="shared" si="3"/>
        <v>Aqui</v>
      </c>
      <c r="T254" s="29" t="s">
        <v>644</v>
      </c>
      <c r="U254" s="29"/>
    </row>
    <row r="255">
      <c r="A255" s="16">
        <v>253.0</v>
      </c>
      <c r="B255" s="17" t="s">
        <v>23</v>
      </c>
      <c r="C255" s="18" t="str">
        <f>IFERROR(__xludf.DUMMYFUNCTION("IF(B255="""","""",IF(OR(
  REGEXMATCH(B255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REGEXMATCH(B255,""Notícia|Reportagem|Artigo de opinião|Verbete"")
),""Difusão"","""")))
"),"Difusão")</f>
        <v>Difusão</v>
      </c>
      <c r="D255" s="19" t="str">
        <f>IFERROR(__xludf.DUMMYFUNCTION("IF(B255="""","""",IF(OR(
  REGEXMATCH(B255,""Performance|Instalação|Álbum|Música|Poema|Livro|Filme|Documentário|Recitação|Espetáculo|Peça|Intervenção|Desfile|Fotografia|Exposição|Charge|Grafite|Leitura pública|Fabricação de cachaça artesanal""),
  REGEXMA"&amp;"TCH(B255,""dança|teatral|artístico|musical|artística"")
),""Manifestação artístico-cultural"",
IF(OR(
  REGEXMATCH(B255,""Crônica|Série|Reportagem|Podcast|Audiotour|Entrevista|Vídeo|Rádio|Notícia|Artigo de opinião|Coletiva de imprensa""),
  REGEXMATCH(B25"&amp;"5,""midiática"")
),""Produção midiática"","""")))
"),"Produção midiática")</f>
        <v>Produção midiática</v>
      </c>
      <c r="E255" s="20" t="str">
        <f>IFERROR(__xludf.DUMMYFUNCTION("IF(B255="""","""",IF(OR(
  REGEXMATCH(B255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REGEXMATCH(B255,""público|Imediato|artística|teatral|memória|Ação popular"")
),""Público Imediato"",
IF(REGEXMATCH(B255,""Música|Álbum|Filme|Documentár"&amp;"io|Série|Podcast|Rádio|Audiotour|Entrevista|Reportagem|Crônica|Relatório|Abaixo-assinado|Manifesto|Petição|Poema|Livro|Fotografia|Curta|Live|Webinário|Charge|Leitura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55" s="20" t="str">
        <f>IFERROR(__xludf.DUMMYFUNCTION("IF(B255="""","""",IF(OR(
  REGEXMATCH(B255,""Live|Webinário|Virtual|Verbete""),
  REGEXMATCH(B255,""online"")
),""Virtual"",
IF(REGEXMATCH(B255,""Música|Álbum|Filme|Documentário|Série|Podcast|Rádio|Audiotour|Episódio|Reportagem|Curta|Charge|Vídeo|Entrevis"&amp;"ta|Notícia|Artigo de opinião""),
""Midiático"",
IF(REGEXMATCH(B255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55" s="21" t="str">
        <f>IFERROR(__xludf.DUMMYFUNCTION("IF(C255=""rememoração"", ""Insira a data manualmente"", IF(C255=""difusão"", 
 IF(NOT(ISERROR(REGEXEXTRACT(T255, ""(\d{1,2}) jan\. 2025""))), 
  TEXT(DATE(2025,1,REGEXEXTRACT(T255, ""(\d{1,2}) jan\. 2025"")), ""dd/mm/yyyy""),
 IF(NOT(ISERROR(REGEXEXTRACT("&amp;"T255, ""(\d{1,2}) fev\. 2025""))), 
  TEXT(DATE(2025,2,REGEXEXTRACT(T255, ""(\d{1,2}) fev\. 2025"")), ""dd/mm/yyyy""),
 IF(NOT(ISERROR(REGEXEXTRACT(T255, ""(\d{1,2}) mar\. 2025""))), 
  TEXT(DATE(2025,3,REGEXEXTRACT(T255, ""(\d{1,2}) mar\. 2025"")), ""dd/"&amp;"mm/yyyy""),
 IF(NOT(ISERROR(REGEXEXTRACT(T255, ""(\d{1,2}) abr\. 2025""))), 
  TEXT(DATE(2025,4,REGEXEXTRACT(T255, ""(\d{1,2}) abr\. 2025"")), ""dd/mm/yyyy""),
 IF(NOT(ISERROR(REGEXEXTRACT(T255, ""(\d{1,2}) (mai|maio)\. 2025""))), 
  TEXT(DATE(2025,5,REGE"&amp;"XEXTRACT(T255, ""(\d{1,2}) (mai|maio)\. 2025"")), ""dd/mm/yyyy""),
 IF(NOT(ISERROR(REGEXEXTRACT(T255, ""(\d{1,2}) jun\. 2025""))), 
  TEXT(DATE(2025,6,REGEXEXTRACT(T255, ""(\d{1,2}) jun\. 2025"")), ""dd/mm/yyyy""),
 IF(NOT(ISERROR(REGEXEXTRACT(T255, ""(\d"&amp;"{1,2}) jul\. 2025""))), 
  TEXT(DATE(2025,7,REGEXEXTRACT(T255, ""(\d{1,2}) jul\. 2025"")), ""dd/mm/yyyy""),
 IF(NOT(ISERROR(REGEXEXTRACT(T255, ""(\d{1,2}) ago\. 2025""))), 
  TEXT(DATE(2025,8,REGEXEXTRACT(T255, ""(\d{1,2}) ago\. 2025"")), ""dd/mm/yyyy""),"&amp;"
 IF(NOT(ISERROR(REGEXEXTRACT(T255, ""(\d{1,2}) set\. 2025""))), 
  TEXT(DATE(2025,9,REGEXEXTRACT(T255, ""(\d{1,2}) set\. 2025"")), ""dd/mm/yyyy""),
 IF(NOT(ISERROR(REGEXEXTRACT(T255, ""(\d{1,2}) out\. 2025""))), 
  TEXT(DATE(2025,10,REGEXEXTRACT(T255, """&amp;"(\d{1,2}) out\. 2025"")), ""dd/mm/yyyy""),
 IF(NOT(ISERROR(REGEXEXTRACT(T255, ""(\d{1,2}) nov\. 2025""))), 
  TEXT(DATE(2025,11,REGEXEXTRACT(T255, ""(\d{1,2}) nov\. 2025"")), ""dd/mm/yyyy""),
 IF(NOT(ISERROR(REGEXEXTRACT(T255, ""(\d{1,2}) dez\. 2025""))),"&amp;" 
  TEXT(DATE(2025,12,REGEXEXTRACT(T255, ""(\d{1,2}) dez\. 2025"")), ""dd/mm/yyyy""),
 ""Insira a data manualmente"")))))))))))), """"))"),"29/10/2025")</f>
        <v>29/10/2025</v>
      </c>
      <c r="H255" s="22">
        <f t="shared" si="1"/>
        <v>2025</v>
      </c>
      <c r="I255" s="18" t="str">
        <f>IFERROR(__xludf.DUMMYFUNCTION("IF(REGEXMATCH(T255,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IF(REGEXMATCH(T255, ""(?i)\bBrasília\b""), ""Distrito Federal, Brasil"",
REGEXEXTRACT(T255,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55" s="30" t="s">
        <v>323</v>
      </c>
      <c r="K255" s="24" t="s">
        <v>645</v>
      </c>
      <c r="L255" s="24" t="s">
        <v>26</v>
      </c>
      <c r="M255" s="25" t="s">
        <v>27</v>
      </c>
      <c r="N255" s="18" t="str">
        <f t="shared" si="8"/>
        <v>O Estado de S. Paulo</v>
      </c>
      <c r="O255" s="17" t="s">
        <v>28</v>
      </c>
      <c r="P255" s="17" t="s">
        <v>251</v>
      </c>
      <c r="Q255" s="26">
        <v>45972.0</v>
      </c>
      <c r="R255" s="17" t="s">
        <v>30</v>
      </c>
      <c r="S255" s="27" t="str">
        <f t="shared" si="3"/>
        <v>Aqui</v>
      </c>
      <c r="T255" s="29" t="s">
        <v>646</v>
      </c>
      <c r="U255" s="29"/>
    </row>
    <row r="256">
      <c r="A256" s="16">
        <v>254.0</v>
      </c>
      <c r="B256" s="17" t="s">
        <v>23</v>
      </c>
      <c r="C256" s="18" t="str">
        <f>IFERROR(__xludf.DUMMYFUNCTION("IF(B256="""","""",IF(OR(
  REGEXMATCH(B256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REGEXMATCH(B256,""Notícia|Reportagem|Artigo de opinião|Verbete"")
),""Difusão"","""")))
"),"Difusão")</f>
        <v>Difusão</v>
      </c>
      <c r="D256" s="19" t="str">
        <f>IFERROR(__xludf.DUMMYFUNCTION("IF(B256="""","""",IF(OR(
  REGEXMATCH(B256,""Performance|Instalação|Álbum|Música|Poema|Livro|Filme|Documentário|Recitação|Espetáculo|Peça|Intervenção|Desfile|Fotografia|Exposição|Charge|Grafite|Leitura pública|Fabricação de cachaça artesanal""),
  REGEXMA"&amp;"TCH(B256,""dança|teatral|artístico|musical|artística"")
),""Manifestação artístico-cultural"",
IF(OR(
  REGEXMATCH(B256,""Crônica|Série|Reportagem|Podcast|Audiotour|Entrevista|Vídeo|Rádio|Notícia|Artigo de opinião|Coletiva de imprensa""),
  REGEXMATCH(B25"&amp;"6,""midiática"")
),""Produção midiática"","""")))
"),"Produção midiática")</f>
        <v>Produção midiática</v>
      </c>
      <c r="E256" s="20" t="str">
        <f>IFERROR(__xludf.DUMMYFUNCTION("IF(B256="""","""",IF(OR(
  REGEXMATCH(B256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REGEXMATCH(B256,""público|Imediato|artística|teatral|memória|Ação popular"")
),""Público Imediato"",
IF(REGEXMATCH(B256,""Música|Álbum|Filme|Documentár"&amp;"io|Série|Podcast|Rádio|Audiotour|Entrevista|Reportagem|Crônica|Relatório|Abaixo-assinado|Manifesto|Petição|Poema|Livro|Fotografia|Curta|Live|Webinário|Charge|Leitura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56" s="20" t="str">
        <f>IFERROR(__xludf.DUMMYFUNCTION("IF(B256="""","""",IF(OR(
  REGEXMATCH(B256,""Live|Webinário|Virtual|Verbete""),
  REGEXMATCH(B256,""online"")
),""Virtual"",
IF(REGEXMATCH(B256,""Música|Álbum|Filme|Documentário|Série|Podcast|Rádio|Audiotour|Episódio|Reportagem|Curta|Charge|Vídeo|Entrevis"&amp;"ta|Notícia|Artigo de opinião""),
""Midiático"",
IF(REGEXMATCH(B256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56" s="21" t="str">
        <f>IFERROR(__xludf.DUMMYFUNCTION("IF(C256=""rememoração"", ""Insira a data manualmente"", IF(C256=""difusão"", 
 IF(NOT(ISERROR(REGEXEXTRACT(T256, ""(\d{1,2}) jan\. 2025""))), 
  TEXT(DATE(2025,1,REGEXEXTRACT(T256, ""(\d{1,2}) jan\. 2025"")), ""dd/mm/yyyy""),
 IF(NOT(ISERROR(REGEXEXTRACT("&amp;"T256, ""(\d{1,2}) fev\. 2025""))), 
  TEXT(DATE(2025,2,REGEXEXTRACT(T256, ""(\d{1,2}) fev\. 2025"")), ""dd/mm/yyyy""),
 IF(NOT(ISERROR(REGEXEXTRACT(T256, ""(\d{1,2}) mar\. 2025""))), 
  TEXT(DATE(2025,3,REGEXEXTRACT(T256, ""(\d{1,2}) mar\. 2025"")), ""dd/"&amp;"mm/yyyy""),
 IF(NOT(ISERROR(REGEXEXTRACT(T256, ""(\d{1,2}) abr\. 2025""))), 
  TEXT(DATE(2025,4,REGEXEXTRACT(T256, ""(\d{1,2}) abr\. 2025"")), ""dd/mm/yyyy""),
 IF(NOT(ISERROR(REGEXEXTRACT(T256, ""(\d{1,2}) (mai|maio)\. 2025""))), 
  TEXT(DATE(2025,5,REGE"&amp;"XEXTRACT(T256, ""(\d{1,2}) (mai|maio)\. 2025"")), ""dd/mm/yyyy""),
 IF(NOT(ISERROR(REGEXEXTRACT(T256, ""(\d{1,2}) jun\. 2025""))), 
  TEXT(DATE(2025,6,REGEXEXTRACT(T256, ""(\d{1,2}) jun\. 2025"")), ""dd/mm/yyyy""),
 IF(NOT(ISERROR(REGEXEXTRACT(T256, ""(\d"&amp;"{1,2}) jul\. 2025""))), 
  TEXT(DATE(2025,7,REGEXEXTRACT(T256, ""(\d{1,2}) jul\. 2025"")), ""dd/mm/yyyy""),
 IF(NOT(ISERROR(REGEXEXTRACT(T256, ""(\d{1,2}) ago\. 2025""))), 
  TEXT(DATE(2025,8,REGEXEXTRACT(T256, ""(\d{1,2}) ago\. 2025"")), ""dd/mm/yyyy""),"&amp;"
 IF(NOT(ISERROR(REGEXEXTRACT(T256, ""(\d{1,2}) set\. 2025""))), 
  TEXT(DATE(2025,9,REGEXEXTRACT(T256, ""(\d{1,2}) set\. 2025"")), ""dd/mm/yyyy""),
 IF(NOT(ISERROR(REGEXEXTRACT(T256, ""(\d{1,2}) out\. 2025""))), 
  TEXT(DATE(2025,10,REGEXEXTRACT(T256, """&amp;"(\d{1,2}) out\. 2025"")), ""dd/mm/yyyy""),
 IF(NOT(ISERROR(REGEXEXTRACT(T256, ""(\d{1,2}) nov\. 2025""))), 
  TEXT(DATE(2025,11,REGEXEXTRACT(T256, ""(\d{1,2}) nov\. 2025"")), ""dd/mm/yyyy""),
 IF(NOT(ISERROR(REGEXEXTRACT(T256, ""(\d{1,2}) dez\. 2025""))),"&amp;" 
  TEXT(DATE(2025,12,REGEXEXTRACT(T256, ""(\d{1,2}) dez\. 2025"")), ""dd/mm/yyyy""),
 ""Insira a data manualmente"")))))))))))), """"))"),"11/11/2025")</f>
        <v>11/11/2025</v>
      </c>
      <c r="H256" s="22">
        <f t="shared" si="1"/>
        <v>2025</v>
      </c>
      <c r="I256" s="18" t="str">
        <f>IFERROR(__xludf.DUMMYFUNCTION("IF(REGEXMATCH(T256,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IF(REGEXMATCH(T256, ""(?i)\bBrasília\b""), ""Distrito Federal, Brasil"",
REGEXEXTRACT(T256,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56" s="30" t="s">
        <v>647</v>
      </c>
      <c r="K256" s="24" t="s">
        <v>648</v>
      </c>
      <c r="L256" s="24" t="s">
        <v>26</v>
      </c>
      <c r="M256" s="25" t="s">
        <v>27</v>
      </c>
      <c r="N256" s="18" t="str">
        <f t="shared" si="8"/>
        <v>InfoMoney</v>
      </c>
      <c r="O256" s="17" t="s">
        <v>28</v>
      </c>
      <c r="P256" s="17" t="s">
        <v>251</v>
      </c>
      <c r="Q256" s="26">
        <v>45972.0</v>
      </c>
      <c r="R256" s="17" t="s">
        <v>30</v>
      </c>
      <c r="S256" s="27" t="str">
        <f t="shared" si="3"/>
        <v>Aqui</v>
      </c>
      <c r="T256" s="29" t="s">
        <v>649</v>
      </c>
      <c r="U256" s="29"/>
    </row>
    <row r="257">
      <c r="A257" s="16">
        <v>255.0</v>
      </c>
      <c r="B257" s="17" t="s">
        <v>23</v>
      </c>
      <c r="C257" s="18" t="str">
        <f>IFERROR(__xludf.DUMMYFUNCTION("IF(B257="""","""",IF(OR(
  REGEXMATCH(B257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REGEXMATCH(B257,""Notícia|Reportagem|Artigo de opinião|Verbete"")
),""Difusão"","""")))
"),"Difusão")</f>
        <v>Difusão</v>
      </c>
      <c r="D257" s="19" t="str">
        <f>IFERROR(__xludf.DUMMYFUNCTION("IF(B257="""","""",IF(OR(
  REGEXMATCH(B257,""Performance|Instalação|Álbum|Música|Poema|Livro|Filme|Documentário|Recitação|Espetáculo|Peça|Intervenção|Desfile|Fotografia|Exposição|Charge|Grafite|Leitura pública|Fabricação de cachaça artesanal""),
  REGEXMA"&amp;"TCH(B257,""dança|teatral|artístico|musical|artística"")
),""Manifestação artístico-cultural"",
IF(OR(
  REGEXMATCH(B257,""Crônica|Série|Reportagem|Podcast|Audiotour|Entrevista|Vídeo|Rádio|Notícia|Artigo de opinião|Coletiva de imprensa""),
  REGEXMATCH(B25"&amp;"7,""midiática"")
),""Produção midiática"","""")))
"),"Produção midiática")</f>
        <v>Produção midiática</v>
      </c>
      <c r="E257" s="20" t="str">
        <f>IFERROR(__xludf.DUMMYFUNCTION("IF(B257="""","""",IF(OR(
  REGEXMATCH(B257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REGEXMATCH(B257,""público|Imediato|artística|teatral|memória|Ação popular"")
),""Público Imediato"",
IF(REGEXMATCH(B257,""Música|Álbum|Filme|Documentár"&amp;"io|Série|Podcast|Rádio|Audiotour|Entrevista|Reportagem|Crônica|Relatório|Abaixo-assinado|Manifesto|Petição|Poema|Livro|Fotografia|Curta|Live|Webinário|Charge|Leitura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57" s="20" t="str">
        <f>IFERROR(__xludf.DUMMYFUNCTION("IF(B257="""","""",IF(OR(
  REGEXMATCH(B257,""Live|Webinário|Virtual|Verbete""),
  REGEXMATCH(B257,""online"")
),""Virtual"",
IF(REGEXMATCH(B257,""Música|Álbum|Filme|Documentário|Série|Podcast|Rádio|Audiotour|Episódio|Reportagem|Curta|Charge|Vídeo|Entrevis"&amp;"ta|Notícia|Artigo de opinião""),
""Midiático"",
IF(REGEXMATCH(B257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57" s="21" t="str">
        <f>IFERROR(__xludf.DUMMYFUNCTION("IF(C257=""rememoração"", ""Insira a data manualmente"", IF(C257=""difusão"", 
 IF(NOT(ISERROR(REGEXEXTRACT(T257, ""(\d{1,2}) jan\. 2025""))), 
  TEXT(DATE(2025,1,REGEXEXTRACT(T257, ""(\d{1,2}) jan\. 2025"")), ""dd/mm/yyyy""),
 IF(NOT(ISERROR(REGEXEXTRACT("&amp;"T257, ""(\d{1,2}) fev\. 2025""))), 
  TEXT(DATE(2025,2,REGEXEXTRACT(T257, ""(\d{1,2}) fev\. 2025"")), ""dd/mm/yyyy""),
 IF(NOT(ISERROR(REGEXEXTRACT(T257, ""(\d{1,2}) mar\. 2025""))), 
  TEXT(DATE(2025,3,REGEXEXTRACT(T257, ""(\d{1,2}) mar\. 2025"")), ""dd/"&amp;"mm/yyyy""),
 IF(NOT(ISERROR(REGEXEXTRACT(T257, ""(\d{1,2}) abr\. 2025""))), 
  TEXT(DATE(2025,4,REGEXEXTRACT(T257, ""(\d{1,2}) abr\. 2025"")), ""dd/mm/yyyy""),
 IF(NOT(ISERROR(REGEXEXTRACT(T257, ""(\d{1,2}) (mai|maio)\. 2025""))), 
  TEXT(DATE(2025,5,REGE"&amp;"XEXTRACT(T257, ""(\d{1,2}) (mai|maio)\. 2025"")), ""dd/mm/yyyy""),
 IF(NOT(ISERROR(REGEXEXTRACT(T257, ""(\d{1,2}) jun\. 2025""))), 
  TEXT(DATE(2025,6,REGEXEXTRACT(T257, ""(\d{1,2}) jun\. 2025"")), ""dd/mm/yyyy""),
 IF(NOT(ISERROR(REGEXEXTRACT(T257, ""(\d"&amp;"{1,2}) jul\. 2025""))), 
  TEXT(DATE(2025,7,REGEXEXTRACT(T257, ""(\d{1,2}) jul\. 2025"")), ""dd/mm/yyyy""),
 IF(NOT(ISERROR(REGEXEXTRACT(T257, ""(\d{1,2}) ago\. 2025""))), 
  TEXT(DATE(2025,8,REGEXEXTRACT(T257, ""(\d{1,2}) ago\. 2025"")), ""dd/mm/yyyy""),"&amp;"
 IF(NOT(ISERROR(REGEXEXTRACT(T257, ""(\d{1,2}) set\. 2025""))), 
  TEXT(DATE(2025,9,REGEXEXTRACT(T257, ""(\d{1,2}) set\. 2025"")), ""dd/mm/yyyy""),
 IF(NOT(ISERROR(REGEXEXTRACT(T257, ""(\d{1,2}) out\. 2025""))), 
  TEXT(DATE(2025,10,REGEXEXTRACT(T257, """&amp;"(\d{1,2}) out\. 2025"")), ""dd/mm/yyyy""),
 IF(NOT(ISERROR(REGEXEXTRACT(T257, ""(\d{1,2}) nov\. 2025""))), 
  TEXT(DATE(2025,11,REGEXEXTRACT(T257, ""(\d{1,2}) nov\. 2025"")), ""dd/mm/yyyy""),
 IF(NOT(ISERROR(REGEXEXTRACT(T257, ""(\d{1,2}) dez\. 2025""))),"&amp;" 
  TEXT(DATE(2025,12,REGEXEXTRACT(T257, ""(\d{1,2}) dez\. 2025"")), ""dd/mm/yyyy""),
 ""Insira a data manualmente"")))))))))))), """"))"),"04/11/2025")</f>
        <v>04/11/2025</v>
      </c>
      <c r="H257" s="22">
        <f t="shared" si="1"/>
        <v>2025</v>
      </c>
      <c r="I257" s="18" t="str">
        <f>IFERROR(__xludf.DUMMYFUNCTION("IF(REGEXMATCH(T257,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IF(REGEXMATCH(T257, ""(?i)\bBrasília\b""), ""Distrito Federal, Brasil"",
REGEXEXTRACT(T257,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57" s="30" t="s">
        <v>32</v>
      </c>
      <c r="K257" s="24" t="s">
        <v>650</v>
      </c>
      <c r="L257" s="24" t="s">
        <v>26</v>
      </c>
      <c r="M257" s="25" t="s">
        <v>27</v>
      </c>
      <c r="N257" s="18" t="str">
        <f t="shared" si="8"/>
        <v>Agência Brasil</v>
      </c>
      <c r="O257" s="17" t="s">
        <v>28</v>
      </c>
      <c r="P257" s="17" t="s">
        <v>251</v>
      </c>
      <c r="Q257" s="26">
        <v>45972.0</v>
      </c>
      <c r="R257" s="17" t="s">
        <v>30</v>
      </c>
      <c r="S257" s="27" t="str">
        <f t="shared" si="3"/>
        <v>Aqui</v>
      </c>
      <c r="T257" s="29" t="s">
        <v>651</v>
      </c>
      <c r="U257" s="29"/>
    </row>
    <row r="258">
      <c r="A258" s="16">
        <v>256.0</v>
      </c>
      <c r="B258" s="17" t="s">
        <v>23</v>
      </c>
      <c r="C258" s="18" t="str">
        <f>IFERROR(__xludf.DUMMYFUNCTION("IF(B258="""","""",IF(OR(
  REGEXMATCH(B258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REGEXMATCH(B258,""Notícia|Reportagem|Artigo de opinião|Verbete"")
),""Difusão"","""")))
"),"Difusão")</f>
        <v>Difusão</v>
      </c>
      <c r="D258" s="19" t="str">
        <f>IFERROR(__xludf.DUMMYFUNCTION("IF(B258="""","""",IF(OR(
  REGEXMATCH(B258,""Performance|Instalação|Álbum|Música|Poema|Livro|Filme|Documentário|Recitação|Espetáculo|Peça|Intervenção|Desfile|Fotografia|Exposição|Charge|Grafite|Leitura pública|Fabricação de cachaça artesanal""),
  REGEXMA"&amp;"TCH(B258,""dança|teatral|artístico|musical|artística"")
),""Manifestação artístico-cultural"",
IF(OR(
  REGEXMATCH(B258,""Crônica|Série|Reportagem|Podcast|Audiotour|Entrevista|Vídeo|Rádio|Notícia|Artigo de opinião|Coletiva de imprensa""),
  REGEXMATCH(B25"&amp;"8,""midiática"")
),""Produção midiática"","""")))
"),"Produção midiática")</f>
        <v>Produção midiática</v>
      </c>
      <c r="E258" s="20" t="str">
        <f>IFERROR(__xludf.DUMMYFUNCTION("IF(B258="""","""",IF(OR(
  REGEXMATCH(B258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REGEXMATCH(B258,""público|Imediato|artística|teatral|memória|Ação popular"")
),""Público Imediato"",
IF(REGEXMATCH(B258,""Música|Álbum|Filme|Documentár"&amp;"io|Série|Podcast|Rádio|Audiotour|Entrevista|Reportagem|Crônica|Relatório|Abaixo-assinado|Manifesto|Petição|Poema|Livro|Fotografia|Curta|Live|Webinário|Charge|Leitura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58" s="20" t="str">
        <f>IFERROR(__xludf.DUMMYFUNCTION("IF(B258="""","""",IF(OR(
  REGEXMATCH(B258,""Live|Webinário|Virtual|Verbete""),
  REGEXMATCH(B258,""online"")
),""Virtual"",
IF(REGEXMATCH(B258,""Música|Álbum|Filme|Documentário|Série|Podcast|Rádio|Audiotour|Episódio|Reportagem|Curta|Charge|Vídeo|Entrevis"&amp;"ta|Notícia|Artigo de opinião""),
""Midiático"",
IF(REGEXMATCH(B258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58" s="21" t="str">
        <f>IFERROR(__xludf.DUMMYFUNCTION("IF(C258=""rememoração"", ""Insira a data manualmente"", IF(C258=""difusão"", 
 IF(NOT(ISERROR(REGEXEXTRACT(T258, ""(\d{1,2}) jan\. 2025""))), 
  TEXT(DATE(2025,1,REGEXEXTRACT(T258, ""(\d{1,2}) jan\. 2025"")), ""dd/mm/yyyy""),
 IF(NOT(ISERROR(REGEXEXTRACT("&amp;"T258, ""(\d{1,2}) fev\. 2025""))), 
  TEXT(DATE(2025,2,REGEXEXTRACT(T258, ""(\d{1,2}) fev\. 2025"")), ""dd/mm/yyyy""),
 IF(NOT(ISERROR(REGEXEXTRACT(T258, ""(\d{1,2}) mar\. 2025""))), 
  TEXT(DATE(2025,3,REGEXEXTRACT(T258, ""(\d{1,2}) mar\. 2025"")), ""dd/"&amp;"mm/yyyy""),
 IF(NOT(ISERROR(REGEXEXTRACT(T258, ""(\d{1,2}) abr\. 2025""))), 
  TEXT(DATE(2025,4,REGEXEXTRACT(T258, ""(\d{1,2}) abr\. 2025"")), ""dd/mm/yyyy""),
 IF(NOT(ISERROR(REGEXEXTRACT(T258, ""(\d{1,2}) (mai|maio)\. 2025""))), 
  TEXT(DATE(2025,5,REGE"&amp;"XEXTRACT(T258, ""(\d{1,2}) (mai|maio)\. 2025"")), ""dd/mm/yyyy""),
 IF(NOT(ISERROR(REGEXEXTRACT(T258, ""(\d{1,2}) jun\. 2025""))), 
  TEXT(DATE(2025,6,REGEXEXTRACT(T258, ""(\d{1,2}) jun\. 2025"")), ""dd/mm/yyyy""),
 IF(NOT(ISERROR(REGEXEXTRACT(T258, ""(\d"&amp;"{1,2}) jul\. 2025""))), 
  TEXT(DATE(2025,7,REGEXEXTRACT(T258, ""(\d{1,2}) jul\. 2025"")), ""dd/mm/yyyy""),
 IF(NOT(ISERROR(REGEXEXTRACT(T258, ""(\d{1,2}) ago\. 2025""))), 
  TEXT(DATE(2025,8,REGEXEXTRACT(T258, ""(\d{1,2}) ago\. 2025"")), ""dd/mm/yyyy""),"&amp;"
 IF(NOT(ISERROR(REGEXEXTRACT(T258, ""(\d{1,2}) set\. 2025""))), 
  TEXT(DATE(2025,9,REGEXEXTRACT(T258, ""(\d{1,2}) set\. 2025"")), ""dd/mm/yyyy""),
 IF(NOT(ISERROR(REGEXEXTRACT(T258, ""(\d{1,2}) out\. 2025""))), 
  TEXT(DATE(2025,10,REGEXEXTRACT(T258, """&amp;"(\d{1,2}) out\. 2025"")), ""dd/mm/yyyy""),
 IF(NOT(ISERROR(REGEXEXTRACT(T258, ""(\d{1,2}) nov\. 2025""))), 
  TEXT(DATE(2025,11,REGEXEXTRACT(T258, ""(\d{1,2}) nov\. 2025"")), ""dd/mm/yyyy""),
 IF(NOT(ISERROR(REGEXEXTRACT(T258, ""(\d{1,2}) dez\. 2025""))),"&amp;" 
  TEXT(DATE(2025,12,REGEXEXTRACT(T258, ""(\d{1,2}) dez\. 2025"")), ""dd/mm/yyyy""),
 ""Insira a data manualmente"")))))))))))), """"))"),"10/11/2025")</f>
        <v>10/11/2025</v>
      </c>
      <c r="H258" s="22">
        <f t="shared" si="1"/>
        <v>2025</v>
      </c>
      <c r="I258" s="18" t="str">
        <f>IFERROR(__xludf.DUMMYFUNCTION("IF(REGEXMATCH(T258,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IF(REGEXMATCH(T258, ""(?i)\bBrasília\b""), ""Distrito Federal, Brasil"",
REGEXEXTRACT(T258,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58" s="30" t="s">
        <v>404</v>
      </c>
      <c r="K258" s="24" t="s">
        <v>652</v>
      </c>
      <c r="L258" s="24" t="s">
        <v>26</v>
      </c>
      <c r="M258" s="25" t="s">
        <v>27</v>
      </c>
      <c r="N258" s="18" t="str">
        <f t="shared" si="8"/>
        <v>ND Mais</v>
      </c>
      <c r="O258" s="17" t="s">
        <v>28</v>
      </c>
      <c r="P258" s="17" t="s">
        <v>251</v>
      </c>
      <c r="Q258" s="26">
        <v>45972.0</v>
      </c>
      <c r="R258" s="17" t="s">
        <v>30</v>
      </c>
      <c r="S258" s="27" t="str">
        <f t="shared" si="3"/>
        <v>Aqui</v>
      </c>
      <c r="T258" s="29" t="s">
        <v>653</v>
      </c>
      <c r="U258" s="29"/>
    </row>
    <row r="259">
      <c r="A259" s="16">
        <v>257.0</v>
      </c>
      <c r="B259" s="17" t="s">
        <v>23</v>
      </c>
      <c r="C259" s="18" t="str">
        <f>IFERROR(__xludf.DUMMYFUNCTION("IF(B259="""","""",IF(OR(
  REGEXMATCH(B259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REGEXMATCH(B259,""Notícia|Reportagem|Artigo de opinião|Verbete"")
),""Difusão"","""")))
"),"Difusão")</f>
        <v>Difusão</v>
      </c>
      <c r="D259" s="19" t="str">
        <f>IFERROR(__xludf.DUMMYFUNCTION("IF(B259="""","""",IF(OR(
  REGEXMATCH(B259,""Performance|Instalação|Álbum|Música|Poema|Livro|Filme|Documentário|Recitação|Espetáculo|Peça|Intervenção|Desfile|Fotografia|Exposição|Charge|Grafite|Leitura pública|Fabricação de cachaça artesanal""),
  REGEXMA"&amp;"TCH(B259,""dança|teatral|artístico|musical|artística"")
),""Manifestação artístico-cultural"",
IF(OR(
  REGEXMATCH(B259,""Crônica|Série|Reportagem|Podcast|Audiotour|Entrevista|Vídeo|Rádio|Notícia|Artigo de opinião|Coletiva de imprensa""),
  REGEXMATCH(B25"&amp;"9,""midiática"")
),""Produção midiática"","""")))
"),"Produção midiática")</f>
        <v>Produção midiática</v>
      </c>
      <c r="E259" s="20" t="str">
        <f>IFERROR(__xludf.DUMMYFUNCTION("IF(B259="""","""",IF(OR(
  REGEXMATCH(B259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REGEXMATCH(B259,""público|Imediato|artística|teatral|memória|Ação popular"")
),""Público Imediato"",
IF(REGEXMATCH(B259,""Música|Álbum|Filme|Documentár"&amp;"io|Série|Podcast|Rádio|Audiotour|Entrevista|Reportagem|Crônica|Relatório|Abaixo-assinado|Manifesto|Petição|Poema|Livro|Fotografia|Curta|Live|Webinário|Charge|Leitura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59" s="20" t="str">
        <f>IFERROR(__xludf.DUMMYFUNCTION("IF(B259="""","""",IF(OR(
  REGEXMATCH(B259,""Live|Webinário|Virtual|Verbete""),
  REGEXMATCH(B259,""online"")
),""Virtual"",
IF(REGEXMATCH(B259,""Música|Álbum|Filme|Documentário|Série|Podcast|Rádio|Audiotour|Episódio|Reportagem|Curta|Charge|Vídeo|Entrevis"&amp;"ta|Notícia|Artigo de opinião""),
""Midiático"",
IF(REGEXMATCH(B259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59" s="21" t="str">
        <f>IFERROR(__xludf.DUMMYFUNCTION("IF(C259=""rememoração"", ""Insira a data manualmente"", IF(C259=""difusão"", 
 IF(NOT(ISERROR(REGEXEXTRACT(T259, ""(\d{1,2}) jan\. 2025""))), 
  TEXT(DATE(2025,1,REGEXEXTRACT(T259, ""(\d{1,2}) jan\. 2025"")), ""dd/mm/yyyy""),
 IF(NOT(ISERROR(REGEXEXTRACT("&amp;"T259, ""(\d{1,2}) fev\. 2025""))), 
  TEXT(DATE(2025,2,REGEXEXTRACT(T259, ""(\d{1,2}) fev\. 2025"")), ""dd/mm/yyyy""),
 IF(NOT(ISERROR(REGEXEXTRACT(T259, ""(\d{1,2}) mar\. 2025""))), 
  TEXT(DATE(2025,3,REGEXEXTRACT(T259, ""(\d{1,2}) mar\. 2025"")), ""dd/"&amp;"mm/yyyy""),
 IF(NOT(ISERROR(REGEXEXTRACT(T259, ""(\d{1,2}) abr\. 2025""))), 
  TEXT(DATE(2025,4,REGEXEXTRACT(T259, ""(\d{1,2}) abr\. 2025"")), ""dd/mm/yyyy""),
 IF(NOT(ISERROR(REGEXEXTRACT(T259, ""(\d{1,2}) (mai|maio)\. 2025""))), 
  TEXT(DATE(2025,5,REGE"&amp;"XEXTRACT(T259, ""(\d{1,2}) (mai|maio)\. 2025"")), ""dd/mm/yyyy""),
 IF(NOT(ISERROR(REGEXEXTRACT(T259, ""(\d{1,2}) jun\. 2025""))), 
  TEXT(DATE(2025,6,REGEXEXTRACT(T259, ""(\d{1,2}) jun\. 2025"")), ""dd/mm/yyyy""),
 IF(NOT(ISERROR(REGEXEXTRACT(T259, ""(\d"&amp;"{1,2}) jul\. 2025""))), 
  TEXT(DATE(2025,7,REGEXEXTRACT(T259, ""(\d{1,2}) jul\. 2025"")), ""dd/mm/yyyy""),
 IF(NOT(ISERROR(REGEXEXTRACT(T259, ""(\d{1,2}) ago\. 2025""))), 
  TEXT(DATE(2025,8,REGEXEXTRACT(T259, ""(\d{1,2}) ago\. 2025"")), ""dd/mm/yyyy""),"&amp;"
 IF(NOT(ISERROR(REGEXEXTRACT(T259, ""(\d{1,2}) set\. 2025""))), 
  TEXT(DATE(2025,9,REGEXEXTRACT(T259, ""(\d{1,2}) set\. 2025"")), ""dd/mm/yyyy""),
 IF(NOT(ISERROR(REGEXEXTRACT(T259, ""(\d{1,2}) out\. 2025""))), 
  TEXT(DATE(2025,10,REGEXEXTRACT(T259, """&amp;"(\d{1,2}) out\. 2025"")), ""dd/mm/yyyy""),
 IF(NOT(ISERROR(REGEXEXTRACT(T259, ""(\d{1,2}) nov\. 2025""))), 
  TEXT(DATE(2025,11,REGEXEXTRACT(T259, ""(\d{1,2}) nov\. 2025"")), ""dd/mm/yyyy""),
 IF(NOT(ISERROR(REGEXEXTRACT(T259, ""(\d{1,2}) dez\. 2025""))),"&amp;" 
  TEXT(DATE(2025,12,REGEXEXTRACT(T259, ""(\d{1,2}) dez\. 2025"")), ""dd/mm/yyyy""),
 ""Insira a data manualmente"")))))))))))), """"))"),"03/11/2025")</f>
        <v>03/11/2025</v>
      </c>
      <c r="H259" s="22">
        <f t="shared" si="1"/>
        <v>2025</v>
      </c>
      <c r="I259" s="18" t="str">
        <f>IFERROR(__xludf.DUMMYFUNCTION("IF(REGEXMATCH(T259,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IF(REGEXMATCH(T259, ""(?i)\bBrasília\b""), ""Distrito Federal, Brasil"",
REGEXEXTRACT(T259,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59" s="30" t="s">
        <v>491</v>
      </c>
      <c r="K259" s="24" t="s">
        <v>654</v>
      </c>
      <c r="L259" s="24" t="s">
        <v>26</v>
      </c>
      <c r="M259" s="25" t="s">
        <v>27</v>
      </c>
      <c r="N259" s="18" t="str">
        <f t="shared" si="8"/>
        <v>Poder 360</v>
      </c>
      <c r="O259" s="17" t="s">
        <v>28</v>
      </c>
      <c r="P259" s="17" t="s">
        <v>251</v>
      </c>
      <c r="Q259" s="26">
        <v>45972.0</v>
      </c>
      <c r="R259" s="17" t="s">
        <v>30</v>
      </c>
      <c r="S259" s="27" t="str">
        <f t="shared" si="3"/>
        <v>Aqui</v>
      </c>
      <c r="T259" s="29" t="s">
        <v>655</v>
      </c>
      <c r="U259" s="29"/>
    </row>
    <row r="260">
      <c r="A260" s="16">
        <v>258.0</v>
      </c>
      <c r="B260" s="17" t="s">
        <v>23</v>
      </c>
      <c r="C260" s="18" t="str">
        <f>IFERROR(__xludf.DUMMYFUNCTION("IF(B260="""","""",IF(OR(
  REGEXMATCH(B260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REGEXMATCH(B260,""Notícia|Reportagem|Artigo de opinião|Verbete"")
),""Difusão"","""")))
"),"Difusão")</f>
        <v>Difusão</v>
      </c>
      <c r="D260" s="19" t="str">
        <f>IFERROR(__xludf.DUMMYFUNCTION("IF(B260="""","""",IF(OR(
  REGEXMATCH(B260,""Performance|Instalação|Álbum|Música|Poema|Livro|Filme|Documentário|Recitação|Espetáculo|Peça|Intervenção|Desfile|Fotografia|Exposição|Charge|Grafite|Leitura pública|Fabricação de cachaça artesanal""),
  REGEXMA"&amp;"TCH(B260,""dança|teatral|artístico|musical|artística"")
),""Manifestação artístico-cultural"",
IF(OR(
  REGEXMATCH(B260,""Crônica|Série|Reportagem|Podcast|Audiotour|Entrevista|Vídeo|Rádio|Notícia|Artigo de opinião|Coletiva de imprensa""),
  REGEXMATCH(B26"&amp;"0,""midiática"")
),""Produção midiática"","""")))
"),"Produção midiática")</f>
        <v>Produção midiática</v>
      </c>
      <c r="E260" s="20" t="str">
        <f>IFERROR(__xludf.DUMMYFUNCTION("IF(B260="""","""",IF(OR(
  REGEXMATCH(B260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REGEXMATCH(B260,""público|Imediato|artística|teatral|memória|Ação popular"")
),""Público Imediato"",
IF(REGEXMATCH(B260,""Música|Álbum|Filme|Documentár"&amp;"io|Série|Podcast|Rádio|Audiotour|Entrevista|Reportagem|Crônica|Relatório|Abaixo-assinado|Manifesto|Petição|Poema|Livro|Fotografia|Curta|Live|Webinário|Charge|Leitura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60" s="20" t="str">
        <f>IFERROR(__xludf.DUMMYFUNCTION("IF(B260="""","""",IF(OR(
  REGEXMATCH(B260,""Live|Webinário|Virtual|Verbete""),
  REGEXMATCH(B260,""online"")
),""Virtual"",
IF(REGEXMATCH(B260,""Música|Álbum|Filme|Documentário|Série|Podcast|Rádio|Audiotour|Episódio|Reportagem|Curta|Charge|Vídeo|Entrevis"&amp;"ta|Notícia|Artigo de opinião""),
""Midiático"",
IF(REGEXMATCH(B260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60" s="21" t="str">
        <f>IFERROR(__xludf.DUMMYFUNCTION("IF(C260=""rememoração"", ""Insira a data manualmente"", IF(C260=""difusão"", 
 IF(NOT(ISERROR(REGEXEXTRACT(T260, ""(\d{1,2}) jan\. 2025""))), 
  TEXT(DATE(2025,1,REGEXEXTRACT(T260, ""(\d{1,2}) jan\. 2025"")), ""dd/mm/yyyy""),
 IF(NOT(ISERROR(REGEXEXTRACT("&amp;"T260, ""(\d{1,2}) fev\. 2025""))), 
  TEXT(DATE(2025,2,REGEXEXTRACT(T260, ""(\d{1,2}) fev\. 2025"")), ""dd/mm/yyyy""),
 IF(NOT(ISERROR(REGEXEXTRACT(T260, ""(\d{1,2}) mar\. 2025""))), 
  TEXT(DATE(2025,3,REGEXEXTRACT(T260, ""(\d{1,2}) mar\. 2025"")), ""dd/"&amp;"mm/yyyy""),
 IF(NOT(ISERROR(REGEXEXTRACT(T260, ""(\d{1,2}) abr\. 2025""))), 
  TEXT(DATE(2025,4,REGEXEXTRACT(T260, ""(\d{1,2}) abr\. 2025"")), ""dd/mm/yyyy""),
 IF(NOT(ISERROR(REGEXEXTRACT(T260, ""(\d{1,2}) (mai|maio)\. 2025""))), 
  TEXT(DATE(2025,5,REGE"&amp;"XEXTRACT(T260, ""(\d{1,2}) (mai|maio)\. 2025"")), ""dd/mm/yyyy""),
 IF(NOT(ISERROR(REGEXEXTRACT(T260, ""(\d{1,2}) jun\. 2025""))), 
  TEXT(DATE(2025,6,REGEXEXTRACT(T260, ""(\d{1,2}) jun\. 2025"")), ""dd/mm/yyyy""),
 IF(NOT(ISERROR(REGEXEXTRACT(T260, ""(\d"&amp;"{1,2}) jul\. 2025""))), 
  TEXT(DATE(2025,7,REGEXEXTRACT(T260, ""(\d{1,2}) jul\. 2025"")), ""dd/mm/yyyy""),
 IF(NOT(ISERROR(REGEXEXTRACT(T260, ""(\d{1,2}) ago\. 2025""))), 
  TEXT(DATE(2025,8,REGEXEXTRACT(T260, ""(\d{1,2}) ago\. 2025"")), ""dd/mm/yyyy""),"&amp;"
 IF(NOT(ISERROR(REGEXEXTRACT(T260, ""(\d{1,2}) set\. 2025""))), 
  TEXT(DATE(2025,9,REGEXEXTRACT(T260, ""(\d{1,2}) set\. 2025"")), ""dd/mm/yyyy""),
 IF(NOT(ISERROR(REGEXEXTRACT(T260, ""(\d{1,2}) out\. 2025""))), 
  TEXT(DATE(2025,10,REGEXEXTRACT(T260, """&amp;"(\d{1,2}) out\. 2025"")), ""dd/mm/yyyy""),
 IF(NOT(ISERROR(REGEXEXTRACT(T260, ""(\d{1,2}) nov\. 2025""))), 
  TEXT(DATE(2025,11,REGEXEXTRACT(T260, ""(\d{1,2}) nov\. 2025"")), ""dd/mm/yyyy""),
 IF(NOT(ISERROR(REGEXEXTRACT(T260, ""(\d{1,2}) dez\. 2025""))),"&amp;" 
  TEXT(DATE(2025,12,REGEXEXTRACT(T260, ""(\d{1,2}) dez\. 2025"")), ""dd/mm/yyyy""),
 ""Insira a data manualmente"")))))))))))), """"))"),"28/10/2025")</f>
        <v>28/10/2025</v>
      </c>
      <c r="H260" s="22">
        <f t="shared" si="1"/>
        <v>2025</v>
      </c>
      <c r="I260" s="18" t="str">
        <f>IFERROR(__xludf.DUMMYFUNCTION("IF(REGEXMATCH(T260,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IF(REGEXMATCH(T260, ""(?i)\bBrasília\b""), ""Distrito Federal, Brasil"",
REGEXEXTRACT(T260,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60" s="30" t="s">
        <v>56</v>
      </c>
      <c r="K260" s="24" t="s">
        <v>656</v>
      </c>
      <c r="L260" s="24" t="s">
        <v>26</v>
      </c>
      <c r="M260" s="25" t="s">
        <v>27</v>
      </c>
      <c r="N260" s="18" t="str">
        <f t="shared" si="8"/>
        <v>UOL</v>
      </c>
      <c r="O260" s="17" t="s">
        <v>28</v>
      </c>
      <c r="P260" s="17" t="s">
        <v>251</v>
      </c>
      <c r="Q260" s="26">
        <v>45972.0</v>
      </c>
      <c r="R260" s="17" t="s">
        <v>30</v>
      </c>
      <c r="S260" s="27" t="str">
        <f t="shared" si="3"/>
        <v>Aqui</v>
      </c>
      <c r="T260" s="29" t="s">
        <v>657</v>
      </c>
      <c r="U260" s="29"/>
    </row>
    <row r="261">
      <c r="A261" s="16">
        <v>259.0</v>
      </c>
      <c r="B261" s="17" t="s">
        <v>23</v>
      </c>
      <c r="C261" s="18" t="str">
        <f>IFERROR(__xludf.DUMMYFUNCTION("IF(B261="""","""",IF(OR(
  REGEXMATCH(B261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REGEXMATCH(B261,""Notícia|Reportagem|Artigo de opinião|Verbete"")
),""Difusão"","""")))
"),"Difusão")</f>
        <v>Difusão</v>
      </c>
      <c r="D261" s="19" t="str">
        <f>IFERROR(__xludf.DUMMYFUNCTION("IF(B261="""","""",IF(OR(
  REGEXMATCH(B261,""Performance|Instalação|Álbum|Música|Poema|Livro|Filme|Documentário|Recitação|Espetáculo|Peça|Intervenção|Desfile|Fotografia|Exposição|Charge|Grafite|Leitura pública|Fabricação de cachaça artesanal""),
  REGEXMA"&amp;"TCH(B261,""dança|teatral|artístico|musical|artística"")
),""Manifestação artístico-cultural"",
IF(OR(
  REGEXMATCH(B261,""Crônica|Série|Reportagem|Podcast|Audiotour|Entrevista|Vídeo|Rádio|Notícia|Artigo de opinião|Coletiva de imprensa""),
  REGEXMATCH(B26"&amp;"1,""midiática"")
),""Produção midiática"","""")))
"),"Produção midiática")</f>
        <v>Produção midiática</v>
      </c>
      <c r="E261" s="20" t="str">
        <f>IFERROR(__xludf.DUMMYFUNCTION("IF(B261="""","""",IF(OR(
  REGEXMATCH(B261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REGEXMATCH(B261,""público|Imediato|artística|teatral|memória|Ação popular"")
),""Público Imediato"",
IF(REGEXMATCH(B261,""Música|Álbum|Filme|Documentár"&amp;"io|Série|Podcast|Rádio|Audiotour|Entrevista|Reportagem|Crônica|Relatório|Abaixo-assinado|Manifesto|Petição|Poema|Livro|Fotografia|Curta|Live|Webinário|Charge|Leitura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61" s="20" t="str">
        <f>IFERROR(__xludf.DUMMYFUNCTION("IF(B261="""","""",IF(OR(
  REGEXMATCH(B261,""Live|Webinário|Virtual|Verbete""),
  REGEXMATCH(B261,""online"")
),""Virtual"",
IF(REGEXMATCH(B261,""Música|Álbum|Filme|Documentário|Série|Podcast|Rádio|Audiotour|Episódio|Reportagem|Curta|Charge|Vídeo|Entrevis"&amp;"ta|Notícia|Artigo de opinião""),
""Midiático"",
IF(REGEXMATCH(B261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61" s="21" t="str">
        <f>IFERROR(__xludf.DUMMYFUNCTION("IF(C261=""rememoração"", ""Insira a data manualmente"", IF(C261=""difusão"", 
 IF(NOT(ISERROR(REGEXEXTRACT(T261, ""(\d{1,2}) jan\. 2025""))), 
  TEXT(DATE(2025,1,REGEXEXTRACT(T261, ""(\d{1,2}) jan\. 2025"")), ""dd/mm/yyyy""),
 IF(NOT(ISERROR(REGEXEXTRACT("&amp;"T261, ""(\d{1,2}) fev\. 2025""))), 
  TEXT(DATE(2025,2,REGEXEXTRACT(T261, ""(\d{1,2}) fev\. 2025"")), ""dd/mm/yyyy""),
 IF(NOT(ISERROR(REGEXEXTRACT(T261, ""(\d{1,2}) mar\. 2025""))), 
  TEXT(DATE(2025,3,REGEXEXTRACT(T261, ""(\d{1,2}) mar\. 2025"")), ""dd/"&amp;"mm/yyyy""),
 IF(NOT(ISERROR(REGEXEXTRACT(T261, ""(\d{1,2}) abr\. 2025""))), 
  TEXT(DATE(2025,4,REGEXEXTRACT(T261, ""(\d{1,2}) abr\. 2025"")), ""dd/mm/yyyy""),
 IF(NOT(ISERROR(REGEXEXTRACT(T261, ""(\d{1,2}) (mai|maio)\. 2025""))), 
  TEXT(DATE(2025,5,REGE"&amp;"XEXTRACT(T261, ""(\d{1,2}) (mai|maio)\. 2025"")), ""dd/mm/yyyy""),
 IF(NOT(ISERROR(REGEXEXTRACT(T261, ""(\d{1,2}) jun\. 2025""))), 
  TEXT(DATE(2025,6,REGEXEXTRACT(T261, ""(\d{1,2}) jun\. 2025"")), ""dd/mm/yyyy""),
 IF(NOT(ISERROR(REGEXEXTRACT(T261, ""(\d"&amp;"{1,2}) jul\. 2025""))), 
  TEXT(DATE(2025,7,REGEXEXTRACT(T261, ""(\d{1,2}) jul\. 2025"")), ""dd/mm/yyyy""),
 IF(NOT(ISERROR(REGEXEXTRACT(T261, ""(\d{1,2}) ago\. 2025""))), 
  TEXT(DATE(2025,8,REGEXEXTRACT(T261, ""(\d{1,2}) ago\. 2025"")), ""dd/mm/yyyy""),"&amp;"
 IF(NOT(ISERROR(REGEXEXTRACT(T261, ""(\d{1,2}) set\. 2025""))), 
  TEXT(DATE(2025,9,REGEXEXTRACT(T261, ""(\d{1,2}) set\. 2025"")), ""dd/mm/yyyy""),
 IF(NOT(ISERROR(REGEXEXTRACT(T261, ""(\d{1,2}) out\. 2025""))), 
  TEXT(DATE(2025,10,REGEXEXTRACT(T261, """&amp;"(\d{1,2}) out\. 2025"")), ""dd/mm/yyyy""),
 IF(NOT(ISERROR(REGEXEXTRACT(T261, ""(\d{1,2}) nov\. 2025""))), 
  TEXT(DATE(2025,11,REGEXEXTRACT(T261, ""(\d{1,2}) nov\. 2025"")), ""dd/mm/yyyy""),
 IF(NOT(ISERROR(REGEXEXTRACT(T261, ""(\d{1,2}) dez\. 2025""))),"&amp;" 
  TEXT(DATE(2025,12,REGEXEXTRACT(T261, ""(\d{1,2}) dez\. 2025"")), ""dd/mm/yyyy""),
 ""Insira a data manualmente"")))))))))))), """"))"),"30/10/2025")</f>
        <v>30/10/2025</v>
      </c>
      <c r="H261" s="22">
        <f t="shared" si="1"/>
        <v>2025</v>
      </c>
      <c r="I261" s="18" t="s">
        <v>658</v>
      </c>
      <c r="J261" s="30" t="s">
        <v>599</v>
      </c>
      <c r="K261" s="24" t="s">
        <v>659</v>
      </c>
      <c r="L261" s="24" t="s">
        <v>26</v>
      </c>
      <c r="M261" s="25" t="s">
        <v>27</v>
      </c>
      <c r="N261" s="18" t="str">
        <f t="shared" si="8"/>
        <v>BBC News Brasil</v>
      </c>
      <c r="O261" s="17" t="s">
        <v>28</v>
      </c>
      <c r="P261" s="17" t="s">
        <v>251</v>
      </c>
      <c r="Q261" s="26">
        <v>45972.0</v>
      </c>
      <c r="R261" s="17" t="s">
        <v>30</v>
      </c>
      <c r="S261" s="27" t="str">
        <f t="shared" si="3"/>
        <v>Aqui</v>
      </c>
      <c r="T261" s="29" t="s">
        <v>660</v>
      </c>
      <c r="U261" s="29"/>
    </row>
    <row r="262">
      <c r="A262" s="16">
        <v>260.0</v>
      </c>
      <c r="B262" s="17" t="s">
        <v>23</v>
      </c>
      <c r="C262" s="18" t="str">
        <f>IFERROR(__xludf.DUMMYFUNCTION("IF(B262="""","""",IF(OR(
  REGEXMATCH(B262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REGEXMATCH(B262,""Notícia|Reportagem|Artigo de opinião|Verbete"")
),""Difusão"","""")))
"),"Difusão")</f>
        <v>Difusão</v>
      </c>
      <c r="D262" s="19" t="str">
        <f>IFERROR(__xludf.DUMMYFUNCTION("IF(B262="""","""",IF(OR(
  REGEXMATCH(B262,""Performance|Instalação|Álbum|Música|Poema|Livro|Filme|Documentário|Recitação|Espetáculo|Peça|Intervenção|Desfile|Fotografia|Exposição|Charge|Grafite|Leitura pública|Fabricação de cachaça artesanal""),
  REGEXMA"&amp;"TCH(B262,""dança|teatral|artístico|musical|artística"")
),""Manifestação artístico-cultural"",
IF(OR(
  REGEXMATCH(B262,""Crônica|Série|Reportagem|Podcast|Audiotour|Entrevista|Vídeo|Rádio|Notícia|Artigo de opinião|Coletiva de imprensa""),
  REGEXMATCH(B26"&amp;"2,""midiática"")
),""Produção midiática"","""")))
"),"Produção midiática")</f>
        <v>Produção midiática</v>
      </c>
      <c r="E262" s="20" t="str">
        <f>IFERROR(__xludf.DUMMYFUNCTION("IF(B262="""","""",IF(OR(
  REGEXMATCH(B262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REGEXMATCH(B262,""público|Imediato|artística|teatral|memória|Ação popular"")
),""Público Imediato"",
IF(REGEXMATCH(B262,""Música|Álbum|Filme|Documentár"&amp;"io|Série|Podcast|Rádio|Audiotour|Entrevista|Reportagem|Crônica|Relatório|Abaixo-assinado|Manifesto|Petição|Poema|Livro|Fotografia|Curta|Live|Webinário|Charge|Leitura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62" s="20" t="str">
        <f>IFERROR(__xludf.DUMMYFUNCTION("IF(B262="""","""",IF(OR(
  REGEXMATCH(B262,""Live|Webinário|Virtual|Verbete""),
  REGEXMATCH(B262,""online"")
),""Virtual"",
IF(REGEXMATCH(B262,""Música|Álbum|Filme|Documentário|Série|Podcast|Rádio|Audiotour|Episódio|Reportagem|Curta|Charge|Vídeo|Entrevis"&amp;"ta|Notícia|Artigo de opinião""),
""Midiático"",
IF(REGEXMATCH(B262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62" s="21" t="str">
        <f>IFERROR(__xludf.DUMMYFUNCTION("IF(C262=""rememoração"", ""Insira a data manualmente"", IF(C262=""difusão"", 
 IF(NOT(ISERROR(REGEXEXTRACT(T262, ""(\d{1,2}) jan\. 2025""))), 
  TEXT(DATE(2025,1,REGEXEXTRACT(T262, ""(\d{1,2}) jan\. 2025"")), ""dd/mm/yyyy""),
 IF(NOT(ISERROR(REGEXEXTRACT("&amp;"T262, ""(\d{1,2}) fev\. 2025""))), 
  TEXT(DATE(2025,2,REGEXEXTRACT(T262, ""(\d{1,2}) fev\. 2025"")), ""dd/mm/yyyy""),
 IF(NOT(ISERROR(REGEXEXTRACT(T262, ""(\d{1,2}) mar\. 2025""))), 
  TEXT(DATE(2025,3,REGEXEXTRACT(T262, ""(\d{1,2}) mar\. 2025"")), ""dd/"&amp;"mm/yyyy""),
 IF(NOT(ISERROR(REGEXEXTRACT(T262, ""(\d{1,2}) abr\. 2025""))), 
  TEXT(DATE(2025,4,REGEXEXTRACT(T262, ""(\d{1,2}) abr\. 2025"")), ""dd/mm/yyyy""),
 IF(NOT(ISERROR(REGEXEXTRACT(T262, ""(\d{1,2}) (mai|maio)\. 2025""))), 
  TEXT(DATE(2025,5,REGE"&amp;"XEXTRACT(T262, ""(\d{1,2}) (mai|maio)\. 2025"")), ""dd/mm/yyyy""),
 IF(NOT(ISERROR(REGEXEXTRACT(T262, ""(\d{1,2}) jun\. 2025""))), 
  TEXT(DATE(2025,6,REGEXEXTRACT(T262, ""(\d{1,2}) jun\. 2025"")), ""dd/mm/yyyy""),
 IF(NOT(ISERROR(REGEXEXTRACT(T262, ""(\d"&amp;"{1,2}) jul\. 2025""))), 
  TEXT(DATE(2025,7,REGEXEXTRACT(T262, ""(\d{1,2}) jul\. 2025"")), ""dd/mm/yyyy""),
 IF(NOT(ISERROR(REGEXEXTRACT(T262, ""(\d{1,2}) ago\. 2025""))), 
  TEXT(DATE(2025,8,REGEXEXTRACT(T262, ""(\d{1,2}) ago\. 2025"")), ""dd/mm/yyyy""),"&amp;"
 IF(NOT(ISERROR(REGEXEXTRACT(T262, ""(\d{1,2}) set\. 2025""))), 
  TEXT(DATE(2025,9,REGEXEXTRACT(T262, ""(\d{1,2}) set\. 2025"")), ""dd/mm/yyyy""),
 IF(NOT(ISERROR(REGEXEXTRACT(T262, ""(\d{1,2}) out\. 2025""))), 
  TEXT(DATE(2025,10,REGEXEXTRACT(T262, """&amp;"(\d{1,2}) out\. 2025"")), ""dd/mm/yyyy""),
 IF(NOT(ISERROR(REGEXEXTRACT(T262, ""(\d{1,2}) nov\. 2025""))), 
  TEXT(DATE(2025,11,REGEXEXTRACT(T262, ""(\d{1,2}) nov\. 2025"")), ""dd/mm/yyyy""),
 IF(NOT(ISERROR(REGEXEXTRACT(T262, ""(\d{1,2}) dez\. 2025""))),"&amp;" 
  TEXT(DATE(2025,12,REGEXEXTRACT(T262, ""(\d{1,2}) dez\. 2025"")), ""dd/mm/yyyy""),
 ""Insira a data manualmente"")))))))))))), """"))"),"06/11/2025")</f>
        <v>06/11/2025</v>
      </c>
      <c r="H262" s="22">
        <f t="shared" si="1"/>
        <v>2025</v>
      </c>
      <c r="I262" s="18" t="str">
        <f>IFERROR(__xludf.DUMMYFUNCTION("IF(REGEXMATCH(T262,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IF(REGEXMATCH(T262, ""(?i)\bBrasília\b""), ""Distrito Federal, Brasil"",
REGEXEXTRACT(T262,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62" s="30" t="s">
        <v>661</v>
      </c>
      <c r="K262" s="24" t="s">
        <v>662</v>
      </c>
      <c r="L262" s="24" t="s">
        <v>26</v>
      </c>
      <c r="M262" s="25" t="s">
        <v>27</v>
      </c>
      <c r="N262" s="18" t="str">
        <f t="shared" si="8"/>
        <v>Agência Pública</v>
      </c>
      <c r="O262" s="17" t="s">
        <v>28</v>
      </c>
      <c r="P262" s="17" t="s">
        <v>251</v>
      </c>
      <c r="Q262" s="26">
        <v>45972.0</v>
      </c>
      <c r="R262" s="17" t="s">
        <v>30</v>
      </c>
      <c r="S262" s="27" t="str">
        <f t="shared" si="3"/>
        <v>Aqui</v>
      </c>
      <c r="T262" s="29" t="s">
        <v>663</v>
      </c>
      <c r="U262" s="29"/>
    </row>
    <row r="263">
      <c r="A263" s="16">
        <v>261.0</v>
      </c>
      <c r="B263" s="17" t="s">
        <v>23</v>
      </c>
      <c r="C263" s="18" t="str">
        <f>IFERROR(__xludf.DUMMYFUNCTION("IF(B263="""","""",IF(OR(
  REGEXMATCH(B263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REGEXMATCH(B263,""Notícia|Reportagem|Artigo de opinião|Verbete"")
),""Difusão"","""")))
"),"Difusão")</f>
        <v>Difusão</v>
      </c>
      <c r="D263" s="19" t="str">
        <f>IFERROR(__xludf.DUMMYFUNCTION("IF(B263="""","""",IF(OR(
  REGEXMATCH(B263,""Performance|Instalação|Álbum|Música|Poema|Livro|Filme|Documentário|Recitação|Espetáculo|Peça|Intervenção|Desfile|Fotografia|Exposição|Charge|Grafite|Leitura pública|Fabricação de cachaça artesanal""),
  REGEXMA"&amp;"TCH(B263,""dança|teatral|artístico|musical|artística"")
),""Manifestação artístico-cultural"",
IF(OR(
  REGEXMATCH(B263,""Crônica|Série|Reportagem|Podcast|Audiotour|Entrevista|Vídeo|Rádio|Notícia|Artigo de opinião|Coletiva de imprensa""),
  REGEXMATCH(B26"&amp;"3,""midiática"")
),""Produção midiática"","""")))
"),"Produção midiática")</f>
        <v>Produção midiática</v>
      </c>
      <c r="E263" s="20" t="str">
        <f>IFERROR(__xludf.DUMMYFUNCTION("IF(B263="""","""",IF(OR(
  REGEXMATCH(B263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REGEXMATCH(B263,""público|Imediato|artística|teatral|memória|Ação popular"")
),""Público Imediato"",
IF(REGEXMATCH(B263,""Música|Álbum|Filme|Documentár"&amp;"io|Série|Podcast|Rádio|Audiotour|Entrevista|Reportagem|Crônica|Relatório|Abaixo-assinado|Manifesto|Petição|Poema|Livro|Fotografia|Curta|Live|Webinário|Charge|Leitura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63" s="20" t="str">
        <f>IFERROR(__xludf.DUMMYFUNCTION("IF(B263="""","""",IF(OR(
  REGEXMATCH(B263,""Live|Webinário|Virtual|Verbete""),
  REGEXMATCH(B263,""online"")
),""Virtual"",
IF(REGEXMATCH(B263,""Música|Álbum|Filme|Documentário|Série|Podcast|Rádio|Audiotour|Episódio|Reportagem|Curta|Charge|Vídeo|Entrevis"&amp;"ta|Notícia|Artigo de opinião""),
""Midiático"",
IF(REGEXMATCH(B263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63" s="21" t="str">
        <f>IFERROR(__xludf.DUMMYFUNCTION("IF(C263=""rememoração"", ""Insira a data manualmente"", IF(C263=""difusão"", 
 IF(NOT(ISERROR(REGEXEXTRACT(T263, ""(\d{1,2}) jan\. 2025""))), 
  TEXT(DATE(2025,1,REGEXEXTRACT(T263, ""(\d{1,2}) jan\. 2025"")), ""dd/mm/yyyy""),
 IF(NOT(ISERROR(REGEXEXTRACT("&amp;"T263, ""(\d{1,2}) fev\. 2025""))), 
  TEXT(DATE(2025,2,REGEXEXTRACT(T263, ""(\d{1,2}) fev\. 2025"")), ""dd/mm/yyyy""),
 IF(NOT(ISERROR(REGEXEXTRACT(T263, ""(\d{1,2}) mar\. 2025""))), 
  TEXT(DATE(2025,3,REGEXEXTRACT(T263, ""(\d{1,2}) mar\. 2025"")), ""dd/"&amp;"mm/yyyy""),
 IF(NOT(ISERROR(REGEXEXTRACT(T263, ""(\d{1,2}) abr\. 2025""))), 
  TEXT(DATE(2025,4,REGEXEXTRACT(T263, ""(\d{1,2}) abr\. 2025"")), ""dd/mm/yyyy""),
 IF(NOT(ISERROR(REGEXEXTRACT(T263, ""(\d{1,2}) (mai|maio)\. 2025""))), 
  TEXT(DATE(2025,5,REGE"&amp;"XEXTRACT(T263, ""(\d{1,2}) (mai|maio)\. 2025"")), ""dd/mm/yyyy""),
 IF(NOT(ISERROR(REGEXEXTRACT(T263, ""(\d{1,2}) jun\. 2025""))), 
  TEXT(DATE(2025,6,REGEXEXTRACT(T263, ""(\d{1,2}) jun\. 2025"")), ""dd/mm/yyyy""),
 IF(NOT(ISERROR(REGEXEXTRACT(T263, ""(\d"&amp;"{1,2}) jul\. 2025""))), 
  TEXT(DATE(2025,7,REGEXEXTRACT(T263, ""(\d{1,2}) jul\. 2025"")), ""dd/mm/yyyy""),
 IF(NOT(ISERROR(REGEXEXTRACT(T263, ""(\d{1,2}) ago\. 2025""))), 
  TEXT(DATE(2025,8,REGEXEXTRACT(T263, ""(\d{1,2}) ago\. 2025"")), ""dd/mm/yyyy""),"&amp;"
 IF(NOT(ISERROR(REGEXEXTRACT(T263, ""(\d{1,2}) set\. 2025""))), 
  TEXT(DATE(2025,9,REGEXEXTRACT(T263, ""(\d{1,2}) set\. 2025"")), ""dd/mm/yyyy""),
 IF(NOT(ISERROR(REGEXEXTRACT(T263, ""(\d{1,2}) out\. 2025""))), 
  TEXT(DATE(2025,10,REGEXEXTRACT(T263, """&amp;"(\d{1,2}) out\. 2025"")), ""dd/mm/yyyy""),
 IF(NOT(ISERROR(REGEXEXTRACT(T263, ""(\d{1,2}) nov\. 2025""))), 
  TEXT(DATE(2025,11,REGEXEXTRACT(T263, ""(\d{1,2}) nov\. 2025"")), ""dd/mm/yyyy""),
 IF(NOT(ISERROR(REGEXEXTRACT(T263, ""(\d{1,2}) dez\. 2025""))),"&amp;" 
  TEXT(DATE(2025,12,REGEXEXTRACT(T263, ""(\d{1,2}) dez\. 2025"")), ""dd/mm/yyyy""),
 ""Insira a data manualmente"")))))))))))), """"))"),"10/11/2025")</f>
        <v>10/11/2025</v>
      </c>
      <c r="H263" s="22">
        <f t="shared" si="1"/>
        <v>2025</v>
      </c>
      <c r="I263" s="18" t="str">
        <f>IFERROR(__xludf.DUMMYFUNCTION("IF(REGEXMATCH(T263,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IF(REGEXMATCH(T263, ""(?i)\bBrasília\b""), ""Distrito Federal, Brasil"",
REGEXEXTRACT(T263,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63" s="30" t="s">
        <v>323</v>
      </c>
      <c r="K263" s="24" t="s">
        <v>664</v>
      </c>
      <c r="L263" s="24" t="s">
        <v>26</v>
      </c>
      <c r="M263" s="25" t="s">
        <v>27</v>
      </c>
      <c r="N263" s="18" t="str">
        <f t="shared" si="8"/>
        <v>O Estado de S. Paulo</v>
      </c>
      <c r="O263" s="17" t="s">
        <v>28</v>
      </c>
      <c r="P263" s="17" t="s">
        <v>251</v>
      </c>
      <c r="Q263" s="26">
        <v>45972.0</v>
      </c>
      <c r="R263" s="17" t="s">
        <v>37</v>
      </c>
      <c r="S263" s="27" t="str">
        <f t="shared" si="3"/>
        <v>Aqui</v>
      </c>
      <c r="T263" s="29" t="s">
        <v>665</v>
      </c>
      <c r="U263" s="29"/>
    </row>
    <row r="264">
      <c r="A264" s="16">
        <v>262.0</v>
      </c>
      <c r="B264" s="17" t="s">
        <v>23</v>
      </c>
      <c r="C264" s="18" t="str">
        <f>IFERROR(__xludf.DUMMYFUNCTION("IF(B264="""","""",IF(OR(
  REGEXMATCH(B264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REGEXMATCH(B264,""Notícia|Reportagem|Artigo de opinião|Verbete"")
),""Difusão"","""")))
"),"Difusão")</f>
        <v>Difusão</v>
      </c>
      <c r="D264" s="19" t="str">
        <f>IFERROR(__xludf.DUMMYFUNCTION("IF(B264="""","""",IF(OR(
  REGEXMATCH(B264,""Performance|Instalação|Álbum|Música|Poema|Livro|Filme|Documentário|Recitação|Espetáculo|Peça|Intervenção|Desfile|Fotografia|Exposição|Charge|Grafite|Leitura pública|Fabricação de cachaça artesanal""),
  REGEXMA"&amp;"TCH(B264,""dança|teatral|artístico|musical|artística"")
),""Manifestação artístico-cultural"",
IF(OR(
  REGEXMATCH(B264,""Crônica|Série|Reportagem|Podcast|Audiotour|Entrevista|Vídeo|Rádio|Notícia|Artigo de opinião|Coletiva de imprensa""),
  REGEXMATCH(B26"&amp;"4,""midiática"")
),""Produção midiática"","""")))
"),"Produção midiática")</f>
        <v>Produção midiática</v>
      </c>
      <c r="E264" s="20" t="str">
        <f>IFERROR(__xludf.DUMMYFUNCTION("IF(B264="""","""",IF(OR(
  REGEXMATCH(B264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REGEXMATCH(B264,""público|Imediato|artística|teatral|memória|Ação popular"")
),""Público Imediato"",
IF(REGEXMATCH(B264,""Música|Álbum|Filme|Documentár"&amp;"io|Série|Podcast|Rádio|Audiotour|Entrevista|Reportagem|Crônica|Relatório|Abaixo-assinado|Manifesto|Petição|Poema|Livro|Fotografia|Curta|Live|Webinário|Charge|Leitura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64" s="20" t="str">
        <f>IFERROR(__xludf.DUMMYFUNCTION("IF(B264="""","""",IF(OR(
  REGEXMATCH(B264,""Live|Webinário|Virtual|Verbete""),
  REGEXMATCH(B264,""online"")
),""Virtual"",
IF(REGEXMATCH(B264,""Música|Álbum|Filme|Documentário|Série|Podcast|Rádio|Audiotour|Episódio|Reportagem|Curta|Charge|Vídeo|Entrevis"&amp;"ta|Notícia|Artigo de opinião""),
""Midiático"",
IF(REGEXMATCH(B264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64" s="21" t="str">
        <f>IFERROR(__xludf.DUMMYFUNCTION("IF(C264=""rememoração"", ""Insira a data manualmente"", IF(C264=""difusão"", 
 IF(NOT(ISERROR(REGEXEXTRACT(T264, ""(\d{1,2}) jan\. 2025""))), 
  TEXT(DATE(2025,1,REGEXEXTRACT(T264, ""(\d{1,2}) jan\. 2025"")), ""dd/mm/yyyy""),
 IF(NOT(ISERROR(REGEXEXTRACT("&amp;"T264, ""(\d{1,2}) fev\. 2025""))), 
  TEXT(DATE(2025,2,REGEXEXTRACT(T264, ""(\d{1,2}) fev\. 2025"")), ""dd/mm/yyyy""),
 IF(NOT(ISERROR(REGEXEXTRACT(T264, ""(\d{1,2}) mar\. 2025""))), 
  TEXT(DATE(2025,3,REGEXEXTRACT(T264, ""(\d{1,2}) mar\. 2025"")), ""dd/"&amp;"mm/yyyy""),
 IF(NOT(ISERROR(REGEXEXTRACT(T264, ""(\d{1,2}) abr\. 2025""))), 
  TEXT(DATE(2025,4,REGEXEXTRACT(T264, ""(\d{1,2}) abr\. 2025"")), ""dd/mm/yyyy""),
 IF(NOT(ISERROR(REGEXEXTRACT(T264, ""(\d{1,2}) (mai|maio)\. 2025""))), 
  TEXT(DATE(2025,5,REGE"&amp;"XEXTRACT(T264, ""(\d{1,2}) (mai|maio)\. 2025"")), ""dd/mm/yyyy""),
 IF(NOT(ISERROR(REGEXEXTRACT(T264, ""(\d{1,2}) jun\. 2025""))), 
  TEXT(DATE(2025,6,REGEXEXTRACT(T264, ""(\d{1,2}) jun\. 2025"")), ""dd/mm/yyyy""),
 IF(NOT(ISERROR(REGEXEXTRACT(T264, ""(\d"&amp;"{1,2}) jul\. 2025""))), 
  TEXT(DATE(2025,7,REGEXEXTRACT(T264, ""(\d{1,2}) jul\. 2025"")), ""dd/mm/yyyy""),
 IF(NOT(ISERROR(REGEXEXTRACT(T264, ""(\d{1,2}) ago\. 2025""))), 
  TEXT(DATE(2025,8,REGEXEXTRACT(T264, ""(\d{1,2}) ago\. 2025"")), ""dd/mm/yyyy""),"&amp;"
 IF(NOT(ISERROR(REGEXEXTRACT(T264, ""(\d{1,2}) set\. 2025""))), 
  TEXT(DATE(2025,9,REGEXEXTRACT(T264, ""(\d{1,2}) set\. 2025"")), ""dd/mm/yyyy""),
 IF(NOT(ISERROR(REGEXEXTRACT(T264, ""(\d{1,2}) out\. 2025""))), 
  TEXT(DATE(2025,10,REGEXEXTRACT(T264, """&amp;"(\d{1,2}) out\. 2025"")), ""dd/mm/yyyy""),
 IF(NOT(ISERROR(REGEXEXTRACT(T264, ""(\d{1,2}) nov\. 2025""))), 
  TEXT(DATE(2025,11,REGEXEXTRACT(T264, ""(\d{1,2}) nov\. 2025"")), ""dd/mm/yyyy""),
 IF(NOT(ISERROR(REGEXEXTRACT(T264, ""(\d{1,2}) dez\. 2025""))),"&amp;" 
  TEXT(DATE(2025,12,REGEXEXTRACT(T264, ""(\d{1,2}) dez\. 2025"")), ""dd/mm/yyyy""),
 ""Insira a data manualmente"")))))))))))), """"))"),"03/11/2025")</f>
        <v>03/11/2025</v>
      </c>
      <c r="H264" s="22">
        <f t="shared" si="1"/>
        <v>2025</v>
      </c>
      <c r="I264" s="18" t="str">
        <f>IFERROR(__xludf.DUMMYFUNCTION("IF(REGEXMATCH(T264,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IF(REGEXMATCH(T264, ""(?i)\bBrasília\b""), ""Distrito Federal, Brasil"",
REGEXEXTRACT(T264,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64" s="30" t="s">
        <v>35</v>
      </c>
      <c r="K264" s="24" t="s">
        <v>666</v>
      </c>
      <c r="L264" s="24" t="s">
        <v>26</v>
      </c>
      <c r="M264" s="25" t="s">
        <v>27</v>
      </c>
      <c r="N264" s="18" t="str">
        <f t="shared" si="8"/>
        <v>Carta Capital</v>
      </c>
      <c r="O264" s="17" t="s">
        <v>28</v>
      </c>
      <c r="P264" s="17" t="s">
        <v>251</v>
      </c>
      <c r="Q264" s="26">
        <v>45972.0</v>
      </c>
      <c r="R264" s="17" t="s">
        <v>37</v>
      </c>
      <c r="S264" s="27" t="str">
        <f t="shared" si="3"/>
        <v>Aqui</v>
      </c>
      <c r="T264" s="29" t="s">
        <v>667</v>
      </c>
      <c r="U264" s="29"/>
    </row>
    <row r="265">
      <c r="A265" s="16">
        <v>263.0</v>
      </c>
      <c r="B265" s="17" t="s">
        <v>23</v>
      </c>
      <c r="C265" s="18" t="str">
        <f>IFERROR(__xludf.DUMMYFUNCTION("IF(B265="""","""",IF(OR(
  REGEXMATCH(B265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REGEXMATCH(B265,""Notícia|Reportagem|Artigo de opinião|Verbete"")
),""Difusão"","""")))
"),"Difusão")</f>
        <v>Difusão</v>
      </c>
      <c r="D265" s="19" t="str">
        <f>IFERROR(__xludf.DUMMYFUNCTION("IF(B265="""","""",IF(OR(
  REGEXMATCH(B265,""Performance|Instalação|Álbum|Música|Poema|Livro|Filme|Documentário|Recitação|Espetáculo|Peça|Intervenção|Desfile|Fotografia|Exposição|Charge|Grafite|Leitura pública|Fabricação de cachaça artesanal""),
  REGEXMA"&amp;"TCH(B265,""dança|teatral|artístico|musical|artística"")
),""Manifestação artístico-cultural"",
IF(OR(
  REGEXMATCH(B265,""Crônica|Série|Reportagem|Podcast|Audiotour|Entrevista|Vídeo|Rádio|Notícia|Artigo de opinião|Coletiva de imprensa""),
  REGEXMATCH(B26"&amp;"5,""midiática"")
),""Produção midiática"","""")))
"),"Produção midiática")</f>
        <v>Produção midiática</v>
      </c>
      <c r="E265" s="20" t="str">
        <f>IFERROR(__xludf.DUMMYFUNCTION("IF(B265="""","""",IF(OR(
  REGEXMATCH(B265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REGEXMATCH(B265,""público|Imediato|artística|teatral|memória|Ação popular"")
),""Público Imediato"",
IF(REGEXMATCH(B265,""Música|Álbum|Filme|Documentár"&amp;"io|Série|Podcast|Rádio|Audiotour|Entrevista|Reportagem|Crônica|Relatório|Abaixo-assinado|Manifesto|Petição|Poema|Livro|Fotografia|Curta|Live|Webinário|Charge|Leitura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65" s="20" t="str">
        <f>IFERROR(__xludf.DUMMYFUNCTION("IF(B265="""","""",IF(OR(
  REGEXMATCH(B265,""Live|Webinário|Virtual|Verbete""),
  REGEXMATCH(B265,""online"")
),""Virtual"",
IF(REGEXMATCH(B265,""Música|Álbum|Filme|Documentário|Série|Podcast|Rádio|Audiotour|Episódio|Reportagem|Curta|Charge|Vídeo|Entrevis"&amp;"ta|Notícia|Artigo de opinião""),
""Midiático"",
IF(REGEXMATCH(B265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65" s="21" t="str">
        <f>IFERROR(__xludf.DUMMYFUNCTION("IF(C265=""rememoração"", ""Insira a data manualmente"", IF(C265=""difusão"", 
 IF(NOT(ISERROR(REGEXEXTRACT(T265, ""(\d{1,2}) jan\. 2025""))), 
  TEXT(DATE(2025,1,REGEXEXTRACT(T265, ""(\d{1,2}) jan\. 2025"")), ""dd/mm/yyyy""),
 IF(NOT(ISERROR(REGEXEXTRACT("&amp;"T265, ""(\d{1,2}) fev\. 2025""))), 
  TEXT(DATE(2025,2,REGEXEXTRACT(T265, ""(\d{1,2}) fev\. 2025"")), ""dd/mm/yyyy""),
 IF(NOT(ISERROR(REGEXEXTRACT(T265, ""(\d{1,2}) mar\. 2025""))), 
  TEXT(DATE(2025,3,REGEXEXTRACT(T265, ""(\d{1,2}) mar\. 2025"")), ""dd/"&amp;"mm/yyyy""),
 IF(NOT(ISERROR(REGEXEXTRACT(T265, ""(\d{1,2}) abr\. 2025""))), 
  TEXT(DATE(2025,4,REGEXEXTRACT(T265, ""(\d{1,2}) abr\. 2025"")), ""dd/mm/yyyy""),
 IF(NOT(ISERROR(REGEXEXTRACT(T265, ""(\d{1,2}) (mai|maio)\. 2025""))), 
  TEXT(DATE(2025,5,REGE"&amp;"XEXTRACT(T265, ""(\d{1,2}) (mai|maio)\. 2025"")), ""dd/mm/yyyy""),
 IF(NOT(ISERROR(REGEXEXTRACT(T265, ""(\d{1,2}) jun\. 2025""))), 
  TEXT(DATE(2025,6,REGEXEXTRACT(T265, ""(\d{1,2}) jun\. 2025"")), ""dd/mm/yyyy""),
 IF(NOT(ISERROR(REGEXEXTRACT(T265, ""(\d"&amp;"{1,2}) jul\. 2025""))), 
  TEXT(DATE(2025,7,REGEXEXTRACT(T265, ""(\d{1,2}) jul\. 2025"")), ""dd/mm/yyyy""),
 IF(NOT(ISERROR(REGEXEXTRACT(T265, ""(\d{1,2}) ago\. 2025""))), 
  TEXT(DATE(2025,8,REGEXEXTRACT(T265, ""(\d{1,2}) ago\. 2025"")), ""dd/mm/yyyy""),"&amp;"
 IF(NOT(ISERROR(REGEXEXTRACT(T265, ""(\d{1,2}) set\. 2025""))), 
  TEXT(DATE(2025,9,REGEXEXTRACT(T265, ""(\d{1,2}) set\. 2025"")), ""dd/mm/yyyy""),
 IF(NOT(ISERROR(REGEXEXTRACT(T265, ""(\d{1,2}) out\. 2025""))), 
  TEXT(DATE(2025,10,REGEXEXTRACT(T265, """&amp;"(\d{1,2}) out\. 2025"")), ""dd/mm/yyyy""),
 IF(NOT(ISERROR(REGEXEXTRACT(T265, ""(\d{1,2}) nov\. 2025""))), 
  TEXT(DATE(2025,11,REGEXEXTRACT(T265, ""(\d{1,2}) nov\. 2025"")), ""dd/mm/yyyy""),
 IF(NOT(ISERROR(REGEXEXTRACT(T265, ""(\d{1,2}) dez\. 2025""))),"&amp;" 
  TEXT(DATE(2025,12,REGEXEXTRACT(T265, ""(\d{1,2}) dez\. 2025"")), ""dd/mm/yyyy""),
 ""Insira a data manualmente"")))))))))))), """"))"),"03/11/2025")</f>
        <v>03/11/2025</v>
      </c>
      <c r="H265" s="22">
        <f t="shared" si="1"/>
        <v>2025</v>
      </c>
      <c r="I265" s="18" t="str">
        <f>IFERROR(__xludf.DUMMYFUNCTION("IF(REGEXMATCH(T265,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IF(REGEXMATCH(T265, ""(?i)\bBrasília\b""), ""Distrito Federal, Brasil"",
REGEXEXTRACT(T265,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65" s="30" t="s">
        <v>638</v>
      </c>
      <c r="K265" s="24" t="s">
        <v>668</v>
      </c>
      <c r="L265" s="24" t="s">
        <v>26</v>
      </c>
      <c r="M265" s="25" t="s">
        <v>27</v>
      </c>
      <c r="N265" s="18" t="str">
        <f t="shared" si="8"/>
        <v>Veja</v>
      </c>
      <c r="O265" s="17" t="s">
        <v>28</v>
      </c>
      <c r="P265" s="17" t="s">
        <v>251</v>
      </c>
      <c r="Q265" s="26">
        <v>45972.0</v>
      </c>
      <c r="R265" s="17" t="s">
        <v>30</v>
      </c>
      <c r="S265" s="27" t="str">
        <f t="shared" si="3"/>
        <v>Aqui</v>
      </c>
      <c r="T265" s="29" t="s">
        <v>669</v>
      </c>
      <c r="U265" s="29"/>
    </row>
    <row r="266">
      <c r="A266" s="16">
        <v>264.0</v>
      </c>
      <c r="B266" s="17" t="s">
        <v>23</v>
      </c>
      <c r="C266" s="18" t="str">
        <f>IFERROR(__xludf.DUMMYFUNCTION("IF(B266="""","""",IF(OR(
  REGEXMATCH(B266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REGEXMATCH(B266,""Notícia|Reportagem|Artigo de opinião|Verbete"")
),""Difusão"","""")))
"),"Difusão")</f>
        <v>Difusão</v>
      </c>
      <c r="D266" s="19" t="str">
        <f>IFERROR(__xludf.DUMMYFUNCTION("IF(B266="""","""",IF(OR(
  REGEXMATCH(B266,""Performance|Instalação|Álbum|Música|Poema|Livro|Filme|Documentário|Recitação|Espetáculo|Peça|Intervenção|Desfile|Fotografia|Exposição|Charge|Grafite|Leitura pública|Fabricação de cachaça artesanal""),
  REGEXMA"&amp;"TCH(B266,""dança|teatral|artístico|musical|artística"")
),""Manifestação artístico-cultural"",
IF(OR(
  REGEXMATCH(B266,""Crônica|Série|Reportagem|Podcast|Audiotour|Entrevista|Vídeo|Rádio|Notícia|Artigo de opinião|Coletiva de imprensa""),
  REGEXMATCH(B26"&amp;"6,""midiática"")
),""Produção midiática"","""")))
"),"Produção midiática")</f>
        <v>Produção midiática</v>
      </c>
      <c r="E266" s="20" t="str">
        <f>IFERROR(__xludf.DUMMYFUNCTION("IF(B266="""","""",IF(OR(
  REGEXMATCH(B266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REGEXMATCH(B266,""público|Imediato|artística|teatral|memória|Ação popular"")
),""Público Imediato"",
IF(REGEXMATCH(B266,""Música|Álbum|Filme|Documentár"&amp;"io|Série|Podcast|Rádio|Audiotour|Entrevista|Reportagem|Crônica|Relatório|Abaixo-assinado|Manifesto|Petição|Poema|Livro|Fotografia|Curta|Live|Webinário|Charge|Leitura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66" s="20" t="str">
        <f>IFERROR(__xludf.DUMMYFUNCTION("IF(B266="""","""",IF(OR(
  REGEXMATCH(B266,""Live|Webinário|Virtual|Verbete""),
  REGEXMATCH(B266,""online"")
),""Virtual"",
IF(REGEXMATCH(B266,""Música|Álbum|Filme|Documentário|Série|Podcast|Rádio|Audiotour|Episódio|Reportagem|Curta|Charge|Vídeo|Entrevis"&amp;"ta|Notícia|Artigo de opinião""),
""Midiático"",
IF(REGEXMATCH(B266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66" s="21" t="str">
        <f>IFERROR(__xludf.DUMMYFUNCTION("IF(C266=""rememoração"", ""Insira a data manualmente"", IF(C266=""difusão"", 
 IF(NOT(ISERROR(REGEXEXTRACT(T266, ""(\d{1,2}) jan\. 2025""))), 
  TEXT(DATE(2025,1,REGEXEXTRACT(T266, ""(\d{1,2}) jan\. 2025"")), ""dd/mm/yyyy""),
 IF(NOT(ISERROR(REGEXEXTRACT("&amp;"T266, ""(\d{1,2}) fev\. 2025""))), 
  TEXT(DATE(2025,2,REGEXEXTRACT(T266, ""(\d{1,2}) fev\. 2025"")), ""dd/mm/yyyy""),
 IF(NOT(ISERROR(REGEXEXTRACT(T266, ""(\d{1,2}) mar\. 2025""))), 
  TEXT(DATE(2025,3,REGEXEXTRACT(T266, ""(\d{1,2}) mar\. 2025"")), ""dd/"&amp;"mm/yyyy""),
 IF(NOT(ISERROR(REGEXEXTRACT(T266, ""(\d{1,2}) abr\. 2025""))), 
  TEXT(DATE(2025,4,REGEXEXTRACT(T266, ""(\d{1,2}) abr\. 2025"")), ""dd/mm/yyyy""),
 IF(NOT(ISERROR(REGEXEXTRACT(T266, ""(\d{1,2}) (mai|maio)\. 2025""))), 
  TEXT(DATE(2025,5,REGE"&amp;"XEXTRACT(T266, ""(\d{1,2}) (mai|maio)\. 2025"")), ""dd/mm/yyyy""),
 IF(NOT(ISERROR(REGEXEXTRACT(T266, ""(\d{1,2}) jun\. 2025""))), 
  TEXT(DATE(2025,6,REGEXEXTRACT(T266, ""(\d{1,2}) jun\. 2025"")), ""dd/mm/yyyy""),
 IF(NOT(ISERROR(REGEXEXTRACT(T266, ""(\d"&amp;"{1,2}) jul\. 2025""))), 
  TEXT(DATE(2025,7,REGEXEXTRACT(T266, ""(\d{1,2}) jul\. 2025"")), ""dd/mm/yyyy""),
 IF(NOT(ISERROR(REGEXEXTRACT(T266, ""(\d{1,2}) ago\. 2025""))), 
  TEXT(DATE(2025,8,REGEXEXTRACT(T266, ""(\d{1,2}) ago\. 2025"")), ""dd/mm/yyyy""),"&amp;"
 IF(NOT(ISERROR(REGEXEXTRACT(T266, ""(\d{1,2}) set\. 2025""))), 
  TEXT(DATE(2025,9,REGEXEXTRACT(T266, ""(\d{1,2}) set\. 2025"")), ""dd/mm/yyyy""),
 IF(NOT(ISERROR(REGEXEXTRACT(T266, ""(\d{1,2}) out\. 2025""))), 
  TEXT(DATE(2025,10,REGEXEXTRACT(T266, """&amp;"(\d{1,2}) out\. 2025"")), ""dd/mm/yyyy""),
 IF(NOT(ISERROR(REGEXEXTRACT(T266, ""(\d{1,2}) nov\. 2025""))), 
  TEXT(DATE(2025,11,REGEXEXTRACT(T266, ""(\d{1,2}) nov\. 2025"")), ""dd/mm/yyyy""),
 IF(NOT(ISERROR(REGEXEXTRACT(T266, ""(\d{1,2}) dez\. 2025""))),"&amp;" 
  TEXT(DATE(2025,12,REGEXEXTRACT(T266, ""(\d{1,2}) dez\. 2025"")), ""dd/mm/yyyy""),
 ""Insira a data manualmente"")))))))))))), """"))"),"10/11/2025")</f>
        <v>10/11/2025</v>
      </c>
      <c r="H266" s="22">
        <f t="shared" si="1"/>
        <v>2025</v>
      </c>
      <c r="I266" s="18" t="s">
        <v>298</v>
      </c>
      <c r="J266" s="30" t="s">
        <v>93</v>
      </c>
      <c r="K266" s="24" t="s">
        <v>670</v>
      </c>
      <c r="L266" s="24" t="s">
        <v>26</v>
      </c>
      <c r="M266" s="25" t="s">
        <v>27</v>
      </c>
      <c r="N266" s="18" t="str">
        <f t="shared" si="8"/>
        <v>Gazeta do Povo</v>
      </c>
      <c r="O266" s="17" t="s">
        <v>28</v>
      </c>
      <c r="P266" s="17" t="s">
        <v>251</v>
      </c>
      <c r="Q266" s="26">
        <v>45972.0</v>
      </c>
      <c r="R266" s="17" t="s">
        <v>37</v>
      </c>
      <c r="S266" s="27" t="str">
        <f t="shared" si="3"/>
        <v>Aqui</v>
      </c>
      <c r="T266" s="29" t="s">
        <v>671</v>
      </c>
      <c r="U266" s="29"/>
    </row>
    <row r="267">
      <c r="A267" s="16">
        <v>265.0</v>
      </c>
      <c r="B267" s="17" t="s">
        <v>23</v>
      </c>
      <c r="C267" s="18" t="str">
        <f>IFERROR(__xludf.DUMMYFUNCTION("IF(B267="""","""",IF(OR(
  REGEXMATCH(B267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REGEXMATCH(B267,""Notícia|Reportagem|Artigo de opinião|Verbete"")
),""Difusão"","""")))
"),"Difusão")</f>
        <v>Difusão</v>
      </c>
      <c r="D267" s="19" t="str">
        <f>IFERROR(__xludf.DUMMYFUNCTION("IF(B267="""","""",IF(OR(
  REGEXMATCH(B267,""Performance|Instalação|Álbum|Música|Poema|Livro|Filme|Documentário|Recitação|Espetáculo|Peça|Intervenção|Desfile|Fotografia|Exposição|Charge|Grafite|Leitura pública|Fabricação de cachaça artesanal""),
  REGEXMA"&amp;"TCH(B267,""dança|teatral|artístico|musical|artística"")
),""Manifestação artístico-cultural"",
IF(OR(
  REGEXMATCH(B267,""Crônica|Série|Reportagem|Podcast|Audiotour|Entrevista|Vídeo|Rádio|Notícia|Artigo de opinião|Coletiva de imprensa""),
  REGEXMATCH(B26"&amp;"7,""midiática"")
),""Produção midiática"","""")))
"),"Produção midiática")</f>
        <v>Produção midiática</v>
      </c>
      <c r="E267" s="20" t="str">
        <f>IFERROR(__xludf.DUMMYFUNCTION("IF(B267="""","""",IF(OR(
  REGEXMATCH(B267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REGEXMATCH(B267,""público|Imediato|artística|teatral|memória|Ação popular"")
),""Público Imediato"",
IF(REGEXMATCH(B267,""Música|Álbum|Filme|Documentár"&amp;"io|Série|Podcast|Rádio|Audiotour|Entrevista|Reportagem|Crônica|Relatório|Abaixo-assinado|Manifesto|Petição|Poema|Livro|Fotografia|Curta|Live|Webinário|Charge|Leitura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67" s="20" t="str">
        <f>IFERROR(__xludf.DUMMYFUNCTION("IF(B267="""","""",IF(OR(
  REGEXMATCH(B267,""Live|Webinário|Virtual|Verbete""),
  REGEXMATCH(B267,""online"")
),""Virtual"",
IF(REGEXMATCH(B267,""Música|Álbum|Filme|Documentário|Série|Podcast|Rádio|Audiotour|Episódio|Reportagem|Curta|Charge|Vídeo|Entrevis"&amp;"ta|Notícia|Artigo de opinião""),
""Midiático"",
IF(REGEXMATCH(B267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67" s="21" t="str">
        <f>IFERROR(__xludf.DUMMYFUNCTION("IF(C267=""rememoração"", ""Insira a data manualmente"", IF(C267=""difusão"", 
 IF(NOT(ISERROR(REGEXEXTRACT(T267, ""(\d{1,2}) jan\. 2025""))), 
  TEXT(DATE(2025,1,REGEXEXTRACT(T267, ""(\d{1,2}) jan\. 2025"")), ""dd/mm/yyyy""),
 IF(NOT(ISERROR(REGEXEXTRACT("&amp;"T267, ""(\d{1,2}) fev\. 2025""))), 
  TEXT(DATE(2025,2,REGEXEXTRACT(T267, ""(\d{1,2}) fev\. 2025"")), ""dd/mm/yyyy""),
 IF(NOT(ISERROR(REGEXEXTRACT(T267, ""(\d{1,2}) mar\. 2025""))), 
  TEXT(DATE(2025,3,REGEXEXTRACT(T267, ""(\d{1,2}) mar\. 2025"")), ""dd/"&amp;"mm/yyyy""),
 IF(NOT(ISERROR(REGEXEXTRACT(T267, ""(\d{1,2}) abr\. 2025""))), 
  TEXT(DATE(2025,4,REGEXEXTRACT(T267, ""(\d{1,2}) abr\. 2025"")), ""dd/mm/yyyy""),
 IF(NOT(ISERROR(REGEXEXTRACT(T267, ""(\d{1,2}) (mai|maio)\. 2025""))), 
  TEXT(DATE(2025,5,REGE"&amp;"XEXTRACT(T267, ""(\d{1,2}) (mai|maio)\. 2025"")), ""dd/mm/yyyy""),
 IF(NOT(ISERROR(REGEXEXTRACT(T267, ""(\d{1,2}) jun\. 2025""))), 
  TEXT(DATE(2025,6,REGEXEXTRACT(T267, ""(\d{1,2}) jun\. 2025"")), ""dd/mm/yyyy""),
 IF(NOT(ISERROR(REGEXEXTRACT(T267, ""(\d"&amp;"{1,2}) jul\. 2025""))), 
  TEXT(DATE(2025,7,REGEXEXTRACT(T267, ""(\d{1,2}) jul\. 2025"")), ""dd/mm/yyyy""),
 IF(NOT(ISERROR(REGEXEXTRACT(T267, ""(\d{1,2}) ago\. 2025""))), 
  TEXT(DATE(2025,8,REGEXEXTRACT(T267, ""(\d{1,2}) ago\. 2025"")), ""dd/mm/yyyy""),"&amp;"
 IF(NOT(ISERROR(REGEXEXTRACT(T267, ""(\d{1,2}) set\. 2025""))), 
  TEXT(DATE(2025,9,REGEXEXTRACT(T267, ""(\d{1,2}) set\. 2025"")), ""dd/mm/yyyy""),
 IF(NOT(ISERROR(REGEXEXTRACT(T267, ""(\d{1,2}) out\. 2025""))), 
  TEXT(DATE(2025,10,REGEXEXTRACT(T267, """&amp;"(\d{1,2}) out\. 2025"")), ""dd/mm/yyyy""),
 IF(NOT(ISERROR(REGEXEXTRACT(T267, ""(\d{1,2}) nov\. 2025""))), 
  TEXT(DATE(2025,11,REGEXEXTRACT(T267, ""(\d{1,2}) nov\. 2025"")), ""dd/mm/yyyy""),
 IF(NOT(ISERROR(REGEXEXTRACT(T267, ""(\d{1,2}) dez\. 2025""))),"&amp;" 
  TEXT(DATE(2025,12,REGEXEXTRACT(T267, ""(\d{1,2}) dez\. 2025"")), ""dd/mm/yyyy""),
 ""Insira a data manualmente"")))))))))))), """"))"),"10/11/2025")</f>
        <v>10/11/2025</v>
      </c>
      <c r="H267" s="22">
        <f t="shared" si="1"/>
        <v>2025</v>
      </c>
      <c r="I267" s="18" t="str">
        <f>IFERROR(__xludf.DUMMYFUNCTION("IF(REGEXMATCH(T267,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IF(REGEXMATCH(T267, ""(?i)\bBrasília\b""), ""Distrito Federal, Brasil"",
REGEXEXTRACT(T267,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67" s="30" t="s">
        <v>672</v>
      </c>
      <c r="K267" s="24" t="s">
        <v>673</v>
      </c>
      <c r="L267" s="24" t="s">
        <v>26</v>
      </c>
      <c r="M267" s="25" t="s">
        <v>27</v>
      </c>
      <c r="N267" s="18" t="str">
        <f t="shared" si="8"/>
        <v>Rádio Pampa</v>
      </c>
      <c r="O267" s="17" t="s">
        <v>28</v>
      </c>
      <c r="P267" s="17" t="s">
        <v>251</v>
      </c>
      <c r="Q267" s="26">
        <v>45972.0</v>
      </c>
      <c r="R267" s="17" t="s">
        <v>30</v>
      </c>
      <c r="S267" s="27" t="str">
        <f t="shared" si="3"/>
        <v>Aqui</v>
      </c>
      <c r="T267" s="29" t="s">
        <v>674</v>
      </c>
      <c r="U267" s="29"/>
    </row>
    <row r="268">
      <c r="A268" s="16">
        <v>266.0</v>
      </c>
      <c r="B268" s="17" t="s">
        <v>23</v>
      </c>
      <c r="C268" s="18" t="str">
        <f>IFERROR(__xludf.DUMMYFUNCTION("IF(B268="""","""",IF(OR(
  REGEXMATCH(B268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REGEXMATCH(B268,""Notícia|Reportagem|Artigo de opinião|Verbete"")
),""Difusão"","""")))
"),"Difusão")</f>
        <v>Difusão</v>
      </c>
      <c r="D268" s="19" t="str">
        <f>IFERROR(__xludf.DUMMYFUNCTION("IF(B268="""","""",IF(OR(
  REGEXMATCH(B268,""Performance|Instalação|Álbum|Música|Poema|Livro|Filme|Documentário|Recitação|Espetáculo|Peça|Intervenção|Desfile|Fotografia|Exposição|Charge|Grafite|Leitura pública|Fabricação de cachaça artesanal""),
  REGEXMA"&amp;"TCH(B268,""dança|teatral|artístico|musical|artística"")
),""Manifestação artístico-cultural"",
IF(OR(
  REGEXMATCH(B268,""Crônica|Série|Reportagem|Podcast|Audiotour|Entrevista|Vídeo|Rádio|Notícia|Artigo de opinião|Coletiva de imprensa""),
  REGEXMATCH(B26"&amp;"8,""midiática"")
),""Produção midiática"","""")))
"),"Produção midiática")</f>
        <v>Produção midiática</v>
      </c>
      <c r="E268" s="20" t="str">
        <f>IFERROR(__xludf.DUMMYFUNCTION("IF(B268="""","""",IF(OR(
  REGEXMATCH(B268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REGEXMATCH(B268,""público|Imediato|artística|teatral|memória|Ação popular"")
),""Público Imediato"",
IF(REGEXMATCH(B268,""Música|Álbum|Filme|Documentár"&amp;"io|Série|Podcast|Rádio|Audiotour|Entrevista|Reportagem|Crônica|Relatório|Abaixo-assinado|Manifesto|Petição|Poema|Livro|Fotografia|Curta|Live|Webinário|Charge|Leitura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68" s="20" t="str">
        <f>IFERROR(__xludf.DUMMYFUNCTION("IF(B268="""","""",IF(OR(
  REGEXMATCH(B268,""Live|Webinário|Virtual|Verbete""),
  REGEXMATCH(B268,""online"")
),""Virtual"",
IF(REGEXMATCH(B268,""Música|Álbum|Filme|Documentário|Série|Podcast|Rádio|Audiotour|Episódio|Reportagem|Curta|Charge|Vídeo|Entrevis"&amp;"ta|Notícia|Artigo de opinião""),
""Midiático"",
IF(REGEXMATCH(B268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68" s="21" t="str">
        <f>IFERROR(__xludf.DUMMYFUNCTION("IF(C268=""rememoração"", ""Insira a data manualmente"", IF(C268=""difusão"", 
 IF(NOT(ISERROR(REGEXEXTRACT(T268, ""(\d{1,2}) jan\. 2025""))), 
  TEXT(DATE(2025,1,REGEXEXTRACT(T268, ""(\d{1,2}) jan\. 2025"")), ""dd/mm/yyyy""),
 IF(NOT(ISERROR(REGEXEXTRACT("&amp;"T268, ""(\d{1,2}) fev\. 2025""))), 
  TEXT(DATE(2025,2,REGEXEXTRACT(T268, ""(\d{1,2}) fev\. 2025"")), ""dd/mm/yyyy""),
 IF(NOT(ISERROR(REGEXEXTRACT(T268, ""(\d{1,2}) mar\. 2025""))), 
  TEXT(DATE(2025,3,REGEXEXTRACT(T268, ""(\d{1,2}) mar\. 2025"")), ""dd/"&amp;"mm/yyyy""),
 IF(NOT(ISERROR(REGEXEXTRACT(T268, ""(\d{1,2}) abr\. 2025""))), 
  TEXT(DATE(2025,4,REGEXEXTRACT(T268, ""(\d{1,2}) abr\. 2025"")), ""dd/mm/yyyy""),
 IF(NOT(ISERROR(REGEXEXTRACT(T268, ""(\d{1,2}) (mai|maio)\. 2025""))), 
  TEXT(DATE(2025,5,REGE"&amp;"XEXTRACT(T268, ""(\d{1,2}) (mai|maio)\. 2025"")), ""dd/mm/yyyy""),
 IF(NOT(ISERROR(REGEXEXTRACT(T268, ""(\d{1,2}) jun\. 2025""))), 
  TEXT(DATE(2025,6,REGEXEXTRACT(T268, ""(\d{1,2}) jun\. 2025"")), ""dd/mm/yyyy""),
 IF(NOT(ISERROR(REGEXEXTRACT(T268, ""(\d"&amp;"{1,2}) jul\. 2025""))), 
  TEXT(DATE(2025,7,REGEXEXTRACT(T268, ""(\d{1,2}) jul\. 2025"")), ""dd/mm/yyyy""),
 IF(NOT(ISERROR(REGEXEXTRACT(T268, ""(\d{1,2}) ago\. 2025""))), 
  TEXT(DATE(2025,8,REGEXEXTRACT(T268, ""(\d{1,2}) ago\. 2025"")), ""dd/mm/yyyy""),"&amp;"
 IF(NOT(ISERROR(REGEXEXTRACT(T268, ""(\d{1,2}) set\. 2025""))), 
  TEXT(DATE(2025,9,REGEXEXTRACT(T268, ""(\d{1,2}) set\. 2025"")), ""dd/mm/yyyy""),
 IF(NOT(ISERROR(REGEXEXTRACT(T268, ""(\d{1,2}) out\. 2025""))), 
  TEXT(DATE(2025,10,REGEXEXTRACT(T268, """&amp;"(\d{1,2}) out\. 2025"")), ""dd/mm/yyyy""),
 IF(NOT(ISERROR(REGEXEXTRACT(T268, ""(\d{1,2}) nov\. 2025""))), 
  TEXT(DATE(2025,11,REGEXEXTRACT(T268, ""(\d{1,2}) nov\. 2025"")), ""dd/mm/yyyy""),
 IF(NOT(ISERROR(REGEXEXTRACT(T268, ""(\d{1,2}) dez\. 2025""))),"&amp;" 
  TEXT(DATE(2025,12,REGEXEXTRACT(T268, ""(\d{1,2}) dez\. 2025"")), ""dd/mm/yyyy""),
 ""Insira a data manualmente"")))))))))))), """"))"),"03/11/2025")</f>
        <v>03/11/2025</v>
      </c>
      <c r="H268" s="22">
        <f t="shared" si="1"/>
        <v>2025</v>
      </c>
      <c r="I268" s="18" t="str">
        <f>IFERROR(__xludf.DUMMYFUNCTION("IF(REGEXMATCH(T268,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IF(REGEXMATCH(T268, ""(?i)\bBrasília\b""), ""Distrito Federal, Brasil"",
REGEXEXTRACT(T268,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68" s="30" t="s">
        <v>491</v>
      </c>
      <c r="K268" s="24" t="s">
        <v>675</v>
      </c>
      <c r="L268" s="24" t="s">
        <v>26</v>
      </c>
      <c r="M268" s="25" t="s">
        <v>27</v>
      </c>
      <c r="N268" s="18" t="str">
        <f t="shared" si="8"/>
        <v>Poder 360</v>
      </c>
      <c r="O268" s="17" t="s">
        <v>28</v>
      </c>
      <c r="P268" s="17" t="s">
        <v>251</v>
      </c>
      <c r="Q268" s="26">
        <v>45972.0</v>
      </c>
      <c r="R268" s="17" t="s">
        <v>30</v>
      </c>
      <c r="S268" s="27" t="str">
        <f t="shared" si="3"/>
        <v>Aqui</v>
      </c>
      <c r="T268" s="29" t="s">
        <v>676</v>
      </c>
      <c r="U268" s="29"/>
    </row>
    <row r="269">
      <c r="A269" s="16">
        <v>267.0</v>
      </c>
      <c r="B269" s="17" t="s">
        <v>23</v>
      </c>
      <c r="C269" s="18" t="str">
        <f>IFERROR(__xludf.DUMMYFUNCTION("IF(B269="""","""",IF(OR(
  REGEXMATCH(B269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REGEXMATCH(B269,""Notícia|Reportagem|Artigo de opinião|Verbete"")
),""Difusão"","""")))
"),"Difusão")</f>
        <v>Difusão</v>
      </c>
      <c r="D269" s="19" t="str">
        <f>IFERROR(__xludf.DUMMYFUNCTION("IF(B269="""","""",IF(OR(
  REGEXMATCH(B269,""Performance|Instalação|Álbum|Música|Poema|Livro|Filme|Documentário|Recitação|Espetáculo|Peça|Intervenção|Desfile|Fotografia|Exposição|Charge|Grafite|Leitura pública|Fabricação de cachaça artesanal""),
  REGEXMA"&amp;"TCH(B269,""dança|teatral|artístico|musical|artística"")
),""Manifestação artístico-cultural"",
IF(OR(
  REGEXMATCH(B269,""Crônica|Série|Reportagem|Podcast|Audiotour|Entrevista|Vídeo|Rádio|Notícia|Artigo de opinião|Coletiva de imprensa""),
  REGEXMATCH(B26"&amp;"9,""midiática"")
),""Produção midiática"","""")))
"),"Produção midiática")</f>
        <v>Produção midiática</v>
      </c>
      <c r="E269" s="20" t="str">
        <f>IFERROR(__xludf.DUMMYFUNCTION("IF(B269="""","""",IF(OR(
  REGEXMATCH(B269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REGEXMATCH(B269,""público|Imediato|artística|teatral|memória|Ação popular"")
),""Público Imediato"",
IF(REGEXMATCH(B269,""Música|Álbum|Filme|Documentár"&amp;"io|Série|Podcast|Rádio|Audiotour|Entrevista|Reportagem|Crônica|Relatório|Abaixo-assinado|Manifesto|Petição|Poema|Livro|Fotografia|Curta|Live|Webinário|Charge|Leitura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69" s="20" t="str">
        <f>IFERROR(__xludf.DUMMYFUNCTION("IF(B269="""","""",IF(OR(
  REGEXMATCH(B269,""Live|Webinário|Virtual|Verbete""),
  REGEXMATCH(B269,""online"")
),""Virtual"",
IF(REGEXMATCH(B269,""Música|Álbum|Filme|Documentário|Série|Podcast|Rádio|Audiotour|Episódio|Reportagem|Curta|Charge|Vídeo|Entrevis"&amp;"ta|Notícia|Artigo de opinião""),
""Midiático"",
IF(REGEXMATCH(B269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69" s="21" t="str">
        <f>IFERROR(__xludf.DUMMYFUNCTION("IF(C269=""rememoração"", ""Insira a data manualmente"", IF(C269=""difusão"", 
 IF(NOT(ISERROR(REGEXEXTRACT(T269, ""(\d{1,2}) jan\. 2025""))), 
  TEXT(DATE(2025,1,REGEXEXTRACT(T269, ""(\d{1,2}) jan\. 2025"")), ""dd/mm/yyyy""),
 IF(NOT(ISERROR(REGEXEXTRACT("&amp;"T269, ""(\d{1,2}) fev\. 2025""))), 
  TEXT(DATE(2025,2,REGEXEXTRACT(T269, ""(\d{1,2}) fev\. 2025"")), ""dd/mm/yyyy""),
 IF(NOT(ISERROR(REGEXEXTRACT(T269, ""(\d{1,2}) mar\. 2025""))), 
  TEXT(DATE(2025,3,REGEXEXTRACT(T269, ""(\d{1,2}) mar\. 2025"")), ""dd/"&amp;"mm/yyyy""),
 IF(NOT(ISERROR(REGEXEXTRACT(T269, ""(\d{1,2}) abr\. 2025""))), 
  TEXT(DATE(2025,4,REGEXEXTRACT(T269, ""(\d{1,2}) abr\. 2025"")), ""dd/mm/yyyy""),
 IF(NOT(ISERROR(REGEXEXTRACT(T269, ""(\d{1,2}) (mai|maio)\. 2025""))), 
  TEXT(DATE(2025,5,REGE"&amp;"XEXTRACT(T269, ""(\d{1,2}) (mai|maio)\. 2025"")), ""dd/mm/yyyy""),
 IF(NOT(ISERROR(REGEXEXTRACT(T269, ""(\d{1,2}) jun\. 2025""))), 
  TEXT(DATE(2025,6,REGEXEXTRACT(T269, ""(\d{1,2}) jun\. 2025"")), ""dd/mm/yyyy""),
 IF(NOT(ISERROR(REGEXEXTRACT(T269, ""(\d"&amp;"{1,2}) jul\. 2025""))), 
  TEXT(DATE(2025,7,REGEXEXTRACT(T269, ""(\d{1,2}) jul\. 2025"")), ""dd/mm/yyyy""),
 IF(NOT(ISERROR(REGEXEXTRACT(T269, ""(\d{1,2}) ago\. 2025""))), 
  TEXT(DATE(2025,8,REGEXEXTRACT(T269, ""(\d{1,2}) ago\. 2025"")), ""dd/mm/yyyy""),"&amp;"
 IF(NOT(ISERROR(REGEXEXTRACT(T269, ""(\d{1,2}) set\. 2025""))), 
  TEXT(DATE(2025,9,REGEXEXTRACT(T269, ""(\d{1,2}) set\. 2025"")), ""dd/mm/yyyy""),
 IF(NOT(ISERROR(REGEXEXTRACT(T269, ""(\d{1,2}) out\. 2025""))), 
  TEXT(DATE(2025,10,REGEXEXTRACT(T269, """&amp;"(\d{1,2}) out\. 2025"")), ""dd/mm/yyyy""),
 IF(NOT(ISERROR(REGEXEXTRACT(T269, ""(\d{1,2}) nov\. 2025""))), 
  TEXT(DATE(2025,11,REGEXEXTRACT(T269, ""(\d{1,2}) nov\. 2025"")), ""dd/mm/yyyy""),
 IF(NOT(ISERROR(REGEXEXTRACT(T269, ""(\d{1,2}) dez\. 2025""))),"&amp;" 
  TEXT(DATE(2025,12,REGEXEXTRACT(T269, ""(\d{1,2}) dez\. 2025"")), ""dd/mm/yyyy""),
 ""Insira a data manualmente"")))))))))))), """"))"),"31/10/2025")</f>
        <v>31/10/2025</v>
      </c>
      <c r="H269" s="22">
        <f t="shared" si="1"/>
        <v>2025</v>
      </c>
      <c r="I269" s="18" t="s">
        <v>455</v>
      </c>
      <c r="J269" s="30" t="s">
        <v>677</v>
      </c>
      <c r="K269" s="24" t="s">
        <v>678</v>
      </c>
      <c r="L269" s="24" t="s">
        <v>26</v>
      </c>
      <c r="M269" s="25" t="s">
        <v>27</v>
      </c>
      <c r="N269" s="18" t="str">
        <f t="shared" si="8"/>
        <v>Blog do PCO</v>
      </c>
      <c r="O269" s="17" t="s">
        <v>28</v>
      </c>
      <c r="P269" s="17" t="s">
        <v>251</v>
      </c>
      <c r="Q269" s="26">
        <v>45972.0</v>
      </c>
      <c r="R269" s="17" t="s">
        <v>30</v>
      </c>
      <c r="S269" s="27" t="str">
        <f t="shared" si="3"/>
        <v>Aqui</v>
      </c>
      <c r="T269" s="29" t="s">
        <v>679</v>
      </c>
      <c r="U269" s="29"/>
    </row>
    <row r="270">
      <c r="A270" s="16">
        <v>268.0</v>
      </c>
      <c r="B270" s="17" t="s">
        <v>23</v>
      </c>
      <c r="C270" s="18" t="str">
        <f>IFERROR(__xludf.DUMMYFUNCTION("IF(B270="""","""",IF(OR(
  REGEXMATCH(B270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REGEXMATCH(B270,""Notícia|Reportagem|Artigo de opinião|Verbete"")
),""Difusão"","""")))
"),"Difusão")</f>
        <v>Difusão</v>
      </c>
      <c r="D270" s="19" t="str">
        <f>IFERROR(__xludf.DUMMYFUNCTION("IF(B270="""","""",IF(OR(
  REGEXMATCH(B270,""Performance|Instalação|Álbum|Música|Poema|Livro|Filme|Documentário|Recitação|Espetáculo|Peça|Intervenção|Desfile|Fotografia|Exposição|Charge|Grafite|Leitura pública|Fabricação de cachaça artesanal""),
  REGEXMA"&amp;"TCH(B270,""dança|teatral|artístico|musical|artística"")
),""Manifestação artístico-cultural"",
IF(OR(
  REGEXMATCH(B270,""Crônica|Série|Reportagem|Podcast|Audiotour|Entrevista|Vídeo|Rádio|Notícia|Artigo de opinião|Coletiva de imprensa""),
  REGEXMATCH(B27"&amp;"0,""midiática"")
),""Produção midiática"","""")))
"),"Produção midiática")</f>
        <v>Produção midiática</v>
      </c>
      <c r="E270" s="20" t="str">
        <f>IFERROR(__xludf.DUMMYFUNCTION("IF(B270="""","""",IF(OR(
  REGEXMATCH(B270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REGEXMATCH(B270,""público|Imediato|artística|teatral|memória|Ação popular"")
),""Público Imediato"",
IF(REGEXMATCH(B270,""Música|Álbum|Filme|Documentár"&amp;"io|Série|Podcast|Rádio|Audiotour|Entrevista|Reportagem|Crônica|Relatório|Abaixo-assinado|Manifesto|Petição|Poema|Livro|Fotografia|Curta|Live|Webinário|Charge|Leitura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70" s="20" t="str">
        <f>IFERROR(__xludf.DUMMYFUNCTION("IF(B270="""","""",IF(OR(
  REGEXMATCH(B270,""Live|Webinário|Virtual|Verbete""),
  REGEXMATCH(B270,""online"")
),""Virtual"",
IF(REGEXMATCH(B270,""Música|Álbum|Filme|Documentário|Série|Podcast|Rádio|Audiotour|Episódio|Reportagem|Curta|Charge|Vídeo|Entrevis"&amp;"ta|Notícia|Artigo de opinião""),
""Midiático"",
IF(REGEXMATCH(B270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70" s="21" t="str">
        <f>IFERROR(__xludf.DUMMYFUNCTION("IF(C270=""rememoração"", ""Insira a data manualmente"", IF(C270=""difusão"", 
 IF(NOT(ISERROR(REGEXEXTRACT(T270, ""(\d{1,2}) jan\. 2025""))), 
  TEXT(DATE(2025,1,REGEXEXTRACT(T270, ""(\d{1,2}) jan\. 2025"")), ""dd/mm/yyyy""),
 IF(NOT(ISERROR(REGEXEXTRACT("&amp;"T270, ""(\d{1,2}) fev\. 2025""))), 
  TEXT(DATE(2025,2,REGEXEXTRACT(T270, ""(\d{1,2}) fev\. 2025"")), ""dd/mm/yyyy""),
 IF(NOT(ISERROR(REGEXEXTRACT(T270, ""(\d{1,2}) mar\. 2025""))), 
  TEXT(DATE(2025,3,REGEXEXTRACT(T270, ""(\d{1,2}) mar\. 2025"")), ""dd/"&amp;"mm/yyyy""),
 IF(NOT(ISERROR(REGEXEXTRACT(T270, ""(\d{1,2}) abr\. 2025""))), 
  TEXT(DATE(2025,4,REGEXEXTRACT(T270, ""(\d{1,2}) abr\. 2025"")), ""dd/mm/yyyy""),
 IF(NOT(ISERROR(REGEXEXTRACT(T270, ""(\d{1,2}) (mai|maio)\. 2025""))), 
  TEXT(DATE(2025,5,REGE"&amp;"XEXTRACT(T270, ""(\d{1,2}) (mai|maio)\. 2025"")), ""dd/mm/yyyy""),
 IF(NOT(ISERROR(REGEXEXTRACT(T270, ""(\d{1,2}) jun\. 2025""))), 
  TEXT(DATE(2025,6,REGEXEXTRACT(T270, ""(\d{1,2}) jun\. 2025"")), ""dd/mm/yyyy""),
 IF(NOT(ISERROR(REGEXEXTRACT(T270, ""(\d"&amp;"{1,2}) jul\. 2025""))), 
  TEXT(DATE(2025,7,REGEXEXTRACT(T270, ""(\d{1,2}) jul\. 2025"")), ""dd/mm/yyyy""),
 IF(NOT(ISERROR(REGEXEXTRACT(T270, ""(\d{1,2}) ago\. 2025""))), 
  TEXT(DATE(2025,8,REGEXEXTRACT(T270, ""(\d{1,2}) ago\. 2025"")), ""dd/mm/yyyy""),"&amp;"
 IF(NOT(ISERROR(REGEXEXTRACT(T270, ""(\d{1,2}) set\. 2025""))), 
  TEXT(DATE(2025,9,REGEXEXTRACT(T270, ""(\d{1,2}) set\. 2025"")), ""dd/mm/yyyy""),
 IF(NOT(ISERROR(REGEXEXTRACT(T270, ""(\d{1,2}) out\. 2025""))), 
  TEXT(DATE(2025,10,REGEXEXTRACT(T270, """&amp;"(\d{1,2}) out\. 2025"")), ""dd/mm/yyyy""),
 IF(NOT(ISERROR(REGEXEXTRACT(T270, ""(\d{1,2}) nov\. 2025""))), 
  TEXT(DATE(2025,11,REGEXEXTRACT(T270, ""(\d{1,2}) nov\. 2025"")), ""dd/mm/yyyy""),
 IF(NOT(ISERROR(REGEXEXTRACT(T270, ""(\d{1,2}) dez\. 2025""))),"&amp;" 
  TEXT(DATE(2025,12,REGEXEXTRACT(T270, ""(\d{1,2}) dez\. 2025"")), ""dd/mm/yyyy""),
 ""Insira a data manualmente"")))))))))))), """"))"),"03/11/2025")</f>
        <v>03/11/2025</v>
      </c>
      <c r="H270" s="22">
        <f t="shared" si="1"/>
        <v>2025</v>
      </c>
      <c r="I270" s="18" t="str">
        <f>IFERROR(__xludf.DUMMYFUNCTION("IF(REGEXMATCH(T270,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IF(REGEXMATCH(T270, ""(?i)\bBrasília\b""), ""Distrito Federal, Brasil"",
REGEXEXTRACT(T270,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70" s="30" t="s">
        <v>680</v>
      </c>
      <c r="K270" s="24" t="s">
        <v>681</v>
      </c>
      <c r="L270" s="24" t="s">
        <v>26</v>
      </c>
      <c r="M270" s="25" t="s">
        <v>27</v>
      </c>
      <c r="N270" s="18" t="str">
        <f t="shared" si="8"/>
        <v>Terra</v>
      </c>
      <c r="O270" s="17" t="s">
        <v>28</v>
      </c>
      <c r="P270" s="17" t="s">
        <v>251</v>
      </c>
      <c r="Q270" s="26">
        <v>45972.0</v>
      </c>
      <c r="R270" s="17" t="s">
        <v>30</v>
      </c>
      <c r="S270" s="27" t="str">
        <f t="shared" si="3"/>
        <v>Aqui</v>
      </c>
      <c r="T270" s="29" t="s">
        <v>682</v>
      </c>
      <c r="U270" s="29"/>
    </row>
    <row r="271">
      <c r="A271" s="16">
        <v>269.0</v>
      </c>
      <c r="B271" s="17" t="s">
        <v>23</v>
      </c>
      <c r="C271" s="18" t="str">
        <f>IFERROR(__xludf.DUMMYFUNCTION("IF(B271="""","""",IF(OR(
  REGEXMATCH(B271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REGEXMATCH(B271,""Notícia|Reportagem|Artigo de opinião|Verbete"")
),""Difusão"","""")))
"),"Difusão")</f>
        <v>Difusão</v>
      </c>
      <c r="D271" s="19" t="str">
        <f>IFERROR(__xludf.DUMMYFUNCTION("IF(B271="""","""",IF(OR(
  REGEXMATCH(B271,""Performance|Instalação|Álbum|Música|Poema|Livro|Filme|Documentário|Recitação|Espetáculo|Peça|Intervenção|Desfile|Fotografia|Exposição|Charge|Grafite|Leitura pública|Fabricação de cachaça artesanal""),
  REGEXMA"&amp;"TCH(B271,""dança|teatral|artístico|musical|artística"")
),""Manifestação artístico-cultural"",
IF(OR(
  REGEXMATCH(B271,""Crônica|Série|Reportagem|Podcast|Audiotour|Entrevista|Vídeo|Rádio|Notícia|Artigo de opinião|Coletiva de imprensa""),
  REGEXMATCH(B27"&amp;"1,""midiática"")
),""Produção midiática"","""")))
"),"Produção midiática")</f>
        <v>Produção midiática</v>
      </c>
      <c r="E271" s="20" t="str">
        <f>IFERROR(__xludf.DUMMYFUNCTION("IF(B271="""","""",IF(OR(
  REGEXMATCH(B271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REGEXMATCH(B271,""público|Imediato|artística|teatral|memória|Ação popular"")
),""Público Imediato"",
IF(REGEXMATCH(B271,""Música|Álbum|Filme|Documentár"&amp;"io|Série|Podcast|Rádio|Audiotour|Entrevista|Reportagem|Crônica|Relatório|Abaixo-assinado|Manifesto|Petição|Poema|Livro|Fotografia|Curta|Live|Webinário|Charge|Leitura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71" s="20" t="str">
        <f>IFERROR(__xludf.DUMMYFUNCTION("IF(B271="""","""",IF(OR(
  REGEXMATCH(B271,""Live|Webinário|Virtual|Verbete""),
  REGEXMATCH(B271,""online"")
),""Virtual"",
IF(REGEXMATCH(B271,""Música|Álbum|Filme|Documentário|Série|Podcast|Rádio|Audiotour|Episódio|Reportagem|Curta|Charge|Vídeo|Entrevis"&amp;"ta|Notícia|Artigo de opinião""),
""Midiático"",
IF(REGEXMATCH(B271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71" s="21" t="str">
        <f>IFERROR(__xludf.DUMMYFUNCTION("IF(C271=""rememoração"", ""Insira a data manualmente"", IF(C271=""difusão"", 
 IF(NOT(ISERROR(REGEXEXTRACT(T271, ""(\d{1,2}) jan\. 2025""))), 
  TEXT(DATE(2025,1,REGEXEXTRACT(T271, ""(\d{1,2}) jan\. 2025"")), ""dd/mm/yyyy""),
 IF(NOT(ISERROR(REGEXEXTRACT("&amp;"T271, ""(\d{1,2}) fev\. 2025""))), 
  TEXT(DATE(2025,2,REGEXEXTRACT(T271, ""(\d{1,2}) fev\. 2025"")), ""dd/mm/yyyy""),
 IF(NOT(ISERROR(REGEXEXTRACT(T271, ""(\d{1,2}) mar\. 2025""))), 
  TEXT(DATE(2025,3,REGEXEXTRACT(T271, ""(\d{1,2}) mar\. 2025"")), ""dd/"&amp;"mm/yyyy""),
 IF(NOT(ISERROR(REGEXEXTRACT(T271, ""(\d{1,2}) abr\. 2025""))), 
  TEXT(DATE(2025,4,REGEXEXTRACT(T271, ""(\d{1,2}) abr\. 2025"")), ""dd/mm/yyyy""),
 IF(NOT(ISERROR(REGEXEXTRACT(T271, ""(\d{1,2}) (mai|maio)\. 2025""))), 
  TEXT(DATE(2025,5,REGE"&amp;"XEXTRACT(T271, ""(\d{1,2}) (mai|maio)\. 2025"")), ""dd/mm/yyyy""),
 IF(NOT(ISERROR(REGEXEXTRACT(T271, ""(\d{1,2}) jun\. 2025""))), 
  TEXT(DATE(2025,6,REGEXEXTRACT(T271, ""(\d{1,2}) jun\. 2025"")), ""dd/mm/yyyy""),
 IF(NOT(ISERROR(REGEXEXTRACT(T271, ""(\d"&amp;"{1,2}) jul\. 2025""))), 
  TEXT(DATE(2025,7,REGEXEXTRACT(T271, ""(\d{1,2}) jul\. 2025"")), ""dd/mm/yyyy""),
 IF(NOT(ISERROR(REGEXEXTRACT(T271, ""(\d{1,2}) ago\. 2025""))), 
  TEXT(DATE(2025,8,REGEXEXTRACT(T271, ""(\d{1,2}) ago\. 2025"")), ""dd/mm/yyyy""),"&amp;"
 IF(NOT(ISERROR(REGEXEXTRACT(T271, ""(\d{1,2}) set\. 2025""))), 
  TEXT(DATE(2025,9,REGEXEXTRACT(T271, ""(\d{1,2}) set\. 2025"")), ""dd/mm/yyyy""),
 IF(NOT(ISERROR(REGEXEXTRACT(T271, ""(\d{1,2}) out\. 2025""))), 
  TEXT(DATE(2025,10,REGEXEXTRACT(T271, """&amp;"(\d{1,2}) out\. 2025"")), ""dd/mm/yyyy""),
 IF(NOT(ISERROR(REGEXEXTRACT(T271, ""(\d{1,2}) nov\. 2025""))), 
  TEXT(DATE(2025,11,REGEXEXTRACT(T271, ""(\d{1,2}) nov\. 2025"")), ""dd/mm/yyyy""),
 IF(NOT(ISERROR(REGEXEXTRACT(T271, ""(\d{1,2}) dez\. 2025""))),"&amp;" 
  TEXT(DATE(2025,12,REGEXEXTRACT(T271, ""(\d{1,2}) dez\. 2025"")), ""dd/mm/yyyy""),
 ""Insira a data manualmente"")))))))))))), """"))"),"11/11/2025")</f>
        <v>11/11/2025</v>
      </c>
      <c r="H271" s="22">
        <f t="shared" si="1"/>
        <v>2025</v>
      </c>
      <c r="I271" s="18" t="str">
        <f>IFERROR(__xludf.DUMMYFUNCTION("IF(REGEXMATCH(T271,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IF(REGEXMATCH(T271, ""(?i)\bBrasília\b""), ""Distrito Federal, Brasil"",
REGEXEXTRACT(T271,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71" s="30" t="s">
        <v>569</v>
      </c>
      <c r="K271" s="24" t="s">
        <v>683</v>
      </c>
      <c r="L271" s="24" t="s">
        <v>26</v>
      </c>
      <c r="M271" s="25" t="s">
        <v>27</v>
      </c>
      <c r="N271" s="18" t="str">
        <f t="shared" si="8"/>
        <v>Rádio Roquette Pinto</v>
      </c>
      <c r="O271" s="17" t="s">
        <v>28</v>
      </c>
      <c r="P271" s="17" t="s">
        <v>251</v>
      </c>
      <c r="Q271" s="26">
        <v>45972.0</v>
      </c>
      <c r="R271" s="17" t="s">
        <v>30</v>
      </c>
      <c r="S271" s="27" t="str">
        <f t="shared" si="3"/>
        <v>Aqui</v>
      </c>
      <c r="T271" s="29" t="s">
        <v>684</v>
      </c>
      <c r="U271" s="29"/>
    </row>
    <row r="272">
      <c r="A272" s="16">
        <v>270.0</v>
      </c>
      <c r="B272" s="17" t="s">
        <v>23</v>
      </c>
      <c r="C272" s="18" t="str">
        <f>IFERROR(__xludf.DUMMYFUNCTION("IF(B272="""","""",IF(OR(
  REGEXMATCH(B272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REGEXMATCH(B272,""Notícia|Reportagem|Artigo de opinião|Verbete"")
),""Difusão"","""")))
"),"Difusão")</f>
        <v>Difusão</v>
      </c>
      <c r="D272" s="19" t="str">
        <f>IFERROR(__xludf.DUMMYFUNCTION("IF(B272="""","""",IF(OR(
  REGEXMATCH(B272,""Performance|Instalação|Álbum|Música|Poema|Livro|Filme|Documentário|Recitação|Espetáculo|Peça|Intervenção|Desfile|Fotografia|Exposição|Charge|Grafite|Leitura pública|Fabricação de cachaça artesanal""),
  REGEXMA"&amp;"TCH(B272,""dança|teatral|artístico|musical|artística"")
),""Manifestação artístico-cultural"",
IF(OR(
  REGEXMATCH(B272,""Crônica|Série|Reportagem|Podcast|Audiotour|Entrevista|Vídeo|Rádio|Notícia|Artigo de opinião|Coletiva de imprensa""),
  REGEXMATCH(B27"&amp;"2,""midiática"")
),""Produção midiática"","""")))
"),"Produção midiática")</f>
        <v>Produção midiática</v>
      </c>
      <c r="E272" s="20" t="str">
        <f>IFERROR(__xludf.DUMMYFUNCTION("IF(B272="""","""",IF(OR(
  REGEXMATCH(B272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REGEXMATCH(B272,""público|Imediato|artística|teatral|memória|Ação popular"")
),""Público Imediato"",
IF(REGEXMATCH(B272,""Música|Álbum|Filme|Documentár"&amp;"io|Série|Podcast|Rádio|Audiotour|Entrevista|Reportagem|Crônica|Relatório|Abaixo-assinado|Manifesto|Petição|Poema|Livro|Fotografia|Curta|Live|Webinário|Charge|Leitura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72" s="20" t="str">
        <f>IFERROR(__xludf.DUMMYFUNCTION("IF(B272="""","""",IF(OR(
  REGEXMATCH(B272,""Live|Webinário|Virtual|Verbete""),
  REGEXMATCH(B272,""online"")
),""Virtual"",
IF(REGEXMATCH(B272,""Música|Álbum|Filme|Documentário|Série|Podcast|Rádio|Audiotour|Episódio|Reportagem|Curta|Charge|Vídeo|Entrevis"&amp;"ta|Notícia|Artigo de opinião""),
""Midiático"",
IF(REGEXMATCH(B272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72" s="21" t="str">
        <f>IFERROR(__xludf.DUMMYFUNCTION("IF(C272=""rememoração"", ""Insira a data manualmente"", IF(C272=""difusão"", 
 IF(NOT(ISERROR(REGEXEXTRACT(T272, ""(\d{1,2}) jan\. 2025""))), 
  TEXT(DATE(2025,1,REGEXEXTRACT(T272, ""(\d{1,2}) jan\. 2025"")), ""dd/mm/yyyy""),
 IF(NOT(ISERROR(REGEXEXTRACT("&amp;"T272, ""(\d{1,2}) fev\. 2025""))), 
  TEXT(DATE(2025,2,REGEXEXTRACT(T272, ""(\d{1,2}) fev\. 2025"")), ""dd/mm/yyyy""),
 IF(NOT(ISERROR(REGEXEXTRACT(T272, ""(\d{1,2}) mar\. 2025""))), 
  TEXT(DATE(2025,3,REGEXEXTRACT(T272, ""(\d{1,2}) mar\. 2025"")), ""dd/"&amp;"mm/yyyy""),
 IF(NOT(ISERROR(REGEXEXTRACT(T272, ""(\d{1,2}) abr\. 2025""))), 
  TEXT(DATE(2025,4,REGEXEXTRACT(T272, ""(\d{1,2}) abr\. 2025"")), ""dd/mm/yyyy""),
 IF(NOT(ISERROR(REGEXEXTRACT(T272, ""(\d{1,2}) (mai|maio)\. 2025""))), 
  TEXT(DATE(2025,5,REGE"&amp;"XEXTRACT(T272, ""(\d{1,2}) (mai|maio)\. 2025"")), ""dd/mm/yyyy""),
 IF(NOT(ISERROR(REGEXEXTRACT(T272, ""(\d{1,2}) jun\. 2025""))), 
  TEXT(DATE(2025,6,REGEXEXTRACT(T272, ""(\d{1,2}) jun\. 2025"")), ""dd/mm/yyyy""),
 IF(NOT(ISERROR(REGEXEXTRACT(T272, ""(\d"&amp;"{1,2}) jul\. 2025""))), 
  TEXT(DATE(2025,7,REGEXEXTRACT(T272, ""(\d{1,2}) jul\. 2025"")), ""dd/mm/yyyy""),
 IF(NOT(ISERROR(REGEXEXTRACT(T272, ""(\d{1,2}) ago\. 2025""))), 
  TEXT(DATE(2025,8,REGEXEXTRACT(T272, ""(\d{1,2}) ago\. 2025"")), ""dd/mm/yyyy""),"&amp;"
 IF(NOT(ISERROR(REGEXEXTRACT(T272, ""(\d{1,2}) set\. 2025""))), 
  TEXT(DATE(2025,9,REGEXEXTRACT(T272, ""(\d{1,2}) set\. 2025"")), ""dd/mm/yyyy""),
 IF(NOT(ISERROR(REGEXEXTRACT(T272, ""(\d{1,2}) out\. 2025""))), 
  TEXT(DATE(2025,10,REGEXEXTRACT(T272, """&amp;"(\d{1,2}) out\. 2025"")), ""dd/mm/yyyy""),
 IF(NOT(ISERROR(REGEXEXTRACT(T272, ""(\d{1,2}) nov\. 2025""))), 
  TEXT(DATE(2025,11,REGEXEXTRACT(T272, ""(\d{1,2}) nov\. 2025"")), ""dd/mm/yyyy""),
 IF(NOT(ISERROR(REGEXEXTRACT(T272, ""(\d{1,2}) dez\. 2025""))),"&amp;" 
  TEXT(DATE(2025,12,REGEXEXTRACT(T272, ""(\d{1,2}) dez\. 2025"")), ""dd/mm/yyyy""),
 ""Insira a data manualmente"")))))))))))), """"))"),"05/11/2025")</f>
        <v>05/11/2025</v>
      </c>
      <c r="H272" s="22">
        <f t="shared" si="1"/>
        <v>2025</v>
      </c>
      <c r="I272" s="18" t="s">
        <v>124</v>
      </c>
      <c r="J272" s="30" t="s">
        <v>685</v>
      </c>
      <c r="K272" s="24" t="s">
        <v>686</v>
      </c>
      <c r="L272" s="24" t="s">
        <v>26</v>
      </c>
      <c r="M272" s="25" t="s">
        <v>27</v>
      </c>
      <c r="N272" s="18" t="str">
        <f t="shared" si="8"/>
        <v>Revista Afirmativa</v>
      </c>
      <c r="O272" s="17" t="s">
        <v>28</v>
      </c>
      <c r="P272" s="17" t="s">
        <v>251</v>
      </c>
      <c r="Q272" s="26">
        <v>45972.0</v>
      </c>
      <c r="R272" s="17" t="s">
        <v>30</v>
      </c>
      <c r="S272" s="27" t="str">
        <f t="shared" si="3"/>
        <v>Aqui</v>
      </c>
      <c r="T272" s="29" t="s">
        <v>687</v>
      </c>
      <c r="U272" s="29"/>
    </row>
    <row r="273">
      <c r="A273" s="16">
        <v>271.0</v>
      </c>
      <c r="B273" s="17" t="s">
        <v>23</v>
      </c>
      <c r="C273" s="18" t="str">
        <f>IFERROR(__xludf.DUMMYFUNCTION("IF(B273="""","""",IF(OR(
  REGEXMATCH(B273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REGEXMATCH(B273,""Notícia|Reportagem|Artigo de opinião|Verbete"")
),""Difusão"","""")))
"),"Difusão")</f>
        <v>Difusão</v>
      </c>
      <c r="D273" s="19" t="str">
        <f>IFERROR(__xludf.DUMMYFUNCTION("IF(B273="""","""",IF(OR(
  REGEXMATCH(B273,""Performance|Instalação|Álbum|Música|Poema|Livro|Filme|Documentário|Recitação|Espetáculo|Peça|Intervenção|Desfile|Fotografia|Exposição|Charge|Grafite|Leitura pública|Fabricação de cachaça artesanal""),
  REGEXMA"&amp;"TCH(B273,""dança|teatral|artístico|musical|artística"")
),""Manifestação artístico-cultural"",
IF(OR(
  REGEXMATCH(B273,""Crônica|Série|Reportagem|Podcast|Audiotour|Entrevista|Vídeo|Rádio|Notícia|Artigo de opinião|Coletiva de imprensa""),
  REGEXMATCH(B27"&amp;"3,""midiática"")
),""Produção midiática"","""")))
"),"Produção midiática")</f>
        <v>Produção midiática</v>
      </c>
      <c r="E273" s="20" t="str">
        <f>IFERROR(__xludf.DUMMYFUNCTION("IF(B273="""","""",IF(OR(
  REGEXMATCH(B273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REGEXMATCH(B273,""público|Imediato|artística|teatral|memória|Ação popular"")
),""Público Imediato"",
IF(REGEXMATCH(B273,""Música|Álbum|Filme|Documentár"&amp;"io|Série|Podcast|Rádio|Audiotour|Entrevista|Reportagem|Crônica|Relatório|Abaixo-assinado|Manifesto|Petição|Poema|Livro|Fotografia|Curta|Live|Webinário|Charge|Leitura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73" s="20" t="str">
        <f>IFERROR(__xludf.DUMMYFUNCTION("IF(B273="""","""",IF(OR(
  REGEXMATCH(B273,""Live|Webinário|Virtual|Verbete""),
  REGEXMATCH(B273,""online"")
),""Virtual"",
IF(REGEXMATCH(B273,""Música|Álbum|Filme|Documentário|Série|Podcast|Rádio|Audiotour|Episódio|Reportagem|Curta|Charge|Vídeo|Entrevis"&amp;"ta|Notícia|Artigo de opinião""),
""Midiático"",
IF(REGEXMATCH(B273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73" s="21" t="str">
        <f>IFERROR(__xludf.DUMMYFUNCTION("IF(C273=""rememoração"", ""Insira a data manualmente"", IF(C273=""difusão"", 
 IF(NOT(ISERROR(REGEXEXTRACT(T273, ""(\d{1,2}) jan\. 2025""))), 
  TEXT(DATE(2025,1,REGEXEXTRACT(T273, ""(\d{1,2}) jan\. 2025"")), ""dd/mm/yyyy""),
 IF(NOT(ISERROR(REGEXEXTRACT("&amp;"T273, ""(\d{1,2}) fev\. 2025""))), 
  TEXT(DATE(2025,2,REGEXEXTRACT(T273, ""(\d{1,2}) fev\. 2025"")), ""dd/mm/yyyy""),
 IF(NOT(ISERROR(REGEXEXTRACT(T273, ""(\d{1,2}) mar\. 2025""))), 
  TEXT(DATE(2025,3,REGEXEXTRACT(T273, ""(\d{1,2}) mar\. 2025"")), ""dd/"&amp;"mm/yyyy""),
 IF(NOT(ISERROR(REGEXEXTRACT(T273, ""(\d{1,2}) abr\. 2025""))), 
  TEXT(DATE(2025,4,REGEXEXTRACT(T273, ""(\d{1,2}) abr\. 2025"")), ""dd/mm/yyyy""),
 IF(NOT(ISERROR(REGEXEXTRACT(T273, ""(\d{1,2}) (mai|maio)\. 2025""))), 
  TEXT(DATE(2025,5,REGE"&amp;"XEXTRACT(T273, ""(\d{1,2}) (mai|maio)\. 2025"")), ""dd/mm/yyyy""),
 IF(NOT(ISERROR(REGEXEXTRACT(T273, ""(\d{1,2}) jun\. 2025""))), 
  TEXT(DATE(2025,6,REGEXEXTRACT(T273, ""(\d{1,2}) jun\. 2025"")), ""dd/mm/yyyy""),
 IF(NOT(ISERROR(REGEXEXTRACT(T273, ""(\d"&amp;"{1,2}) jul\. 2025""))), 
  TEXT(DATE(2025,7,REGEXEXTRACT(T273, ""(\d{1,2}) jul\. 2025"")), ""dd/mm/yyyy""),
 IF(NOT(ISERROR(REGEXEXTRACT(T273, ""(\d{1,2}) ago\. 2025""))), 
  TEXT(DATE(2025,8,REGEXEXTRACT(T273, ""(\d{1,2}) ago\. 2025"")), ""dd/mm/yyyy""),"&amp;"
 IF(NOT(ISERROR(REGEXEXTRACT(T273, ""(\d{1,2}) set\. 2025""))), 
  TEXT(DATE(2025,9,REGEXEXTRACT(T273, ""(\d{1,2}) set\. 2025"")), ""dd/mm/yyyy""),
 IF(NOT(ISERROR(REGEXEXTRACT(T273, ""(\d{1,2}) out\. 2025""))), 
  TEXT(DATE(2025,10,REGEXEXTRACT(T273, """&amp;"(\d{1,2}) out\. 2025"")), ""dd/mm/yyyy""),
 IF(NOT(ISERROR(REGEXEXTRACT(T273, ""(\d{1,2}) nov\. 2025""))), 
  TEXT(DATE(2025,11,REGEXEXTRACT(T273, ""(\d{1,2}) nov\. 2025"")), ""dd/mm/yyyy""),
 IF(NOT(ISERROR(REGEXEXTRACT(T273, ""(\d{1,2}) dez\. 2025""))),"&amp;" 
  TEXT(DATE(2025,12,REGEXEXTRACT(T273, ""(\d{1,2}) dez\. 2025"")), ""dd/mm/yyyy""),
 ""Insira a data manualmente"")))))))))))), """"))"),"10/11/2025")</f>
        <v>10/11/2025</v>
      </c>
      <c r="H273" s="22">
        <f t="shared" si="1"/>
        <v>2025</v>
      </c>
      <c r="I273" s="18" t="s">
        <v>116</v>
      </c>
      <c r="J273" s="30" t="s">
        <v>103</v>
      </c>
      <c r="K273" s="24" t="s">
        <v>688</v>
      </c>
      <c r="L273" s="24" t="s">
        <v>26</v>
      </c>
      <c r="M273" s="25" t="s">
        <v>27</v>
      </c>
      <c r="N273" s="18" t="str">
        <f t="shared" si="8"/>
        <v>ICL Notícias</v>
      </c>
      <c r="O273" s="17" t="s">
        <v>28</v>
      </c>
      <c r="P273" s="17" t="s">
        <v>251</v>
      </c>
      <c r="Q273" s="26">
        <v>45972.0</v>
      </c>
      <c r="R273" s="17" t="s">
        <v>30</v>
      </c>
      <c r="S273" s="27" t="str">
        <f t="shared" si="3"/>
        <v>Aqui</v>
      </c>
      <c r="T273" s="29" t="s">
        <v>689</v>
      </c>
      <c r="U273" s="29"/>
    </row>
    <row r="274">
      <c r="A274" s="16">
        <v>272.0</v>
      </c>
      <c r="B274" s="17" t="s">
        <v>23</v>
      </c>
      <c r="C274" s="18" t="str">
        <f>IFERROR(__xludf.DUMMYFUNCTION("IF(B274="""","""",IF(OR(
  REGEXMATCH(B274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REGEXMATCH(B274,""Notícia|Reportagem|Artigo de opinião|Verbete"")
),""Difusão"","""")))
"),"Difusão")</f>
        <v>Difusão</v>
      </c>
      <c r="D274" s="19" t="str">
        <f>IFERROR(__xludf.DUMMYFUNCTION("IF(B274="""","""",IF(OR(
  REGEXMATCH(B274,""Performance|Instalação|Álbum|Música|Poema|Livro|Filme|Documentário|Recitação|Espetáculo|Peça|Intervenção|Desfile|Fotografia|Exposição|Charge|Grafite|Leitura pública|Fabricação de cachaça artesanal""),
  REGEXMA"&amp;"TCH(B274,""dança|teatral|artístico|musical|artística"")
),""Manifestação artístico-cultural"",
IF(OR(
  REGEXMATCH(B274,""Crônica|Série|Reportagem|Podcast|Audiotour|Entrevista|Vídeo|Rádio|Notícia|Artigo de opinião|Coletiva de imprensa""),
  REGEXMATCH(B27"&amp;"4,""midiática"")
),""Produção midiática"","""")))
"),"Produção midiática")</f>
        <v>Produção midiática</v>
      </c>
      <c r="E274" s="20" t="str">
        <f>IFERROR(__xludf.DUMMYFUNCTION("IF(B274="""","""",IF(OR(
  REGEXMATCH(B274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REGEXMATCH(B274,""público|Imediato|artística|teatral|memória|Ação popular"")
),""Público Imediato"",
IF(REGEXMATCH(B274,""Música|Álbum|Filme|Documentár"&amp;"io|Série|Podcast|Rádio|Audiotour|Entrevista|Reportagem|Crônica|Relatório|Abaixo-assinado|Manifesto|Petição|Poema|Livro|Fotografia|Curta|Live|Webinário|Charge|Leitura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74" s="20" t="str">
        <f>IFERROR(__xludf.DUMMYFUNCTION("IF(B274="""","""",IF(OR(
  REGEXMATCH(B274,""Live|Webinário|Virtual|Verbete""),
  REGEXMATCH(B274,""online"")
),""Virtual"",
IF(REGEXMATCH(B274,""Música|Álbum|Filme|Documentário|Série|Podcast|Rádio|Audiotour|Episódio|Reportagem|Curta|Charge|Vídeo|Entrevis"&amp;"ta|Notícia|Artigo de opinião""),
""Midiático"",
IF(REGEXMATCH(B274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74" s="21" t="str">
        <f>IFERROR(__xludf.DUMMYFUNCTION("IF(C274=""rememoração"", ""Insira a data manualmente"", IF(C274=""difusão"", 
 IF(NOT(ISERROR(REGEXEXTRACT(T274, ""(\d{1,2}) jan\. 2025""))), 
  TEXT(DATE(2025,1,REGEXEXTRACT(T274, ""(\d{1,2}) jan\. 2025"")), ""dd/mm/yyyy""),
 IF(NOT(ISERROR(REGEXEXTRACT("&amp;"T274, ""(\d{1,2}) fev\. 2025""))), 
  TEXT(DATE(2025,2,REGEXEXTRACT(T274, ""(\d{1,2}) fev\. 2025"")), ""dd/mm/yyyy""),
 IF(NOT(ISERROR(REGEXEXTRACT(T274, ""(\d{1,2}) mar\. 2025""))), 
  TEXT(DATE(2025,3,REGEXEXTRACT(T274, ""(\d{1,2}) mar\. 2025"")), ""dd/"&amp;"mm/yyyy""),
 IF(NOT(ISERROR(REGEXEXTRACT(T274, ""(\d{1,2}) abr\. 2025""))), 
  TEXT(DATE(2025,4,REGEXEXTRACT(T274, ""(\d{1,2}) abr\. 2025"")), ""dd/mm/yyyy""),
 IF(NOT(ISERROR(REGEXEXTRACT(T274, ""(\d{1,2}) (mai|maio)\. 2025""))), 
  TEXT(DATE(2025,5,REGE"&amp;"XEXTRACT(T274, ""(\d{1,2}) (mai|maio)\. 2025"")), ""dd/mm/yyyy""),
 IF(NOT(ISERROR(REGEXEXTRACT(T274, ""(\d{1,2}) jun\. 2025""))), 
  TEXT(DATE(2025,6,REGEXEXTRACT(T274, ""(\d{1,2}) jun\. 2025"")), ""dd/mm/yyyy""),
 IF(NOT(ISERROR(REGEXEXTRACT(T274, ""(\d"&amp;"{1,2}) jul\. 2025""))), 
  TEXT(DATE(2025,7,REGEXEXTRACT(T274, ""(\d{1,2}) jul\. 2025"")), ""dd/mm/yyyy""),
 IF(NOT(ISERROR(REGEXEXTRACT(T274, ""(\d{1,2}) ago\. 2025""))), 
  TEXT(DATE(2025,8,REGEXEXTRACT(T274, ""(\d{1,2}) ago\. 2025"")), ""dd/mm/yyyy""),"&amp;"
 IF(NOT(ISERROR(REGEXEXTRACT(T274, ""(\d{1,2}) set\. 2025""))), 
  TEXT(DATE(2025,9,REGEXEXTRACT(T274, ""(\d{1,2}) set\. 2025"")), ""dd/mm/yyyy""),
 IF(NOT(ISERROR(REGEXEXTRACT(T274, ""(\d{1,2}) out\. 2025""))), 
  TEXT(DATE(2025,10,REGEXEXTRACT(T274, """&amp;"(\d{1,2}) out\. 2025"")), ""dd/mm/yyyy""),
 IF(NOT(ISERROR(REGEXEXTRACT(T274, ""(\d{1,2}) nov\. 2025""))), 
  TEXT(DATE(2025,11,REGEXEXTRACT(T274, ""(\d{1,2}) nov\. 2025"")), ""dd/mm/yyyy""),
 IF(NOT(ISERROR(REGEXEXTRACT(T274, ""(\d{1,2}) dez\. 2025""))),"&amp;" 
  TEXT(DATE(2025,12,REGEXEXTRACT(T274, ""(\d{1,2}) dez\. 2025"")), ""dd/mm/yyyy""),
 ""Insira a data manualmente"")))))))))))), """"))"),"11/11/2025")</f>
        <v>11/11/2025</v>
      </c>
      <c r="H274" s="22">
        <f t="shared" si="1"/>
        <v>2025</v>
      </c>
      <c r="I274" s="18" t="str">
        <f>IFERROR(__xludf.DUMMYFUNCTION("IF(REGEXMATCH(T274,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IF(REGEXMATCH(T274, ""(?i)\bBrasília\b""), ""Distrito Federal, Brasil"",
REGEXEXTRACT(T274,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74" s="30" t="s">
        <v>690</v>
      </c>
      <c r="K274" s="24" t="s">
        <v>691</v>
      </c>
      <c r="L274" s="24" t="s">
        <v>26</v>
      </c>
      <c r="M274" s="25" t="s">
        <v>27</v>
      </c>
      <c r="N274" s="18" t="str">
        <f t="shared" si="8"/>
        <v>Correio Brasiliense</v>
      </c>
      <c r="O274" s="17" t="s">
        <v>28</v>
      </c>
      <c r="P274" s="17" t="s">
        <v>251</v>
      </c>
      <c r="Q274" s="26">
        <v>45973.0</v>
      </c>
      <c r="R274" s="17" t="s">
        <v>30</v>
      </c>
      <c r="S274" s="27" t="str">
        <f t="shared" si="3"/>
        <v>Aqui</v>
      </c>
      <c r="T274" s="29" t="s">
        <v>692</v>
      </c>
      <c r="U274" s="29"/>
    </row>
    <row r="275">
      <c r="A275" s="16">
        <v>273.0</v>
      </c>
      <c r="B275" s="17" t="s">
        <v>23</v>
      </c>
      <c r="C275" s="18" t="str">
        <f>IFERROR(__xludf.DUMMYFUNCTION("IF(B275="""","""",IF(OR(
  REGEXMATCH(B275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REGEXMATCH(B275,""Notícia|Reportagem|Artigo de opinião|Verbete"")
),""Difusão"","""")))
"),"Difusão")</f>
        <v>Difusão</v>
      </c>
      <c r="D275" s="19" t="str">
        <f>IFERROR(__xludf.DUMMYFUNCTION("IF(B275="""","""",IF(OR(
  REGEXMATCH(B275,""Performance|Instalação|Álbum|Música|Poema|Livro|Filme|Documentário|Recitação|Espetáculo|Peça|Intervenção|Desfile|Fotografia|Exposição|Charge|Grafite|Leitura pública|Fabricação de cachaça artesanal""),
  REGEXMA"&amp;"TCH(B275,""dança|teatral|artístico|musical|artística"")
),""Manifestação artístico-cultural"",
IF(OR(
  REGEXMATCH(B275,""Crônica|Série|Reportagem|Podcast|Audiotour|Entrevista|Vídeo|Rádio|Notícia|Artigo de opinião|Coletiva de imprensa""),
  REGEXMATCH(B27"&amp;"5,""midiática"")
),""Produção midiática"","""")))
"),"Produção midiática")</f>
        <v>Produção midiática</v>
      </c>
      <c r="E275" s="20" t="str">
        <f>IFERROR(__xludf.DUMMYFUNCTION("IF(B275="""","""",IF(OR(
  REGEXMATCH(B275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REGEXMATCH(B275,""público|Imediato|artística|teatral|memória|Ação popular"")
),""Público Imediato"",
IF(REGEXMATCH(B275,""Música|Álbum|Filme|Documentár"&amp;"io|Série|Podcast|Rádio|Audiotour|Entrevista|Reportagem|Crônica|Relatório|Abaixo-assinado|Manifesto|Petição|Poema|Livro|Fotografia|Curta|Live|Webinário|Charge|Leitura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75" s="20" t="str">
        <f>IFERROR(__xludf.DUMMYFUNCTION("IF(B275="""","""",IF(OR(
  REGEXMATCH(B275,""Live|Webinário|Virtual|Verbete""),
  REGEXMATCH(B275,""online"")
),""Virtual"",
IF(REGEXMATCH(B275,""Música|Álbum|Filme|Documentário|Série|Podcast|Rádio|Audiotour|Episódio|Reportagem|Curta|Charge|Vídeo|Entrevis"&amp;"ta|Notícia|Artigo de opinião""),
""Midiático"",
IF(REGEXMATCH(B275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75" s="21" t="str">
        <f>IFERROR(__xludf.DUMMYFUNCTION("IF(C275=""rememoração"", ""Insira a data manualmente"", IF(C275=""difusão"", 
 IF(NOT(ISERROR(REGEXEXTRACT(T275, ""(\d{1,2}) jan\. 2025""))), 
  TEXT(DATE(2025,1,REGEXEXTRACT(T275, ""(\d{1,2}) jan\. 2025"")), ""dd/mm/yyyy""),
 IF(NOT(ISERROR(REGEXEXTRACT("&amp;"T275, ""(\d{1,2}) fev\. 2025""))), 
  TEXT(DATE(2025,2,REGEXEXTRACT(T275, ""(\d{1,2}) fev\. 2025"")), ""dd/mm/yyyy""),
 IF(NOT(ISERROR(REGEXEXTRACT(T275, ""(\d{1,2}) mar\. 2025""))), 
  TEXT(DATE(2025,3,REGEXEXTRACT(T275, ""(\d{1,2}) mar\. 2025"")), ""dd/"&amp;"mm/yyyy""),
 IF(NOT(ISERROR(REGEXEXTRACT(T275, ""(\d{1,2}) abr\. 2025""))), 
  TEXT(DATE(2025,4,REGEXEXTRACT(T275, ""(\d{1,2}) abr\. 2025"")), ""dd/mm/yyyy""),
 IF(NOT(ISERROR(REGEXEXTRACT(T275, ""(\d{1,2}) (mai|maio)\. 2025""))), 
  TEXT(DATE(2025,5,REGE"&amp;"XEXTRACT(T275, ""(\d{1,2}) (mai|maio)\. 2025"")), ""dd/mm/yyyy""),
 IF(NOT(ISERROR(REGEXEXTRACT(T275, ""(\d{1,2}) jun\. 2025""))), 
  TEXT(DATE(2025,6,REGEXEXTRACT(T275, ""(\d{1,2}) jun\. 2025"")), ""dd/mm/yyyy""),
 IF(NOT(ISERROR(REGEXEXTRACT(T275, ""(\d"&amp;"{1,2}) jul\. 2025""))), 
  TEXT(DATE(2025,7,REGEXEXTRACT(T275, ""(\d{1,2}) jul\. 2025"")), ""dd/mm/yyyy""),
 IF(NOT(ISERROR(REGEXEXTRACT(T275, ""(\d{1,2}) ago\. 2025""))), 
  TEXT(DATE(2025,8,REGEXEXTRACT(T275, ""(\d{1,2}) ago\. 2025"")), ""dd/mm/yyyy""),"&amp;"
 IF(NOT(ISERROR(REGEXEXTRACT(T275, ""(\d{1,2}) set\. 2025""))), 
  TEXT(DATE(2025,9,REGEXEXTRACT(T275, ""(\d{1,2}) set\. 2025"")), ""dd/mm/yyyy""),
 IF(NOT(ISERROR(REGEXEXTRACT(T275, ""(\d{1,2}) out\. 2025""))), 
  TEXT(DATE(2025,10,REGEXEXTRACT(T275, """&amp;"(\d{1,2}) out\. 2025"")), ""dd/mm/yyyy""),
 IF(NOT(ISERROR(REGEXEXTRACT(T275, ""(\d{1,2}) nov\. 2025""))), 
  TEXT(DATE(2025,11,REGEXEXTRACT(T275, ""(\d{1,2}) nov\. 2025"")), ""dd/mm/yyyy""),
 IF(NOT(ISERROR(REGEXEXTRACT(T275, ""(\d{1,2}) dez\. 2025""))),"&amp;" 
  TEXT(DATE(2025,12,REGEXEXTRACT(T275, ""(\d{1,2}) dez\. 2025"")), ""dd/mm/yyyy""),
 ""Insira a data manualmente"")))))))))))), """"))"),"10/11/2025")</f>
        <v>10/11/2025</v>
      </c>
      <c r="H275" s="22">
        <f t="shared" si="1"/>
        <v>2025</v>
      </c>
      <c r="I275" s="18" t="str">
        <f>IFERROR(__xludf.DUMMYFUNCTION("IF(REGEXMATCH(T275,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IF(REGEXMATCH(T275, ""(?i)\bBrasília\b""), ""Distrito Federal, Brasil"",
REGEXEXTRACT(T275,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75" s="30" t="s">
        <v>693</v>
      </c>
      <c r="K275" s="24" t="s">
        <v>694</v>
      </c>
      <c r="L275" s="24" t="s">
        <v>26</v>
      </c>
      <c r="M275" s="25" t="s">
        <v>27</v>
      </c>
      <c r="N275" s="18" t="str">
        <f t="shared" si="8"/>
        <v>Supremo Tribunal Federal</v>
      </c>
      <c r="O275" s="17" t="s">
        <v>28</v>
      </c>
      <c r="P275" s="17" t="s">
        <v>251</v>
      </c>
      <c r="Q275" s="26">
        <v>45973.0</v>
      </c>
      <c r="R275" s="17" t="s">
        <v>30</v>
      </c>
      <c r="S275" s="27" t="str">
        <f t="shared" si="3"/>
        <v>Aqui</v>
      </c>
      <c r="T275" s="29" t="s">
        <v>695</v>
      </c>
      <c r="U275" s="29"/>
    </row>
    <row r="276">
      <c r="A276" s="16">
        <v>274.0</v>
      </c>
      <c r="B276" s="17" t="s">
        <v>23</v>
      </c>
      <c r="C276" s="18" t="str">
        <f>IFERROR(__xludf.DUMMYFUNCTION("IF(B276="""","""",IF(OR(
  REGEXMATCH(B276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REGEXMATCH(B276,""Notícia|Reportagem|Artigo de opinião|Verbete"")
),""Difusão"","""")))
"),"Difusão")</f>
        <v>Difusão</v>
      </c>
      <c r="D276" s="19" t="str">
        <f>IFERROR(__xludf.DUMMYFUNCTION("IF(B276="""","""",IF(OR(
  REGEXMATCH(B276,""Performance|Instalação|Álbum|Música|Poema|Livro|Filme|Documentário|Recitação|Espetáculo|Peça|Intervenção|Desfile|Fotografia|Exposição|Charge|Grafite|Leitura pública|Fabricação de cachaça artesanal""),
  REGEXMA"&amp;"TCH(B276,""dança|teatral|artístico|musical|artística"")
),""Manifestação artístico-cultural"",
IF(OR(
  REGEXMATCH(B276,""Crônica|Série|Reportagem|Podcast|Audiotour|Entrevista|Vídeo|Rádio|Notícia|Artigo de opinião|Coletiva de imprensa""),
  REGEXMATCH(B27"&amp;"6,""midiática"")
),""Produção midiática"","""")))
"),"Produção midiática")</f>
        <v>Produção midiática</v>
      </c>
      <c r="E276" s="20" t="str">
        <f>IFERROR(__xludf.DUMMYFUNCTION("IF(B276="""","""",IF(OR(
  REGEXMATCH(B276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REGEXMATCH(B276,""público|Imediato|artística|teatral|memória|Ação popular"")
),""Público Imediato"",
IF(REGEXMATCH(B276,""Música|Álbum|Filme|Documentár"&amp;"io|Série|Podcast|Rádio|Audiotour|Entrevista|Reportagem|Crônica|Relatório|Abaixo-assinado|Manifesto|Petição|Poema|Livro|Fotografia|Curta|Live|Webinário|Charge|Leitura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76" s="20" t="str">
        <f>IFERROR(__xludf.DUMMYFUNCTION("IF(B276="""","""",IF(OR(
  REGEXMATCH(B276,""Live|Webinário|Virtual|Verbete""),
  REGEXMATCH(B276,""online"")
),""Virtual"",
IF(REGEXMATCH(B276,""Música|Álbum|Filme|Documentário|Série|Podcast|Rádio|Audiotour|Episódio|Reportagem|Curta|Charge|Vídeo|Entrevis"&amp;"ta|Notícia|Artigo de opinião""),
""Midiático"",
IF(REGEXMATCH(B276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76" s="21" t="str">
        <f>IFERROR(__xludf.DUMMYFUNCTION("IF(C276=""rememoração"", ""Insira a data manualmente"", IF(C276=""difusão"", 
 IF(NOT(ISERROR(REGEXEXTRACT(T276, ""(\d{1,2}) jan\. 2025""))), 
  TEXT(DATE(2025,1,REGEXEXTRACT(T276, ""(\d{1,2}) jan\. 2025"")), ""dd/mm/yyyy""),
 IF(NOT(ISERROR(REGEXEXTRACT("&amp;"T276, ""(\d{1,2}) fev\. 2025""))), 
  TEXT(DATE(2025,2,REGEXEXTRACT(T276, ""(\d{1,2}) fev\. 2025"")), ""dd/mm/yyyy""),
 IF(NOT(ISERROR(REGEXEXTRACT(T276, ""(\d{1,2}) mar\. 2025""))), 
  TEXT(DATE(2025,3,REGEXEXTRACT(T276, ""(\d{1,2}) mar\. 2025"")), ""dd/"&amp;"mm/yyyy""),
 IF(NOT(ISERROR(REGEXEXTRACT(T276, ""(\d{1,2}) abr\. 2025""))), 
  TEXT(DATE(2025,4,REGEXEXTRACT(T276, ""(\d{1,2}) abr\. 2025"")), ""dd/mm/yyyy""),
 IF(NOT(ISERROR(REGEXEXTRACT(T276, ""(\d{1,2}) (mai|maio)\. 2025""))), 
  TEXT(DATE(2025,5,REGE"&amp;"XEXTRACT(T276, ""(\d{1,2}) (mai|maio)\. 2025"")), ""dd/mm/yyyy""),
 IF(NOT(ISERROR(REGEXEXTRACT(T276, ""(\d{1,2}) jun\. 2025""))), 
  TEXT(DATE(2025,6,REGEXEXTRACT(T276, ""(\d{1,2}) jun\. 2025"")), ""dd/mm/yyyy""),
 IF(NOT(ISERROR(REGEXEXTRACT(T276, ""(\d"&amp;"{1,2}) jul\. 2025""))), 
  TEXT(DATE(2025,7,REGEXEXTRACT(T276, ""(\d{1,2}) jul\. 2025"")), ""dd/mm/yyyy""),
 IF(NOT(ISERROR(REGEXEXTRACT(T276, ""(\d{1,2}) ago\. 2025""))), 
  TEXT(DATE(2025,8,REGEXEXTRACT(T276, ""(\d{1,2}) ago\. 2025"")), ""dd/mm/yyyy""),"&amp;"
 IF(NOT(ISERROR(REGEXEXTRACT(T276, ""(\d{1,2}) set\. 2025""))), 
  TEXT(DATE(2025,9,REGEXEXTRACT(T276, ""(\d{1,2}) set\. 2025"")), ""dd/mm/yyyy""),
 IF(NOT(ISERROR(REGEXEXTRACT(T276, ""(\d{1,2}) out\. 2025""))), 
  TEXT(DATE(2025,10,REGEXEXTRACT(T276, """&amp;"(\d{1,2}) out\. 2025"")), ""dd/mm/yyyy""),
 IF(NOT(ISERROR(REGEXEXTRACT(T276, ""(\d{1,2}) nov\. 2025""))), 
  TEXT(DATE(2025,11,REGEXEXTRACT(T276, ""(\d{1,2}) nov\. 2025"")), ""dd/mm/yyyy""),
 IF(NOT(ISERROR(REGEXEXTRACT(T276, ""(\d{1,2}) dez\. 2025""))),"&amp;" 
  TEXT(DATE(2025,12,REGEXEXTRACT(T276, ""(\d{1,2}) dez\. 2025"")), ""dd/mm/yyyy""),
 ""Insira a data manualmente"")))))))))))), """"))"),"11/11/2025")</f>
        <v>11/11/2025</v>
      </c>
      <c r="H276" s="22">
        <f t="shared" si="1"/>
        <v>2025</v>
      </c>
      <c r="I276" s="18" t="str">
        <f>IFERROR(__xludf.DUMMYFUNCTION("IF(REGEXMATCH(T276,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IF(REGEXMATCH(T276, ""(?i)\bBrasília\b""), ""Distrito Federal, Brasil"",
REGEXEXTRACT(T276,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76" s="30" t="s">
        <v>647</v>
      </c>
      <c r="K276" s="24" t="s">
        <v>696</v>
      </c>
      <c r="L276" s="24" t="s">
        <v>26</v>
      </c>
      <c r="M276" s="25" t="s">
        <v>27</v>
      </c>
      <c r="N276" s="18" t="str">
        <f t="shared" si="8"/>
        <v>InfoMoney</v>
      </c>
      <c r="O276" s="17" t="s">
        <v>28</v>
      </c>
      <c r="P276" s="17" t="s">
        <v>251</v>
      </c>
      <c r="Q276" s="26">
        <v>45973.0</v>
      </c>
      <c r="R276" s="17" t="s">
        <v>30</v>
      </c>
      <c r="S276" s="27" t="str">
        <f t="shared" si="3"/>
        <v>Aqui</v>
      </c>
      <c r="T276" s="29" t="s">
        <v>697</v>
      </c>
      <c r="U276" s="29"/>
    </row>
    <row r="277">
      <c r="A277" s="16">
        <v>275.0</v>
      </c>
      <c r="B277" s="17" t="s">
        <v>23</v>
      </c>
      <c r="C277" s="18" t="str">
        <f>IFERROR(__xludf.DUMMYFUNCTION("IF(B277="""","""",IF(OR(
  REGEXMATCH(B277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REGEXMATCH(B277,""Notícia|Reportagem|Artigo de opinião|Verbete"")
),""Difusão"","""")))
"),"Difusão")</f>
        <v>Difusão</v>
      </c>
      <c r="D277" s="19" t="str">
        <f>IFERROR(__xludf.DUMMYFUNCTION("IF(B277="""","""",IF(OR(
  REGEXMATCH(B277,""Performance|Instalação|Álbum|Música|Poema|Livro|Filme|Documentário|Recitação|Espetáculo|Peça|Intervenção|Desfile|Fotografia|Exposição|Charge|Grafite|Leitura pública|Fabricação de cachaça artesanal""),
  REGEXMA"&amp;"TCH(B277,""dança|teatral|artístico|musical|artística"")
),""Manifestação artístico-cultural"",
IF(OR(
  REGEXMATCH(B277,""Crônica|Série|Reportagem|Podcast|Audiotour|Entrevista|Vídeo|Rádio|Notícia|Artigo de opinião|Coletiva de imprensa""),
  REGEXMATCH(B27"&amp;"7,""midiática"")
),""Produção midiática"","""")))
"),"Produção midiática")</f>
        <v>Produção midiática</v>
      </c>
      <c r="E277" s="20" t="str">
        <f>IFERROR(__xludf.DUMMYFUNCTION("IF(B277="""","""",IF(OR(
  REGEXMATCH(B277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REGEXMATCH(B277,""público|Imediato|artística|teatral|memória|Ação popular"")
),""Público Imediato"",
IF(REGEXMATCH(B277,""Música|Álbum|Filme|Documentár"&amp;"io|Série|Podcast|Rádio|Audiotour|Entrevista|Reportagem|Crônica|Relatório|Abaixo-assinado|Manifesto|Petição|Poema|Livro|Fotografia|Curta|Live|Webinário|Charge|Leitura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77" s="20" t="str">
        <f>IFERROR(__xludf.DUMMYFUNCTION("IF(B277="""","""",IF(OR(
  REGEXMATCH(B277,""Live|Webinário|Virtual|Verbete""),
  REGEXMATCH(B277,""online"")
),""Virtual"",
IF(REGEXMATCH(B277,""Música|Álbum|Filme|Documentário|Série|Podcast|Rádio|Audiotour|Episódio|Reportagem|Curta|Charge|Vídeo|Entrevis"&amp;"ta|Notícia|Artigo de opinião""),
""Midiático"",
IF(REGEXMATCH(B277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77" s="21" t="str">
        <f>IFERROR(__xludf.DUMMYFUNCTION("IF(C277=""rememoração"", ""Insira a data manualmente"", IF(C277=""difusão"", 
 IF(NOT(ISERROR(REGEXEXTRACT(T277, ""(\d{1,2}) jan\. 2025""))), 
  TEXT(DATE(2025,1,REGEXEXTRACT(T277, ""(\d{1,2}) jan\. 2025"")), ""dd/mm/yyyy""),
 IF(NOT(ISERROR(REGEXEXTRACT("&amp;"T277, ""(\d{1,2}) fev\. 2025""))), 
  TEXT(DATE(2025,2,REGEXEXTRACT(T277, ""(\d{1,2}) fev\. 2025"")), ""dd/mm/yyyy""),
 IF(NOT(ISERROR(REGEXEXTRACT(T277, ""(\d{1,2}) mar\. 2025""))), 
  TEXT(DATE(2025,3,REGEXEXTRACT(T277, ""(\d{1,2}) mar\. 2025"")), ""dd/"&amp;"mm/yyyy""),
 IF(NOT(ISERROR(REGEXEXTRACT(T277, ""(\d{1,2}) abr\. 2025""))), 
  TEXT(DATE(2025,4,REGEXEXTRACT(T277, ""(\d{1,2}) abr\. 2025"")), ""dd/mm/yyyy""),
 IF(NOT(ISERROR(REGEXEXTRACT(T277, ""(\d{1,2}) (mai|maio)\. 2025""))), 
  TEXT(DATE(2025,5,REGE"&amp;"XEXTRACT(T277, ""(\d{1,2}) (mai|maio)\. 2025"")), ""dd/mm/yyyy""),
 IF(NOT(ISERROR(REGEXEXTRACT(T277, ""(\d{1,2}) jun\. 2025""))), 
  TEXT(DATE(2025,6,REGEXEXTRACT(T277, ""(\d{1,2}) jun\. 2025"")), ""dd/mm/yyyy""),
 IF(NOT(ISERROR(REGEXEXTRACT(T277, ""(\d"&amp;"{1,2}) jul\. 2025""))), 
  TEXT(DATE(2025,7,REGEXEXTRACT(T277, ""(\d{1,2}) jul\. 2025"")), ""dd/mm/yyyy""),
 IF(NOT(ISERROR(REGEXEXTRACT(T277, ""(\d{1,2}) ago\. 2025""))), 
  TEXT(DATE(2025,8,REGEXEXTRACT(T277, ""(\d{1,2}) ago\. 2025"")), ""dd/mm/yyyy""),"&amp;"
 IF(NOT(ISERROR(REGEXEXTRACT(T277, ""(\d{1,2}) set\. 2025""))), 
  TEXT(DATE(2025,9,REGEXEXTRACT(T277, ""(\d{1,2}) set\. 2025"")), ""dd/mm/yyyy""),
 IF(NOT(ISERROR(REGEXEXTRACT(T277, ""(\d{1,2}) out\. 2025""))), 
  TEXT(DATE(2025,10,REGEXEXTRACT(T277, """&amp;"(\d{1,2}) out\. 2025"")), ""dd/mm/yyyy""),
 IF(NOT(ISERROR(REGEXEXTRACT(T277, ""(\d{1,2}) nov\. 2025""))), 
  TEXT(DATE(2025,11,REGEXEXTRACT(T277, ""(\d{1,2}) nov\. 2025"")), ""dd/mm/yyyy""),
 IF(NOT(ISERROR(REGEXEXTRACT(T277, ""(\d{1,2}) dez\. 2025""))),"&amp;" 
  TEXT(DATE(2025,12,REGEXEXTRACT(T277, ""(\d{1,2}) dez\. 2025"")), ""dd/mm/yyyy""),
 ""Insira a data manualmente"")))))))))))), """"))"),"03/11/2025")</f>
        <v>03/11/2025</v>
      </c>
      <c r="H277" s="22">
        <f t="shared" si="1"/>
        <v>2025</v>
      </c>
      <c r="I277" s="18" t="str">
        <f>IFERROR(__xludf.DUMMYFUNCTION("IF(REGEXMATCH(T277,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IF(REGEXMATCH(T277, ""(?i)\bBrasília\b""), ""Distrito Federal, Brasil"",
REGEXEXTRACT(T277,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77" s="30" t="s">
        <v>698</v>
      </c>
      <c r="K277" s="24" t="s">
        <v>699</v>
      </c>
      <c r="L277" s="24" t="s">
        <v>26</v>
      </c>
      <c r="M277" s="25" t="s">
        <v>27</v>
      </c>
      <c r="N277" s="18" t="str">
        <f t="shared" si="8"/>
        <v>Diário do Rio</v>
      </c>
      <c r="O277" s="17" t="s">
        <v>28</v>
      </c>
      <c r="P277" s="17" t="s">
        <v>251</v>
      </c>
      <c r="Q277" s="26">
        <v>45973.0</v>
      </c>
      <c r="R277" s="17" t="s">
        <v>30</v>
      </c>
      <c r="S277" s="27" t="str">
        <f t="shared" si="3"/>
        <v>Aqui</v>
      </c>
      <c r="T277" s="29" t="s">
        <v>700</v>
      </c>
      <c r="U277" s="29"/>
    </row>
    <row r="278">
      <c r="A278" s="16">
        <v>276.0</v>
      </c>
      <c r="B278" s="17" t="s">
        <v>23</v>
      </c>
      <c r="C278" s="18" t="str">
        <f>IFERROR(__xludf.DUMMYFUNCTION("IF(B278="""","""",IF(OR(
  REGEXMATCH(B278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REGEXMATCH(B278,""Notícia|Reportagem|Artigo de opinião|Verbete"")
),""Difusão"","""")))
"),"Difusão")</f>
        <v>Difusão</v>
      </c>
      <c r="D278" s="19" t="str">
        <f>IFERROR(__xludf.DUMMYFUNCTION("IF(B278="""","""",IF(OR(
  REGEXMATCH(B278,""Performance|Instalação|Álbum|Música|Poema|Livro|Filme|Documentário|Recitação|Espetáculo|Peça|Intervenção|Desfile|Fotografia|Exposição|Charge|Grafite|Leitura pública|Fabricação de cachaça artesanal""),
  REGEXMA"&amp;"TCH(B278,""dança|teatral|artístico|musical|artística"")
),""Manifestação artístico-cultural"",
IF(OR(
  REGEXMATCH(B278,""Crônica|Série|Reportagem|Podcast|Audiotour|Entrevista|Vídeo|Rádio|Notícia|Artigo de opinião|Coletiva de imprensa""),
  REGEXMATCH(B27"&amp;"8,""midiática"")
),""Produção midiática"","""")))
"),"Produção midiática")</f>
        <v>Produção midiática</v>
      </c>
      <c r="E278" s="20" t="str">
        <f>IFERROR(__xludf.DUMMYFUNCTION("IF(B278="""","""",IF(OR(
  REGEXMATCH(B278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REGEXMATCH(B278,""público|Imediato|artística|teatral|memória|Ação popular"")
),""Público Imediato"",
IF(REGEXMATCH(B278,""Música|Álbum|Filme|Documentár"&amp;"io|Série|Podcast|Rádio|Audiotour|Entrevista|Reportagem|Crônica|Relatório|Abaixo-assinado|Manifesto|Petição|Poema|Livro|Fotografia|Curta|Live|Webinário|Charge|Leitura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78" s="20" t="str">
        <f>IFERROR(__xludf.DUMMYFUNCTION("IF(B278="""","""",IF(OR(
  REGEXMATCH(B278,""Live|Webinário|Virtual|Verbete""),
  REGEXMATCH(B278,""online"")
),""Virtual"",
IF(REGEXMATCH(B278,""Música|Álbum|Filme|Documentário|Série|Podcast|Rádio|Audiotour|Episódio|Reportagem|Curta|Charge|Vídeo|Entrevis"&amp;"ta|Notícia|Artigo de opinião""),
""Midiático"",
IF(REGEXMATCH(B278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78" s="21" t="str">
        <f>IFERROR(__xludf.DUMMYFUNCTION("IF(C278=""rememoração"", ""Insira a data manualmente"", IF(C278=""difusão"", 
 IF(NOT(ISERROR(REGEXEXTRACT(T278, ""(\d{1,2}) jan\. 2025""))), 
  TEXT(DATE(2025,1,REGEXEXTRACT(T278, ""(\d{1,2}) jan\. 2025"")), ""dd/mm/yyyy""),
 IF(NOT(ISERROR(REGEXEXTRACT("&amp;"T278, ""(\d{1,2}) fev\. 2025""))), 
  TEXT(DATE(2025,2,REGEXEXTRACT(T278, ""(\d{1,2}) fev\. 2025"")), ""dd/mm/yyyy""),
 IF(NOT(ISERROR(REGEXEXTRACT(T278, ""(\d{1,2}) mar\. 2025""))), 
  TEXT(DATE(2025,3,REGEXEXTRACT(T278, ""(\d{1,2}) mar\. 2025"")), ""dd/"&amp;"mm/yyyy""),
 IF(NOT(ISERROR(REGEXEXTRACT(T278, ""(\d{1,2}) abr\. 2025""))), 
  TEXT(DATE(2025,4,REGEXEXTRACT(T278, ""(\d{1,2}) abr\. 2025"")), ""dd/mm/yyyy""),
 IF(NOT(ISERROR(REGEXEXTRACT(T278, ""(\d{1,2}) (mai|maio)\. 2025""))), 
  TEXT(DATE(2025,5,REGE"&amp;"XEXTRACT(T278, ""(\d{1,2}) (mai|maio)\. 2025"")), ""dd/mm/yyyy""),
 IF(NOT(ISERROR(REGEXEXTRACT(T278, ""(\d{1,2}) jun\. 2025""))), 
  TEXT(DATE(2025,6,REGEXEXTRACT(T278, ""(\d{1,2}) jun\. 2025"")), ""dd/mm/yyyy""),
 IF(NOT(ISERROR(REGEXEXTRACT(T278, ""(\d"&amp;"{1,2}) jul\. 2025""))), 
  TEXT(DATE(2025,7,REGEXEXTRACT(T278, ""(\d{1,2}) jul\. 2025"")), ""dd/mm/yyyy""),
 IF(NOT(ISERROR(REGEXEXTRACT(T278, ""(\d{1,2}) ago\. 2025""))), 
  TEXT(DATE(2025,8,REGEXEXTRACT(T278, ""(\d{1,2}) ago\. 2025"")), ""dd/mm/yyyy""),"&amp;"
 IF(NOT(ISERROR(REGEXEXTRACT(T278, ""(\d{1,2}) set\. 2025""))), 
  TEXT(DATE(2025,9,REGEXEXTRACT(T278, ""(\d{1,2}) set\. 2025"")), ""dd/mm/yyyy""),
 IF(NOT(ISERROR(REGEXEXTRACT(T278, ""(\d{1,2}) out\. 2025""))), 
  TEXT(DATE(2025,10,REGEXEXTRACT(T278, """&amp;"(\d{1,2}) out\. 2025"")), ""dd/mm/yyyy""),
 IF(NOT(ISERROR(REGEXEXTRACT(T278, ""(\d{1,2}) nov\. 2025""))), 
  TEXT(DATE(2025,11,REGEXEXTRACT(T278, ""(\d{1,2}) nov\. 2025"")), ""dd/mm/yyyy""),
 IF(NOT(ISERROR(REGEXEXTRACT(T278, ""(\d{1,2}) dez\. 2025""))),"&amp;" 
  TEXT(DATE(2025,12,REGEXEXTRACT(T278, ""(\d{1,2}) dez\. 2025"")), ""dd/mm/yyyy""),
 ""Insira a data manualmente"")))))))))))), """"))"),"10/11/2025")</f>
        <v>10/11/2025</v>
      </c>
      <c r="H278" s="22">
        <f t="shared" si="1"/>
        <v>2025</v>
      </c>
      <c r="I278" s="18" t="str">
        <f>IFERROR(__xludf.DUMMYFUNCTION("IF(REGEXMATCH(T278,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IF(REGEXMATCH(T278, ""(?i)\bBrasília\b""), ""Distrito Federal, Brasil"",
REGEXEXTRACT(T278,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78" s="30" t="s">
        <v>701</v>
      </c>
      <c r="K278" s="24" t="s">
        <v>702</v>
      </c>
      <c r="L278" s="24" t="s">
        <v>26</v>
      </c>
      <c r="M278" s="25" t="s">
        <v>27</v>
      </c>
      <c r="N278" s="18" t="str">
        <f t="shared" si="8"/>
        <v>Monitor Mercantil</v>
      </c>
      <c r="O278" s="17" t="s">
        <v>28</v>
      </c>
      <c r="P278" s="17" t="s">
        <v>251</v>
      </c>
      <c r="Q278" s="26">
        <v>45973.0</v>
      </c>
      <c r="R278" s="17" t="s">
        <v>30</v>
      </c>
      <c r="S278" s="27" t="str">
        <f t="shared" si="3"/>
        <v>Aqui</v>
      </c>
      <c r="T278" s="29" t="s">
        <v>703</v>
      </c>
      <c r="U278" s="29"/>
    </row>
    <row r="279">
      <c r="A279" s="16">
        <v>277.0</v>
      </c>
      <c r="B279" s="17" t="s">
        <v>23</v>
      </c>
      <c r="C279" s="18" t="str">
        <f>IFERROR(__xludf.DUMMYFUNCTION("IF(B279="""","""",IF(OR(
  REGEXMATCH(B279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REGEXMATCH(B279,""Notícia|Reportagem|Artigo de opinião|Verbete"")
),""Difusão"","""")))
"),"Difusão")</f>
        <v>Difusão</v>
      </c>
      <c r="D279" s="19" t="str">
        <f>IFERROR(__xludf.DUMMYFUNCTION("IF(B279="""","""",IF(OR(
  REGEXMATCH(B279,""Performance|Instalação|Álbum|Música|Poema|Livro|Filme|Documentário|Recitação|Espetáculo|Peça|Intervenção|Desfile|Fotografia|Exposição|Charge|Grafite|Leitura pública|Fabricação de cachaça artesanal""),
  REGEXMA"&amp;"TCH(B279,""dança|teatral|artístico|musical|artística"")
),""Manifestação artístico-cultural"",
IF(OR(
  REGEXMATCH(B279,""Crônica|Série|Reportagem|Podcast|Audiotour|Entrevista|Vídeo|Rádio|Notícia|Artigo de opinião|Coletiva de imprensa""),
  REGEXMATCH(B27"&amp;"9,""midiática"")
),""Produção midiática"","""")))
"),"Produção midiática")</f>
        <v>Produção midiática</v>
      </c>
      <c r="E279" s="20" t="str">
        <f>IFERROR(__xludf.DUMMYFUNCTION("IF(B279="""","""",IF(OR(
  REGEXMATCH(B279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REGEXMATCH(B279,""público|Imediato|artística|teatral|memória|Ação popular"")
),""Público Imediato"",
IF(REGEXMATCH(B279,""Música|Álbum|Filme|Documentár"&amp;"io|Série|Podcast|Rádio|Audiotour|Entrevista|Reportagem|Crônica|Relatório|Abaixo-assinado|Manifesto|Petição|Poema|Livro|Fotografia|Curta|Live|Webinário|Charge|Leitura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79" s="20" t="str">
        <f>IFERROR(__xludf.DUMMYFUNCTION("IF(B279="""","""",IF(OR(
  REGEXMATCH(B279,""Live|Webinário|Virtual|Verbete""),
  REGEXMATCH(B279,""online"")
),""Virtual"",
IF(REGEXMATCH(B279,""Música|Álbum|Filme|Documentário|Série|Podcast|Rádio|Audiotour|Episódio|Reportagem|Curta|Charge|Vídeo|Entrevis"&amp;"ta|Notícia|Artigo de opinião""),
""Midiático"",
IF(REGEXMATCH(B279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79" s="21" t="str">
        <f>IFERROR(__xludf.DUMMYFUNCTION("IF(C279=""rememoração"", ""Insira a data manualmente"", IF(C279=""difusão"", 
 IF(NOT(ISERROR(REGEXEXTRACT(T279, ""(\d{1,2}) jan\. 2025""))), 
  TEXT(DATE(2025,1,REGEXEXTRACT(T279, ""(\d{1,2}) jan\. 2025"")), ""dd/mm/yyyy""),
 IF(NOT(ISERROR(REGEXEXTRACT("&amp;"T279, ""(\d{1,2}) fev\. 2025""))), 
  TEXT(DATE(2025,2,REGEXEXTRACT(T279, ""(\d{1,2}) fev\. 2025"")), ""dd/mm/yyyy""),
 IF(NOT(ISERROR(REGEXEXTRACT(T279, ""(\d{1,2}) mar\. 2025""))), 
  TEXT(DATE(2025,3,REGEXEXTRACT(T279, ""(\d{1,2}) mar\. 2025"")), ""dd/"&amp;"mm/yyyy""),
 IF(NOT(ISERROR(REGEXEXTRACT(T279, ""(\d{1,2}) abr\. 2025""))), 
  TEXT(DATE(2025,4,REGEXEXTRACT(T279, ""(\d{1,2}) abr\. 2025"")), ""dd/mm/yyyy""),
 IF(NOT(ISERROR(REGEXEXTRACT(T279, ""(\d{1,2}) (mai|maio)\. 2025""))), 
  TEXT(DATE(2025,5,REGE"&amp;"XEXTRACT(T279, ""(\d{1,2}) (mai|maio)\. 2025"")), ""dd/mm/yyyy""),
 IF(NOT(ISERROR(REGEXEXTRACT(T279, ""(\d{1,2}) jun\. 2025""))), 
  TEXT(DATE(2025,6,REGEXEXTRACT(T279, ""(\d{1,2}) jun\. 2025"")), ""dd/mm/yyyy""),
 IF(NOT(ISERROR(REGEXEXTRACT(T279, ""(\d"&amp;"{1,2}) jul\. 2025""))), 
  TEXT(DATE(2025,7,REGEXEXTRACT(T279, ""(\d{1,2}) jul\. 2025"")), ""dd/mm/yyyy""),
 IF(NOT(ISERROR(REGEXEXTRACT(T279, ""(\d{1,2}) ago\. 2025""))), 
  TEXT(DATE(2025,8,REGEXEXTRACT(T279, ""(\d{1,2}) ago\. 2025"")), ""dd/mm/yyyy""),"&amp;"
 IF(NOT(ISERROR(REGEXEXTRACT(T279, ""(\d{1,2}) set\. 2025""))), 
  TEXT(DATE(2025,9,REGEXEXTRACT(T279, ""(\d{1,2}) set\. 2025"")), ""dd/mm/yyyy""),
 IF(NOT(ISERROR(REGEXEXTRACT(T279, ""(\d{1,2}) out\. 2025""))), 
  TEXT(DATE(2025,10,REGEXEXTRACT(T279, """&amp;"(\d{1,2}) out\. 2025"")), ""dd/mm/yyyy""),
 IF(NOT(ISERROR(REGEXEXTRACT(T279, ""(\d{1,2}) nov\. 2025""))), 
  TEXT(DATE(2025,11,REGEXEXTRACT(T279, ""(\d{1,2}) nov\. 2025"")), ""dd/mm/yyyy""),
 IF(NOT(ISERROR(REGEXEXTRACT(T279, ""(\d{1,2}) dez\. 2025""))),"&amp;" 
  TEXT(DATE(2025,12,REGEXEXTRACT(T279, ""(\d{1,2}) dez\. 2025"")), ""dd/mm/yyyy""),
 ""Insira a data manualmente"")))))))))))), """"))"),"03/11/2025")</f>
        <v>03/11/2025</v>
      </c>
      <c r="H279" s="22">
        <f t="shared" si="1"/>
        <v>2025</v>
      </c>
      <c r="I279" s="18" t="str">
        <f>IFERROR(__xludf.DUMMYFUNCTION("IF(REGEXMATCH(T279,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IF(REGEXMATCH(T279, ""(?i)\bBrasília\b""), ""Distrito Federal, Brasil"",
REGEXEXTRACT(T279,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79" s="30" t="s">
        <v>638</v>
      </c>
      <c r="K279" s="24" t="s">
        <v>704</v>
      </c>
      <c r="L279" s="24" t="s">
        <v>26</v>
      </c>
      <c r="M279" s="25" t="s">
        <v>27</v>
      </c>
      <c r="N279" s="18" t="str">
        <f t="shared" si="8"/>
        <v>Veja</v>
      </c>
      <c r="O279" s="17" t="s">
        <v>28</v>
      </c>
      <c r="P279" s="17" t="s">
        <v>251</v>
      </c>
      <c r="Q279" s="26">
        <v>45973.0</v>
      </c>
      <c r="R279" s="17" t="s">
        <v>30</v>
      </c>
      <c r="S279" s="27" t="str">
        <f t="shared" si="3"/>
        <v>Aqui</v>
      </c>
      <c r="T279" s="29" t="s">
        <v>705</v>
      </c>
      <c r="U279" s="29"/>
    </row>
    <row r="280">
      <c r="A280" s="16">
        <v>278.0</v>
      </c>
      <c r="B280" s="17" t="s">
        <v>23</v>
      </c>
      <c r="C280" s="18" t="str">
        <f>IFERROR(__xludf.DUMMYFUNCTION("IF(B280="""","""",IF(OR(
  REGEXMATCH(B280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REGEXMATCH(B280,""Notícia|Reportagem|Artigo de opinião|Verbete"")
),""Difusão"","""")))
"),"Difusão")</f>
        <v>Difusão</v>
      </c>
      <c r="D280" s="19" t="str">
        <f>IFERROR(__xludf.DUMMYFUNCTION("IF(B280="""","""",IF(OR(
  REGEXMATCH(B280,""Performance|Instalação|Álbum|Música|Poema|Livro|Filme|Documentário|Recitação|Espetáculo|Peça|Intervenção|Desfile|Fotografia|Exposição|Charge|Grafite|Leitura pública|Fabricação de cachaça artesanal""),
  REGEXMA"&amp;"TCH(B280,""dança|teatral|artístico|musical|artística"")
),""Manifestação artístico-cultural"",
IF(OR(
  REGEXMATCH(B280,""Crônica|Série|Reportagem|Podcast|Audiotour|Entrevista|Vídeo|Rádio|Notícia|Artigo de opinião|Coletiva de imprensa""),
  REGEXMATCH(B28"&amp;"0,""midiática"")
),""Produção midiática"","""")))
"),"Produção midiática")</f>
        <v>Produção midiática</v>
      </c>
      <c r="E280" s="20" t="str">
        <f>IFERROR(__xludf.DUMMYFUNCTION("IF(B280="""","""",IF(OR(
  REGEXMATCH(B280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REGEXMATCH(B280,""público|Imediato|artística|teatral|memória|Ação popular"")
),""Público Imediato"",
IF(REGEXMATCH(B280,""Música|Álbum|Filme|Documentár"&amp;"io|Série|Podcast|Rádio|Audiotour|Entrevista|Reportagem|Crônica|Relatório|Abaixo-assinado|Manifesto|Petição|Poema|Livro|Fotografia|Curta|Live|Webinário|Charge|Leitura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80" s="20" t="str">
        <f>IFERROR(__xludf.DUMMYFUNCTION("IF(B280="""","""",IF(OR(
  REGEXMATCH(B280,""Live|Webinário|Virtual|Verbete""),
  REGEXMATCH(B280,""online"")
),""Virtual"",
IF(REGEXMATCH(B280,""Música|Álbum|Filme|Documentário|Série|Podcast|Rádio|Audiotour|Episódio|Reportagem|Curta|Charge|Vídeo|Entrevis"&amp;"ta|Notícia|Artigo de opinião""),
""Midiático"",
IF(REGEXMATCH(B280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80" s="21" t="str">
        <f>IFERROR(__xludf.DUMMYFUNCTION("IF(C280=""rememoração"", ""Insira a data manualmente"", IF(C280=""difusão"", 
 IF(NOT(ISERROR(REGEXEXTRACT(T280, ""(\d{1,2}) jan\. 2025""))), 
  TEXT(DATE(2025,1,REGEXEXTRACT(T280, ""(\d{1,2}) jan\. 2025"")), ""dd/mm/yyyy""),
 IF(NOT(ISERROR(REGEXEXTRACT("&amp;"T280, ""(\d{1,2}) fev\. 2025""))), 
  TEXT(DATE(2025,2,REGEXEXTRACT(T280, ""(\d{1,2}) fev\. 2025"")), ""dd/mm/yyyy""),
 IF(NOT(ISERROR(REGEXEXTRACT(T280, ""(\d{1,2}) mar\. 2025""))), 
  TEXT(DATE(2025,3,REGEXEXTRACT(T280, ""(\d{1,2}) mar\. 2025"")), ""dd/"&amp;"mm/yyyy""),
 IF(NOT(ISERROR(REGEXEXTRACT(T280, ""(\d{1,2}) abr\. 2025""))), 
  TEXT(DATE(2025,4,REGEXEXTRACT(T280, ""(\d{1,2}) abr\. 2025"")), ""dd/mm/yyyy""),
 IF(NOT(ISERROR(REGEXEXTRACT(T280, ""(\d{1,2}) (mai|maio)\. 2025""))), 
  TEXT(DATE(2025,5,REGE"&amp;"XEXTRACT(T280, ""(\d{1,2}) (mai|maio)\. 2025"")), ""dd/mm/yyyy""),
 IF(NOT(ISERROR(REGEXEXTRACT(T280, ""(\d{1,2}) jun\. 2025""))), 
  TEXT(DATE(2025,6,REGEXEXTRACT(T280, ""(\d{1,2}) jun\. 2025"")), ""dd/mm/yyyy""),
 IF(NOT(ISERROR(REGEXEXTRACT(T280, ""(\d"&amp;"{1,2}) jul\. 2025""))), 
  TEXT(DATE(2025,7,REGEXEXTRACT(T280, ""(\d{1,2}) jul\. 2025"")), ""dd/mm/yyyy""),
 IF(NOT(ISERROR(REGEXEXTRACT(T280, ""(\d{1,2}) ago\. 2025""))), 
  TEXT(DATE(2025,8,REGEXEXTRACT(T280, ""(\d{1,2}) ago\. 2025"")), ""dd/mm/yyyy""),"&amp;"
 IF(NOT(ISERROR(REGEXEXTRACT(T280, ""(\d{1,2}) set\. 2025""))), 
  TEXT(DATE(2025,9,REGEXEXTRACT(T280, ""(\d{1,2}) set\. 2025"")), ""dd/mm/yyyy""),
 IF(NOT(ISERROR(REGEXEXTRACT(T280, ""(\d{1,2}) out\. 2025""))), 
  TEXT(DATE(2025,10,REGEXEXTRACT(T280, """&amp;"(\d{1,2}) out\. 2025"")), ""dd/mm/yyyy""),
 IF(NOT(ISERROR(REGEXEXTRACT(T280, ""(\d{1,2}) nov\. 2025""))), 
  TEXT(DATE(2025,11,REGEXEXTRACT(T280, ""(\d{1,2}) nov\. 2025"")), ""dd/mm/yyyy""),
 IF(NOT(ISERROR(REGEXEXTRACT(T280, ""(\d{1,2}) dez\. 2025""))),"&amp;" 
  TEXT(DATE(2025,12,REGEXEXTRACT(T280, ""(\d{1,2}) dez\. 2025"")), ""dd/mm/yyyy""),
 ""Insira a data manualmente"")))))))))))), """"))"),"06/11/2025")</f>
        <v>06/11/2025</v>
      </c>
      <c r="H280" s="22">
        <f t="shared" si="1"/>
        <v>2025</v>
      </c>
      <c r="I280" s="18" t="s">
        <v>706</v>
      </c>
      <c r="J280" s="30" t="s">
        <v>707</v>
      </c>
      <c r="K280" s="24" t="s">
        <v>708</v>
      </c>
      <c r="L280" s="24" t="s">
        <v>26</v>
      </c>
      <c r="M280" s="25" t="s">
        <v>27</v>
      </c>
      <c r="N280" s="18" t="str">
        <f t="shared" si="8"/>
        <v>Terra e The Conversation</v>
      </c>
      <c r="O280" s="17" t="s">
        <v>28</v>
      </c>
      <c r="P280" s="17" t="s">
        <v>251</v>
      </c>
      <c r="Q280" s="26">
        <v>45973.0</v>
      </c>
      <c r="R280" s="17" t="s">
        <v>30</v>
      </c>
      <c r="S280" s="27" t="str">
        <f t="shared" si="3"/>
        <v>Aqui</v>
      </c>
      <c r="T280" s="29" t="s">
        <v>709</v>
      </c>
      <c r="U280" s="29"/>
    </row>
    <row r="281">
      <c r="A281" s="16">
        <v>279.0</v>
      </c>
      <c r="B281" s="17" t="s">
        <v>23</v>
      </c>
      <c r="C281" s="18" t="str">
        <f>IFERROR(__xludf.DUMMYFUNCTION("IF(B281="""","""",IF(OR(
  REGEXMATCH(B281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REGEXMATCH(B281,""Notícia|Reportagem|Artigo de opinião|Verbete"")
),""Difusão"","""")))
"),"Difusão")</f>
        <v>Difusão</v>
      </c>
      <c r="D281" s="19" t="str">
        <f>IFERROR(__xludf.DUMMYFUNCTION("IF(B281="""","""",IF(OR(
  REGEXMATCH(B281,""Performance|Instalação|Álbum|Música|Poema|Livro|Filme|Documentário|Recitação|Espetáculo|Peça|Intervenção|Desfile|Fotografia|Exposição|Charge|Grafite|Leitura pública|Fabricação de cachaça artesanal""),
  REGEXMA"&amp;"TCH(B281,""dança|teatral|artístico|musical|artística"")
),""Manifestação artístico-cultural"",
IF(OR(
  REGEXMATCH(B281,""Crônica|Série|Reportagem|Podcast|Audiotour|Entrevista|Vídeo|Rádio|Notícia|Artigo de opinião|Coletiva de imprensa""),
  REGEXMATCH(B28"&amp;"1,""midiática"")
),""Produção midiática"","""")))
"),"Produção midiática")</f>
        <v>Produção midiática</v>
      </c>
      <c r="E281" s="20" t="str">
        <f>IFERROR(__xludf.DUMMYFUNCTION("IF(B281="""","""",IF(OR(
  REGEXMATCH(B281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REGEXMATCH(B281,""público|Imediato|artística|teatral|memória|Ação popular"")
),""Público Imediato"",
IF(REGEXMATCH(B281,""Música|Álbum|Filme|Documentár"&amp;"io|Série|Podcast|Rádio|Audiotour|Entrevista|Reportagem|Crônica|Relatório|Abaixo-assinado|Manifesto|Petição|Poema|Livro|Fotografia|Curta|Live|Webinário|Charge|Leitura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81" s="20" t="str">
        <f>IFERROR(__xludf.DUMMYFUNCTION("IF(B281="""","""",IF(OR(
  REGEXMATCH(B281,""Live|Webinário|Virtual|Verbete""),
  REGEXMATCH(B281,""online"")
),""Virtual"",
IF(REGEXMATCH(B281,""Música|Álbum|Filme|Documentário|Série|Podcast|Rádio|Audiotour|Episódio|Reportagem|Curta|Charge|Vídeo|Entrevis"&amp;"ta|Notícia|Artigo de opinião""),
""Midiático"",
IF(REGEXMATCH(B281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81" s="21" t="str">
        <f>IFERROR(__xludf.DUMMYFUNCTION("IF(C281=""rememoração"", ""Insira a data manualmente"", IF(C281=""difusão"", 
 IF(NOT(ISERROR(REGEXEXTRACT(T281, ""(\d{1,2}) jan\. 2025""))), 
  TEXT(DATE(2025,1,REGEXEXTRACT(T281, ""(\d{1,2}) jan\. 2025"")), ""dd/mm/yyyy""),
 IF(NOT(ISERROR(REGEXEXTRACT("&amp;"T281, ""(\d{1,2}) fev\. 2025""))), 
  TEXT(DATE(2025,2,REGEXEXTRACT(T281, ""(\d{1,2}) fev\. 2025"")), ""dd/mm/yyyy""),
 IF(NOT(ISERROR(REGEXEXTRACT(T281, ""(\d{1,2}) mar\. 2025""))), 
  TEXT(DATE(2025,3,REGEXEXTRACT(T281, ""(\d{1,2}) mar\. 2025"")), ""dd/"&amp;"mm/yyyy""),
 IF(NOT(ISERROR(REGEXEXTRACT(T281, ""(\d{1,2}) abr\. 2025""))), 
  TEXT(DATE(2025,4,REGEXEXTRACT(T281, ""(\d{1,2}) abr\. 2025"")), ""dd/mm/yyyy""),
 IF(NOT(ISERROR(REGEXEXTRACT(T281, ""(\d{1,2}) (mai|maio)\. 2025""))), 
  TEXT(DATE(2025,5,REGE"&amp;"XEXTRACT(T281, ""(\d{1,2}) (mai|maio)\. 2025"")), ""dd/mm/yyyy""),
 IF(NOT(ISERROR(REGEXEXTRACT(T281, ""(\d{1,2}) jun\. 2025""))), 
  TEXT(DATE(2025,6,REGEXEXTRACT(T281, ""(\d{1,2}) jun\. 2025"")), ""dd/mm/yyyy""),
 IF(NOT(ISERROR(REGEXEXTRACT(T281, ""(\d"&amp;"{1,2}) jul\. 2025""))), 
  TEXT(DATE(2025,7,REGEXEXTRACT(T281, ""(\d{1,2}) jul\. 2025"")), ""dd/mm/yyyy""),
 IF(NOT(ISERROR(REGEXEXTRACT(T281, ""(\d{1,2}) ago\. 2025""))), 
  TEXT(DATE(2025,8,REGEXEXTRACT(T281, ""(\d{1,2}) ago\. 2025"")), ""dd/mm/yyyy""),"&amp;"
 IF(NOT(ISERROR(REGEXEXTRACT(T281, ""(\d{1,2}) set\. 2025""))), 
  TEXT(DATE(2025,9,REGEXEXTRACT(T281, ""(\d{1,2}) set\. 2025"")), ""dd/mm/yyyy""),
 IF(NOT(ISERROR(REGEXEXTRACT(T281, ""(\d{1,2}) out\. 2025""))), 
  TEXT(DATE(2025,10,REGEXEXTRACT(T281, """&amp;"(\d{1,2}) out\. 2025"")), ""dd/mm/yyyy""),
 IF(NOT(ISERROR(REGEXEXTRACT(T281, ""(\d{1,2}) nov\. 2025""))), 
  TEXT(DATE(2025,11,REGEXEXTRACT(T281, ""(\d{1,2}) nov\. 2025"")), ""dd/mm/yyyy""),
 IF(NOT(ISERROR(REGEXEXTRACT(T281, ""(\d{1,2}) dez\. 2025""))),"&amp;" 
  TEXT(DATE(2025,12,REGEXEXTRACT(T281, ""(\d{1,2}) dez\. 2025"")), ""dd/mm/yyyy""),
 ""Insira a data manualmente"")))))))))))), """"))"),"31/10/2025")</f>
        <v>31/10/2025</v>
      </c>
      <c r="H281" s="22">
        <f t="shared" si="1"/>
        <v>2025</v>
      </c>
      <c r="I281" s="18" t="str">
        <f>IFERROR(__xludf.DUMMYFUNCTION("IF(REGEXMATCH(T281,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IF(REGEXMATCH(T281, ""(?i)\bBrasília\b""), ""Distrito Federal, Brasil"",
REGEXEXTRACT(T281,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81" s="30" t="s">
        <v>599</v>
      </c>
      <c r="K281" s="24" t="s">
        <v>710</v>
      </c>
      <c r="L281" s="24" t="s">
        <v>26</v>
      </c>
      <c r="M281" s="25" t="s">
        <v>27</v>
      </c>
      <c r="N281" s="18" t="str">
        <f t="shared" si="8"/>
        <v>BBC News Brasil</v>
      </c>
      <c r="O281" s="17" t="s">
        <v>28</v>
      </c>
      <c r="P281" s="17" t="s">
        <v>251</v>
      </c>
      <c r="Q281" s="26">
        <v>45973.0</v>
      </c>
      <c r="R281" s="17" t="s">
        <v>30</v>
      </c>
      <c r="S281" s="27" t="str">
        <f t="shared" si="3"/>
        <v>Aqui</v>
      </c>
      <c r="T281" s="29" t="s">
        <v>711</v>
      </c>
      <c r="U281" s="29"/>
    </row>
    <row r="282">
      <c r="A282" s="16">
        <v>280.0</v>
      </c>
      <c r="B282" s="17" t="s">
        <v>23</v>
      </c>
      <c r="C282" s="18" t="str">
        <f>IFERROR(__xludf.DUMMYFUNCTION("IF(B282="""","""",IF(OR(
  REGEXMATCH(B282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REGEXMATCH(B282,""Notícia|Reportagem|Artigo de opinião|Verbete"")
),""Difusão"","""")))
"),"Difusão")</f>
        <v>Difusão</v>
      </c>
      <c r="D282" s="19" t="str">
        <f>IFERROR(__xludf.DUMMYFUNCTION("IF(B282="""","""",IF(OR(
  REGEXMATCH(B282,""Performance|Instalação|Álbum|Música|Poema|Livro|Filme|Documentário|Recitação|Espetáculo|Peça|Intervenção|Desfile|Fotografia|Exposição|Charge|Grafite|Leitura pública|Fabricação de cachaça artesanal""),
  REGEXMA"&amp;"TCH(B282,""dança|teatral|artístico|musical|artística"")
),""Manifestação artístico-cultural"",
IF(OR(
  REGEXMATCH(B282,""Crônica|Série|Reportagem|Podcast|Audiotour|Entrevista|Vídeo|Rádio|Notícia|Artigo de opinião|Coletiva de imprensa""),
  REGEXMATCH(B28"&amp;"2,""midiática"")
),""Produção midiática"","""")))
"),"Produção midiática")</f>
        <v>Produção midiática</v>
      </c>
      <c r="E282" s="20" t="str">
        <f>IFERROR(__xludf.DUMMYFUNCTION("IF(B282="""","""",IF(OR(
  REGEXMATCH(B282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REGEXMATCH(B282,""público|Imediato|artística|teatral|memória|Ação popular"")
),""Público Imediato"",
IF(REGEXMATCH(B282,""Música|Álbum|Filme|Documentár"&amp;"io|Série|Podcast|Rádio|Audiotour|Entrevista|Reportagem|Crônica|Relatório|Abaixo-assinado|Manifesto|Petição|Poema|Livro|Fotografia|Curta|Live|Webinário|Charge|Leitura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82" s="20" t="str">
        <f>IFERROR(__xludf.DUMMYFUNCTION("IF(B282="""","""",IF(OR(
  REGEXMATCH(B282,""Live|Webinário|Virtual|Verbete""),
  REGEXMATCH(B282,""online"")
),""Virtual"",
IF(REGEXMATCH(B282,""Música|Álbum|Filme|Documentário|Série|Podcast|Rádio|Audiotour|Episódio|Reportagem|Curta|Charge|Vídeo|Entrevis"&amp;"ta|Notícia|Artigo de opinião""),
""Midiático"",
IF(REGEXMATCH(B282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82" s="21" t="str">
        <f>IFERROR(__xludf.DUMMYFUNCTION("IF(C282=""rememoração"", ""Insira a data manualmente"", IF(C282=""difusão"", 
 IF(NOT(ISERROR(REGEXEXTRACT(T282, ""(\d{1,2}) jan\. 2025""))), 
  TEXT(DATE(2025,1,REGEXEXTRACT(T282, ""(\d{1,2}) jan\. 2025"")), ""dd/mm/yyyy""),
 IF(NOT(ISERROR(REGEXEXTRACT("&amp;"T282, ""(\d{1,2}) fev\. 2025""))), 
  TEXT(DATE(2025,2,REGEXEXTRACT(T282, ""(\d{1,2}) fev\. 2025"")), ""dd/mm/yyyy""),
 IF(NOT(ISERROR(REGEXEXTRACT(T282, ""(\d{1,2}) mar\. 2025""))), 
  TEXT(DATE(2025,3,REGEXEXTRACT(T282, ""(\d{1,2}) mar\. 2025"")), ""dd/"&amp;"mm/yyyy""),
 IF(NOT(ISERROR(REGEXEXTRACT(T282, ""(\d{1,2}) abr\. 2025""))), 
  TEXT(DATE(2025,4,REGEXEXTRACT(T282, ""(\d{1,2}) abr\. 2025"")), ""dd/mm/yyyy""),
 IF(NOT(ISERROR(REGEXEXTRACT(T282, ""(\d{1,2}) (mai|maio)\. 2025""))), 
  TEXT(DATE(2025,5,REGE"&amp;"XEXTRACT(T282, ""(\d{1,2}) (mai|maio)\. 2025"")), ""dd/mm/yyyy""),
 IF(NOT(ISERROR(REGEXEXTRACT(T282, ""(\d{1,2}) jun\. 2025""))), 
  TEXT(DATE(2025,6,REGEXEXTRACT(T282, ""(\d{1,2}) jun\. 2025"")), ""dd/mm/yyyy""),
 IF(NOT(ISERROR(REGEXEXTRACT(T282, ""(\d"&amp;"{1,2}) jul\. 2025""))), 
  TEXT(DATE(2025,7,REGEXEXTRACT(T282, ""(\d{1,2}) jul\. 2025"")), ""dd/mm/yyyy""),
 IF(NOT(ISERROR(REGEXEXTRACT(T282, ""(\d{1,2}) ago\. 2025""))), 
  TEXT(DATE(2025,8,REGEXEXTRACT(T282, ""(\d{1,2}) ago\. 2025"")), ""dd/mm/yyyy""),"&amp;"
 IF(NOT(ISERROR(REGEXEXTRACT(T282, ""(\d{1,2}) set\. 2025""))), 
  TEXT(DATE(2025,9,REGEXEXTRACT(T282, ""(\d{1,2}) set\. 2025"")), ""dd/mm/yyyy""),
 IF(NOT(ISERROR(REGEXEXTRACT(T282, ""(\d{1,2}) out\. 2025""))), 
  TEXT(DATE(2025,10,REGEXEXTRACT(T282, """&amp;"(\d{1,2}) out\. 2025"")), ""dd/mm/yyyy""),
 IF(NOT(ISERROR(REGEXEXTRACT(T282, ""(\d{1,2}) nov\. 2025""))), 
  TEXT(DATE(2025,11,REGEXEXTRACT(T282, ""(\d{1,2}) nov\. 2025"")), ""dd/mm/yyyy""),
 IF(NOT(ISERROR(REGEXEXTRACT(T282, ""(\d{1,2}) dez\. 2025""))),"&amp;" 
  TEXT(DATE(2025,12,REGEXEXTRACT(T282, ""(\d{1,2}) dez\. 2025"")), ""dd/mm/yyyy""),
 ""Insira a data manualmente"")))))))))))), """"))"),"31/10/2025")</f>
        <v>31/10/2025</v>
      </c>
      <c r="H282" s="22">
        <f t="shared" si="1"/>
        <v>2025</v>
      </c>
      <c r="I282" s="18" t="str">
        <f>IFERROR(__xludf.DUMMYFUNCTION("IF(REGEXMATCH(T282,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IF(REGEXMATCH(T282, ""(?i)\bBrasília\b""), ""Distrito Federal, Brasil"",
REGEXEXTRACT(T282,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82" s="30" t="s">
        <v>491</v>
      </c>
      <c r="K282" s="24" t="s">
        <v>712</v>
      </c>
      <c r="L282" s="24" t="s">
        <v>26</v>
      </c>
      <c r="M282" s="25" t="s">
        <v>27</v>
      </c>
      <c r="N282" s="18" t="str">
        <f t="shared" si="8"/>
        <v>Poder 360</v>
      </c>
      <c r="O282" s="17" t="s">
        <v>28</v>
      </c>
      <c r="P282" s="17" t="s">
        <v>251</v>
      </c>
      <c r="Q282" s="26">
        <v>45973.0</v>
      </c>
      <c r="R282" s="17" t="s">
        <v>30</v>
      </c>
      <c r="S282" s="27" t="str">
        <f t="shared" si="3"/>
        <v>Aqui</v>
      </c>
      <c r="T282" s="29" t="s">
        <v>713</v>
      </c>
      <c r="U282" s="29"/>
    </row>
    <row r="283">
      <c r="A283" s="16">
        <v>281.0</v>
      </c>
      <c r="B283" s="17" t="s">
        <v>23</v>
      </c>
      <c r="C283" s="18" t="str">
        <f>IFERROR(__xludf.DUMMYFUNCTION("IF(B283="""","""",IF(OR(
  REGEXMATCH(B283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REGEXMATCH(B283,""Notícia|Reportagem|Artigo de opinião|Verbete"")
),""Difusão"","""")))
"),"Difusão")</f>
        <v>Difusão</v>
      </c>
      <c r="D283" s="19" t="str">
        <f>IFERROR(__xludf.DUMMYFUNCTION("IF(B283="""","""",IF(OR(
  REGEXMATCH(B283,""Performance|Instalação|Álbum|Música|Poema|Livro|Filme|Documentário|Recitação|Espetáculo|Peça|Intervenção|Desfile|Fotografia|Exposição|Charge|Grafite|Leitura pública|Fabricação de cachaça artesanal""),
  REGEXMA"&amp;"TCH(B283,""dança|teatral|artístico|musical|artística"")
),""Manifestação artístico-cultural"",
IF(OR(
  REGEXMATCH(B283,""Crônica|Série|Reportagem|Podcast|Audiotour|Entrevista|Vídeo|Rádio|Notícia|Artigo de opinião|Coletiva de imprensa""),
  REGEXMATCH(B28"&amp;"3,""midiática"")
),""Produção midiática"","""")))
"),"Produção midiática")</f>
        <v>Produção midiática</v>
      </c>
      <c r="E283" s="20" t="str">
        <f>IFERROR(__xludf.DUMMYFUNCTION("IF(B283="""","""",IF(OR(
  REGEXMATCH(B283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REGEXMATCH(B283,""público|Imediato|artística|teatral|memória|Ação popular"")
),""Público Imediato"",
IF(REGEXMATCH(B283,""Música|Álbum|Filme|Documentár"&amp;"io|Série|Podcast|Rádio|Audiotour|Entrevista|Reportagem|Crônica|Relatório|Abaixo-assinado|Manifesto|Petição|Poema|Livro|Fotografia|Curta|Live|Webinário|Charge|Leitura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83" s="20" t="str">
        <f>IFERROR(__xludf.DUMMYFUNCTION("IF(B283="""","""",IF(OR(
  REGEXMATCH(B283,""Live|Webinário|Virtual|Verbete""),
  REGEXMATCH(B283,""online"")
),""Virtual"",
IF(REGEXMATCH(B283,""Música|Álbum|Filme|Documentário|Série|Podcast|Rádio|Audiotour|Episódio|Reportagem|Curta|Charge|Vídeo|Entrevis"&amp;"ta|Notícia|Artigo de opinião""),
""Midiático"",
IF(REGEXMATCH(B283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83" s="21" t="str">
        <f>IFERROR(__xludf.DUMMYFUNCTION("IF(C283=""rememoração"", ""Insira a data manualmente"", IF(C283=""difusão"", 
 IF(NOT(ISERROR(REGEXEXTRACT(T283, ""(\d{1,2}) jan\. 2025""))), 
  TEXT(DATE(2025,1,REGEXEXTRACT(T283, ""(\d{1,2}) jan\. 2025"")), ""dd/mm/yyyy""),
 IF(NOT(ISERROR(REGEXEXTRACT("&amp;"T283, ""(\d{1,2}) fev\. 2025""))), 
  TEXT(DATE(2025,2,REGEXEXTRACT(T283, ""(\d{1,2}) fev\. 2025"")), ""dd/mm/yyyy""),
 IF(NOT(ISERROR(REGEXEXTRACT(T283, ""(\d{1,2}) mar\. 2025""))), 
  TEXT(DATE(2025,3,REGEXEXTRACT(T283, ""(\d{1,2}) mar\. 2025"")), ""dd/"&amp;"mm/yyyy""),
 IF(NOT(ISERROR(REGEXEXTRACT(T283, ""(\d{1,2}) abr\. 2025""))), 
  TEXT(DATE(2025,4,REGEXEXTRACT(T283, ""(\d{1,2}) abr\. 2025"")), ""dd/mm/yyyy""),
 IF(NOT(ISERROR(REGEXEXTRACT(T283, ""(\d{1,2}) (mai|maio)\. 2025""))), 
  TEXT(DATE(2025,5,REGE"&amp;"XEXTRACT(T283, ""(\d{1,2}) (mai|maio)\. 2025"")), ""dd/mm/yyyy""),
 IF(NOT(ISERROR(REGEXEXTRACT(T283, ""(\d{1,2}) jun\. 2025""))), 
  TEXT(DATE(2025,6,REGEXEXTRACT(T283, ""(\d{1,2}) jun\. 2025"")), ""dd/mm/yyyy""),
 IF(NOT(ISERROR(REGEXEXTRACT(T283, ""(\d"&amp;"{1,2}) jul\. 2025""))), 
  TEXT(DATE(2025,7,REGEXEXTRACT(T283, ""(\d{1,2}) jul\. 2025"")), ""dd/mm/yyyy""),
 IF(NOT(ISERROR(REGEXEXTRACT(T283, ""(\d{1,2}) ago\. 2025""))), 
  TEXT(DATE(2025,8,REGEXEXTRACT(T283, ""(\d{1,2}) ago\. 2025"")), ""dd/mm/yyyy""),"&amp;"
 IF(NOT(ISERROR(REGEXEXTRACT(T283, ""(\d{1,2}) set\. 2025""))), 
  TEXT(DATE(2025,9,REGEXEXTRACT(T283, ""(\d{1,2}) set\. 2025"")), ""dd/mm/yyyy""),
 IF(NOT(ISERROR(REGEXEXTRACT(T283, ""(\d{1,2}) out\. 2025""))), 
  TEXT(DATE(2025,10,REGEXEXTRACT(T283, """&amp;"(\d{1,2}) out\. 2025"")), ""dd/mm/yyyy""),
 IF(NOT(ISERROR(REGEXEXTRACT(T283, ""(\d{1,2}) nov\. 2025""))), 
  TEXT(DATE(2025,11,REGEXEXTRACT(T283, ""(\d{1,2}) nov\. 2025"")), ""dd/mm/yyyy""),
 IF(NOT(ISERROR(REGEXEXTRACT(T283, ""(\d{1,2}) dez\. 2025""))),"&amp;" 
  TEXT(DATE(2025,12,REGEXEXTRACT(T283, ""(\d{1,2}) dez\. 2025"")), ""dd/mm/yyyy""),
 ""Insira a data manualmente"")))))))))))), """"))"),"29/10/2025")</f>
        <v>29/10/2025</v>
      </c>
      <c r="H283" s="22">
        <f t="shared" si="1"/>
        <v>2025</v>
      </c>
      <c r="I283" s="18" t="str">
        <f>IFERROR(__xludf.DUMMYFUNCTION("IF(REGEXMATCH(T283,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IF(REGEXMATCH(T283, ""(?i)\bBrasília\b""), ""Distrito Federal, Brasil"",
REGEXEXTRACT(T283,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83" s="30" t="s">
        <v>714</v>
      </c>
      <c r="K283" s="24" t="s">
        <v>715</v>
      </c>
      <c r="L283" s="24" t="s">
        <v>26</v>
      </c>
      <c r="M283" s="25" t="s">
        <v>27</v>
      </c>
      <c r="N283" s="18" t="str">
        <f t="shared" si="8"/>
        <v>Rede de Observatórios da Segurança</v>
      </c>
      <c r="O283" s="17" t="s">
        <v>28</v>
      </c>
      <c r="P283" s="17" t="s">
        <v>251</v>
      </c>
      <c r="Q283" s="26">
        <v>45973.0</v>
      </c>
      <c r="R283" s="17" t="s">
        <v>30</v>
      </c>
      <c r="S283" s="27" t="str">
        <f t="shared" si="3"/>
        <v>Aqui</v>
      </c>
      <c r="T283" s="29" t="s">
        <v>716</v>
      </c>
      <c r="U283" s="29"/>
    </row>
    <row r="284">
      <c r="A284" s="16">
        <v>282.0</v>
      </c>
      <c r="B284" s="17" t="s">
        <v>23</v>
      </c>
      <c r="C284" s="18" t="str">
        <f>IFERROR(__xludf.DUMMYFUNCTION("IF(B284="""","""",IF(OR(
  REGEXMATCH(B284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REGEXMATCH(B284,""Notícia|Reportagem|Artigo de opinião|Verbete"")
),""Difusão"","""")))
"),"Difusão")</f>
        <v>Difusão</v>
      </c>
      <c r="D284" s="19" t="str">
        <f>IFERROR(__xludf.DUMMYFUNCTION("IF(B284="""","""",IF(OR(
  REGEXMATCH(B284,""Performance|Instalação|Álbum|Música|Poema|Livro|Filme|Documentário|Recitação|Espetáculo|Peça|Intervenção|Desfile|Fotografia|Exposição|Charge|Grafite|Leitura pública|Fabricação de cachaça artesanal""),
  REGEXMA"&amp;"TCH(B284,""dança|teatral|artístico|musical|artística"")
),""Manifestação artístico-cultural"",
IF(OR(
  REGEXMATCH(B284,""Crônica|Série|Reportagem|Podcast|Audiotour|Entrevista|Vídeo|Rádio|Notícia|Artigo de opinião|Coletiva de imprensa""),
  REGEXMATCH(B28"&amp;"4,""midiática"")
),""Produção midiática"","""")))
"),"Produção midiática")</f>
        <v>Produção midiática</v>
      </c>
      <c r="E284" s="20" t="str">
        <f>IFERROR(__xludf.DUMMYFUNCTION("IF(B284="""","""",IF(OR(
  REGEXMATCH(B284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REGEXMATCH(B284,""público|Imediato|artística|teatral|memória|Ação popular"")
),""Público Imediato"",
IF(REGEXMATCH(B284,""Música|Álbum|Filme|Documentár"&amp;"io|Série|Podcast|Rádio|Audiotour|Entrevista|Reportagem|Crônica|Relatório|Abaixo-assinado|Manifesto|Petição|Poema|Livro|Fotografia|Curta|Live|Webinário|Charge|Leitura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84" s="20" t="str">
        <f>IFERROR(__xludf.DUMMYFUNCTION("IF(B284="""","""",IF(OR(
  REGEXMATCH(B284,""Live|Webinário|Virtual|Verbete""),
  REGEXMATCH(B284,""online"")
),""Virtual"",
IF(REGEXMATCH(B284,""Música|Álbum|Filme|Documentário|Série|Podcast|Rádio|Audiotour|Episódio|Reportagem|Curta|Charge|Vídeo|Entrevis"&amp;"ta|Notícia|Artigo de opinião""),
""Midiático"",
IF(REGEXMATCH(B284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84" s="21" t="str">
        <f>IFERROR(__xludf.DUMMYFUNCTION("IF(C284=""rememoração"", ""Insira a data manualmente"", IF(C284=""difusão"", 
 IF(NOT(ISERROR(REGEXEXTRACT(T284, ""(\d{1,2}) jan\. 2025""))), 
  TEXT(DATE(2025,1,REGEXEXTRACT(T284, ""(\d{1,2}) jan\. 2025"")), ""dd/mm/yyyy""),
 IF(NOT(ISERROR(REGEXEXTRACT("&amp;"T284, ""(\d{1,2}) fev\. 2025""))), 
  TEXT(DATE(2025,2,REGEXEXTRACT(T284, ""(\d{1,2}) fev\. 2025"")), ""dd/mm/yyyy""),
 IF(NOT(ISERROR(REGEXEXTRACT(T284, ""(\d{1,2}) mar\. 2025""))), 
  TEXT(DATE(2025,3,REGEXEXTRACT(T284, ""(\d{1,2}) mar\. 2025"")), ""dd/"&amp;"mm/yyyy""),
 IF(NOT(ISERROR(REGEXEXTRACT(T284, ""(\d{1,2}) abr\. 2025""))), 
  TEXT(DATE(2025,4,REGEXEXTRACT(T284, ""(\d{1,2}) abr\. 2025"")), ""dd/mm/yyyy""),
 IF(NOT(ISERROR(REGEXEXTRACT(T284, ""(\d{1,2}) (mai|maio)\. 2025""))), 
  TEXT(DATE(2025,5,REGE"&amp;"XEXTRACT(T284, ""(\d{1,2}) (mai|maio)\. 2025"")), ""dd/mm/yyyy""),
 IF(NOT(ISERROR(REGEXEXTRACT(T284, ""(\d{1,2}) jun\. 2025""))), 
  TEXT(DATE(2025,6,REGEXEXTRACT(T284, ""(\d{1,2}) jun\. 2025"")), ""dd/mm/yyyy""),
 IF(NOT(ISERROR(REGEXEXTRACT(T284, ""(\d"&amp;"{1,2}) jul\. 2025""))), 
  TEXT(DATE(2025,7,REGEXEXTRACT(T284, ""(\d{1,2}) jul\. 2025"")), ""dd/mm/yyyy""),
 IF(NOT(ISERROR(REGEXEXTRACT(T284, ""(\d{1,2}) ago\. 2025""))), 
  TEXT(DATE(2025,8,REGEXEXTRACT(T284, ""(\d{1,2}) ago\. 2025"")), ""dd/mm/yyyy""),"&amp;"
 IF(NOT(ISERROR(REGEXEXTRACT(T284, ""(\d{1,2}) set\. 2025""))), 
  TEXT(DATE(2025,9,REGEXEXTRACT(T284, ""(\d{1,2}) set\. 2025"")), ""dd/mm/yyyy""),
 IF(NOT(ISERROR(REGEXEXTRACT(T284, ""(\d{1,2}) out\. 2025""))), 
  TEXT(DATE(2025,10,REGEXEXTRACT(T284, """&amp;"(\d{1,2}) out\. 2025"")), ""dd/mm/yyyy""),
 IF(NOT(ISERROR(REGEXEXTRACT(T284, ""(\d{1,2}) nov\. 2025""))), 
  TEXT(DATE(2025,11,REGEXEXTRACT(T284, ""(\d{1,2}) nov\. 2025"")), ""dd/mm/yyyy""),
 IF(NOT(ISERROR(REGEXEXTRACT(T284, ""(\d{1,2}) dez\. 2025""))),"&amp;" 
  TEXT(DATE(2025,12,REGEXEXTRACT(T284, ""(\d{1,2}) dez\. 2025"")), ""dd/mm/yyyy""),
 ""Insira a data manualmente"")))))))))))), """"))"),"06/11/2025")</f>
        <v>06/11/2025</v>
      </c>
      <c r="H284" s="22">
        <f t="shared" si="1"/>
        <v>2025</v>
      </c>
      <c r="I284" s="18" t="str">
        <f>IFERROR(__xludf.DUMMYFUNCTION("IF(REGEXMATCH(T284,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IF(REGEXMATCH(T284, ""(?i)\bBrasília\b""), ""Distrito Federal, Brasil"",
REGEXEXTRACT(T284,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84" s="30" t="s">
        <v>35</v>
      </c>
      <c r="K284" s="24" t="s">
        <v>717</v>
      </c>
      <c r="L284" s="24" t="s">
        <v>26</v>
      </c>
      <c r="M284" s="25" t="s">
        <v>27</v>
      </c>
      <c r="N284" s="18" t="str">
        <f t="shared" si="8"/>
        <v>Carta Capital</v>
      </c>
      <c r="O284" s="17" t="s">
        <v>28</v>
      </c>
      <c r="P284" s="17" t="s">
        <v>251</v>
      </c>
      <c r="Q284" s="26">
        <v>45973.0</v>
      </c>
      <c r="R284" s="17" t="s">
        <v>37</v>
      </c>
      <c r="S284" s="27" t="str">
        <f t="shared" si="3"/>
        <v>Aqui</v>
      </c>
      <c r="T284" s="29" t="s">
        <v>718</v>
      </c>
      <c r="U284" s="29"/>
    </row>
    <row r="285">
      <c r="A285" s="16">
        <v>283.0</v>
      </c>
      <c r="B285" s="17" t="s">
        <v>23</v>
      </c>
      <c r="C285" s="18" t="str">
        <f>IFERROR(__xludf.DUMMYFUNCTION("IF(B285="""","""",IF(OR(
  REGEXMATCH(B285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REGEXMATCH(B285,""Notícia|Reportagem|Artigo de opinião|Verbete"")
),""Difusão"","""")))
"),"Difusão")</f>
        <v>Difusão</v>
      </c>
      <c r="D285" s="19" t="str">
        <f>IFERROR(__xludf.DUMMYFUNCTION("IF(B285="""","""",IF(OR(
  REGEXMATCH(B285,""Performance|Instalação|Álbum|Música|Poema|Livro|Filme|Documentário|Recitação|Espetáculo|Peça|Intervenção|Desfile|Fotografia|Exposição|Charge|Grafite|Leitura pública|Fabricação de cachaça artesanal""),
  REGEXMA"&amp;"TCH(B285,""dança|teatral|artístico|musical|artística"")
),""Manifestação artístico-cultural"",
IF(OR(
  REGEXMATCH(B285,""Crônica|Série|Reportagem|Podcast|Audiotour|Entrevista|Vídeo|Rádio|Notícia|Artigo de opinião|Coletiva de imprensa""),
  REGEXMATCH(B28"&amp;"5,""midiática"")
),""Produção midiática"","""")))
"),"Produção midiática")</f>
        <v>Produção midiática</v>
      </c>
      <c r="E285" s="20" t="str">
        <f>IFERROR(__xludf.DUMMYFUNCTION("IF(B285="""","""",IF(OR(
  REGEXMATCH(B285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REGEXMATCH(B285,""público|Imediato|artística|teatral|memória|Ação popular"")
),""Público Imediato"",
IF(REGEXMATCH(B285,""Música|Álbum|Filme|Documentár"&amp;"io|Série|Podcast|Rádio|Audiotour|Entrevista|Reportagem|Crônica|Relatório|Abaixo-assinado|Manifesto|Petição|Poema|Livro|Fotografia|Curta|Live|Webinário|Charge|Leitura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85" s="20" t="str">
        <f>IFERROR(__xludf.DUMMYFUNCTION("IF(B285="""","""",IF(OR(
  REGEXMATCH(B285,""Live|Webinário|Virtual|Verbete""),
  REGEXMATCH(B285,""online"")
),""Virtual"",
IF(REGEXMATCH(B285,""Música|Álbum|Filme|Documentário|Série|Podcast|Rádio|Audiotour|Episódio|Reportagem|Curta|Charge|Vídeo|Entrevis"&amp;"ta|Notícia|Artigo de opinião""),
""Midiático"",
IF(REGEXMATCH(B285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85" s="21" t="str">
        <f>IFERROR(__xludf.DUMMYFUNCTION("IF(C285=""rememoração"", ""Insira a data manualmente"", IF(C285=""difusão"", 
 IF(NOT(ISERROR(REGEXEXTRACT(T285, ""(\d{1,2}) jan\. 2025""))), 
  TEXT(DATE(2025,1,REGEXEXTRACT(T285, ""(\d{1,2}) jan\. 2025"")), ""dd/mm/yyyy""),
 IF(NOT(ISERROR(REGEXEXTRACT("&amp;"T285, ""(\d{1,2}) fev\. 2025""))), 
  TEXT(DATE(2025,2,REGEXEXTRACT(T285, ""(\d{1,2}) fev\. 2025"")), ""dd/mm/yyyy""),
 IF(NOT(ISERROR(REGEXEXTRACT(T285, ""(\d{1,2}) mar\. 2025""))), 
  TEXT(DATE(2025,3,REGEXEXTRACT(T285, ""(\d{1,2}) mar\. 2025"")), ""dd/"&amp;"mm/yyyy""),
 IF(NOT(ISERROR(REGEXEXTRACT(T285, ""(\d{1,2}) abr\. 2025""))), 
  TEXT(DATE(2025,4,REGEXEXTRACT(T285, ""(\d{1,2}) abr\. 2025"")), ""dd/mm/yyyy""),
 IF(NOT(ISERROR(REGEXEXTRACT(T285, ""(\d{1,2}) (mai|maio)\. 2025""))), 
  TEXT(DATE(2025,5,REGE"&amp;"XEXTRACT(T285, ""(\d{1,2}) (mai|maio)\. 2025"")), ""dd/mm/yyyy""),
 IF(NOT(ISERROR(REGEXEXTRACT(T285, ""(\d{1,2}) jun\. 2025""))), 
  TEXT(DATE(2025,6,REGEXEXTRACT(T285, ""(\d{1,2}) jun\. 2025"")), ""dd/mm/yyyy""),
 IF(NOT(ISERROR(REGEXEXTRACT(T285, ""(\d"&amp;"{1,2}) jul\. 2025""))), 
  TEXT(DATE(2025,7,REGEXEXTRACT(T285, ""(\d{1,2}) jul\. 2025"")), ""dd/mm/yyyy""),
 IF(NOT(ISERROR(REGEXEXTRACT(T285, ""(\d{1,2}) ago\. 2025""))), 
  TEXT(DATE(2025,8,REGEXEXTRACT(T285, ""(\d{1,2}) ago\. 2025"")), ""dd/mm/yyyy""),"&amp;"
 IF(NOT(ISERROR(REGEXEXTRACT(T285, ""(\d{1,2}) set\. 2025""))), 
  TEXT(DATE(2025,9,REGEXEXTRACT(T285, ""(\d{1,2}) set\. 2025"")), ""dd/mm/yyyy""),
 IF(NOT(ISERROR(REGEXEXTRACT(T285, ""(\d{1,2}) out\. 2025""))), 
  TEXT(DATE(2025,10,REGEXEXTRACT(T285, """&amp;"(\d{1,2}) out\. 2025"")), ""dd/mm/yyyy""),
 IF(NOT(ISERROR(REGEXEXTRACT(T285, ""(\d{1,2}) nov\. 2025""))), 
  TEXT(DATE(2025,11,REGEXEXTRACT(T285, ""(\d{1,2}) nov\. 2025"")), ""dd/mm/yyyy""),
 IF(NOT(ISERROR(REGEXEXTRACT(T285, ""(\d{1,2}) dez\. 2025""))),"&amp;" 
  TEXT(DATE(2025,12,REGEXEXTRACT(T285, ""(\d{1,2}) dez\. 2025"")), ""dd/mm/yyyy""),
 ""Insira a data manualmente"")))))))))))), """"))"),"09/11/2025")</f>
        <v>09/11/2025</v>
      </c>
      <c r="H285" s="22">
        <f t="shared" si="1"/>
        <v>2025</v>
      </c>
      <c r="I285" s="18" t="str">
        <f>IFERROR(__xludf.DUMMYFUNCTION("IF(REGEXMATCH(T285,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IF(REGEXMATCH(T285, ""(?i)\bBrasília\b""), ""Distrito Federal, Brasil"",
REGEXEXTRACT(T285,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285" s="30" t="s">
        <v>599</v>
      </c>
      <c r="K285" s="24" t="s">
        <v>719</v>
      </c>
      <c r="L285" s="24" t="s">
        <v>26</v>
      </c>
      <c r="M285" s="25" t="s">
        <v>27</v>
      </c>
      <c r="N285" s="18" t="str">
        <f t="shared" si="8"/>
        <v>BBC News Brasil</v>
      </c>
      <c r="O285" s="17" t="s">
        <v>28</v>
      </c>
      <c r="P285" s="17" t="s">
        <v>251</v>
      </c>
      <c r="Q285" s="26">
        <v>45973.0</v>
      </c>
      <c r="R285" s="17" t="s">
        <v>30</v>
      </c>
      <c r="S285" s="27" t="str">
        <f t="shared" si="3"/>
        <v>Aqui</v>
      </c>
      <c r="T285" s="29" t="s">
        <v>720</v>
      </c>
      <c r="U285" s="29"/>
    </row>
    <row r="286">
      <c r="A286" s="16">
        <v>284.0</v>
      </c>
      <c r="B286" s="17" t="s">
        <v>23</v>
      </c>
      <c r="C286" s="18" t="str">
        <f>IFERROR(__xludf.DUMMYFUNCTION("IF(B286="""","""",IF(OR(
  REGEXMATCH(B286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REGEXMATCH(B286,""Notícia|Reportagem|Artigo de opinião|Verbete"")
),""Difusão"","""")))
"),"Difusão")</f>
        <v>Difusão</v>
      </c>
      <c r="D286" s="19" t="str">
        <f>IFERROR(__xludf.DUMMYFUNCTION("IF(B286="""","""",IF(OR(
  REGEXMATCH(B286,""Performance|Instalação|Álbum|Música|Poema|Livro|Filme|Documentário|Recitação|Espetáculo|Peça|Intervenção|Desfile|Fotografia|Exposição|Charge|Grafite|Leitura pública|Fabricação de cachaça artesanal""),
  REGEXMA"&amp;"TCH(B286,""dança|teatral|artístico|musical|artística"")
),""Manifestação artístico-cultural"",
IF(OR(
  REGEXMATCH(B286,""Crônica|Série|Reportagem|Podcast|Audiotour|Entrevista|Vídeo|Rádio|Notícia|Artigo de opinião|Coletiva de imprensa""),
  REGEXMATCH(B28"&amp;"6,""midiática"")
),""Produção midiática"","""")))
"),"Produção midiática")</f>
        <v>Produção midiática</v>
      </c>
      <c r="E286" s="20" t="str">
        <f>IFERROR(__xludf.DUMMYFUNCTION("IF(B286="""","""",IF(OR(
  REGEXMATCH(B286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REGEXMATCH(B286,""público|Imediato|artística|teatral|memória|Ação popular"")
),""Público Imediato"",
IF(REGEXMATCH(B286,""Música|Álbum|Filme|Documentár"&amp;"io|Série|Podcast|Rádio|Audiotour|Entrevista|Reportagem|Crônica|Relatório|Abaixo-assinado|Manifesto|Petição|Poema|Livro|Fotografia|Curta|Live|Webinário|Charge|Leitura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86" s="20" t="str">
        <f>IFERROR(__xludf.DUMMYFUNCTION("IF(B286="""","""",IF(OR(
  REGEXMATCH(B286,""Live|Webinário|Virtual|Verbete""),
  REGEXMATCH(B286,""online"")
),""Virtual"",
IF(REGEXMATCH(B286,""Música|Álbum|Filme|Documentário|Série|Podcast|Rádio|Audiotour|Episódio|Reportagem|Curta|Charge|Vídeo|Entrevis"&amp;"ta|Notícia|Artigo de opinião""),
""Midiático"",
IF(REGEXMATCH(B286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86" s="21" t="str">
        <f>IFERROR(__xludf.DUMMYFUNCTION("IF(C286=""rememoração"", ""Insira a data manualmente"", IF(C286=""difusão"", 
 IF(NOT(ISERROR(REGEXEXTRACT(T286, ""(\d{1,2}) jan\. 2025""))), 
  TEXT(DATE(2025,1,REGEXEXTRACT(T286, ""(\d{1,2}) jan\. 2025"")), ""dd/mm/yyyy""),
 IF(NOT(ISERROR(REGEXEXTRACT("&amp;"T286, ""(\d{1,2}) fev\. 2025""))), 
  TEXT(DATE(2025,2,REGEXEXTRACT(T286, ""(\d{1,2}) fev\. 2025"")), ""dd/mm/yyyy""),
 IF(NOT(ISERROR(REGEXEXTRACT(T286, ""(\d{1,2}) mar\. 2025""))), 
  TEXT(DATE(2025,3,REGEXEXTRACT(T286, ""(\d{1,2}) mar\. 2025"")), ""dd/"&amp;"mm/yyyy""),
 IF(NOT(ISERROR(REGEXEXTRACT(T286, ""(\d{1,2}) abr\. 2025""))), 
  TEXT(DATE(2025,4,REGEXEXTRACT(T286, ""(\d{1,2}) abr\. 2025"")), ""dd/mm/yyyy""),
 IF(NOT(ISERROR(REGEXEXTRACT(T286, ""(\d{1,2}) (mai|maio)\. 2025""))), 
  TEXT(DATE(2025,5,REGE"&amp;"XEXTRACT(T286, ""(\d{1,2}) (mai|maio)\. 2025"")), ""dd/mm/yyyy""),
 IF(NOT(ISERROR(REGEXEXTRACT(T286, ""(\d{1,2}) jun\. 2025""))), 
  TEXT(DATE(2025,6,REGEXEXTRACT(T286, ""(\d{1,2}) jun\. 2025"")), ""dd/mm/yyyy""),
 IF(NOT(ISERROR(REGEXEXTRACT(T286, ""(\d"&amp;"{1,2}) jul\. 2025""))), 
  TEXT(DATE(2025,7,REGEXEXTRACT(T286, ""(\d{1,2}) jul\. 2025"")), ""dd/mm/yyyy""),
 IF(NOT(ISERROR(REGEXEXTRACT(T286, ""(\d{1,2}) ago\. 2025""))), 
  TEXT(DATE(2025,8,REGEXEXTRACT(T286, ""(\d{1,2}) ago\. 2025"")), ""dd/mm/yyyy""),"&amp;"
 IF(NOT(ISERROR(REGEXEXTRACT(T286, ""(\d{1,2}) set\. 2025""))), 
  TEXT(DATE(2025,9,REGEXEXTRACT(T286, ""(\d{1,2}) set\. 2025"")), ""dd/mm/yyyy""),
 IF(NOT(ISERROR(REGEXEXTRACT(T286, ""(\d{1,2}) out\. 2025""))), 
  TEXT(DATE(2025,10,REGEXEXTRACT(T286, """&amp;"(\d{1,2}) out\. 2025"")), ""dd/mm/yyyy""),
 IF(NOT(ISERROR(REGEXEXTRACT(T286, ""(\d{1,2}) nov\. 2025""))), 
  TEXT(DATE(2025,11,REGEXEXTRACT(T286, ""(\d{1,2}) nov\. 2025"")), ""dd/mm/yyyy""),
 IF(NOT(ISERROR(REGEXEXTRACT(T286, ""(\d{1,2}) dez\. 2025""))),"&amp;" 
  TEXT(DATE(2025,12,REGEXEXTRACT(T286, ""(\d{1,2}) dez\. 2025"")), ""dd/mm/yyyy""),
 ""Insira a data manualmente"")))))))))))), """"))"),"29/10/2025")</f>
        <v>29/10/2025</v>
      </c>
      <c r="H286" s="22">
        <f t="shared" si="1"/>
        <v>2025</v>
      </c>
      <c r="I286" s="18" t="str">
        <f>IFERROR(__xludf.DUMMYFUNCTION("IF(REGEXMATCH(T286,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IF(REGEXMATCH(T286, ""(?i)\bBrasília\b""), ""Distrito Federal, Brasil"",
REGEXEXTRACT(T286,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86" s="30" t="s">
        <v>721</v>
      </c>
      <c r="K286" s="24" t="s">
        <v>722</v>
      </c>
      <c r="L286" s="24" t="s">
        <v>26</v>
      </c>
      <c r="M286" s="25" t="s">
        <v>27</v>
      </c>
      <c r="N286" s="18" t="str">
        <f t="shared" si="8"/>
        <v>Rádio Senado</v>
      </c>
      <c r="O286" s="17" t="s">
        <v>28</v>
      </c>
      <c r="P286" s="17" t="s">
        <v>251</v>
      </c>
      <c r="Q286" s="26">
        <v>45973.0</v>
      </c>
      <c r="R286" s="17" t="s">
        <v>30</v>
      </c>
      <c r="S286" s="27" t="str">
        <f t="shared" si="3"/>
        <v>Aqui</v>
      </c>
      <c r="T286" s="29" t="s">
        <v>723</v>
      </c>
      <c r="U286" s="29"/>
    </row>
    <row r="287">
      <c r="A287" s="16">
        <v>285.0</v>
      </c>
      <c r="B287" s="17" t="s">
        <v>23</v>
      </c>
      <c r="C287" s="18" t="str">
        <f>IFERROR(__xludf.DUMMYFUNCTION("IF(B287="""","""",IF(OR(
  REGEXMATCH(B287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REGEXMATCH(B287,""Notícia|Reportagem|Artigo de opinião|Verbete"")
),""Difusão"","""")))
"),"Difusão")</f>
        <v>Difusão</v>
      </c>
      <c r="D287" s="19" t="str">
        <f>IFERROR(__xludf.DUMMYFUNCTION("IF(B287="""","""",IF(OR(
  REGEXMATCH(B287,""Performance|Instalação|Álbum|Música|Poema|Livro|Filme|Documentário|Recitação|Espetáculo|Peça|Intervenção|Desfile|Fotografia|Exposição|Charge|Grafite|Leitura pública|Fabricação de cachaça artesanal""),
  REGEXMA"&amp;"TCH(B287,""dança|teatral|artístico|musical|artística"")
),""Manifestação artístico-cultural"",
IF(OR(
  REGEXMATCH(B287,""Crônica|Série|Reportagem|Podcast|Audiotour|Entrevista|Vídeo|Rádio|Notícia|Artigo de opinião|Coletiva de imprensa""),
  REGEXMATCH(B28"&amp;"7,""midiática"")
),""Produção midiática"","""")))
"),"Produção midiática")</f>
        <v>Produção midiática</v>
      </c>
      <c r="E287" s="20" t="str">
        <f>IFERROR(__xludf.DUMMYFUNCTION("IF(B287="""","""",IF(OR(
  REGEXMATCH(B287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REGEXMATCH(B287,""público|Imediato|artística|teatral|memória|Ação popular"")
),""Público Imediato"",
IF(REGEXMATCH(B287,""Música|Álbum|Filme|Documentár"&amp;"io|Série|Podcast|Rádio|Audiotour|Entrevista|Reportagem|Crônica|Relatório|Abaixo-assinado|Manifesto|Petição|Poema|Livro|Fotografia|Curta|Live|Webinário|Charge|Leitura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87" s="20" t="str">
        <f>IFERROR(__xludf.DUMMYFUNCTION("IF(B287="""","""",IF(OR(
  REGEXMATCH(B287,""Live|Webinário|Virtual|Verbete""),
  REGEXMATCH(B287,""online"")
),""Virtual"",
IF(REGEXMATCH(B287,""Música|Álbum|Filme|Documentário|Série|Podcast|Rádio|Audiotour|Episódio|Reportagem|Curta|Charge|Vídeo|Entrevis"&amp;"ta|Notícia|Artigo de opinião""),
""Midiático"",
IF(REGEXMATCH(B287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87" s="21" t="str">
        <f>IFERROR(__xludf.DUMMYFUNCTION("IF(C287=""rememoração"", ""Insira a data manualmente"", IF(C287=""difusão"", 
 IF(NOT(ISERROR(REGEXEXTRACT(T287, ""(\d{1,2}) jan\. 2025""))), 
  TEXT(DATE(2025,1,REGEXEXTRACT(T287, ""(\d{1,2}) jan\. 2025"")), ""dd/mm/yyyy""),
 IF(NOT(ISERROR(REGEXEXTRACT("&amp;"T287, ""(\d{1,2}) fev\. 2025""))), 
  TEXT(DATE(2025,2,REGEXEXTRACT(T287, ""(\d{1,2}) fev\. 2025"")), ""dd/mm/yyyy""),
 IF(NOT(ISERROR(REGEXEXTRACT(T287, ""(\d{1,2}) mar\. 2025""))), 
  TEXT(DATE(2025,3,REGEXEXTRACT(T287, ""(\d{1,2}) mar\. 2025"")), ""dd/"&amp;"mm/yyyy""),
 IF(NOT(ISERROR(REGEXEXTRACT(T287, ""(\d{1,2}) abr\. 2025""))), 
  TEXT(DATE(2025,4,REGEXEXTRACT(T287, ""(\d{1,2}) abr\. 2025"")), ""dd/mm/yyyy""),
 IF(NOT(ISERROR(REGEXEXTRACT(T287, ""(\d{1,2}) (mai|maio)\. 2025""))), 
  TEXT(DATE(2025,5,REGE"&amp;"XEXTRACT(T287, ""(\d{1,2}) (mai|maio)\. 2025"")), ""dd/mm/yyyy""),
 IF(NOT(ISERROR(REGEXEXTRACT(T287, ""(\d{1,2}) jun\. 2025""))), 
  TEXT(DATE(2025,6,REGEXEXTRACT(T287, ""(\d{1,2}) jun\. 2025"")), ""dd/mm/yyyy""),
 IF(NOT(ISERROR(REGEXEXTRACT(T287, ""(\d"&amp;"{1,2}) jul\. 2025""))), 
  TEXT(DATE(2025,7,REGEXEXTRACT(T287, ""(\d{1,2}) jul\. 2025"")), ""dd/mm/yyyy""),
 IF(NOT(ISERROR(REGEXEXTRACT(T287, ""(\d{1,2}) ago\. 2025""))), 
  TEXT(DATE(2025,8,REGEXEXTRACT(T287, ""(\d{1,2}) ago\. 2025"")), ""dd/mm/yyyy""),"&amp;"
 IF(NOT(ISERROR(REGEXEXTRACT(T287, ""(\d{1,2}) set\. 2025""))), 
  TEXT(DATE(2025,9,REGEXEXTRACT(T287, ""(\d{1,2}) set\. 2025"")), ""dd/mm/yyyy""),
 IF(NOT(ISERROR(REGEXEXTRACT(T287, ""(\d{1,2}) out\. 2025""))), 
  TEXT(DATE(2025,10,REGEXEXTRACT(T287, """&amp;"(\d{1,2}) out\. 2025"")), ""dd/mm/yyyy""),
 IF(NOT(ISERROR(REGEXEXTRACT(T287, ""(\d{1,2}) nov\. 2025""))), 
  TEXT(DATE(2025,11,REGEXEXTRACT(T287, ""(\d{1,2}) nov\. 2025"")), ""dd/mm/yyyy""),
 IF(NOT(ISERROR(REGEXEXTRACT(T287, ""(\d{1,2}) dez\. 2025""))),"&amp;" 
  TEXT(DATE(2025,12,REGEXEXTRACT(T287, ""(\d{1,2}) dez\. 2025"")), ""dd/mm/yyyy""),
 ""Insira a data manualmente"")))))))))))), """"))"),"10/11/2025")</f>
        <v>10/11/2025</v>
      </c>
      <c r="H287" s="22">
        <f t="shared" si="1"/>
        <v>2025</v>
      </c>
      <c r="I287" s="18" t="str">
        <f>IFERROR(__xludf.DUMMYFUNCTION("IF(REGEXMATCH(T287,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IF(REGEXMATCH(T287, ""(?i)\bBrasília\b""), ""Distrito Federal, Brasil"",
REGEXEXTRACT(T287,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87" s="30" t="s">
        <v>32</v>
      </c>
      <c r="K287" s="24" t="s">
        <v>724</v>
      </c>
      <c r="L287" s="24" t="s">
        <v>26</v>
      </c>
      <c r="M287" s="25" t="s">
        <v>27</v>
      </c>
      <c r="N287" s="18" t="str">
        <f t="shared" si="8"/>
        <v>Agência Brasil</v>
      </c>
      <c r="O287" s="17" t="s">
        <v>28</v>
      </c>
      <c r="P287" s="17" t="s">
        <v>251</v>
      </c>
      <c r="Q287" s="26">
        <v>45973.0</v>
      </c>
      <c r="R287" s="17" t="s">
        <v>30</v>
      </c>
      <c r="S287" s="27" t="str">
        <f t="shared" si="3"/>
        <v>Aqui</v>
      </c>
      <c r="T287" s="29" t="s">
        <v>725</v>
      </c>
      <c r="U287" s="29"/>
    </row>
    <row r="288">
      <c r="A288" s="16">
        <v>286.0</v>
      </c>
      <c r="B288" s="17" t="s">
        <v>23</v>
      </c>
      <c r="C288" s="18" t="str">
        <f>IFERROR(__xludf.DUMMYFUNCTION("IF(B288="""","""",IF(OR(
  REGEXMATCH(B288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REGEXMATCH(B288,""Notícia|Reportagem|Artigo de opinião|Verbete"")
),""Difusão"","""")))
"),"Difusão")</f>
        <v>Difusão</v>
      </c>
      <c r="D288" s="19" t="str">
        <f>IFERROR(__xludf.DUMMYFUNCTION("IF(B288="""","""",IF(OR(
  REGEXMATCH(B288,""Performance|Instalação|Álbum|Música|Poema|Livro|Filme|Documentário|Recitação|Espetáculo|Peça|Intervenção|Desfile|Fotografia|Exposição|Charge|Grafite|Leitura pública|Fabricação de cachaça artesanal""),
  REGEXMA"&amp;"TCH(B288,""dança|teatral|artístico|musical|artística"")
),""Manifestação artístico-cultural"",
IF(OR(
  REGEXMATCH(B288,""Crônica|Série|Reportagem|Podcast|Audiotour|Entrevista|Vídeo|Rádio|Notícia|Artigo de opinião|Coletiva de imprensa""),
  REGEXMATCH(B28"&amp;"8,""midiática"")
),""Produção midiática"","""")))
"),"Produção midiática")</f>
        <v>Produção midiática</v>
      </c>
      <c r="E288" s="20" t="str">
        <f>IFERROR(__xludf.DUMMYFUNCTION("IF(B288="""","""",IF(OR(
  REGEXMATCH(B288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REGEXMATCH(B288,""público|Imediato|artística|teatral|memória|Ação popular"")
),""Público Imediato"",
IF(REGEXMATCH(B288,""Música|Álbum|Filme|Documentár"&amp;"io|Série|Podcast|Rádio|Audiotour|Entrevista|Reportagem|Crônica|Relatório|Abaixo-assinado|Manifesto|Petição|Poema|Livro|Fotografia|Curta|Live|Webinário|Charge|Leitura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88" s="20" t="str">
        <f>IFERROR(__xludf.DUMMYFUNCTION("IF(B288="""","""",IF(OR(
  REGEXMATCH(B288,""Live|Webinário|Virtual|Verbete""),
  REGEXMATCH(B288,""online"")
),""Virtual"",
IF(REGEXMATCH(B288,""Música|Álbum|Filme|Documentário|Série|Podcast|Rádio|Audiotour|Episódio|Reportagem|Curta|Charge|Vídeo|Entrevis"&amp;"ta|Notícia|Artigo de opinião""),
""Midiático"",
IF(REGEXMATCH(B288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88" s="21" t="str">
        <f>IFERROR(__xludf.DUMMYFUNCTION("IF(C288=""rememoração"", ""Insira a data manualmente"", IF(C288=""difusão"", 
 IF(NOT(ISERROR(REGEXEXTRACT(T288, ""(\d{1,2}) jan\. 2025""))), 
  TEXT(DATE(2025,1,REGEXEXTRACT(T288, ""(\d{1,2}) jan\. 2025"")), ""dd/mm/yyyy""),
 IF(NOT(ISERROR(REGEXEXTRACT("&amp;"T288, ""(\d{1,2}) fev\. 2025""))), 
  TEXT(DATE(2025,2,REGEXEXTRACT(T288, ""(\d{1,2}) fev\. 2025"")), ""dd/mm/yyyy""),
 IF(NOT(ISERROR(REGEXEXTRACT(T288, ""(\d{1,2}) mar\. 2025""))), 
  TEXT(DATE(2025,3,REGEXEXTRACT(T288, ""(\d{1,2}) mar\. 2025"")), ""dd/"&amp;"mm/yyyy""),
 IF(NOT(ISERROR(REGEXEXTRACT(T288, ""(\d{1,2}) abr\. 2025""))), 
  TEXT(DATE(2025,4,REGEXEXTRACT(T288, ""(\d{1,2}) abr\. 2025"")), ""dd/mm/yyyy""),
 IF(NOT(ISERROR(REGEXEXTRACT(T288, ""(\d{1,2}) (mai|maio)\. 2025""))), 
  TEXT(DATE(2025,5,REGE"&amp;"XEXTRACT(T288, ""(\d{1,2}) (mai|maio)\. 2025"")), ""dd/mm/yyyy""),
 IF(NOT(ISERROR(REGEXEXTRACT(T288, ""(\d{1,2}) jun\. 2025""))), 
  TEXT(DATE(2025,6,REGEXEXTRACT(T288, ""(\d{1,2}) jun\. 2025"")), ""dd/mm/yyyy""),
 IF(NOT(ISERROR(REGEXEXTRACT(T288, ""(\d"&amp;"{1,2}) jul\. 2025""))), 
  TEXT(DATE(2025,7,REGEXEXTRACT(T288, ""(\d{1,2}) jul\. 2025"")), ""dd/mm/yyyy""),
 IF(NOT(ISERROR(REGEXEXTRACT(T288, ""(\d{1,2}) ago\. 2025""))), 
  TEXT(DATE(2025,8,REGEXEXTRACT(T288, ""(\d{1,2}) ago\. 2025"")), ""dd/mm/yyyy""),"&amp;"
 IF(NOT(ISERROR(REGEXEXTRACT(T288, ""(\d{1,2}) set\. 2025""))), 
  TEXT(DATE(2025,9,REGEXEXTRACT(T288, ""(\d{1,2}) set\. 2025"")), ""dd/mm/yyyy""),
 IF(NOT(ISERROR(REGEXEXTRACT(T288, ""(\d{1,2}) out\. 2025""))), 
  TEXT(DATE(2025,10,REGEXEXTRACT(T288, """&amp;"(\d{1,2}) out\. 2025"")), ""dd/mm/yyyy""),
 IF(NOT(ISERROR(REGEXEXTRACT(T288, ""(\d{1,2}) nov\. 2025""))), 
  TEXT(DATE(2025,11,REGEXEXTRACT(T288, ""(\d{1,2}) nov\. 2025"")), ""dd/mm/yyyy""),
 IF(NOT(ISERROR(REGEXEXTRACT(T288, ""(\d{1,2}) dez\. 2025""))),"&amp;" 
  TEXT(DATE(2025,12,REGEXEXTRACT(T288, ""(\d{1,2}) dez\. 2025"")), ""dd/mm/yyyy""),
 ""Insira a data manualmente"")))))))))))), """"))"),"03/11/2025")</f>
        <v>03/11/2025</v>
      </c>
      <c r="H288" s="22">
        <f t="shared" si="1"/>
        <v>2025</v>
      </c>
      <c r="I288" s="18" t="s">
        <v>298</v>
      </c>
      <c r="J288" s="30" t="s">
        <v>93</v>
      </c>
      <c r="K288" s="24" t="s">
        <v>726</v>
      </c>
      <c r="L288" s="24" t="s">
        <v>26</v>
      </c>
      <c r="M288" s="25" t="s">
        <v>27</v>
      </c>
      <c r="N288" s="18" t="str">
        <f t="shared" si="8"/>
        <v>Gazeta do Povo</v>
      </c>
      <c r="O288" s="17" t="s">
        <v>28</v>
      </c>
      <c r="P288" s="17" t="s">
        <v>251</v>
      </c>
      <c r="Q288" s="26">
        <v>45973.0</v>
      </c>
      <c r="R288" s="17" t="s">
        <v>37</v>
      </c>
      <c r="S288" s="27" t="str">
        <f t="shared" si="3"/>
        <v>Aqui</v>
      </c>
      <c r="T288" s="29" t="s">
        <v>727</v>
      </c>
      <c r="U288" s="29"/>
    </row>
    <row r="289">
      <c r="A289" s="16">
        <v>287.0</v>
      </c>
      <c r="B289" s="17" t="s">
        <v>23</v>
      </c>
      <c r="C289" s="18" t="str">
        <f>IFERROR(__xludf.DUMMYFUNCTION("IF(B289="""","""",IF(OR(
  REGEXMATCH(B289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REGEXMATCH(B289,""Notícia|Reportagem|Artigo de opinião|Verbete"")
),""Difusão"","""")))
"),"Difusão")</f>
        <v>Difusão</v>
      </c>
      <c r="D289" s="19" t="str">
        <f>IFERROR(__xludf.DUMMYFUNCTION("IF(B289="""","""",IF(OR(
  REGEXMATCH(B289,""Performance|Instalação|Álbum|Música|Poema|Livro|Filme|Documentário|Recitação|Espetáculo|Peça|Intervenção|Desfile|Fotografia|Exposição|Charge|Grafite|Leitura pública|Fabricação de cachaça artesanal""),
  REGEXMA"&amp;"TCH(B289,""dança|teatral|artístico|musical|artística"")
),""Manifestação artístico-cultural"",
IF(OR(
  REGEXMATCH(B289,""Crônica|Série|Reportagem|Podcast|Audiotour|Entrevista|Vídeo|Rádio|Notícia|Artigo de opinião|Coletiva de imprensa""),
  REGEXMATCH(B28"&amp;"9,""midiática"")
),""Produção midiática"","""")))
"),"Produção midiática")</f>
        <v>Produção midiática</v>
      </c>
      <c r="E289" s="20" t="str">
        <f>IFERROR(__xludf.DUMMYFUNCTION("IF(B289="""","""",IF(OR(
  REGEXMATCH(B289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REGEXMATCH(B289,""público|Imediato|artística|teatral|memória|Ação popular"")
),""Público Imediato"",
IF(REGEXMATCH(B289,""Música|Álbum|Filme|Documentár"&amp;"io|Série|Podcast|Rádio|Audiotour|Entrevista|Reportagem|Crônica|Relatório|Abaixo-assinado|Manifesto|Petição|Poema|Livro|Fotografia|Curta|Live|Webinário|Charge|Leitura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89" s="20" t="str">
        <f>IFERROR(__xludf.DUMMYFUNCTION("IF(B289="""","""",IF(OR(
  REGEXMATCH(B289,""Live|Webinário|Virtual|Verbete""),
  REGEXMATCH(B289,""online"")
),""Virtual"",
IF(REGEXMATCH(B289,""Música|Álbum|Filme|Documentário|Série|Podcast|Rádio|Audiotour|Episódio|Reportagem|Curta|Charge|Vídeo|Entrevis"&amp;"ta|Notícia|Artigo de opinião""),
""Midiático"",
IF(REGEXMATCH(B289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89" s="21" t="str">
        <f>IFERROR(__xludf.DUMMYFUNCTION("IF(C289=""rememoração"", ""Insira a data manualmente"", IF(C289=""difusão"", 
 IF(NOT(ISERROR(REGEXEXTRACT(T289, ""(\d{1,2}) jan\. 2025""))), 
  TEXT(DATE(2025,1,REGEXEXTRACT(T289, ""(\d{1,2}) jan\. 2025"")), ""dd/mm/yyyy""),
 IF(NOT(ISERROR(REGEXEXTRACT("&amp;"T289, ""(\d{1,2}) fev\. 2025""))), 
  TEXT(DATE(2025,2,REGEXEXTRACT(T289, ""(\d{1,2}) fev\. 2025"")), ""dd/mm/yyyy""),
 IF(NOT(ISERROR(REGEXEXTRACT(T289, ""(\d{1,2}) mar\. 2025""))), 
  TEXT(DATE(2025,3,REGEXEXTRACT(T289, ""(\d{1,2}) mar\. 2025"")), ""dd/"&amp;"mm/yyyy""),
 IF(NOT(ISERROR(REGEXEXTRACT(T289, ""(\d{1,2}) abr\. 2025""))), 
  TEXT(DATE(2025,4,REGEXEXTRACT(T289, ""(\d{1,2}) abr\. 2025"")), ""dd/mm/yyyy""),
 IF(NOT(ISERROR(REGEXEXTRACT(T289, ""(\d{1,2}) (mai|maio)\. 2025""))), 
  TEXT(DATE(2025,5,REGE"&amp;"XEXTRACT(T289, ""(\d{1,2}) (mai|maio)\. 2025"")), ""dd/mm/yyyy""),
 IF(NOT(ISERROR(REGEXEXTRACT(T289, ""(\d{1,2}) jun\. 2025""))), 
  TEXT(DATE(2025,6,REGEXEXTRACT(T289, ""(\d{1,2}) jun\. 2025"")), ""dd/mm/yyyy""),
 IF(NOT(ISERROR(REGEXEXTRACT(T289, ""(\d"&amp;"{1,2}) jul\. 2025""))), 
  TEXT(DATE(2025,7,REGEXEXTRACT(T289, ""(\d{1,2}) jul\. 2025"")), ""dd/mm/yyyy""),
 IF(NOT(ISERROR(REGEXEXTRACT(T289, ""(\d{1,2}) ago\. 2025""))), 
  TEXT(DATE(2025,8,REGEXEXTRACT(T289, ""(\d{1,2}) ago\. 2025"")), ""dd/mm/yyyy""),"&amp;"
 IF(NOT(ISERROR(REGEXEXTRACT(T289, ""(\d{1,2}) set\. 2025""))), 
  TEXT(DATE(2025,9,REGEXEXTRACT(T289, ""(\d{1,2}) set\. 2025"")), ""dd/mm/yyyy""),
 IF(NOT(ISERROR(REGEXEXTRACT(T289, ""(\d{1,2}) out\. 2025""))), 
  TEXT(DATE(2025,10,REGEXEXTRACT(T289, """&amp;"(\d{1,2}) out\. 2025"")), ""dd/mm/yyyy""),
 IF(NOT(ISERROR(REGEXEXTRACT(T289, ""(\d{1,2}) nov\. 2025""))), 
  TEXT(DATE(2025,11,REGEXEXTRACT(T289, ""(\d{1,2}) nov\. 2025"")), ""dd/mm/yyyy""),
 IF(NOT(ISERROR(REGEXEXTRACT(T289, ""(\d{1,2}) dez\. 2025""))),"&amp;" 
  TEXT(DATE(2025,12,REGEXEXTRACT(T289, ""(\d{1,2}) dez\. 2025"")), ""dd/mm/yyyy""),
 ""Insira a data manualmente"")))))))))))), """"))"),"06/11/2025")</f>
        <v>06/11/2025</v>
      </c>
      <c r="H289" s="22">
        <f t="shared" si="1"/>
        <v>2025</v>
      </c>
      <c r="I289" s="18" t="s">
        <v>706</v>
      </c>
      <c r="J289" s="30" t="s">
        <v>728</v>
      </c>
      <c r="K289" s="24" t="s">
        <v>729</v>
      </c>
      <c r="L289" s="24" t="s">
        <v>26</v>
      </c>
      <c r="M289" s="25" t="s">
        <v>27</v>
      </c>
      <c r="N289" s="18" t="str">
        <f t="shared" si="8"/>
        <v>The Conversation</v>
      </c>
      <c r="O289" s="17" t="s">
        <v>28</v>
      </c>
      <c r="P289" s="17" t="s">
        <v>251</v>
      </c>
      <c r="Q289" s="26">
        <v>45973.0</v>
      </c>
      <c r="R289" s="17" t="s">
        <v>30</v>
      </c>
      <c r="S289" s="27" t="str">
        <f t="shared" si="3"/>
        <v>Aqui</v>
      </c>
      <c r="T289" s="29" t="s">
        <v>730</v>
      </c>
      <c r="U289" s="29"/>
    </row>
    <row r="290">
      <c r="A290" s="16">
        <v>288.0</v>
      </c>
      <c r="B290" s="17" t="s">
        <v>23</v>
      </c>
      <c r="C290" s="18" t="str">
        <f>IFERROR(__xludf.DUMMYFUNCTION("IF(B290="""","""",IF(OR(
  REGEXMATCH(B290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REGEXMATCH(B290,""Notícia|Reportagem|Artigo de opinião|Verbete"")
),""Difusão"","""")))
"),"Difusão")</f>
        <v>Difusão</v>
      </c>
      <c r="D290" s="19" t="str">
        <f>IFERROR(__xludf.DUMMYFUNCTION("IF(B290="""","""",IF(OR(
  REGEXMATCH(B290,""Performance|Instalação|Álbum|Música|Poema|Livro|Filme|Documentário|Recitação|Espetáculo|Peça|Intervenção|Desfile|Fotografia|Exposição|Charge|Grafite|Leitura pública|Fabricação de cachaça artesanal""),
  REGEXMA"&amp;"TCH(B290,""dança|teatral|artístico|musical|artística"")
),""Manifestação artístico-cultural"",
IF(OR(
  REGEXMATCH(B290,""Crônica|Série|Reportagem|Podcast|Audiotour|Entrevista|Vídeo|Rádio|Notícia|Artigo de opinião|Coletiva de imprensa""),
  REGEXMATCH(B29"&amp;"0,""midiática"")
),""Produção midiática"","""")))
"),"Produção midiática")</f>
        <v>Produção midiática</v>
      </c>
      <c r="E290" s="20" t="str">
        <f>IFERROR(__xludf.DUMMYFUNCTION("IF(B290="""","""",IF(OR(
  REGEXMATCH(B290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REGEXMATCH(B290,""público|Imediato|artística|teatral|memória|Ação popular"")
),""Público Imediato"",
IF(REGEXMATCH(B290,""Música|Álbum|Filme|Documentár"&amp;"io|Série|Podcast|Rádio|Audiotour|Entrevista|Reportagem|Crônica|Relatório|Abaixo-assinado|Manifesto|Petição|Poema|Livro|Fotografia|Curta|Live|Webinário|Charge|Leitura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90" s="20" t="str">
        <f>IFERROR(__xludf.DUMMYFUNCTION("IF(B290="""","""",IF(OR(
  REGEXMATCH(B290,""Live|Webinário|Virtual|Verbete""),
  REGEXMATCH(B290,""online"")
),""Virtual"",
IF(REGEXMATCH(B290,""Música|Álbum|Filme|Documentário|Série|Podcast|Rádio|Audiotour|Episódio|Reportagem|Curta|Charge|Vídeo|Entrevis"&amp;"ta|Notícia|Artigo de opinião""),
""Midiático"",
IF(REGEXMATCH(B290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90" s="21" t="str">
        <f>IFERROR(__xludf.DUMMYFUNCTION("IF(C290=""rememoração"", ""Insira a data manualmente"", IF(C290=""difusão"", 
 IF(NOT(ISERROR(REGEXEXTRACT(T290, ""(\d{1,2}) jan\. 2025""))), 
  TEXT(DATE(2025,1,REGEXEXTRACT(T290, ""(\d{1,2}) jan\. 2025"")), ""dd/mm/yyyy""),
 IF(NOT(ISERROR(REGEXEXTRACT("&amp;"T290, ""(\d{1,2}) fev\. 2025""))), 
  TEXT(DATE(2025,2,REGEXEXTRACT(T290, ""(\d{1,2}) fev\. 2025"")), ""dd/mm/yyyy""),
 IF(NOT(ISERROR(REGEXEXTRACT(T290, ""(\d{1,2}) mar\. 2025""))), 
  TEXT(DATE(2025,3,REGEXEXTRACT(T290, ""(\d{1,2}) mar\. 2025"")), ""dd/"&amp;"mm/yyyy""),
 IF(NOT(ISERROR(REGEXEXTRACT(T290, ""(\d{1,2}) abr\. 2025""))), 
  TEXT(DATE(2025,4,REGEXEXTRACT(T290, ""(\d{1,2}) abr\. 2025"")), ""dd/mm/yyyy""),
 IF(NOT(ISERROR(REGEXEXTRACT(T290, ""(\d{1,2}) (mai|maio)\. 2025""))), 
  TEXT(DATE(2025,5,REGE"&amp;"XEXTRACT(T290, ""(\d{1,2}) (mai|maio)\. 2025"")), ""dd/mm/yyyy""),
 IF(NOT(ISERROR(REGEXEXTRACT(T290, ""(\d{1,2}) jun\. 2025""))), 
  TEXT(DATE(2025,6,REGEXEXTRACT(T290, ""(\d{1,2}) jun\. 2025"")), ""dd/mm/yyyy""),
 IF(NOT(ISERROR(REGEXEXTRACT(T290, ""(\d"&amp;"{1,2}) jul\. 2025""))), 
  TEXT(DATE(2025,7,REGEXEXTRACT(T290, ""(\d{1,2}) jul\. 2025"")), ""dd/mm/yyyy""),
 IF(NOT(ISERROR(REGEXEXTRACT(T290, ""(\d{1,2}) ago\. 2025""))), 
  TEXT(DATE(2025,8,REGEXEXTRACT(T290, ""(\d{1,2}) ago\. 2025"")), ""dd/mm/yyyy""),"&amp;"
 IF(NOT(ISERROR(REGEXEXTRACT(T290, ""(\d{1,2}) set\. 2025""))), 
  TEXT(DATE(2025,9,REGEXEXTRACT(T290, ""(\d{1,2}) set\. 2025"")), ""dd/mm/yyyy""),
 IF(NOT(ISERROR(REGEXEXTRACT(T290, ""(\d{1,2}) out\. 2025""))), 
  TEXT(DATE(2025,10,REGEXEXTRACT(T290, """&amp;"(\d{1,2}) out\. 2025"")), ""dd/mm/yyyy""),
 IF(NOT(ISERROR(REGEXEXTRACT(T290, ""(\d{1,2}) nov\. 2025""))), 
  TEXT(DATE(2025,11,REGEXEXTRACT(T290, ""(\d{1,2}) nov\. 2025"")), ""dd/mm/yyyy""),
 IF(NOT(ISERROR(REGEXEXTRACT(T290, ""(\d{1,2}) dez\. 2025""))),"&amp;" 
  TEXT(DATE(2025,12,REGEXEXTRACT(T290, ""(\d{1,2}) dez\. 2025"")), ""dd/mm/yyyy""),
 ""Insira a data manualmente"")))))))))))), """"))"),"12/11/2025")</f>
        <v>12/11/2025</v>
      </c>
      <c r="H290" s="22">
        <f t="shared" si="1"/>
        <v>2025</v>
      </c>
      <c r="I290" s="18" t="str">
        <f>IFERROR(__xludf.DUMMYFUNCTION("IF(REGEXMATCH(T290,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IF(REGEXMATCH(T290, ""(?i)\bBrasília\b""), ""Distrito Federal, Brasil"",
REGEXEXTRACT(T290,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90" s="30" t="s">
        <v>731</v>
      </c>
      <c r="K290" s="24" t="s">
        <v>732</v>
      </c>
      <c r="L290" s="24" t="s">
        <v>26</v>
      </c>
      <c r="M290" s="25" t="s">
        <v>27</v>
      </c>
      <c r="N290" s="18" t="str">
        <f t="shared" si="8"/>
        <v>Metrópoles</v>
      </c>
      <c r="O290" s="17" t="s">
        <v>28</v>
      </c>
      <c r="P290" s="17" t="s">
        <v>251</v>
      </c>
      <c r="Q290" s="26">
        <v>45973.0</v>
      </c>
      <c r="R290" s="17" t="s">
        <v>30</v>
      </c>
      <c r="S290" s="27" t="str">
        <f t="shared" si="3"/>
        <v>Aqui</v>
      </c>
      <c r="T290" s="29" t="s">
        <v>733</v>
      </c>
      <c r="U290" s="29"/>
    </row>
    <row r="291">
      <c r="A291" s="16">
        <v>289.0</v>
      </c>
      <c r="B291" s="17" t="s">
        <v>23</v>
      </c>
      <c r="C291" s="18" t="str">
        <f>IFERROR(__xludf.DUMMYFUNCTION("IF(B291="""","""",IF(OR(
  REGEXMATCH(B291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REGEXMATCH(B291,""Notícia|Reportagem|Artigo de opinião|Verbete"")
),""Difusão"","""")))
"),"Difusão")</f>
        <v>Difusão</v>
      </c>
      <c r="D291" s="19" t="str">
        <f>IFERROR(__xludf.DUMMYFUNCTION("IF(B291="""","""",IF(OR(
  REGEXMATCH(B291,""Performance|Instalação|Álbum|Música|Poema|Livro|Filme|Documentário|Recitação|Espetáculo|Peça|Intervenção|Desfile|Fotografia|Exposição|Charge|Grafite|Leitura pública|Fabricação de cachaça artesanal""),
  REGEXMA"&amp;"TCH(B291,""dança|teatral|artístico|musical|artística"")
),""Manifestação artístico-cultural"",
IF(OR(
  REGEXMATCH(B291,""Crônica|Série|Reportagem|Podcast|Audiotour|Entrevista|Vídeo|Rádio|Notícia|Artigo de opinião|Coletiva de imprensa""),
  REGEXMATCH(B29"&amp;"1,""midiática"")
),""Produção midiática"","""")))
"),"Produção midiática")</f>
        <v>Produção midiática</v>
      </c>
      <c r="E291" s="20" t="str">
        <f>IFERROR(__xludf.DUMMYFUNCTION("IF(B291="""","""",IF(OR(
  REGEXMATCH(B291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REGEXMATCH(B291,""público|Imediato|artística|teatral|memória|Ação popular"")
),""Público Imediato"",
IF(REGEXMATCH(B291,""Música|Álbum|Filme|Documentár"&amp;"io|Série|Podcast|Rádio|Audiotour|Entrevista|Reportagem|Crônica|Relatório|Abaixo-assinado|Manifesto|Petição|Poema|Livro|Fotografia|Curta|Live|Webinário|Charge|Leitura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91" s="20" t="str">
        <f>IFERROR(__xludf.DUMMYFUNCTION("IF(B291="""","""",IF(OR(
  REGEXMATCH(B291,""Live|Webinário|Virtual|Verbete""),
  REGEXMATCH(B291,""online"")
),""Virtual"",
IF(REGEXMATCH(B291,""Música|Álbum|Filme|Documentário|Série|Podcast|Rádio|Audiotour|Episódio|Reportagem|Curta|Charge|Vídeo|Entrevis"&amp;"ta|Notícia|Artigo de opinião""),
""Midiático"",
IF(REGEXMATCH(B291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91" s="21" t="str">
        <f>IFERROR(__xludf.DUMMYFUNCTION("IF(C291=""rememoração"", ""Insira a data manualmente"", IF(C291=""difusão"", 
 IF(NOT(ISERROR(REGEXEXTRACT(T291, ""(\d{1,2}) jan\. 2025""))), 
  TEXT(DATE(2025,1,REGEXEXTRACT(T291, ""(\d{1,2}) jan\. 2025"")), ""dd/mm/yyyy""),
 IF(NOT(ISERROR(REGEXEXTRACT("&amp;"T291, ""(\d{1,2}) fev\. 2025""))), 
  TEXT(DATE(2025,2,REGEXEXTRACT(T291, ""(\d{1,2}) fev\. 2025"")), ""dd/mm/yyyy""),
 IF(NOT(ISERROR(REGEXEXTRACT(T291, ""(\d{1,2}) mar\. 2025""))), 
  TEXT(DATE(2025,3,REGEXEXTRACT(T291, ""(\d{1,2}) mar\. 2025"")), ""dd/"&amp;"mm/yyyy""),
 IF(NOT(ISERROR(REGEXEXTRACT(T291, ""(\d{1,2}) abr\. 2025""))), 
  TEXT(DATE(2025,4,REGEXEXTRACT(T291, ""(\d{1,2}) abr\. 2025"")), ""dd/mm/yyyy""),
 IF(NOT(ISERROR(REGEXEXTRACT(T291, ""(\d{1,2}) (mai|maio)\. 2025""))), 
  TEXT(DATE(2025,5,REGE"&amp;"XEXTRACT(T291, ""(\d{1,2}) (mai|maio)\. 2025"")), ""dd/mm/yyyy""),
 IF(NOT(ISERROR(REGEXEXTRACT(T291, ""(\d{1,2}) jun\. 2025""))), 
  TEXT(DATE(2025,6,REGEXEXTRACT(T291, ""(\d{1,2}) jun\. 2025"")), ""dd/mm/yyyy""),
 IF(NOT(ISERROR(REGEXEXTRACT(T291, ""(\d"&amp;"{1,2}) jul\. 2025""))), 
  TEXT(DATE(2025,7,REGEXEXTRACT(T291, ""(\d{1,2}) jul\. 2025"")), ""dd/mm/yyyy""),
 IF(NOT(ISERROR(REGEXEXTRACT(T291, ""(\d{1,2}) ago\. 2025""))), 
  TEXT(DATE(2025,8,REGEXEXTRACT(T291, ""(\d{1,2}) ago\. 2025"")), ""dd/mm/yyyy""),"&amp;"
 IF(NOT(ISERROR(REGEXEXTRACT(T291, ""(\d{1,2}) set\. 2025""))), 
  TEXT(DATE(2025,9,REGEXEXTRACT(T291, ""(\d{1,2}) set\. 2025"")), ""dd/mm/yyyy""),
 IF(NOT(ISERROR(REGEXEXTRACT(T291, ""(\d{1,2}) out\. 2025""))), 
  TEXT(DATE(2025,10,REGEXEXTRACT(T291, """&amp;"(\d{1,2}) out\. 2025"")), ""dd/mm/yyyy""),
 IF(NOT(ISERROR(REGEXEXTRACT(T291, ""(\d{1,2}) nov\. 2025""))), 
  TEXT(DATE(2025,11,REGEXEXTRACT(T291, ""(\d{1,2}) nov\. 2025"")), ""dd/mm/yyyy""),
 IF(NOT(ISERROR(REGEXEXTRACT(T291, ""(\d{1,2}) dez\. 2025""))),"&amp;" 
  TEXT(DATE(2025,12,REGEXEXTRACT(T291, ""(\d{1,2}) dez\. 2025"")), ""dd/mm/yyyy""),
 ""Insira a data manualmente"")))))))))))), """"))"),"01/11/2025")</f>
        <v>01/11/2025</v>
      </c>
      <c r="H291" s="22">
        <f t="shared" si="1"/>
        <v>2025</v>
      </c>
      <c r="I291" s="18" t="str">
        <f>IFERROR(__xludf.DUMMYFUNCTION("IF(REGEXMATCH(T291,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IF(REGEXMATCH(T291, ""(?i)\bBrasília\b""), ""Distrito Federal, Brasil"",
REGEXEXTRACT(T291,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91" s="30" t="s">
        <v>491</v>
      </c>
      <c r="K291" s="24" t="s">
        <v>734</v>
      </c>
      <c r="L291" s="24" t="s">
        <v>26</v>
      </c>
      <c r="M291" s="25" t="s">
        <v>27</v>
      </c>
      <c r="N291" s="18" t="str">
        <f t="shared" si="8"/>
        <v>Poder 360</v>
      </c>
      <c r="O291" s="17" t="s">
        <v>28</v>
      </c>
      <c r="P291" s="17" t="s">
        <v>251</v>
      </c>
      <c r="Q291" s="26">
        <v>45973.0</v>
      </c>
      <c r="R291" s="17" t="s">
        <v>30</v>
      </c>
      <c r="S291" s="27" t="str">
        <f t="shared" si="3"/>
        <v>Aqui</v>
      </c>
      <c r="T291" s="29" t="s">
        <v>735</v>
      </c>
      <c r="U291" s="29"/>
    </row>
    <row r="292">
      <c r="A292" s="16">
        <v>290.0</v>
      </c>
      <c r="B292" s="17" t="s">
        <v>23</v>
      </c>
      <c r="C292" s="18" t="str">
        <f>IFERROR(__xludf.DUMMYFUNCTION("IF(B292="""","""",IF(OR(
  REGEXMATCH(B292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REGEXMATCH(B292,""Notícia|Reportagem|Artigo de opinião|Verbete"")
),""Difusão"","""")))
"),"Difusão")</f>
        <v>Difusão</v>
      </c>
      <c r="D292" s="19" t="str">
        <f>IFERROR(__xludf.DUMMYFUNCTION("IF(B292="""","""",IF(OR(
  REGEXMATCH(B292,""Performance|Instalação|Álbum|Música|Poema|Livro|Filme|Documentário|Recitação|Espetáculo|Peça|Intervenção|Desfile|Fotografia|Exposição|Charge|Grafite|Leitura pública|Fabricação de cachaça artesanal""),
  REGEXMA"&amp;"TCH(B292,""dança|teatral|artístico|musical|artística"")
),""Manifestação artístico-cultural"",
IF(OR(
  REGEXMATCH(B292,""Crônica|Série|Reportagem|Podcast|Audiotour|Entrevista|Vídeo|Rádio|Notícia|Artigo de opinião|Coletiva de imprensa""),
  REGEXMATCH(B29"&amp;"2,""midiática"")
),""Produção midiática"","""")))
"),"Produção midiática")</f>
        <v>Produção midiática</v>
      </c>
      <c r="E292" s="20" t="str">
        <f>IFERROR(__xludf.DUMMYFUNCTION("IF(B292="""","""",IF(OR(
  REGEXMATCH(B292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REGEXMATCH(B292,""público|Imediato|artística|teatral|memória|Ação popular"")
),""Público Imediato"",
IF(REGEXMATCH(B292,""Música|Álbum|Filme|Documentár"&amp;"io|Série|Podcast|Rádio|Audiotour|Entrevista|Reportagem|Crônica|Relatório|Abaixo-assinado|Manifesto|Petição|Poema|Livro|Fotografia|Curta|Live|Webinário|Charge|Leitura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92" s="20" t="str">
        <f>IFERROR(__xludf.DUMMYFUNCTION("IF(B292="""","""",IF(OR(
  REGEXMATCH(B292,""Live|Webinário|Virtual|Verbete""),
  REGEXMATCH(B292,""online"")
),""Virtual"",
IF(REGEXMATCH(B292,""Música|Álbum|Filme|Documentário|Série|Podcast|Rádio|Audiotour|Episódio|Reportagem|Curta|Charge|Vídeo|Entrevis"&amp;"ta|Notícia|Artigo de opinião""),
""Midiático"",
IF(REGEXMATCH(B292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92" s="21" t="str">
        <f>IFERROR(__xludf.DUMMYFUNCTION("IF(C292=""rememoração"", ""Insira a data manualmente"", IF(C292=""difusão"", 
 IF(NOT(ISERROR(REGEXEXTRACT(T292, ""(\d{1,2}) jan\. 2025""))), 
  TEXT(DATE(2025,1,REGEXEXTRACT(T292, ""(\d{1,2}) jan\. 2025"")), ""dd/mm/yyyy""),
 IF(NOT(ISERROR(REGEXEXTRACT("&amp;"T292, ""(\d{1,2}) fev\. 2025""))), 
  TEXT(DATE(2025,2,REGEXEXTRACT(T292, ""(\d{1,2}) fev\. 2025"")), ""dd/mm/yyyy""),
 IF(NOT(ISERROR(REGEXEXTRACT(T292, ""(\d{1,2}) mar\. 2025""))), 
  TEXT(DATE(2025,3,REGEXEXTRACT(T292, ""(\d{1,2}) mar\. 2025"")), ""dd/"&amp;"mm/yyyy""),
 IF(NOT(ISERROR(REGEXEXTRACT(T292, ""(\d{1,2}) abr\. 2025""))), 
  TEXT(DATE(2025,4,REGEXEXTRACT(T292, ""(\d{1,2}) abr\. 2025"")), ""dd/mm/yyyy""),
 IF(NOT(ISERROR(REGEXEXTRACT(T292, ""(\d{1,2}) (mai|maio)\. 2025""))), 
  TEXT(DATE(2025,5,REGE"&amp;"XEXTRACT(T292, ""(\d{1,2}) (mai|maio)\. 2025"")), ""dd/mm/yyyy""),
 IF(NOT(ISERROR(REGEXEXTRACT(T292, ""(\d{1,2}) jun\. 2025""))), 
  TEXT(DATE(2025,6,REGEXEXTRACT(T292, ""(\d{1,2}) jun\. 2025"")), ""dd/mm/yyyy""),
 IF(NOT(ISERROR(REGEXEXTRACT(T292, ""(\d"&amp;"{1,2}) jul\. 2025""))), 
  TEXT(DATE(2025,7,REGEXEXTRACT(T292, ""(\d{1,2}) jul\. 2025"")), ""dd/mm/yyyy""),
 IF(NOT(ISERROR(REGEXEXTRACT(T292, ""(\d{1,2}) ago\. 2025""))), 
  TEXT(DATE(2025,8,REGEXEXTRACT(T292, ""(\d{1,2}) ago\. 2025"")), ""dd/mm/yyyy""),"&amp;"
 IF(NOT(ISERROR(REGEXEXTRACT(T292, ""(\d{1,2}) set\. 2025""))), 
  TEXT(DATE(2025,9,REGEXEXTRACT(T292, ""(\d{1,2}) set\. 2025"")), ""dd/mm/yyyy""),
 IF(NOT(ISERROR(REGEXEXTRACT(T292, ""(\d{1,2}) out\. 2025""))), 
  TEXT(DATE(2025,10,REGEXEXTRACT(T292, """&amp;"(\d{1,2}) out\. 2025"")), ""dd/mm/yyyy""),
 IF(NOT(ISERROR(REGEXEXTRACT(T292, ""(\d{1,2}) nov\. 2025""))), 
  TEXT(DATE(2025,11,REGEXEXTRACT(T292, ""(\d{1,2}) nov\. 2025"")), ""dd/mm/yyyy""),
 IF(NOT(ISERROR(REGEXEXTRACT(T292, ""(\d{1,2}) dez\. 2025""))),"&amp;" 
  TEXT(DATE(2025,12,REGEXEXTRACT(T292, ""(\d{1,2}) dez\. 2025"")), ""dd/mm/yyyy""),
 ""Insira a data manualmente"")))))))))))), """"))"),"06/11/2025")</f>
        <v>06/11/2025</v>
      </c>
      <c r="H292" s="22">
        <f t="shared" si="1"/>
        <v>2025</v>
      </c>
      <c r="I292" s="18" t="s">
        <v>658</v>
      </c>
      <c r="J292" s="30" t="s">
        <v>599</v>
      </c>
      <c r="K292" s="24" t="s">
        <v>736</v>
      </c>
      <c r="L292" s="24" t="s">
        <v>26</v>
      </c>
      <c r="M292" s="25" t="s">
        <v>27</v>
      </c>
      <c r="N292" s="18" t="str">
        <f t="shared" si="8"/>
        <v>BBC News Brasil</v>
      </c>
      <c r="O292" s="17" t="s">
        <v>28</v>
      </c>
      <c r="P292" s="17" t="s">
        <v>251</v>
      </c>
      <c r="Q292" s="26">
        <v>45973.0</v>
      </c>
      <c r="R292" s="17" t="s">
        <v>30</v>
      </c>
      <c r="S292" s="27" t="str">
        <f t="shared" si="3"/>
        <v>Aqui</v>
      </c>
      <c r="T292" s="29" t="s">
        <v>737</v>
      </c>
      <c r="U292" s="29"/>
    </row>
    <row r="293">
      <c r="A293" s="16">
        <v>291.0</v>
      </c>
      <c r="B293" s="17" t="s">
        <v>23</v>
      </c>
      <c r="C293" s="18" t="str">
        <f>IFERROR(__xludf.DUMMYFUNCTION("IF(B293="""","""",IF(OR(
  REGEXMATCH(B293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REGEXMATCH(B293,""Notícia|Reportagem|Artigo de opinião|Verbete"")
),""Difusão"","""")))
"),"Difusão")</f>
        <v>Difusão</v>
      </c>
      <c r="D293" s="19" t="str">
        <f>IFERROR(__xludf.DUMMYFUNCTION("IF(B293="""","""",IF(OR(
  REGEXMATCH(B293,""Performance|Instalação|Álbum|Música|Poema|Livro|Filme|Documentário|Recitação|Espetáculo|Peça|Intervenção|Desfile|Fotografia|Exposição|Charge|Grafite|Leitura pública|Fabricação de cachaça artesanal""),
  REGEXMA"&amp;"TCH(B293,""dança|teatral|artístico|musical|artística"")
),""Manifestação artístico-cultural"",
IF(OR(
  REGEXMATCH(B293,""Crônica|Série|Reportagem|Podcast|Audiotour|Entrevista|Vídeo|Rádio|Notícia|Artigo de opinião|Coletiva de imprensa""),
  REGEXMATCH(B29"&amp;"3,""midiática"")
),""Produção midiática"","""")))
"),"Produção midiática")</f>
        <v>Produção midiática</v>
      </c>
      <c r="E293" s="20" t="str">
        <f>IFERROR(__xludf.DUMMYFUNCTION("IF(B293="""","""",IF(OR(
  REGEXMATCH(B293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REGEXMATCH(B293,""público|Imediato|artística|teatral|memória|Ação popular"")
),""Público Imediato"",
IF(REGEXMATCH(B293,""Música|Álbum|Filme|Documentár"&amp;"io|Série|Podcast|Rádio|Audiotour|Entrevista|Reportagem|Crônica|Relatório|Abaixo-assinado|Manifesto|Petição|Poema|Livro|Fotografia|Curta|Live|Webinário|Charge|Leitura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93" s="20" t="str">
        <f>IFERROR(__xludf.DUMMYFUNCTION("IF(B293="""","""",IF(OR(
  REGEXMATCH(B293,""Live|Webinário|Virtual|Verbete""),
  REGEXMATCH(B293,""online"")
),""Virtual"",
IF(REGEXMATCH(B293,""Música|Álbum|Filme|Documentário|Série|Podcast|Rádio|Audiotour|Episódio|Reportagem|Curta|Charge|Vídeo|Entrevis"&amp;"ta|Notícia|Artigo de opinião""),
""Midiático"",
IF(REGEXMATCH(B293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93" s="21" t="str">
        <f>IFERROR(__xludf.DUMMYFUNCTION("IF(C293=""rememoração"", ""Insira a data manualmente"", IF(C293=""difusão"", 
 IF(NOT(ISERROR(REGEXEXTRACT(T293, ""(\d{1,2}) jan\. 2025""))), 
  TEXT(DATE(2025,1,REGEXEXTRACT(T293, ""(\d{1,2}) jan\. 2025"")), ""dd/mm/yyyy""),
 IF(NOT(ISERROR(REGEXEXTRACT("&amp;"T293, ""(\d{1,2}) fev\. 2025""))), 
  TEXT(DATE(2025,2,REGEXEXTRACT(T293, ""(\d{1,2}) fev\. 2025"")), ""dd/mm/yyyy""),
 IF(NOT(ISERROR(REGEXEXTRACT(T293, ""(\d{1,2}) mar\. 2025""))), 
  TEXT(DATE(2025,3,REGEXEXTRACT(T293, ""(\d{1,2}) mar\. 2025"")), ""dd/"&amp;"mm/yyyy""),
 IF(NOT(ISERROR(REGEXEXTRACT(T293, ""(\d{1,2}) abr\. 2025""))), 
  TEXT(DATE(2025,4,REGEXEXTRACT(T293, ""(\d{1,2}) abr\. 2025"")), ""dd/mm/yyyy""),
 IF(NOT(ISERROR(REGEXEXTRACT(T293, ""(\d{1,2}) (mai|maio)\. 2025""))), 
  TEXT(DATE(2025,5,REGE"&amp;"XEXTRACT(T293, ""(\d{1,2}) (mai|maio)\. 2025"")), ""dd/mm/yyyy""),
 IF(NOT(ISERROR(REGEXEXTRACT(T293, ""(\d{1,2}) jun\. 2025""))), 
  TEXT(DATE(2025,6,REGEXEXTRACT(T293, ""(\d{1,2}) jun\. 2025"")), ""dd/mm/yyyy""),
 IF(NOT(ISERROR(REGEXEXTRACT(T293, ""(\d"&amp;"{1,2}) jul\. 2025""))), 
  TEXT(DATE(2025,7,REGEXEXTRACT(T293, ""(\d{1,2}) jul\. 2025"")), ""dd/mm/yyyy""),
 IF(NOT(ISERROR(REGEXEXTRACT(T293, ""(\d{1,2}) ago\. 2025""))), 
  TEXT(DATE(2025,8,REGEXEXTRACT(T293, ""(\d{1,2}) ago\. 2025"")), ""dd/mm/yyyy""),"&amp;"
 IF(NOT(ISERROR(REGEXEXTRACT(T293, ""(\d{1,2}) set\. 2025""))), 
  TEXT(DATE(2025,9,REGEXEXTRACT(T293, ""(\d{1,2}) set\. 2025"")), ""dd/mm/yyyy""),
 IF(NOT(ISERROR(REGEXEXTRACT(T293, ""(\d{1,2}) out\. 2025""))), 
  TEXT(DATE(2025,10,REGEXEXTRACT(T293, """&amp;"(\d{1,2}) out\. 2025"")), ""dd/mm/yyyy""),
 IF(NOT(ISERROR(REGEXEXTRACT(T293, ""(\d{1,2}) nov\. 2025""))), 
  TEXT(DATE(2025,11,REGEXEXTRACT(T293, ""(\d{1,2}) nov\. 2025"")), ""dd/mm/yyyy""),
 IF(NOT(ISERROR(REGEXEXTRACT(T293, ""(\d{1,2}) dez\. 2025""))),"&amp;" 
  TEXT(DATE(2025,12,REGEXEXTRACT(T293, ""(\d{1,2}) dez\. 2025"")), ""dd/mm/yyyy""),
 ""Insira a data manualmente"")))))))))))), """"))"),"12/11/2025")</f>
        <v>12/11/2025</v>
      </c>
      <c r="H293" s="22">
        <f t="shared" si="1"/>
        <v>2025</v>
      </c>
      <c r="I293" s="18" t="str">
        <f>IFERROR(__xludf.DUMMYFUNCTION("IF(REGEXMATCH(T293,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IF(REGEXMATCH(T293, ""(?i)\bBrasília\b""), ""Distrito Federal, Brasil"",
REGEXEXTRACT(T293,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93" s="30" t="s">
        <v>32</v>
      </c>
      <c r="K293" s="24" t="s">
        <v>738</v>
      </c>
      <c r="L293" s="24" t="s">
        <v>26</v>
      </c>
      <c r="M293" s="25" t="s">
        <v>27</v>
      </c>
      <c r="N293" s="18" t="str">
        <f t="shared" si="8"/>
        <v>Agência Brasil</v>
      </c>
      <c r="O293" s="17" t="s">
        <v>28</v>
      </c>
      <c r="P293" s="17" t="s">
        <v>251</v>
      </c>
      <c r="Q293" s="26">
        <v>45973.0</v>
      </c>
      <c r="R293" s="17" t="s">
        <v>30</v>
      </c>
      <c r="S293" s="27" t="str">
        <f t="shared" si="3"/>
        <v>Aqui</v>
      </c>
      <c r="T293" s="29" t="s">
        <v>739</v>
      </c>
      <c r="U293" s="29"/>
    </row>
    <row r="294">
      <c r="A294" s="16">
        <v>292.0</v>
      </c>
      <c r="B294" s="17" t="s">
        <v>23</v>
      </c>
      <c r="C294" s="18" t="str">
        <f>IFERROR(__xludf.DUMMYFUNCTION("IF(B294="""","""",IF(OR(
  REGEXMATCH(B294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REGEXMATCH(B294,""Notícia|Reportagem|Artigo de opinião|Verbete"")
),""Difusão"","""")))
"),"Difusão")</f>
        <v>Difusão</v>
      </c>
      <c r="D294" s="19" t="str">
        <f>IFERROR(__xludf.DUMMYFUNCTION("IF(B294="""","""",IF(OR(
  REGEXMATCH(B294,""Performance|Instalação|Álbum|Música|Poema|Livro|Filme|Documentário|Recitação|Espetáculo|Peça|Intervenção|Desfile|Fotografia|Exposição|Charge|Grafite|Leitura pública|Fabricação de cachaça artesanal""),
  REGEXMA"&amp;"TCH(B294,""dança|teatral|artístico|musical|artística"")
),""Manifestação artístico-cultural"",
IF(OR(
  REGEXMATCH(B294,""Crônica|Série|Reportagem|Podcast|Audiotour|Entrevista|Vídeo|Rádio|Notícia|Artigo de opinião|Coletiva de imprensa""),
  REGEXMATCH(B29"&amp;"4,""midiática"")
),""Produção midiática"","""")))
"),"Produção midiática")</f>
        <v>Produção midiática</v>
      </c>
      <c r="E294" s="20" t="str">
        <f>IFERROR(__xludf.DUMMYFUNCTION("IF(B294="""","""",IF(OR(
  REGEXMATCH(B294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REGEXMATCH(B294,""público|Imediato|artística|teatral|memória|Ação popular"")
),""Público Imediato"",
IF(REGEXMATCH(B294,""Música|Álbum|Filme|Documentár"&amp;"io|Série|Podcast|Rádio|Audiotour|Entrevista|Reportagem|Crônica|Relatório|Abaixo-assinado|Manifesto|Petição|Poema|Livro|Fotografia|Curta|Live|Webinário|Charge|Leitura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94" s="20" t="str">
        <f>IFERROR(__xludf.DUMMYFUNCTION("IF(B294="""","""",IF(OR(
  REGEXMATCH(B294,""Live|Webinário|Virtual|Verbete""),
  REGEXMATCH(B294,""online"")
),""Virtual"",
IF(REGEXMATCH(B294,""Música|Álbum|Filme|Documentário|Série|Podcast|Rádio|Audiotour|Episódio|Reportagem|Curta|Charge|Vídeo|Entrevis"&amp;"ta|Notícia|Artigo de opinião""),
""Midiático"",
IF(REGEXMATCH(B294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94" s="21" t="str">
        <f>IFERROR(__xludf.DUMMYFUNCTION("IF(C294=""rememoração"", ""Insira a data manualmente"", IF(C294=""difusão"", 
 IF(NOT(ISERROR(REGEXEXTRACT(T294, ""(\d{1,2}) jan\. 2025""))), 
  TEXT(DATE(2025,1,REGEXEXTRACT(T294, ""(\d{1,2}) jan\. 2025"")), ""dd/mm/yyyy""),
 IF(NOT(ISERROR(REGEXEXTRACT("&amp;"T294, ""(\d{1,2}) fev\. 2025""))), 
  TEXT(DATE(2025,2,REGEXEXTRACT(T294, ""(\d{1,2}) fev\. 2025"")), ""dd/mm/yyyy""),
 IF(NOT(ISERROR(REGEXEXTRACT(T294, ""(\d{1,2}) mar\. 2025""))), 
  TEXT(DATE(2025,3,REGEXEXTRACT(T294, ""(\d{1,2}) mar\. 2025"")), ""dd/"&amp;"mm/yyyy""),
 IF(NOT(ISERROR(REGEXEXTRACT(T294, ""(\d{1,2}) abr\. 2025""))), 
  TEXT(DATE(2025,4,REGEXEXTRACT(T294, ""(\d{1,2}) abr\. 2025"")), ""dd/mm/yyyy""),
 IF(NOT(ISERROR(REGEXEXTRACT(T294, ""(\d{1,2}) (mai|maio)\. 2025""))), 
  TEXT(DATE(2025,5,REGE"&amp;"XEXTRACT(T294, ""(\d{1,2}) (mai|maio)\. 2025"")), ""dd/mm/yyyy""),
 IF(NOT(ISERROR(REGEXEXTRACT(T294, ""(\d{1,2}) jun\. 2025""))), 
  TEXT(DATE(2025,6,REGEXEXTRACT(T294, ""(\d{1,2}) jun\. 2025"")), ""dd/mm/yyyy""),
 IF(NOT(ISERROR(REGEXEXTRACT(T294, ""(\d"&amp;"{1,2}) jul\. 2025""))), 
  TEXT(DATE(2025,7,REGEXEXTRACT(T294, ""(\d{1,2}) jul\. 2025"")), ""dd/mm/yyyy""),
 IF(NOT(ISERROR(REGEXEXTRACT(T294, ""(\d{1,2}) ago\. 2025""))), 
  TEXT(DATE(2025,8,REGEXEXTRACT(T294, ""(\d{1,2}) ago\. 2025"")), ""dd/mm/yyyy""),"&amp;"
 IF(NOT(ISERROR(REGEXEXTRACT(T294, ""(\d{1,2}) set\. 2025""))), 
  TEXT(DATE(2025,9,REGEXEXTRACT(T294, ""(\d{1,2}) set\. 2025"")), ""dd/mm/yyyy""),
 IF(NOT(ISERROR(REGEXEXTRACT(T294, ""(\d{1,2}) out\. 2025""))), 
  TEXT(DATE(2025,10,REGEXEXTRACT(T294, """&amp;"(\d{1,2}) out\. 2025"")), ""dd/mm/yyyy""),
 IF(NOT(ISERROR(REGEXEXTRACT(T294, ""(\d{1,2}) nov\. 2025""))), 
  TEXT(DATE(2025,11,REGEXEXTRACT(T294, ""(\d{1,2}) nov\. 2025"")), ""dd/mm/yyyy""),
 IF(NOT(ISERROR(REGEXEXTRACT(T294, ""(\d{1,2}) dez\. 2025""))),"&amp;" 
  TEXT(DATE(2025,12,REGEXEXTRACT(T294, ""(\d{1,2}) dez\. 2025"")), ""dd/mm/yyyy""),
 ""Insira a data manualmente"")))))))))))), """"))"),"29/10/2025")</f>
        <v>29/10/2025</v>
      </c>
      <c r="H294" s="22">
        <f t="shared" si="1"/>
        <v>2025</v>
      </c>
      <c r="I294" s="18" t="s">
        <v>116</v>
      </c>
      <c r="J294" s="30" t="s">
        <v>740</v>
      </c>
      <c r="K294" s="24" t="s">
        <v>741</v>
      </c>
      <c r="L294" s="24" t="s">
        <v>26</v>
      </c>
      <c r="M294" s="25" t="s">
        <v>27</v>
      </c>
      <c r="N294" s="18" t="str">
        <f t="shared" si="8"/>
        <v>Blog da Boitempo</v>
      </c>
      <c r="O294" s="17" t="s">
        <v>28</v>
      </c>
      <c r="P294" s="17" t="s">
        <v>251</v>
      </c>
      <c r="Q294" s="26">
        <v>45973.0</v>
      </c>
      <c r="R294" s="17" t="s">
        <v>30</v>
      </c>
      <c r="S294" s="27" t="str">
        <f t="shared" si="3"/>
        <v>Aqui</v>
      </c>
      <c r="T294" s="29" t="s">
        <v>742</v>
      </c>
      <c r="U294" s="29"/>
    </row>
    <row r="295">
      <c r="A295" s="16">
        <v>293.0</v>
      </c>
      <c r="B295" s="17" t="s">
        <v>23</v>
      </c>
      <c r="C295" s="18" t="str">
        <f>IFERROR(__xludf.DUMMYFUNCTION("IF(B295="""","""",IF(OR(
  REGEXMATCH(B295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REGEXMATCH(B295,""Notícia|Reportagem|Artigo de opinião|Verbete"")
),""Difusão"","""")))
"),"Difusão")</f>
        <v>Difusão</v>
      </c>
      <c r="D295" s="19" t="str">
        <f>IFERROR(__xludf.DUMMYFUNCTION("IF(B295="""","""",IF(OR(
  REGEXMATCH(B295,""Performance|Instalação|Álbum|Música|Poema|Livro|Filme|Documentário|Recitação|Espetáculo|Peça|Intervenção|Desfile|Fotografia|Exposição|Charge|Grafite|Leitura pública|Fabricação de cachaça artesanal""),
  REGEXMA"&amp;"TCH(B295,""dança|teatral|artístico|musical|artística"")
),""Manifestação artístico-cultural"",
IF(OR(
  REGEXMATCH(B295,""Crônica|Série|Reportagem|Podcast|Audiotour|Entrevista|Vídeo|Rádio|Notícia|Artigo de opinião|Coletiva de imprensa""),
  REGEXMATCH(B29"&amp;"5,""midiática"")
),""Produção midiática"","""")))
"),"Produção midiática")</f>
        <v>Produção midiática</v>
      </c>
      <c r="E295" s="20" t="str">
        <f>IFERROR(__xludf.DUMMYFUNCTION("IF(B295="""","""",IF(OR(
  REGEXMATCH(B295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REGEXMATCH(B295,""público|Imediato|artística|teatral|memória|Ação popular"")
),""Público Imediato"",
IF(REGEXMATCH(B295,""Música|Álbum|Filme|Documentár"&amp;"io|Série|Podcast|Rádio|Audiotour|Entrevista|Reportagem|Crônica|Relatório|Abaixo-assinado|Manifesto|Petição|Poema|Livro|Fotografia|Curta|Live|Webinário|Charge|Leitura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95" s="20" t="str">
        <f>IFERROR(__xludf.DUMMYFUNCTION("IF(B295="""","""",IF(OR(
  REGEXMATCH(B295,""Live|Webinário|Virtual|Verbete""),
  REGEXMATCH(B295,""online"")
),""Virtual"",
IF(REGEXMATCH(B295,""Música|Álbum|Filme|Documentário|Série|Podcast|Rádio|Audiotour|Episódio|Reportagem|Curta|Charge|Vídeo|Entrevis"&amp;"ta|Notícia|Artigo de opinião""),
""Midiático"",
IF(REGEXMATCH(B295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95" s="21" t="str">
        <f>IFERROR(__xludf.DUMMYFUNCTION("IF(C295=""rememoração"", ""Insira a data manualmente"", IF(C295=""difusão"", 
 IF(NOT(ISERROR(REGEXEXTRACT(T295, ""(\d{1,2}) jan\. 2025""))), 
  TEXT(DATE(2025,1,REGEXEXTRACT(T295, ""(\d{1,2}) jan\. 2025"")), ""dd/mm/yyyy""),
 IF(NOT(ISERROR(REGEXEXTRACT("&amp;"T295, ""(\d{1,2}) fev\. 2025""))), 
  TEXT(DATE(2025,2,REGEXEXTRACT(T295, ""(\d{1,2}) fev\. 2025"")), ""dd/mm/yyyy""),
 IF(NOT(ISERROR(REGEXEXTRACT(T295, ""(\d{1,2}) mar\. 2025""))), 
  TEXT(DATE(2025,3,REGEXEXTRACT(T295, ""(\d{1,2}) mar\. 2025"")), ""dd/"&amp;"mm/yyyy""),
 IF(NOT(ISERROR(REGEXEXTRACT(T295, ""(\d{1,2}) abr\. 2025""))), 
  TEXT(DATE(2025,4,REGEXEXTRACT(T295, ""(\d{1,2}) abr\. 2025"")), ""dd/mm/yyyy""),
 IF(NOT(ISERROR(REGEXEXTRACT(T295, ""(\d{1,2}) (mai|maio)\. 2025""))), 
  TEXT(DATE(2025,5,REGE"&amp;"XEXTRACT(T295, ""(\d{1,2}) (mai|maio)\. 2025"")), ""dd/mm/yyyy""),
 IF(NOT(ISERROR(REGEXEXTRACT(T295, ""(\d{1,2}) jun\. 2025""))), 
  TEXT(DATE(2025,6,REGEXEXTRACT(T295, ""(\d{1,2}) jun\. 2025"")), ""dd/mm/yyyy""),
 IF(NOT(ISERROR(REGEXEXTRACT(T295, ""(\d"&amp;"{1,2}) jul\. 2025""))), 
  TEXT(DATE(2025,7,REGEXEXTRACT(T295, ""(\d{1,2}) jul\. 2025"")), ""dd/mm/yyyy""),
 IF(NOT(ISERROR(REGEXEXTRACT(T295, ""(\d{1,2}) ago\. 2025""))), 
  TEXT(DATE(2025,8,REGEXEXTRACT(T295, ""(\d{1,2}) ago\. 2025"")), ""dd/mm/yyyy""),"&amp;"
 IF(NOT(ISERROR(REGEXEXTRACT(T295, ""(\d{1,2}) set\. 2025""))), 
  TEXT(DATE(2025,9,REGEXEXTRACT(T295, ""(\d{1,2}) set\. 2025"")), ""dd/mm/yyyy""),
 IF(NOT(ISERROR(REGEXEXTRACT(T295, ""(\d{1,2}) out\. 2025""))), 
  TEXT(DATE(2025,10,REGEXEXTRACT(T295, """&amp;"(\d{1,2}) out\. 2025"")), ""dd/mm/yyyy""),
 IF(NOT(ISERROR(REGEXEXTRACT(T295, ""(\d{1,2}) nov\. 2025""))), 
  TEXT(DATE(2025,11,REGEXEXTRACT(T295, ""(\d{1,2}) nov\. 2025"")), ""dd/mm/yyyy""),
 IF(NOT(ISERROR(REGEXEXTRACT(T295, ""(\d{1,2}) dez\. 2025""))),"&amp;" 
  TEXT(DATE(2025,12,REGEXEXTRACT(T295, ""(\d{1,2}) dez\. 2025"")), ""dd/mm/yyyy""),
 ""Insira a data manualmente"")))))))))))), """"))"),"12/11/2025")</f>
        <v>12/11/2025</v>
      </c>
      <c r="H295" s="22">
        <f t="shared" si="1"/>
        <v>2025</v>
      </c>
      <c r="I295" s="18" t="s">
        <v>298</v>
      </c>
      <c r="J295" s="30" t="s">
        <v>93</v>
      </c>
      <c r="K295" s="24" t="s">
        <v>743</v>
      </c>
      <c r="L295" s="24" t="s">
        <v>26</v>
      </c>
      <c r="M295" s="25" t="s">
        <v>27</v>
      </c>
      <c r="N295" s="18" t="str">
        <f t="shared" si="8"/>
        <v>Gazeta do Povo</v>
      </c>
      <c r="O295" s="17" t="s">
        <v>28</v>
      </c>
      <c r="P295" s="17" t="s">
        <v>251</v>
      </c>
      <c r="Q295" s="26">
        <v>45973.0</v>
      </c>
      <c r="R295" s="17" t="s">
        <v>37</v>
      </c>
      <c r="S295" s="27" t="str">
        <f t="shared" si="3"/>
        <v>Aqui</v>
      </c>
      <c r="T295" s="29" t="s">
        <v>744</v>
      </c>
      <c r="U295" s="29"/>
    </row>
    <row r="296">
      <c r="A296" s="16">
        <v>294.0</v>
      </c>
      <c r="B296" s="17" t="s">
        <v>23</v>
      </c>
      <c r="C296" s="18" t="str">
        <f>IFERROR(__xludf.DUMMYFUNCTION("IF(B296="""","""",IF(OR(
  REGEXMATCH(B296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REGEXMATCH(B296,""Notícia|Reportagem|Artigo de opinião|Verbete"")
),""Difusão"","""")))
"),"Difusão")</f>
        <v>Difusão</v>
      </c>
      <c r="D296" s="19" t="str">
        <f>IFERROR(__xludf.DUMMYFUNCTION("IF(B296="""","""",IF(OR(
  REGEXMATCH(B296,""Performance|Instalação|Álbum|Música|Poema|Livro|Filme|Documentário|Recitação|Espetáculo|Peça|Intervenção|Desfile|Fotografia|Exposição|Charge|Grafite|Leitura pública|Fabricação de cachaça artesanal""),
  REGEXMA"&amp;"TCH(B296,""dança|teatral|artístico|musical|artística"")
),""Manifestação artístico-cultural"",
IF(OR(
  REGEXMATCH(B296,""Crônica|Série|Reportagem|Podcast|Audiotour|Entrevista|Vídeo|Rádio|Notícia|Artigo de opinião|Coletiva de imprensa""),
  REGEXMATCH(B29"&amp;"6,""midiática"")
),""Produção midiática"","""")))
"),"Produção midiática")</f>
        <v>Produção midiática</v>
      </c>
      <c r="E296" s="20" t="str">
        <f>IFERROR(__xludf.DUMMYFUNCTION("IF(B296="""","""",IF(OR(
  REGEXMATCH(B296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REGEXMATCH(B296,""público|Imediato|artística|teatral|memória|Ação popular"")
),""Público Imediato"",
IF(REGEXMATCH(B296,""Música|Álbum|Filme|Documentár"&amp;"io|Série|Podcast|Rádio|Audiotour|Entrevista|Reportagem|Crônica|Relatório|Abaixo-assinado|Manifesto|Petição|Poema|Livro|Fotografia|Curta|Live|Webinário|Charge|Leitura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96" s="20" t="str">
        <f>IFERROR(__xludf.DUMMYFUNCTION("IF(B296="""","""",IF(OR(
  REGEXMATCH(B296,""Live|Webinário|Virtual|Verbete""),
  REGEXMATCH(B296,""online"")
),""Virtual"",
IF(REGEXMATCH(B296,""Música|Álbum|Filme|Documentário|Série|Podcast|Rádio|Audiotour|Episódio|Reportagem|Curta|Charge|Vídeo|Entrevis"&amp;"ta|Notícia|Artigo de opinião""),
""Midiático"",
IF(REGEXMATCH(B296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96" s="21" t="str">
        <f>IFERROR(__xludf.DUMMYFUNCTION("IF(C296=""rememoração"", ""Insira a data manualmente"", IF(C296=""difusão"", 
 IF(NOT(ISERROR(REGEXEXTRACT(T296, ""(\d{1,2}) jan\. 2025""))), 
  TEXT(DATE(2025,1,REGEXEXTRACT(T296, ""(\d{1,2}) jan\. 2025"")), ""dd/mm/yyyy""),
 IF(NOT(ISERROR(REGEXEXTRACT("&amp;"T296, ""(\d{1,2}) fev\. 2025""))), 
  TEXT(DATE(2025,2,REGEXEXTRACT(T296, ""(\d{1,2}) fev\. 2025"")), ""dd/mm/yyyy""),
 IF(NOT(ISERROR(REGEXEXTRACT(T296, ""(\d{1,2}) mar\. 2025""))), 
  TEXT(DATE(2025,3,REGEXEXTRACT(T296, ""(\d{1,2}) mar\. 2025"")), ""dd/"&amp;"mm/yyyy""),
 IF(NOT(ISERROR(REGEXEXTRACT(T296, ""(\d{1,2}) abr\. 2025""))), 
  TEXT(DATE(2025,4,REGEXEXTRACT(T296, ""(\d{1,2}) abr\. 2025"")), ""dd/mm/yyyy""),
 IF(NOT(ISERROR(REGEXEXTRACT(T296, ""(\d{1,2}) (mai|maio)\. 2025""))), 
  TEXT(DATE(2025,5,REGE"&amp;"XEXTRACT(T296, ""(\d{1,2}) (mai|maio)\. 2025"")), ""dd/mm/yyyy""),
 IF(NOT(ISERROR(REGEXEXTRACT(T296, ""(\d{1,2}) jun\. 2025""))), 
  TEXT(DATE(2025,6,REGEXEXTRACT(T296, ""(\d{1,2}) jun\. 2025"")), ""dd/mm/yyyy""),
 IF(NOT(ISERROR(REGEXEXTRACT(T296, ""(\d"&amp;"{1,2}) jul\. 2025""))), 
  TEXT(DATE(2025,7,REGEXEXTRACT(T296, ""(\d{1,2}) jul\. 2025"")), ""dd/mm/yyyy""),
 IF(NOT(ISERROR(REGEXEXTRACT(T296, ""(\d{1,2}) ago\. 2025""))), 
  TEXT(DATE(2025,8,REGEXEXTRACT(T296, ""(\d{1,2}) ago\. 2025"")), ""dd/mm/yyyy""),"&amp;"
 IF(NOT(ISERROR(REGEXEXTRACT(T296, ""(\d{1,2}) set\. 2025""))), 
  TEXT(DATE(2025,9,REGEXEXTRACT(T296, ""(\d{1,2}) set\. 2025"")), ""dd/mm/yyyy""),
 IF(NOT(ISERROR(REGEXEXTRACT(T296, ""(\d{1,2}) out\. 2025""))), 
  TEXT(DATE(2025,10,REGEXEXTRACT(T296, """&amp;"(\d{1,2}) out\. 2025"")), ""dd/mm/yyyy""),
 IF(NOT(ISERROR(REGEXEXTRACT(T296, ""(\d{1,2}) nov\. 2025""))), 
  TEXT(DATE(2025,11,REGEXEXTRACT(T296, ""(\d{1,2}) nov\. 2025"")), ""dd/mm/yyyy""),
 IF(NOT(ISERROR(REGEXEXTRACT(T296, ""(\d{1,2}) dez\. 2025""))),"&amp;" 
  TEXT(DATE(2025,12,REGEXEXTRACT(T296, ""(\d{1,2}) dez\. 2025"")), ""dd/mm/yyyy""),
 ""Insira a data manualmente"")))))))))))), """"))"),"06/11/2025")</f>
        <v>06/11/2025</v>
      </c>
      <c r="H296" s="22">
        <f t="shared" si="1"/>
        <v>2025</v>
      </c>
      <c r="I296" s="18" t="s">
        <v>298</v>
      </c>
      <c r="J296" s="30" t="s">
        <v>93</v>
      </c>
      <c r="K296" s="24" t="s">
        <v>745</v>
      </c>
      <c r="L296" s="24" t="s">
        <v>26</v>
      </c>
      <c r="M296" s="25" t="s">
        <v>27</v>
      </c>
      <c r="N296" s="18" t="str">
        <f t="shared" si="8"/>
        <v>Gazeta do Povo</v>
      </c>
      <c r="O296" s="17" t="s">
        <v>28</v>
      </c>
      <c r="P296" s="17" t="s">
        <v>251</v>
      </c>
      <c r="Q296" s="26">
        <v>45973.0</v>
      </c>
      <c r="R296" s="17" t="s">
        <v>37</v>
      </c>
      <c r="S296" s="27" t="str">
        <f t="shared" si="3"/>
        <v>Aqui</v>
      </c>
      <c r="T296" s="29" t="s">
        <v>746</v>
      </c>
      <c r="U296" s="29"/>
    </row>
    <row r="297">
      <c r="A297" s="16">
        <v>295.0</v>
      </c>
      <c r="B297" s="17" t="s">
        <v>23</v>
      </c>
      <c r="C297" s="18" t="str">
        <f>IFERROR(__xludf.DUMMYFUNCTION("IF(B297="""","""",IF(OR(
  REGEXMATCH(B297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REGEXMATCH(B297,""Notícia|Reportagem|Artigo de opinião|Verbete"")
),""Difusão"","""")))
"),"Difusão")</f>
        <v>Difusão</v>
      </c>
      <c r="D297" s="19" t="str">
        <f>IFERROR(__xludf.DUMMYFUNCTION("IF(B297="""","""",IF(OR(
  REGEXMATCH(B297,""Performance|Instalação|Álbum|Música|Poema|Livro|Filme|Documentário|Recitação|Espetáculo|Peça|Intervenção|Desfile|Fotografia|Exposição|Charge|Grafite|Leitura pública|Fabricação de cachaça artesanal""),
  REGEXMA"&amp;"TCH(B297,""dança|teatral|artístico|musical|artística"")
),""Manifestação artístico-cultural"",
IF(OR(
  REGEXMATCH(B297,""Crônica|Série|Reportagem|Podcast|Audiotour|Entrevista|Vídeo|Rádio|Notícia|Artigo de opinião|Coletiva de imprensa""),
  REGEXMATCH(B29"&amp;"7,""midiática"")
),""Produção midiática"","""")))
"),"Produção midiática")</f>
        <v>Produção midiática</v>
      </c>
      <c r="E297" s="20" t="str">
        <f>IFERROR(__xludf.DUMMYFUNCTION("IF(B297="""","""",IF(OR(
  REGEXMATCH(B297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REGEXMATCH(B297,""público|Imediato|artística|teatral|memória|Ação popular"")
),""Público Imediato"",
IF(REGEXMATCH(B297,""Música|Álbum|Filme|Documentár"&amp;"io|Série|Podcast|Rádio|Audiotour|Entrevista|Reportagem|Crônica|Relatório|Abaixo-assinado|Manifesto|Petição|Poema|Livro|Fotografia|Curta|Live|Webinário|Charge|Leitura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97" s="20" t="str">
        <f>IFERROR(__xludf.DUMMYFUNCTION("IF(B297="""","""",IF(OR(
  REGEXMATCH(B297,""Live|Webinário|Virtual|Verbete""),
  REGEXMATCH(B297,""online"")
),""Virtual"",
IF(REGEXMATCH(B297,""Música|Álbum|Filme|Documentário|Série|Podcast|Rádio|Audiotour|Episódio|Reportagem|Curta|Charge|Vídeo|Entrevis"&amp;"ta|Notícia|Artigo de opinião""),
""Midiático"",
IF(REGEXMATCH(B297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97" s="21" t="str">
        <f>IFERROR(__xludf.DUMMYFUNCTION("IF(C297=""rememoração"", ""Insira a data manualmente"", IF(C297=""difusão"", 
 IF(NOT(ISERROR(REGEXEXTRACT(T297, ""(\d{1,2}) jan\. 2025""))), 
  TEXT(DATE(2025,1,REGEXEXTRACT(T297, ""(\d{1,2}) jan\. 2025"")), ""dd/mm/yyyy""),
 IF(NOT(ISERROR(REGEXEXTRACT("&amp;"T297, ""(\d{1,2}) fev\. 2025""))), 
  TEXT(DATE(2025,2,REGEXEXTRACT(T297, ""(\d{1,2}) fev\. 2025"")), ""dd/mm/yyyy""),
 IF(NOT(ISERROR(REGEXEXTRACT(T297, ""(\d{1,2}) mar\. 2025""))), 
  TEXT(DATE(2025,3,REGEXEXTRACT(T297, ""(\d{1,2}) mar\. 2025"")), ""dd/"&amp;"mm/yyyy""),
 IF(NOT(ISERROR(REGEXEXTRACT(T297, ""(\d{1,2}) abr\. 2025""))), 
  TEXT(DATE(2025,4,REGEXEXTRACT(T297, ""(\d{1,2}) abr\. 2025"")), ""dd/mm/yyyy""),
 IF(NOT(ISERROR(REGEXEXTRACT(T297, ""(\d{1,2}) (mai|maio)\. 2025""))), 
  TEXT(DATE(2025,5,REGE"&amp;"XEXTRACT(T297, ""(\d{1,2}) (mai|maio)\. 2025"")), ""dd/mm/yyyy""),
 IF(NOT(ISERROR(REGEXEXTRACT(T297, ""(\d{1,2}) jun\. 2025""))), 
  TEXT(DATE(2025,6,REGEXEXTRACT(T297, ""(\d{1,2}) jun\. 2025"")), ""dd/mm/yyyy""),
 IF(NOT(ISERROR(REGEXEXTRACT(T297, ""(\d"&amp;"{1,2}) jul\. 2025""))), 
  TEXT(DATE(2025,7,REGEXEXTRACT(T297, ""(\d{1,2}) jul\. 2025"")), ""dd/mm/yyyy""),
 IF(NOT(ISERROR(REGEXEXTRACT(T297, ""(\d{1,2}) ago\. 2025""))), 
  TEXT(DATE(2025,8,REGEXEXTRACT(T297, ""(\d{1,2}) ago\. 2025"")), ""dd/mm/yyyy""),"&amp;"
 IF(NOT(ISERROR(REGEXEXTRACT(T297, ""(\d{1,2}) set\. 2025""))), 
  TEXT(DATE(2025,9,REGEXEXTRACT(T297, ""(\d{1,2}) set\. 2025"")), ""dd/mm/yyyy""),
 IF(NOT(ISERROR(REGEXEXTRACT(T297, ""(\d{1,2}) out\. 2025""))), 
  TEXT(DATE(2025,10,REGEXEXTRACT(T297, """&amp;"(\d{1,2}) out\. 2025"")), ""dd/mm/yyyy""),
 IF(NOT(ISERROR(REGEXEXTRACT(T297, ""(\d{1,2}) nov\. 2025""))), 
  TEXT(DATE(2025,11,REGEXEXTRACT(T297, ""(\d{1,2}) nov\. 2025"")), ""dd/mm/yyyy""),
 IF(NOT(ISERROR(REGEXEXTRACT(T297, ""(\d{1,2}) dez\. 2025""))),"&amp;" 
  TEXT(DATE(2025,12,REGEXEXTRACT(T297, ""(\d{1,2}) dez\. 2025"")), ""dd/mm/yyyy""),
 ""Insira a data manualmente"")))))))))))), """"))"),"11/11/2025")</f>
        <v>11/11/2025</v>
      </c>
      <c r="H297" s="22">
        <f t="shared" si="1"/>
        <v>2025</v>
      </c>
      <c r="I297" s="18" t="str">
        <f>IFERROR(__xludf.DUMMYFUNCTION("IF(REGEXMATCH(T297,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IF(REGEXMATCH(T297, ""(?i)\bBrasília\b""), ""Distrito Federal, Brasil"",
REGEXEXTRACT(T297,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97" s="30" t="s">
        <v>747</v>
      </c>
      <c r="K297" s="24" t="s">
        <v>748</v>
      </c>
      <c r="L297" s="24" t="s">
        <v>26</v>
      </c>
      <c r="M297" s="25" t="s">
        <v>27</v>
      </c>
      <c r="N297" s="18" t="str">
        <f t="shared" si="8"/>
        <v>Istoé</v>
      </c>
      <c r="O297" s="17" t="s">
        <v>28</v>
      </c>
      <c r="P297" s="17" t="s">
        <v>251</v>
      </c>
      <c r="Q297" s="26">
        <v>45973.0</v>
      </c>
      <c r="R297" s="17" t="s">
        <v>30</v>
      </c>
      <c r="S297" s="27" t="str">
        <f t="shared" si="3"/>
        <v>Aqui</v>
      </c>
      <c r="T297" s="29" t="s">
        <v>749</v>
      </c>
      <c r="U297" s="29"/>
    </row>
    <row r="298">
      <c r="A298" s="16">
        <v>296.0</v>
      </c>
      <c r="B298" s="17" t="s">
        <v>23</v>
      </c>
      <c r="C298" s="18" t="str">
        <f>IFERROR(__xludf.DUMMYFUNCTION("IF(B298="""","""",IF(OR(
  REGEXMATCH(B298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REGEXMATCH(B298,""Notícia|Reportagem|Artigo de opinião|Verbete"")
),""Difusão"","""")))
"),"Difusão")</f>
        <v>Difusão</v>
      </c>
      <c r="D298" s="19" t="str">
        <f>IFERROR(__xludf.DUMMYFUNCTION("IF(B298="""","""",IF(OR(
  REGEXMATCH(B298,""Performance|Instalação|Álbum|Música|Poema|Livro|Filme|Documentário|Recitação|Espetáculo|Peça|Intervenção|Desfile|Fotografia|Exposição|Charge|Grafite|Leitura pública|Fabricação de cachaça artesanal""),
  REGEXMA"&amp;"TCH(B298,""dança|teatral|artístico|musical|artística"")
),""Manifestação artístico-cultural"",
IF(OR(
  REGEXMATCH(B298,""Crônica|Série|Reportagem|Podcast|Audiotour|Entrevista|Vídeo|Rádio|Notícia|Artigo de opinião|Coletiva de imprensa""),
  REGEXMATCH(B29"&amp;"8,""midiática"")
),""Produção midiática"","""")))
"),"Produção midiática")</f>
        <v>Produção midiática</v>
      </c>
      <c r="E298" s="20" t="str">
        <f>IFERROR(__xludf.DUMMYFUNCTION("IF(B298="""","""",IF(OR(
  REGEXMATCH(B298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REGEXMATCH(B298,""público|Imediato|artística|teatral|memória|Ação popular"")
),""Público Imediato"",
IF(REGEXMATCH(B298,""Música|Álbum|Filme|Documentár"&amp;"io|Série|Podcast|Rádio|Audiotour|Entrevista|Reportagem|Crônica|Relatório|Abaixo-assinado|Manifesto|Petição|Poema|Livro|Fotografia|Curta|Live|Webinário|Charge|Leitura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98" s="20" t="str">
        <f>IFERROR(__xludf.DUMMYFUNCTION("IF(B298="""","""",IF(OR(
  REGEXMATCH(B298,""Live|Webinário|Virtual|Verbete""),
  REGEXMATCH(B298,""online"")
),""Virtual"",
IF(REGEXMATCH(B298,""Música|Álbum|Filme|Documentário|Série|Podcast|Rádio|Audiotour|Episódio|Reportagem|Curta|Charge|Vídeo|Entrevis"&amp;"ta|Notícia|Artigo de opinião""),
""Midiático"",
IF(REGEXMATCH(B298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98" s="21" t="str">
        <f>IFERROR(__xludf.DUMMYFUNCTION("IF(C298=""rememoração"", ""Insira a data manualmente"", IF(C298=""difusão"", 
 IF(NOT(ISERROR(REGEXEXTRACT(T298, ""(\d{1,2}) jan\. 2025""))), 
  TEXT(DATE(2025,1,REGEXEXTRACT(T298, ""(\d{1,2}) jan\. 2025"")), ""dd/mm/yyyy""),
 IF(NOT(ISERROR(REGEXEXTRACT("&amp;"T298, ""(\d{1,2}) fev\. 2025""))), 
  TEXT(DATE(2025,2,REGEXEXTRACT(T298, ""(\d{1,2}) fev\. 2025"")), ""dd/mm/yyyy""),
 IF(NOT(ISERROR(REGEXEXTRACT(T298, ""(\d{1,2}) mar\. 2025""))), 
  TEXT(DATE(2025,3,REGEXEXTRACT(T298, ""(\d{1,2}) mar\. 2025"")), ""dd/"&amp;"mm/yyyy""),
 IF(NOT(ISERROR(REGEXEXTRACT(T298, ""(\d{1,2}) abr\. 2025""))), 
  TEXT(DATE(2025,4,REGEXEXTRACT(T298, ""(\d{1,2}) abr\. 2025"")), ""dd/mm/yyyy""),
 IF(NOT(ISERROR(REGEXEXTRACT(T298, ""(\d{1,2}) (mai|maio)\. 2025""))), 
  TEXT(DATE(2025,5,REGE"&amp;"XEXTRACT(T298, ""(\d{1,2}) (mai|maio)\. 2025"")), ""dd/mm/yyyy""),
 IF(NOT(ISERROR(REGEXEXTRACT(T298, ""(\d{1,2}) jun\. 2025""))), 
  TEXT(DATE(2025,6,REGEXEXTRACT(T298, ""(\d{1,2}) jun\. 2025"")), ""dd/mm/yyyy""),
 IF(NOT(ISERROR(REGEXEXTRACT(T298, ""(\d"&amp;"{1,2}) jul\. 2025""))), 
  TEXT(DATE(2025,7,REGEXEXTRACT(T298, ""(\d{1,2}) jul\. 2025"")), ""dd/mm/yyyy""),
 IF(NOT(ISERROR(REGEXEXTRACT(T298, ""(\d{1,2}) ago\. 2025""))), 
  TEXT(DATE(2025,8,REGEXEXTRACT(T298, ""(\d{1,2}) ago\. 2025"")), ""dd/mm/yyyy""),"&amp;"
 IF(NOT(ISERROR(REGEXEXTRACT(T298, ""(\d{1,2}) set\. 2025""))), 
  TEXT(DATE(2025,9,REGEXEXTRACT(T298, ""(\d{1,2}) set\. 2025"")), ""dd/mm/yyyy""),
 IF(NOT(ISERROR(REGEXEXTRACT(T298, ""(\d{1,2}) out\. 2025""))), 
  TEXT(DATE(2025,10,REGEXEXTRACT(T298, """&amp;"(\d{1,2}) out\. 2025"")), ""dd/mm/yyyy""),
 IF(NOT(ISERROR(REGEXEXTRACT(T298, ""(\d{1,2}) nov\. 2025""))), 
  TEXT(DATE(2025,11,REGEXEXTRACT(T298, ""(\d{1,2}) nov\. 2025"")), ""dd/mm/yyyy""),
 IF(NOT(ISERROR(REGEXEXTRACT(T298, ""(\d{1,2}) dez\. 2025""))),"&amp;" 
  TEXT(DATE(2025,12,REGEXEXTRACT(T298, ""(\d{1,2}) dez\. 2025"")), ""dd/mm/yyyy""),
 ""Insira a data manualmente"")))))))))))), """"))"),"10/11/2025")</f>
        <v>10/11/2025</v>
      </c>
      <c r="H298" s="22">
        <f t="shared" si="1"/>
        <v>2025</v>
      </c>
      <c r="I298" s="18" t="str">
        <f>IFERROR(__xludf.DUMMYFUNCTION("IF(REGEXMATCH(T298,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IF(REGEXMATCH(T298, ""(?i)\bBrasília\b""), ""Distrito Federal, Brasil"",
REGEXEXTRACT(T298,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manualmente"")"),"Distrito Federal, Brasil")</f>
        <v>Distrito Federal, Brasil</v>
      </c>
      <c r="J298" s="30" t="s">
        <v>336</v>
      </c>
      <c r="K298" s="24" t="s">
        <v>750</v>
      </c>
      <c r="L298" s="24" t="s">
        <v>26</v>
      </c>
      <c r="M298" s="25" t="s">
        <v>27</v>
      </c>
      <c r="N298" s="18" t="str">
        <f t="shared" si="8"/>
        <v>G1</v>
      </c>
      <c r="O298" s="17" t="s">
        <v>28</v>
      </c>
      <c r="P298" s="17" t="s">
        <v>251</v>
      </c>
      <c r="Q298" s="26">
        <v>45973.0</v>
      </c>
      <c r="R298" s="17" t="s">
        <v>30</v>
      </c>
      <c r="S298" s="27" t="str">
        <f t="shared" si="3"/>
        <v>Aqui</v>
      </c>
      <c r="T298" s="29" t="s">
        <v>751</v>
      </c>
      <c r="U298" s="29"/>
    </row>
    <row r="299">
      <c r="A299" s="16">
        <v>297.0</v>
      </c>
      <c r="B299" s="17" t="s">
        <v>23</v>
      </c>
      <c r="C299" s="18" t="str">
        <f>IFERROR(__xludf.DUMMYFUNCTION("IF(B299="""","""",IF(OR(
  REGEXMATCH(B299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REGEXMATCH(B299,""Notícia|Reportagem|Artigo de opinião|Verbete"")
),""Difusão"","""")))
"),"Difusão")</f>
        <v>Difusão</v>
      </c>
      <c r="D299" s="19" t="str">
        <f>IFERROR(__xludf.DUMMYFUNCTION("IF(B299="""","""",IF(OR(
  REGEXMATCH(B299,""Performance|Instalação|Álbum|Música|Poema|Livro|Filme|Documentário|Recitação|Espetáculo|Peça|Intervenção|Desfile|Fotografia|Exposição|Charge|Grafite|Leitura pública|Fabricação de cachaça artesanal""),
  REGEXMA"&amp;"TCH(B299,""dança|teatral|artístico|musical|artística"")
),""Manifestação artístico-cultural"",
IF(OR(
  REGEXMATCH(B299,""Crônica|Série|Reportagem|Podcast|Audiotour|Entrevista|Vídeo|Rádio|Notícia|Artigo de opinião|Coletiva de imprensa""),
  REGEXMATCH(B29"&amp;"9,""midiática"")
),""Produção midiática"","""")))
"),"Produção midiática")</f>
        <v>Produção midiática</v>
      </c>
      <c r="E299" s="20" t="str">
        <f>IFERROR(__xludf.DUMMYFUNCTION("IF(B299="""","""",IF(OR(
  REGEXMATCH(B299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REGEXMATCH(B299,""público|Imediato|artística|teatral|memória|Ação popular"")
),""Público Imediato"",
IF(REGEXMATCH(B299,""Música|Álbum|Filme|Documentár"&amp;"io|Série|Podcast|Rádio|Audiotour|Entrevista|Reportagem|Crônica|Relatório|Abaixo-assinado|Manifesto|Petição|Poema|Livro|Fotografia|Curta|Live|Webinário|Charge|Leitura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299" s="20" t="str">
        <f>IFERROR(__xludf.DUMMYFUNCTION("IF(B299="""","""",IF(OR(
  REGEXMATCH(B299,""Live|Webinário|Virtual|Verbete""),
  REGEXMATCH(B299,""online"")
),""Virtual"",
IF(REGEXMATCH(B299,""Música|Álbum|Filme|Documentário|Série|Podcast|Rádio|Audiotour|Episódio|Reportagem|Curta|Charge|Vídeo|Entrevis"&amp;"ta|Notícia|Artigo de opinião""),
""Midiático"",
IF(REGEXMATCH(B299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299" s="21" t="str">
        <f>IFERROR(__xludf.DUMMYFUNCTION("IF(C299=""rememoração"", ""Insira a data manualmente"", IF(C299=""difusão"", 
 IF(NOT(ISERROR(REGEXEXTRACT(T299, ""(\d{1,2}) jan\. 2025""))), 
  TEXT(DATE(2025,1,REGEXEXTRACT(T299, ""(\d{1,2}) jan\. 2025"")), ""dd/mm/yyyy""),
 IF(NOT(ISERROR(REGEXEXTRACT("&amp;"T299, ""(\d{1,2}) fev\. 2025""))), 
  TEXT(DATE(2025,2,REGEXEXTRACT(T299, ""(\d{1,2}) fev\. 2025"")), ""dd/mm/yyyy""),
 IF(NOT(ISERROR(REGEXEXTRACT(T299, ""(\d{1,2}) mar\. 2025""))), 
  TEXT(DATE(2025,3,REGEXEXTRACT(T299, ""(\d{1,2}) mar\. 2025"")), ""dd/"&amp;"mm/yyyy""),
 IF(NOT(ISERROR(REGEXEXTRACT(T299, ""(\d{1,2}) abr\. 2025""))), 
  TEXT(DATE(2025,4,REGEXEXTRACT(T299, ""(\d{1,2}) abr\. 2025"")), ""dd/mm/yyyy""),
 IF(NOT(ISERROR(REGEXEXTRACT(T299, ""(\d{1,2}) (mai|maio)\. 2025""))), 
  TEXT(DATE(2025,5,REGE"&amp;"XEXTRACT(T299, ""(\d{1,2}) (mai|maio)\. 2025"")), ""dd/mm/yyyy""),
 IF(NOT(ISERROR(REGEXEXTRACT(T299, ""(\d{1,2}) jun\. 2025""))), 
  TEXT(DATE(2025,6,REGEXEXTRACT(T299, ""(\d{1,2}) jun\. 2025"")), ""dd/mm/yyyy""),
 IF(NOT(ISERROR(REGEXEXTRACT(T299, ""(\d"&amp;"{1,2}) jul\. 2025""))), 
  TEXT(DATE(2025,7,REGEXEXTRACT(T299, ""(\d{1,2}) jul\. 2025"")), ""dd/mm/yyyy""),
 IF(NOT(ISERROR(REGEXEXTRACT(T299, ""(\d{1,2}) ago\. 2025""))), 
  TEXT(DATE(2025,8,REGEXEXTRACT(T299, ""(\d{1,2}) ago\. 2025"")), ""dd/mm/yyyy""),"&amp;"
 IF(NOT(ISERROR(REGEXEXTRACT(T299, ""(\d{1,2}) set\. 2025""))), 
  TEXT(DATE(2025,9,REGEXEXTRACT(T299, ""(\d{1,2}) set\. 2025"")), ""dd/mm/yyyy""),
 IF(NOT(ISERROR(REGEXEXTRACT(T299, ""(\d{1,2}) out\. 2025""))), 
  TEXT(DATE(2025,10,REGEXEXTRACT(T299, """&amp;"(\d{1,2}) out\. 2025"")), ""dd/mm/yyyy""),
 IF(NOT(ISERROR(REGEXEXTRACT(T299, ""(\d{1,2}) nov\. 2025""))), 
  TEXT(DATE(2025,11,REGEXEXTRACT(T299, ""(\d{1,2}) nov\. 2025"")), ""dd/mm/yyyy""),
 IF(NOT(ISERROR(REGEXEXTRACT(T299, ""(\d{1,2}) dez\. 2025""))),"&amp;" 
  TEXT(DATE(2025,12,REGEXEXTRACT(T299, ""(\d{1,2}) dez\. 2025"")), ""dd/mm/yyyy""),
 ""Insira a data manualmente"")))))))))))), """"))"),"10/11/2025")</f>
        <v>10/11/2025</v>
      </c>
      <c r="H299" s="22">
        <f t="shared" si="1"/>
        <v>2025</v>
      </c>
      <c r="I299" s="18" t="str">
        <f>IFERROR(__xludf.DUMMYFUNCTION("IF(REGEXMATCH(T299,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IF(REGEXMATCH(T299, ""(?i)\bBrasília\b""), ""Distrito Federal, Brasil"",
REGEXEXTRACT(T299,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299" s="30" t="s">
        <v>323</v>
      </c>
      <c r="K299" s="24" t="s">
        <v>752</v>
      </c>
      <c r="L299" s="24" t="s">
        <v>26</v>
      </c>
      <c r="M299" s="25" t="s">
        <v>27</v>
      </c>
      <c r="N299" s="18" t="str">
        <f t="shared" si="8"/>
        <v>O Estado de S. Paulo</v>
      </c>
      <c r="O299" s="17" t="s">
        <v>28</v>
      </c>
      <c r="P299" s="17" t="s">
        <v>251</v>
      </c>
      <c r="Q299" s="26">
        <v>45973.0</v>
      </c>
      <c r="R299" s="17" t="s">
        <v>30</v>
      </c>
      <c r="S299" s="27" t="str">
        <f t="shared" si="3"/>
        <v>Aqui</v>
      </c>
      <c r="T299" s="29" t="s">
        <v>753</v>
      </c>
      <c r="U299" s="29"/>
    </row>
    <row r="300">
      <c r="A300" s="16">
        <v>298.0</v>
      </c>
      <c r="B300" s="17" t="s">
        <v>23</v>
      </c>
      <c r="C300" s="18" t="str">
        <f>IFERROR(__xludf.DUMMYFUNCTION("IF(B300="""","""",IF(OR(
  REGEXMATCH(B300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REGEXMATCH(B300,""Notícia|Reportagem|Artigo de opinião|Verbete"")
),""Difusão"","""")))
"),"Difusão")</f>
        <v>Difusão</v>
      </c>
      <c r="D300" s="19" t="str">
        <f>IFERROR(__xludf.DUMMYFUNCTION("IF(B300="""","""",IF(OR(
  REGEXMATCH(B300,""Performance|Instalação|Álbum|Música|Poema|Livro|Filme|Documentário|Recitação|Espetáculo|Peça|Intervenção|Desfile|Fotografia|Exposição|Charge|Grafite|Leitura pública|Fabricação de cachaça artesanal""),
  REGEXMA"&amp;"TCH(B300,""dança|teatral|artístico|musical|artística"")
),""Manifestação artístico-cultural"",
IF(OR(
  REGEXMATCH(B300,""Crônica|Série|Reportagem|Podcast|Audiotour|Entrevista|Vídeo|Rádio|Notícia|Artigo de opinião|Coletiva de imprensa""),
  REGEXMATCH(B30"&amp;"0,""midiática"")
),""Produção midiática"","""")))
"),"Produção midiática")</f>
        <v>Produção midiática</v>
      </c>
      <c r="E300" s="20" t="str">
        <f>IFERROR(__xludf.DUMMYFUNCTION("IF(B300="""","""",IF(OR(
  REGEXMATCH(B300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REGEXMATCH(B300,""público|Imediato|artística|teatral|memória|Ação popular"")
),""Público Imediato"",
IF(REGEXMATCH(B300,""Música|Álbum|Filme|Documentár"&amp;"io|Série|Podcast|Rádio|Audiotour|Entrevista|Reportagem|Crônica|Relatório|Abaixo-assinado|Manifesto|Petição|Poema|Livro|Fotografia|Curta|Live|Webinário|Charge|Leitura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300" s="20" t="str">
        <f>IFERROR(__xludf.DUMMYFUNCTION("IF(B300="""","""",IF(OR(
  REGEXMATCH(B300,""Live|Webinário|Virtual|Verbete""),
  REGEXMATCH(B300,""online"")
),""Virtual"",
IF(REGEXMATCH(B300,""Música|Álbum|Filme|Documentário|Série|Podcast|Rádio|Audiotour|Episódio|Reportagem|Curta|Charge|Vídeo|Entrevis"&amp;"ta|Notícia|Artigo de opinião""),
""Midiático"",
IF(REGEXMATCH(B300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300" s="21" t="str">
        <f>IFERROR(__xludf.DUMMYFUNCTION("IF(C300=""rememoração"", ""Insira a data manualmente"", IF(C300=""difusão"", 
 IF(NOT(ISERROR(REGEXEXTRACT(T300, ""(\d{1,2}) jan\. 2025""))), 
  TEXT(DATE(2025,1,REGEXEXTRACT(T300, ""(\d{1,2}) jan\. 2025"")), ""dd/mm/yyyy""),
 IF(NOT(ISERROR(REGEXEXTRACT("&amp;"T300, ""(\d{1,2}) fev\. 2025""))), 
  TEXT(DATE(2025,2,REGEXEXTRACT(T300, ""(\d{1,2}) fev\. 2025"")), ""dd/mm/yyyy""),
 IF(NOT(ISERROR(REGEXEXTRACT(T300, ""(\d{1,2}) mar\. 2025""))), 
  TEXT(DATE(2025,3,REGEXEXTRACT(T300, ""(\d{1,2}) mar\. 2025"")), ""dd/"&amp;"mm/yyyy""),
 IF(NOT(ISERROR(REGEXEXTRACT(T300, ""(\d{1,2}) abr\. 2025""))), 
  TEXT(DATE(2025,4,REGEXEXTRACT(T300, ""(\d{1,2}) abr\. 2025"")), ""dd/mm/yyyy""),
 IF(NOT(ISERROR(REGEXEXTRACT(T300, ""(\d{1,2}) (mai|maio)\. 2025""))), 
  TEXT(DATE(2025,5,REGE"&amp;"XEXTRACT(T300, ""(\d{1,2}) (mai|maio)\. 2025"")), ""dd/mm/yyyy""),
 IF(NOT(ISERROR(REGEXEXTRACT(T300, ""(\d{1,2}) jun\. 2025""))), 
  TEXT(DATE(2025,6,REGEXEXTRACT(T300, ""(\d{1,2}) jun\. 2025"")), ""dd/mm/yyyy""),
 IF(NOT(ISERROR(REGEXEXTRACT(T300, ""(\d"&amp;"{1,2}) jul\. 2025""))), 
  TEXT(DATE(2025,7,REGEXEXTRACT(T300, ""(\d{1,2}) jul\. 2025"")), ""dd/mm/yyyy""),
 IF(NOT(ISERROR(REGEXEXTRACT(T300, ""(\d{1,2}) ago\. 2025""))), 
  TEXT(DATE(2025,8,REGEXEXTRACT(T300, ""(\d{1,2}) ago\. 2025"")), ""dd/mm/yyyy""),"&amp;"
 IF(NOT(ISERROR(REGEXEXTRACT(T300, ""(\d{1,2}) set\. 2025""))), 
  TEXT(DATE(2025,9,REGEXEXTRACT(T300, ""(\d{1,2}) set\. 2025"")), ""dd/mm/yyyy""),
 IF(NOT(ISERROR(REGEXEXTRACT(T300, ""(\d{1,2}) out\. 2025""))), 
  TEXT(DATE(2025,10,REGEXEXTRACT(T300, """&amp;"(\d{1,2}) out\. 2025"")), ""dd/mm/yyyy""),
 IF(NOT(ISERROR(REGEXEXTRACT(T300, ""(\d{1,2}) nov\. 2025""))), 
  TEXT(DATE(2025,11,REGEXEXTRACT(T300, ""(\d{1,2}) nov\. 2025"")), ""dd/mm/yyyy""),
 IF(NOT(ISERROR(REGEXEXTRACT(T300, ""(\d{1,2}) dez\. 2025""))),"&amp;" 
  TEXT(DATE(2025,12,REGEXEXTRACT(T300, ""(\d{1,2}) dez\. 2025"")), ""dd/mm/yyyy""),
 ""Insira a data manualmente"")))))))))))), """"))"),"11/11/2025")</f>
        <v>11/11/2025</v>
      </c>
      <c r="H300" s="22">
        <f t="shared" si="1"/>
        <v>2025</v>
      </c>
      <c r="I300" s="18" t="str">
        <f>IFERROR(__xludf.DUMMYFUNCTION("IF(REGEXMATCH(T300,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IF(REGEXMATCH(T300, ""(?i)\bBrasília\b""), ""Distrito Federal, Brasil"",
REGEXEXTRACT(T300,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300" s="30" t="s">
        <v>48</v>
      </c>
      <c r="K300" s="24" t="s">
        <v>754</v>
      </c>
      <c r="L300" s="24" t="s">
        <v>26</v>
      </c>
      <c r="M300" s="25" t="s">
        <v>27</v>
      </c>
      <c r="N300" s="18" t="str">
        <f t="shared" si="8"/>
        <v>Folha de S. Paulo</v>
      </c>
      <c r="O300" s="17" t="s">
        <v>28</v>
      </c>
      <c r="P300" s="17" t="s">
        <v>251</v>
      </c>
      <c r="Q300" s="26">
        <v>45973.0</v>
      </c>
      <c r="R300" s="17" t="s">
        <v>37</v>
      </c>
      <c r="S300" s="27" t="str">
        <f t="shared" si="3"/>
        <v>Aqui</v>
      </c>
      <c r="T300" s="29" t="s">
        <v>755</v>
      </c>
      <c r="U300" s="29"/>
    </row>
    <row r="301">
      <c r="A301" s="16">
        <v>299.0</v>
      </c>
      <c r="B301" s="17" t="s">
        <v>23</v>
      </c>
      <c r="C301" s="18" t="str">
        <f>IFERROR(__xludf.DUMMYFUNCTION("IF(B301="""","""",IF(OR(
  REGEXMATCH(B301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REGEXMATCH(B301,""Notícia|Reportagem|Artigo de opinião|Verbete"")
),""Difusão"","""")))
"),"Difusão")</f>
        <v>Difusão</v>
      </c>
      <c r="D301" s="19" t="str">
        <f>IFERROR(__xludf.DUMMYFUNCTION("IF(B301="""","""",IF(OR(
  REGEXMATCH(B301,""Performance|Instalação|Álbum|Música|Poema|Livro|Filme|Documentário|Recitação|Espetáculo|Peça|Intervenção|Desfile|Fotografia|Exposição|Charge|Grafite|Leitura pública|Fabricação de cachaça artesanal""),
  REGEXMA"&amp;"TCH(B301,""dança|teatral|artístico|musical|artística"")
),""Manifestação artístico-cultural"",
IF(OR(
  REGEXMATCH(B301,""Crônica|Série|Reportagem|Podcast|Audiotour|Entrevista|Vídeo|Rádio|Notícia|Artigo de opinião|Coletiva de imprensa""),
  REGEXMATCH(B30"&amp;"1,""midiática"")
),""Produção midiática"","""")))
"),"Produção midiática")</f>
        <v>Produção midiática</v>
      </c>
      <c r="E301" s="20" t="str">
        <f>IFERROR(__xludf.DUMMYFUNCTION("IF(B301="""","""",IF(OR(
  REGEXMATCH(B301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REGEXMATCH(B301,""público|Imediato|artística|teatral|memória|Ação popular"")
),""Público Imediato"",
IF(REGEXMATCH(B301,""Música|Álbum|Filme|Documentár"&amp;"io|Série|Podcast|Rádio|Audiotour|Entrevista|Reportagem|Crônica|Relatório|Abaixo-assinado|Manifesto|Petição|Poema|Livro|Fotografia|Curta|Live|Webinário|Charge|Leitura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301" s="20" t="str">
        <f>IFERROR(__xludf.DUMMYFUNCTION("IF(B301="""","""",IF(OR(
  REGEXMATCH(B301,""Live|Webinário|Virtual|Verbete""),
  REGEXMATCH(B301,""online"")
),""Virtual"",
IF(REGEXMATCH(B301,""Música|Álbum|Filme|Documentário|Série|Podcast|Rádio|Audiotour|Episódio|Reportagem|Curta|Charge|Vídeo|Entrevis"&amp;"ta|Notícia|Artigo de opinião""),
""Midiático"",
IF(REGEXMATCH(B301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301" s="21" t="str">
        <f>IFERROR(__xludf.DUMMYFUNCTION("IF(C301=""rememoração"", ""Insira a data manualmente"", IF(C301=""difusão"", 
 IF(NOT(ISERROR(REGEXEXTRACT(T301, ""(\d{1,2}) jan\. 2025""))), 
  TEXT(DATE(2025,1,REGEXEXTRACT(T301, ""(\d{1,2}) jan\. 2025"")), ""dd/mm/yyyy""),
 IF(NOT(ISERROR(REGEXEXTRACT("&amp;"T301, ""(\d{1,2}) fev\. 2025""))), 
  TEXT(DATE(2025,2,REGEXEXTRACT(T301, ""(\d{1,2}) fev\. 2025"")), ""dd/mm/yyyy""),
 IF(NOT(ISERROR(REGEXEXTRACT(T301, ""(\d{1,2}) mar\. 2025""))), 
  TEXT(DATE(2025,3,REGEXEXTRACT(T301, ""(\d{1,2}) mar\. 2025"")), ""dd/"&amp;"mm/yyyy""),
 IF(NOT(ISERROR(REGEXEXTRACT(T301, ""(\d{1,2}) abr\. 2025""))), 
  TEXT(DATE(2025,4,REGEXEXTRACT(T301, ""(\d{1,2}) abr\. 2025"")), ""dd/mm/yyyy""),
 IF(NOT(ISERROR(REGEXEXTRACT(T301, ""(\d{1,2}) (mai|maio)\. 2025""))), 
  TEXT(DATE(2025,5,REGE"&amp;"XEXTRACT(T301, ""(\d{1,2}) (mai|maio)\. 2025"")), ""dd/mm/yyyy""),
 IF(NOT(ISERROR(REGEXEXTRACT(T301, ""(\d{1,2}) jun\. 2025""))), 
  TEXT(DATE(2025,6,REGEXEXTRACT(T301, ""(\d{1,2}) jun\. 2025"")), ""dd/mm/yyyy""),
 IF(NOT(ISERROR(REGEXEXTRACT(T301, ""(\d"&amp;"{1,2}) jul\. 2025""))), 
  TEXT(DATE(2025,7,REGEXEXTRACT(T301, ""(\d{1,2}) jul\. 2025"")), ""dd/mm/yyyy""),
 IF(NOT(ISERROR(REGEXEXTRACT(T301, ""(\d{1,2}) ago\. 2025""))), 
  TEXT(DATE(2025,8,REGEXEXTRACT(T301, ""(\d{1,2}) ago\. 2025"")), ""dd/mm/yyyy""),"&amp;"
 IF(NOT(ISERROR(REGEXEXTRACT(T301, ""(\d{1,2}) set\. 2025""))), 
  TEXT(DATE(2025,9,REGEXEXTRACT(T301, ""(\d{1,2}) set\. 2025"")), ""dd/mm/yyyy""),
 IF(NOT(ISERROR(REGEXEXTRACT(T301, ""(\d{1,2}) out\. 2025""))), 
  TEXT(DATE(2025,10,REGEXEXTRACT(T301, """&amp;"(\d{1,2}) out\. 2025"")), ""dd/mm/yyyy""),
 IF(NOT(ISERROR(REGEXEXTRACT(T301, ""(\d{1,2}) nov\. 2025""))), 
  TEXT(DATE(2025,11,REGEXEXTRACT(T301, ""(\d{1,2}) nov\. 2025"")), ""dd/mm/yyyy""),
 IF(NOT(ISERROR(REGEXEXTRACT(T301, ""(\d{1,2}) dez\. 2025""))),"&amp;" 
  TEXT(DATE(2025,12,REGEXEXTRACT(T301, ""(\d{1,2}) dez\. 2025"")), ""dd/mm/yyyy""),
 ""Insira a data manualmente"")))))))))))), """"))"),"10/11/2025")</f>
        <v>10/11/2025</v>
      </c>
      <c r="H301" s="22">
        <f t="shared" si="1"/>
        <v>2025</v>
      </c>
      <c r="I301" s="18" t="str">
        <f>IFERROR(__xludf.DUMMYFUNCTION("IF(REGEXMATCH(T301,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IF(REGEXMATCH(T301, ""(?i)\bBrasília\b""), ""Distrito Federal, Brasil"",
REGEXEXTRACT(T301,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manualmente"")"),"São Paulo, Brasil")</f>
        <v>São Paulo, Brasil</v>
      </c>
      <c r="J301" s="30" t="s">
        <v>48</v>
      </c>
      <c r="K301" s="37" t="s">
        <v>756</v>
      </c>
      <c r="L301" s="24" t="s">
        <v>26</v>
      </c>
      <c r="M301" s="25" t="s">
        <v>27</v>
      </c>
      <c r="N301" s="18" t="str">
        <f t="shared" si="8"/>
        <v>Folha de S. Paulo</v>
      </c>
      <c r="O301" s="17" t="s">
        <v>28</v>
      </c>
      <c r="P301" s="17" t="s">
        <v>251</v>
      </c>
      <c r="Q301" s="26">
        <v>45973.0</v>
      </c>
      <c r="R301" s="17" t="s">
        <v>37</v>
      </c>
      <c r="S301" s="27" t="str">
        <f t="shared" si="3"/>
        <v>Aqui</v>
      </c>
      <c r="T301" s="29" t="s">
        <v>757</v>
      </c>
      <c r="U301" s="29"/>
    </row>
    <row r="302">
      <c r="A302" s="16">
        <v>300.0</v>
      </c>
      <c r="B302" s="17" t="s">
        <v>23</v>
      </c>
      <c r="C302" s="18" t="str">
        <f>IFERROR(__xludf.DUMMYFUNCTION("IF(B302="""","""",IF(OR(
  REGEXMATCH(B302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REGEXMATCH(B302,""Notícia|Reportagem|Artigo de opinião|Verbete"")
),""Difusão"","""")))
"),"Difusão")</f>
        <v>Difusão</v>
      </c>
      <c r="D302" s="19" t="str">
        <f>IFERROR(__xludf.DUMMYFUNCTION("IF(B302="""","""",IF(OR(
  REGEXMATCH(B302,""Performance|Instalação|Álbum|Música|Poema|Livro|Filme|Documentário|Recitação|Espetáculo|Peça|Intervenção|Desfile|Fotografia|Exposição|Charge|Grafite|Leitura pública|Fabricação de cachaça artesanal""),
  REGEXMA"&amp;"TCH(B302,""dança|teatral|artístico|musical|artística"")
),""Manifestação artístico-cultural"",
IF(OR(
  REGEXMATCH(B302,""Crônica|Série|Reportagem|Podcast|Audiotour|Entrevista|Vídeo|Rádio|Notícia|Artigo de opinião|Coletiva de imprensa""),
  REGEXMATCH(B30"&amp;"2,""midiática"")
),""Produção midiática"","""")))
"),"Produção midiática")</f>
        <v>Produção midiática</v>
      </c>
      <c r="E302" s="20" t="str">
        <f>IFERROR(__xludf.DUMMYFUNCTION("IF(B302="""","""",IF(OR(
  REGEXMATCH(B302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REGEXMATCH(B302,""público|Imediato|artística|teatral|memória|Ação popular"")
),""Público Imediato"",
IF(REGEXMATCH(B302,""Música|Álbum|Filme|Documentár"&amp;"io|Série|Podcast|Rádio|Audiotour|Entrevista|Reportagem|Crônica|Relatório|Abaixo-assinado|Manifesto|Petição|Poema|Livro|Fotografia|Curta|Live|Webinário|Charge|Leitura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302" s="20" t="str">
        <f>IFERROR(__xludf.DUMMYFUNCTION("IF(B302="""","""",IF(OR(
  REGEXMATCH(B302,""Live|Webinário|Virtual|Verbete""),
  REGEXMATCH(B302,""online"")
),""Virtual"",
IF(REGEXMATCH(B302,""Música|Álbum|Filme|Documentário|Série|Podcast|Rádio|Audiotour|Episódio|Reportagem|Curta|Charge|Vídeo|Entrevis"&amp;"ta|Notícia|Artigo de opinião""),
""Midiático"",
IF(REGEXMATCH(B302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302" s="21" t="str">
        <f>IFERROR(__xludf.DUMMYFUNCTION("IF(C302=""rememoração"", ""Insira a data manualmente"", IF(C302=""difusão"", 
 IF(NOT(ISERROR(REGEXEXTRACT(T302, ""(\d{1,2}) jan\. 2025""))), 
  TEXT(DATE(2025,1,REGEXEXTRACT(T302, ""(\d{1,2}) jan\. 2025"")), ""dd/mm/yyyy""),
 IF(NOT(ISERROR(REGEXEXTRACT("&amp;"T302, ""(\d{1,2}) fev\. 2025""))), 
  TEXT(DATE(2025,2,REGEXEXTRACT(T302, ""(\d{1,2}) fev\. 2025"")), ""dd/mm/yyyy""),
 IF(NOT(ISERROR(REGEXEXTRACT(T302, ""(\d{1,2}) mar\. 2025""))), 
  TEXT(DATE(2025,3,REGEXEXTRACT(T302, ""(\d{1,2}) mar\. 2025"")), ""dd/"&amp;"mm/yyyy""),
 IF(NOT(ISERROR(REGEXEXTRACT(T302, ""(\d{1,2}) abr\. 2025""))), 
  TEXT(DATE(2025,4,REGEXEXTRACT(T302, ""(\d{1,2}) abr\. 2025"")), ""dd/mm/yyyy""),
 IF(NOT(ISERROR(REGEXEXTRACT(T302, ""(\d{1,2}) (mai|maio)\. 2025""))), 
  TEXT(DATE(2025,5,REGE"&amp;"XEXTRACT(T302, ""(\d{1,2}) (mai|maio)\. 2025"")), ""dd/mm/yyyy""),
 IF(NOT(ISERROR(REGEXEXTRACT(T302, ""(\d{1,2}) jun\. 2025""))), 
  TEXT(DATE(2025,6,REGEXEXTRACT(T302, ""(\d{1,2}) jun\. 2025"")), ""dd/mm/yyyy""),
 IF(NOT(ISERROR(REGEXEXTRACT(T302, ""(\d"&amp;"{1,2}) jul\. 2025""))), 
  TEXT(DATE(2025,7,REGEXEXTRACT(T302, ""(\d{1,2}) jul\. 2025"")), ""dd/mm/yyyy""),
 IF(NOT(ISERROR(REGEXEXTRACT(T302, ""(\d{1,2}) ago\. 2025""))), 
  TEXT(DATE(2025,8,REGEXEXTRACT(T302, ""(\d{1,2}) ago\. 2025"")), ""dd/mm/yyyy""),"&amp;"
 IF(NOT(ISERROR(REGEXEXTRACT(T302, ""(\d{1,2}) set\. 2025""))), 
  TEXT(DATE(2025,9,REGEXEXTRACT(T302, ""(\d{1,2}) set\. 2025"")), ""dd/mm/yyyy""),
 IF(NOT(ISERROR(REGEXEXTRACT(T302, ""(\d{1,2}) out\. 2025""))), 
  TEXT(DATE(2025,10,REGEXEXTRACT(T302, """&amp;"(\d{1,2}) out\. 2025"")), ""dd/mm/yyyy""),
 IF(NOT(ISERROR(REGEXEXTRACT(T302, ""(\d{1,2}) nov\. 2025""))), 
  TEXT(DATE(2025,11,REGEXEXTRACT(T302, ""(\d{1,2}) nov\. 2025"")), ""dd/mm/yyyy""),
 IF(NOT(ISERROR(REGEXEXTRACT(T302, ""(\d{1,2}) dez\. 2025""))),"&amp;" 
  TEXT(DATE(2025,12,REGEXEXTRACT(T302, ""(\d{1,2}) dez\. 2025"")), ""dd/mm/yyyy""),
 ""Insira a data manualmente"")))))))))))), """"))"),"03/11/2025")</f>
        <v>03/11/2025</v>
      </c>
      <c r="H302" s="22">
        <f t="shared" si="1"/>
        <v>2025</v>
      </c>
      <c r="I302" s="18" t="str">
        <f>IFERROR(__xludf.DUMMYFUNCTION("IF(REGEXMATCH(T302,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IF(REGEXMATCH(T302, ""(?i)\bBrasília\b""), ""Distrito Federal, Brasil"",
REGEXEXTRACT(T302,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302" s="30" t="s">
        <v>32</v>
      </c>
      <c r="K302" s="24" t="s">
        <v>758</v>
      </c>
      <c r="L302" s="24" t="s">
        <v>26</v>
      </c>
      <c r="M302" s="25" t="s">
        <v>27</v>
      </c>
      <c r="N302" s="18" t="str">
        <f t="shared" si="8"/>
        <v>Agência Brasil</v>
      </c>
      <c r="O302" s="17" t="s">
        <v>28</v>
      </c>
      <c r="P302" s="17" t="s">
        <v>251</v>
      </c>
      <c r="Q302" s="26">
        <v>45973.0</v>
      </c>
      <c r="R302" s="17" t="s">
        <v>30</v>
      </c>
      <c r="S302" s="27" t="str">
        <f t="shared" si="3"/>
        <v>Aqui</v>
      </c>
      <c r="T302" s="29" t="s">
        <v>759</v>
      </c>
      <c r="U302" s="29"/>
    </row>
    <row r="303">
      <c r="A303" s="16">
        <v>301.0</v>
      </c>
      <c r="B303" s="17" t="s">
        <v>23</v>
      </c>
      <c r="C303" s="18" t="str">
        <f>IFERROR(__xludf.DUMMYFUNCTION("IF(B303="""","""",IF(OR(
  REGEXMATCH(B303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REGEXMATCH(B303,""Notícia|Reportagem|Artigo de opinião|Verbete"")
),""Difusão"","""")))
"),"Difusão")</f>
        <v>Difusão</v>
      </c>
      <c r="D303" s="19" t="str">
        <f>IFERROR(__xludf.DUMMYFUNCTION("IF(B303="""","""",IF(OR(
  REGEXMATCH(B303,""Performance|Instalação|Álbum|Música|Poema|Livro|Filme|Documentário|Recitação|Espetáculo|Peça|Intervenção|Desfile|Fotografia|Exposição|Charge|Grafite|Leitura pública|Fabricação de cachaça artesanal""),
  REGEXMA"&amp;"TCH(B303,""dança|teatral|artístico|musical|artística"")
),""Manifestação artístico-cultural"",
IF(OR(
  REGEXMATCH(B303,""Crônica|Série|Reportagem|Podcast|Audiotour|Entrevista|Vídeo|Rádio|Notícia|Artigo de opinião|Coletiva de imprensa""),
  REGEXMATCH(B30"&amp;"3,""midiática"")
),""Produção midiática"","""")))
"),"Produção midiática")</f>
        <v>Produção midiática</v>
      </c>
      <c r="E303" s="20" t="str">
        <f>IFERROR(__xludf.DUMMYFUNCTION("IF(B303="""","""",IF(OR(
  REGEXMATCH(B303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REGEXMATCH(B303,""público|Imediato|artística|teatral|memória|Ação popular"")
),""Público Imediato"",
IF(REGEXMATCH(B303,""Música|Álbum|Filme|Documentár"&amp;"io|Série|Podcast|Rádio|Audiotour|Entrevista|Reportagem|Crônica|Relatório|Abaixo-assinado|Manifesto|Petição|Poema|Livro|Fotografia|Curta|Live|Webinário|Charge|Leitura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303" s="20" t="str">
        <f>IFERROR(__xludf.DUMMYFUNCTION("IF(B303="""","""",IF(OR(
  REGEXMATCH(B303,""Live|Webinário|Virtual|Verbete""),
  REGEXMATCH(B303,""online"")
),""Virtual"",
IF(REGEXMATCH(B303,""Música|Álbum|Filme|Documentário|Série|Podcast|Rádio|Audiotour|Episódio|Reportagem|Curta|Charge|Vídeo|Entrevis"&amp;"ta|Notícia|Artigo de opinião""),
""Midiático"",
IF(REGEXMATCH(B303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303" s="21" t="str">
        <f>IFERROR(__xludf.DUMMYFUNCTION("IF(C303=""rememoração"", ""Insira a data manualmente"", IF(C303=""difusão"", 
 IF(NOT(ISERROR(REGEXEXTRACT(T303, ""(\d{1,2}) jan\. 2025""))), 
  TEXT(DATE(2025,1,REGEXEXTRACT(T303, ""(\d{1,2}) jan\. 2025"")), ""dd/mm/yyyy""),
 IF(NOT(ISERROR(REGEXEXTRACT("&amp;"T303, ""(\d{1,2}) fev\. 2025""))), 
  TEXT(DATE(2025,2,REGEXEXTRACT(T303, ""(\d{1,2}) fev\. 2025"")), ""dd/mm/yyyy""),
 IF(NOT(ISERROR(REGEXEXTRACT(T303, ""(\d{1,2}) mar\. 2025""))), 
  TEXT(DATE(2025,3,REGEXEXTRACT(T303, ""(\d{1,2}) mar\. 2025"")), ""dd/"&amp;"mm/yyyy""),
 IF(NOT(ISERROR(REGEXEXTRACT(T303, ""(\d{1,2}) abr\. 2025""))), 
  TEXT(DATE(2025,4,REGEXEXTRACT(T303, ""(\d{1,2}) abr\. 2025"")), ""dd/mm/yyyy""),
 IF(NOT(ISERROR(REGEXEXTRACT(T303, ""(\d{1,2}) (mai|maio)\. 2025""))), 
  TEXT(DATE(2025,5,REGE"&amp;"XEXTRACT(T303, ""(\d{1,2}) (mai|maio)\. 2025"")), ""dd/mm/yyyy""),
 IF(NOT(ISERROR(REGEXEXTRACT(T303, ""(\d{1,2}) jun\. 2025""))), 
  TEXT(DATE(2025,6,REGEXEXTRACT(T303, ""(\d{1,2}) jun\. 2025"")), ""dd/mm/yyyy""),
 IF(NOT(ISERROR(REGEXEXTRACT(T303, ""(\d"&amp;"{1,2}) jul\. 2025""))), 
  TEXT(DATE(2025,7,REGEXEXTRACT(T303, ""(\d{1,2}) jul\. 2025"")), ""dd/mm/yyyy""),
 IF(NOT(ISERROR(REGEXEXTRACT(T303, ""(\d{1,2}) ago\. 2025""))), 
  TEXT(DATE(2025,8,REGEXEXTRACT(T303, ""(\d{1,2}) ago\. 2025"")), ""dd/mm/yyyy""),"&amp;"
 IF(NOT(ISERROR(REGEXEXTRACT(T303, ""(\d{1,2}) set\. 2025""))), 
  TEXT(DATE(2025,9,REGEXEXTRACT(T303, ""(\d{1,2}) set\. 2025"")), ""dd/mm/yyyy""),
 IF(NOT(ISERROR(REGEXEXTRACT(T303, ""(\d{1,2}) out\. 2025""))), 
  TEXT(DATE(2025,10,REGEXEXTRACT(T303, """&amp;"(\d{1,2}) out\. 2025"")), ""dd/mm/yyyy""),
 IF(NOT(ISERROR(REGEXEXTRACT(T303, ""(\d{1,2}) nov\. 2025""))), 
  TEXT(DATE(2025,11,REGEXEXTRACT(T303, ""(\d{1,2}) nov\. 2025"")), ""dd/mm/yyyy""),
 IF(NOT(ISERROR(REGEXEXTRACT(T303, ""(\d{1,2}) dez\. 2025""))),"&amp;" 
  TEXT(DATE(2025,12,REGEXEXTRACT(T303, ""(\d{1,2}) dez\. 2025"")), ""dd/mm/yyyy""),
 ""Insira a data manualmente"")))))))))))), """"))"),"29/10/2025")</f>
        <v>29/10/2025</v>
      </c>
      <c r="H303" s="22">
        <f t="shared" si="1"/>
        <v>2025</v>
      </c>
      <c r="I303" s="18" t="s">
        <v>760</v>
      </c>
      <c r="J303" s="30" t="s">
        <v>761</v>
      </c>
      <c r="K303" s="24" t="s">
        <v>762</v>
      </c>
      <c r="L303" s="24" t="s">
        <v>26</v>
      </c>
      <c r="M303" s="25" t="s">
        <v>27</v>
      </c>
      <c r="N303" s="18" t="str">
        <f t="shared" si="8"/>
        <v>El País</v>
      </c>
      <c r="O303" s="17" t="s">
        <v>763</v>
      </c>
      <c r="P303" s="17" t="s">
        <v>95</v>
      </c>
      <c r="Q303" s="26">
        <v>45973.0</v>
      </c>
      <c r="R303" s="17" t="s">
        <v>30</v>
      </c>
      <c r="S303" s="27" t="str">
        <f t="shared" si="3"/>
        <v>Aqui</v>
      </c>
      <c r="T303" s="29" t="s">
        <v>764</v>
      </c>
      <c r="U303" s="29"/>
    </row>
    <row r="304">
      <c r="A304" s="16">
        <v>302.0</v>
      </c>
      <c r="B304" s="17" t="s">
        <v>23</v>
      </c>
      <c r="C304" s="18" t="str">
        <f>IFERROR(__xludf.DUMMYFUNCTION("IF(B304="""","""",IF(OR(
  REGEXMATCH(B304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REGEXMATCH(B304,""Notícia|Reportagem|Artigo de opinião|Verbete"")
),""Difusão"","""")))
"),"Difusão")</f>
        <v>Difusão</v>
      </c>
      <c r="D304" s="19" t="str">
        <f>IFERROR(__xludf.DUMMYFUNCTION("IF(B304="""","""",IF(OR(
  REGEXMATCH(B304,""Performance|Instalação|Álbum|Música|Poema|Livro|Filme|Documentário|Recitação|Espetáculo|Peça|Intervenção|Desfile|Fotografia|Exposição|Charge|Grafite|Leitura pública|Fabricação de cachaça artesanal""),
  REGEXMA"&amp;"TCH(B304,""dança|teatral|artístico|musical|artística"")
),""Manifestação artístico-cultural"",
IF(OR(
  REGEXMATCH(B304,""Crônica|Série|Reportagem|Podcast|Audiotour|Entrevista|Vídeo|Rádio|Notícia|Artigo de opinião|Coletiva de imprensa""),
  REGEXMATCH(B30"&amp;"4,""midiática"")
),""Produção midiática"","""")))
"),"Produção midiática")</f>
        <v>Produção midiática</v>
      </c>
      <c r="E304" s="20" t="str">
        <f>IFERROR(__xludf.DUMMYFUNCTION("IF(B304="""","""",IF(OR(
  REGEXMATCH(B304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REGEXMATCH(B304,""público|Imediato|artística|teatral|memória|Ação popular"")
),""Público Imediato"",
IF(REGEXMATCH(B304,""Música|Álbum|Filme|Documentár"&amp;"io|Série|Podcast|Rádio|Audiotour|Entrevista|Reportagem|Crônica|Relatório|Abaixo-assinado|Manifesto|Petição|Poema|Livro|Fotografia|Curta|Live|Webinário|Charge|Leitura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304" s="20" t="str">
        <f>IFERROR(__xludf.DUMMYFUNCTION("IF(B304="""","""",IF(OR(
  REGEXMATCH(B304,""Live|Webinário|Virtual|Verbete""),
  REGEXMATCH(B304,""online"")
),""Virtual"",
IF(REGEXMATCH(B304,""Música|Álbum|Filme|Documentário|Série|Podcast|Rádio|Audiotour|Episódio|Reportagem|Curta|Charge|Vídeo|Entrevis"&amp;"ta|Notícia|Artigo de opinião""),
""Midiático"",
IF(REGEXMATCH(B304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304" s="21" t="str">
        <f>IFERROR(__xludf.DUMMYFUNCTION("IF(C304=""rememoração"", ""Insira a data manualmente"", IF(C304=""difusão"", 
 IF(NOT(ISERROR(REGEXEXTRACT(T304, ""(\d{1,2}) jan\. 2025""))), 
  TEXT(DATE(2025,1,REGEXEXTRACT(T304, ""(\d{1,2}) jan\. 2025"")), ""dd/mm/yyyy""),
 IF(NOT(ISERROR(REGEXEXTRACT("&amp;"T304, ""(\d{1,2}) fev\. 2025""))), 
  TEXT(DATE(2025,2,REGEXEXTRACT(T304, ""(\d{1,2}) fev\. 2025"")), ""dd/mm/yyyy""),
 IF(NOT(ISERROR(REGEXEXTRACT(T304, ""(\d{1,2}) mar\. 2025""))), 
  TEXT(DATE(2025,3,REGEXEXTRACT(T304, ""(\d{1,2}) mar\. 2025"")), ""dd/"&amp;"mm/yyyy""),
 IF(NOT(ISERROR(REGEXEXTRACT(T304, ""(\d{1,2}) abr\. 2025""))), 
  TEXT(DATE(2025,4,REGEXEXTRACT(T304, ""(\d{1,2}) abr\. 2025"")), ""dd/mm/yyyy""),
 IF(NOT(ISERROR(REGEXEXTRACT(T304, ""(\d{1,2}) (mai|maio)\. 2025""))), 
  TEXT(DATE(2025,5,REGE"&amp;"XEXTRACT(T304, ""(\d{1,2}) (mai|maio)\. 2025"")), ""dd/mm/yyyy""),
 IF(NOT(ISERROR(REGEXEXTRACT(T304, ""(\d{1,2}) jun\. 2025""))), 
  TEXT(DATE(2025,6,REGEXEXTRACT(T304, ""(\d{1,2}) jun\. 2025"")), ""dd/mm/yyyy""),
 IF(NOT(ISERROR(REGEXEXTRACT(T304, ""(\d"&amp;"{1,2}) jul\. 2025""))), 
  TEXT(DATE(2025,7,REGEXEXTRACT(T304, ""(\d{1,2}) jul\. 2025"")), ""dd/mm/yyyy""),
 IF(NOT(ISERROR(REGEXEXTRACT(T304, ""(\d{1,2}) ago\. 2025""))), 
  TEXT(DATE(2025,8,REGEXEXTRACT(T304, ""(\d{1,2}) ago\. 2025"")), ""dd/mm/yyyy""),"&amp;"
 IF(NOT(ISERROR(REGEXEXTRACT(T304, ""(\d{1,2}) set\. 2025""))), 
  TEXT(DATE(2025,9,REGEXEXTRACT(T304, ""(\d{1,2}) set\. 2025"")), ""dd/mm/yyyy""),
 IF(NOT(ISERROR(REGEXEXTRACT(T304, ""(\d{1,2}) out\. 2025""))), 
  TEXT(DATE(2025,10,REGEXEXTRACT(T304, """&amp;"(\d{1,2}) out\. 2025"")), ""dd/mm/yyyy""),
 IF(NOT(ISERROR(REGEXEXTRACT(T304, ""(\d{1,2}) nov\. 2025""))), 
  TEXT(DATE(2025,11,REGEXEXTRACT(T304, ""(\d{1,2}) nov\. 2025"")), ""dd/mm/yyyy""),
 IF(NOT(ISERROR(REGEXEXTRACT(T304, ""(\d{1,2}) dez\. 2025""))),"&amp;" 
  TEXT(DATE(2025,12,REGEXEXTRACT(T304, ""(\d{1,2}) dez\. 2025"")), ""dd/mm/yyyy""),
 ""Insira a data manualmente"")))))))))))), """"))"),"28/10/2025")</f>
        <v>28/10/2025</v>
      </c>
      <c r="H304" s="22">
        <f t="shared" si="1"/>
        <v>2025</v>
      </c>
      <c r="I304" s="18" t="str">
        <f>IFERROR(__xludf.DUMMYFUNCTION("IF(REGEXMATCH(T304,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IF(REGEXMATCH(T304, ""(?i)\bBrasília\b""), ""Distrito Federal, Brasil"",
REGEXEXTRACT(T304,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manualmente"")"),"Rio de Janeiro, Brasil")</f>
        <v>Rio de Janeiro, Brasil</v>
      </c>
      <c r="J304" s="30" t="s">
        <v>765</v>
      </c>
      <c r="K304" s="24" t="s">
        <v>766</v>
      </c>
      <c r="L304" s="24" t="s">
        <v>26</v>
      </c>
      <c r="M304" s="25" t="s">
        <v>27</v>
      </c>
      <c r="N304" s="18" t="str">
        <f t="shared" si="8"/>
        <v>The New York Times</v>
      </c>
      <c r="O304" s="17" t="s">
        <v>767</v>
      </c>
      <c r="P304" s="17" t="s">
        <v>95</v>
      </c>
      <c r="Q304" s="26">
        <v>45973.0</v>
      </c>
      <c r="R304" s="17" t="s">
        <v>37</v>
      </c>
      <c r="S304" s="27" t="str">
        <f t="shared" si="3"/>
        <v>Aqui</v>
      </c>
      <c r="T304" s="29" t="s">
        <v>768</v>
      </c>
      <c r="U304" s="29"/>
    </row>
    <row r="305">
      <c r="A305" s="16">
        <v>303.0</v>
      </c>
      <c r="B305" s="17" t="s">
        <v>23</v>
      </c>
      <c r="C305" s="18" t="str">
        <f>IFERROR(__xludf.DUMMYFUNCTION("IF(B305="""","""",IF(OR(
  REGEXMATCH(B305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REGEXMATCH(B305,""Notícia|Reportagem|Artigo de opinião|Verbete"")
),""Difusão"","""")))
"),"Difusão")</f>
        <v>Difusão</v>
      </c>
      <c r="D305" s="19" t="str">
        <f>IFERROR(__xludf.DUMMYFUNCTION("IF(B305="""","""",IF(OR(
  REGEXMATCH(B305,""Performance|Instalação|Álbum|Música|Poema|Livro|Filme|Documentário|Recitação|Espetáculo|Peça|Intervenção|Desfile|Fotografia|Exposição|Charge|Grafite|Leitura pública|Fabricação de cachaça artesanal""),
  REGEXMA"&amp;"TCH(B305,""dança|teatral|artístico|musical|artística"")
),""Manifestação artístico-cultural"",
IF(OR(
  REGEXMATCH(B305,""Crônica|Série|Reportagem|Podcast|Audiotour|Entrevista|Vídeo|Rádio|Notícia|Artigo de opinião|Coletiva de imprensa""),
  REGEXMATCH(B30"&amp;"5,""midiática"")
),""Produção midiática"","""")))
"),"Produção midiática")</f>
        <v>Produção midiática</v>
      </c>
      <c r="E305" s="20" t="str">
        <f>IFERROR(__xludf.DUMMYFUNCTION("IF(B305="""","""",IF(OR(
  REGEXMATCH(B305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REGEXMATCH(B305,""público|Imediato|artística|teatral|memória|Ação popular"")
),""Público Imediato"",
IF(REGEXMATCH(B305,""Música|Álbum|Filme|Documentár"&amp;"io|Série|Podcast|Rádio|Audiotour|Entrevista|Reportagem|Crônica|Relatório|Abaixo-assinado|Manifesto|Petição|Poema|Livro|Fotografia|Curta|Live|Webinário|Charge|Leitura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305" s="20" t="str">
        <f>IFERROR(__xludf.DUMMYFUNCTION("IF(B305="""","""",IF(OR(
  REGEXMATCH(B305,""Live|Webinário|Virtual|Verbete""),
  REGEXMATCH(B305,""online"")
),""Virtual"",
IF(REGEXMATCH(B305,""Música|Álbum|Filme|Documentário|Série|Podcast|Rádio|Audiotour|Episódio|Reportagem|Curta|Charge|Vídeo|Entrevis"&amp;"ta|Notícia|Artigo de opinião""),
""Midiático"",
IF(REGEXMATCH(B305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305" s="21" t="str">
        <f>IFERROR(__xludf.DUMMYFUNCTION("IF(C305=""rememoração"", ""Insira a data manualmente"", IF(C305=""difusão"", 
 IF(NOT(ISERROR(REGEXEXTRACT(T305, ""(\d{1,2}) jan\. 2025""))), 
  TEXT(DATE(2025,1,REGEXEXTRACT(T305, ""(\d{1,2}) jan\. 2025"")), ""dd/mm/yyyy""),
 IF(NOT(ISERROR(REGEXEXTRACT("&amp;"T305, ""(\d{1,2}) fev\. 2025""))), 
  TEXT(DATE(2025,2,REGEXEXTRACT(T305, ""(\d{1,2}) fev\. 2025"")), ""dd/mm/yyyy""),
 IF(NOT(ISERROR(REGEXEXTRACT(T305, ""(\d{1,2}) mar\. 2025""))), 
  TEXT(DATE(2025,3,REGEXEXTRACT(T305, ""(\d{1,2}) mar\. 2025"")), ""dd/"&amp;"mm/yyyy""),
 IF(NOT(ISERROR(REGEXEXTRACT(T305, ""(\d{1,2}) abr\. 2025""))), 
  TEXT(DATE(2025,4,REGEXEXTRACT(T305, ""(\d{1,2}) abr\. 2025"")), ""dd/mm/yyyy""),
 IF(NOT(ISERROR(REGEXEXTRACT(T305, ""(\d{1,2}) (mai|maio)\. 2025""))), 
  TEXT(DATE(2025,5,REGE"&amp;"XEXTRACT(T305, ""(\d{1,2}) (mai|maio)\. 2025"")), ""dd/mm/yyyy""),
 IF(NOT(ISERROR(REGEXEXTRACT(T305, ""(\d{1,2}) jun\. 2025""))), 
  TEXT(DATE(2025,6,REGEXEXTRACT(T305, ""(\d{1,2}) jun\. 2025"")), ""dd/mm/yyyy""),
 IF(NOT(ISERROR(REGEXEXTRACT(T305, ""(\d"&amp;"{1,2}) jul\. 2025""))), 
  TEXT(DATE(2025,7,REGEXEXTRACT(T305, ""(\d{1,2}) jul\. 2025"")), ""dd/mm/yyyy""),
 IF(NOT(ISERROR(REGEXEXTRACT(T305, ""(\d{1,2}) ago\. 2025""))), 
  TEXT(DATE(2025,8,REGEXEXTRACT(T305, ""(\d{1,2}) ago\. 2025"")), ""dd/mm/yyyy""),"&amp;"
 IF(NOT(ISERROR(REGEXEXTRACT(T305, ""(\d{1,2}) set\. 2025""))), 
  TEXT(DATE(2025,9,REGEXEXTRACT(T305, ""(\d{1,2}) set\. 2025"")), ""dd/mm/yyyy""),
 IF(NOT(ISERROR(REGEXEXTRACT(T305, ""(\d{1,2}) out\. 2025""))), 
  TEXT(DATE(2025,10,REGEXEXTRACT(T305, """&amp;"(\d{1,2}) out\. 2025"")), ""dd/mm/yyyy""),
 IF(NOT(ISERROR(REGEXEXTRACT(T305, ""(\d{1,2}) nov\. 2025""))), 
  TEXT(DATE(2025,11,REGEXEXTRACT(T305, ""(\d{1,2}) nov\. 2025"")), ""dd/mm/yyyy""),
 IF(NOT(ISERROR(REGEXEXTRACT(T305, ""(\d{1,2}) dez\. 2025""))),"&amp;" 
  TEXT(DATE(2025,12,REGEXEXTRACT(T305, ""(\d{1,2}) dez\. 2025"")), ""dd/mm/yyyy""),
 ""Insira a data manualmente"")))))))))))), """"))"),"28/10/2025")</f>
        <v>28/10/2025</v>
      </c>
      <c r="H305" s="22">
        <f t="shared" si="1"/>
        <v>2025</v>
      </c>
      <c r="I305" s="18" t="s">
        <v>658</v>
      </c>
      <c r="J305" s="30" t="s">
        <v>769</v>
      </c>
      <c r="K305" s="24" t="s">
        <v>770</v>
      </c>
      <c r="L305" s="24" t="s">
        <v>26</v>
      </c>
      <c r="M305" s="25" t="s">
        <v>27</v>
      </c>
      <c r="N305" s="18" t="str">
        <f t="shared" si="8"/>
        <v>The Guardian</v>
      </c>
      <c r="O305" s="17" t="s">
        <v>771</v>
      </c>
      <c r="P305" s="17" t="s">
        <v>95</v>
      </c>
      <c r="Q305" s="26">
        <v>45973.0</v>
      </c>
      <c r="R305" s="17" t="s">
        <v>30</v>
      </c>
      <c r="S305" s="27" t="str">
        <f t="shared" si="3"/>
        <v>Aqui</v>
      </c>
      <c r="T305" s="29" t="s">
        <v>772</v>
      </c>
      <c r="U305" s="29"/>
    </row>
    <row r="306">
      <c r="A306" s="16">
        <v>304.0</v>
      </c>
      <c r="B306" s="17" t="s">
        <v>23</v>
      </c>
      <c r="C306" s="18" t="str">
        <f>IFERROR(__xludf.DUMMYFUNCTION("IF(B306="""","""",IF(OR(
  REGEXMATCH(B306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REGEXMATCH(B306,""Notícia|Reportagem|Artigo de opinião|Verbete"")
),""Difusão"","""")))
"),"Difusão")</f>
        <v>Difusão</v>
      </c>
      <c r="D306" s="19" t="str">
        <f>IFERROR(__xludf.DUMMYFUNCTION("IF(B306="""","""",IF(OR(
  REGEXMATCH(B306,""Performance|Instalação|Álbum|Música|Poema|Livro|Filme|Documentário|Recitação|Espetáculo|Peça|Intervenção|Desfile|Fotografia|Exposição|Charge|Grafite|Leitura pública|Fabricação de cachaça artesanal""),
  REGEXMA"&amp;"TCH(B306,""dança|teatral|artístico|musical|artística"")
),""Manifestação artístico-cultural"",
IF(OR(
  REGEXMATCH(B306,""Crônica|Série|Reportagem|Podcast|Audiotour|Entrevista|Vídeo|Rádio|Notícia|Artigo de opinião|Coletiva de imprensa""),
  REGEXMATCH(B30"&amp;"6,""midiática"")
),""Produção midiática"","""")))
"),"Produção midiática")</f>
        <v>Produção midiática</v>
      </c>
      <c r="E306" s="20" t="str">
        <f>IFERROR(__xludf.DUMMYFUNCTION("IF(B306="""","""",IF(OR(
  REGEXMATCH(B306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REGEXMATCH(B306,""público|Imediato|artística|teatral|memória|Ação popular"")
),""Público Imediato"",
IF(REGEXMATCH(B306,""Música|Álbum|Filme|Documentár"&amp;"io|Série|Podcast|Rádio|Audiotour|Entrevista|Reportagem|Crônica|Relatório|Abaixo-assinado|Manifesto|Petição|Poema|Livro|Fotografia|Curta|Live|Webinário|Charge|Leitura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"),"Público Mediado")</f>
        <v>Público Mediado</v>
      </c>
      <c r="F306" s="20" t="str">
        <f>IFERROR(__xludf.DUMMYFUNCTION("IF(B306="""","""",IF(OR(
  REGEXMATCH(B306,""Live|Webinário|Virtual|Verbete""),
  REGEXMATCH(B306,""online"")
),""Virtual"",
IF(REGEXMATCH(B306,""Música|Álbum|Filme|Documentário|Série|Podcast|Rádio|Audiotour|Episódio|Reportagem|Curta|Charge|Vídeo|Entrevis"&amp;"ta|Notícia|Artigo de opinião""),
""Midiático"",
IF(REGEXMATCH(B306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"),"Midiático")</f>
        <v>Midiático</v>
      </c>
      <c r="G306" s="21" t="str">
        <f>IFERROR(__xludf.DUMMYFUNCTION("IF(C306=""rememoração"", ""Insira a data manualmente"", IF(C306=""difusão"", 
 IF(NOT(ISERROR(REGEXEXTRACT(T306, ""(\d{1,2}) jan\. 2025""))), 
  TEXT(DATE(2025,1,REGEXEXTRACT(T306, ""(\d{1,2}) jan\. 2025"")), ""dd/mm/yyyy""),
 IF(NOT(ISERROR(REGEXEXTRACT("&amp;"T306, ""(\d{1,2}) fev\. 2025""))), 
  TEXT(DATE(2025,2,REGEXEXTRACT(T306, ""(\d{1,2}) fev\. 2025"")), ""dd/mm/yyyy""),
 IF(NOT(ISERROR(REGEXEXTRACT(T306, ""(\d{1,2}) mar\. 2025""))), 
  TEXT(DATE(2025,3,REGEXEXTRACT(T306, ""(\d{1,2}) mar\. 2025"")), ""dd/"&amp;"mm/yyyy""),
 IF(NOT(ISERROR(REGEXEXTRACT(T306, ""(\d{1,2}) abr\. 2025""))), 
  TEXT(DATE(2025,4,REGEXEXTRACT(T306, ""(\d{1,2}) abr\. 2025"")), ""dd/mm/yyyy""),
 IF(NOT(ISERROR(REGEXEXTRACT(T306, ""(\d{1,2}) (mai|maio)\. 2025""))), 
  TEXT(DATE(2025,5,REGE"&amp;"XEXTRACT(T306, ""(\d{1,2}) (mai|maio)\. 2025"")), ""dd/mm/yyyy""),
 IF(NOT(ISERROR(REGEXEXTRACT(T306, ""(\d{1,2}) jun\. 2025""))), 
  TEXT(DATE(2025,6,REGEXEXTRACT(T306, ""(\d{1,2}) jun\. 2025"")), ""dd/mm/yyyy""),
 IF(NOT(ISERROR(REGEXEXTRACT(T306, ""(\d"&amp;"{1,2}) jul\. 2025""))), 
  TEXT(DATE(2025,7,REGEXEXTRACT(T306, ""(\d{1,2}) jul\. 2025"")), ""dd/mm/yyyy""),
 IF(NOT(ISERROR(REGEXEXTRACT(T306, ""(\d{1,2}) ago\. 2025""))), 
  TEXT(DATE(2025,8,REGEXEXTRACT(T306, ""(\d{1,2}) ago\. 2025"")), ""dd/mm/yyyy""),"&amp;"
 IF(NOT(ISERROR(REGEXEXTRACT(T306, ""(\d{1,2}) set\. 2025""))), 
  TEXT(DATE(2025,9,REGEXEXTRACT(T306, ""(\d{1,2}) set\. 2025"")), ""dd/mm/yyyy""),
 IF(NOT(ISERROR(REGEXEXTRACT(T306, ""(\d{1,2}) out\. 2025""))), 
  TEXT(DATE(2025,10,REGEXEXTRACT(T306, """&amp;"(\d{1,2}) out\. 2025"")), ""dd/mm/yyyy""),
 IF(NOT(ISERROR(REGEXEXTRACT(T306, ""(\d{1,2}) nov\. 2025""))), 
  TEXT(DATE(2025,11,REGEXEXTRACT(T306, ""(\d{1,2}) nov\. 2025"")), ""dd/mm/yyyy""),
 IF(NOT(ISERROR(REGEXEXTRACT(T306, ""(\d{1,2}) dez\. 2025""))),"&amp;" 
  TEXT(DATE(2025,12,REGEXEXTRACT(T306, ""(\d{1,2}) dez\. 2025"")), ""dd/mm/yyyy""),
 ""Insira a data manualmente"")))))))))))), """"))"),"30/10/2025")</f>
        <v>30/10/2025</v>
      </c>
      <c r="H306" s="22">
        <f t="shared" si="1"/>
        <v>2025</v>
      </c>
      <c r="I306" s="18" t="s">
        <v>773</v>
      </c>
      <c r="J306" s="30" t="s">
        <v>774</v>
      </c>
      <c r="K306" s="24" t="s">
        <v>775</v>
      </c>
      <c r="L306" s="24" t="s">
        <v>26</v>
      </c>
      <c r="M306" s="25" t="s">
        <v>27</v>
      </c>
      <c r="N306" s="18" t="str">
        <f t="shared" si="8"/>
        <v>LE FIGARO e AFP</v>
      </c>
      <c r="O306" s="17" t="s">
        <v>776</v>
      </c>
      <c r="P306" s="17" t="s">
        <v>95</v>
      </c>
      <c r="Q306" s="26">
        <v>45973.0</v>
      </c>
      <c r="R306" s="17" t="s">
        <v>37</v>
      </c>
      <c r="S306" s="27" t="str">
        <f t="shared" si="3"/>
        <v>Aqui</v>
      </c>
      <c r="T306" s="29" t="s">
        <v>777</v>
      </c>
      <c r="U306" s="29"/>
    </row>
    <row r="307">
      <c r="A307" s="16">
        <v>305.0</v>
      </c>
      <c r="B307" s="17"/>
      <c r="C307" s="18" t="str">
        <f>IFERROR(__xludf.DUMMYFUNCTION("IF(B307="""","""",IF(OR(
  REGEXMATCH(B307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REGEXMATCH(B307,""Notícia|Reportagem|Artigo de opinião|Verbete"")
),""Difusão"","""")))
"),"")</f>
        <v/>
      </c>
      <c r="D307" s="19" t="str">
        <f>IFERROR(__xludf.DUMMYFUNCTION("IF(B307="""","""",IF(OR(
  REGEXMATCH(B307,""Performance|Instalação|Álbum|Música|Poema|Livro|Filme|Documentário|Recitação|Espetáculo|Peça|Intervenção|Desfile|Fotografia|Exposição|Charge|Grafite|Leitura pública|Fabricação de cachaça artesanal""),
  REGEXMA"&amp;"TCH(B307,""dança|teatral|artístico|musical|artística"")
),""Manifestação artístico-cultural"",
IF(OR(
  REGEXMATCH(B307,""Crônica|Série|Reportagem|Podcast|Audiotour|Entrevista|Vídeo|Rádio|Notícia|Artigo de opinião|Coletiva de imprensa""),
  REGEXMATCH(B30"&amp;"7,""midiática"")
),""Produção midiática"","""")))
"),"")</f>
        <v/>
      </c>
      <c r="E307" s="20" t="str">
        <f>IFERROR(__xludf.DUMMYFUNCTION("IF(B307="""","""",IF(OR(
  REGEXMATCH(B307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REGEXMATCH(B307,""público|Imediato|artística|teatral|memória|Ação popular"")
),""Público Imediato"",
IF(REGEXMATCH(B307,""Música|Álbum|Filme|Documentár"&amp;"io|Série|Podcast|Rádio|Audiotour|Entrevista|Reportagem|Crônica|Relatório|Abaixo-assinado|Manifesto|Petição|Poema|Livro|Fotografia|Curta|Live|Webinário|Charge|Leitura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07" s="20" t="str">
        <f>IFERROR(__xludf.DUMMYFUNCTION("IF(B307="""","""",IF(OR(
  REGEXMATCH(B307,""Live|Webinário|Virtual|Verbete""),
  REGEXMATCH(B307,""online"")
),""Virtual"",
IF(REGEXMATCH(B307,""Música|Álbum|Filme|Documentário|Série|Podcast|Rádio|Audiotour|Episódio|Reportagem|Curta|Charge|Vídeo|Entrevis"&amp;"ta|Notícia|Artigo de opinião""),
""Midiático"",
IF(REGEXMATCH(B307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07" s="21" t="str">
        <f>IFERROR(__xludf.DUMMYFUNCTION("IF(C307=""rememoração"", ""Insira a data manualmente"", IF(C307=""difusão"", 
 IF(NOT(ISERROR(REGEXEXTRACT(T307, ""(\d{1,2}) jan\. 2025""))), 
  TEXT(DATE(2025,1,REGEXEXTRACT(T307, ""(\d{1,2}) jan\. 2025"")), ""dd/mm/yyyy""),
 IF(NOT(ISERROR(REGEXEXTRACT("&amp;"T307, ""(\d{1,2}) fev\. 2025""))), 
  TEXT(DATE(2025,2,REGEXEXTRACT(T307, ""(\d{1,2}) fev\. 2025"")), ""dd/mm/yyyy""),
 IF(NOT(ISERROR(REGEXEXTRACT(T307, ""(\d{1,2}) mar\. 2025""))), 
  TEXT(DATE(2025,3,REGEXEXTRACT(T307, ""(\d{1,2}) mar\. 2025"")), ""dd/"&amp;"mm/yyyy""),
 IF(NOT(ISERROR(REGEXEXTRACT(T307, ""(\d{1,2}) abr\. 2025""))), 
  TEXT(DATE(2025,4,REGEXEXTRACT(T307, ""(\d{1,2}) abr\. 2025"")), ""dd/mm/yyyy""),
 IF(NOT(ISERROR(REGEXEXTRACT(T307, ""(\d{1,2}) (mai|maio)\. 2025""))), 
  TEXT(DATE(2025,5,REGE"&amp;"XEXTRACT(T307, ""(\d{1,2}) (mai|maio)\. 2025"")), ""dd/mm/yyyy""),
 IF(NOT(ISERROR(REGEXEXTRACT(T307, ""(\d{1,2}) jun\. 2025""))), 
  TEXT(DATE(2025,6,REGEXEXTRACT(T307, ""(\d{1,2}) jun\. 2025"")), ""dd/mm/yyyy""),
 IF(NOT(ISERROR(REGEXEXTRACT(T307, ""(\d"&amp;"{1,2}) jul\. 2025""))), 
  TEXT(DATE(2025,7,REGEXEXTRACT(T307, ""(\d{1,2}) jul\. 2025"")), ""dd/mm/yyyy""),
 IF(NOT(ISERROR(REGEXEXTRACT(T307, ""(\d{1,2}) ago\. 2025""))), 
  TEXT(DATE(2025,8,REGEXEXTRACT(T307, ""(\d{1,2}) ago\. 2025"")), ""dd/mm/yyyy""),"&amp;"
 IF(NOT(ISERROR(REGEXEXTRACT(T307, ""(\d{1,2}) set\. 2025""))), 
  TEXT(DATE(2025,9,REGEXEXTRACT(T307, ""(\d{1,2}) set\. 2025"")), ""dd/mm/yyyy""),
 IF(NOT(ISERROR(REGEXEXTRACT(T307, ""(\d{1,2}) out\. 2025""))), 
  TEXT(DATE(2025,10,REGEXEXTRACT(T307, """&amp;"(\d{1,2}) out\. 2025"")), ""dd/mm/yyyy""),
 IF(NOT(ISERROR(REGEXEXTRACT(T307, ""(\d{1,2}) nov\. 2025""))), 
  TEXT(DATE(2025,11,REGEXEXTRACT(T307, ""(\d{1,2}) nov\. 2025"")), ""dd/mm/yyyy""),
 IF(NOT(ISERROR(REGEXEXTRACT(T307, ""(\d{1,2}) dez\. 2025""))),"&amp;" 
  TEXT(DATE(2025,12,REGEXEXTRACT(T307, ""(\d{1,2}) dez\. 2025"")), ""dd/mm/yyyy""),
 ""Insira a data manualmente"")))))))))))), """"))"),"")</f>
        <v/>
      </c>
      <c r="H307" s="22">
        <f t="shared" si="1"/>
        <v>0</v>
      </c>
      <c r="I307" s="18" t="str">
        <f>IFERROR(__xludf.DUMMYFUNCTION("IF(REGEXMATCH(T307,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IF(REGEXMATCH(T307, ""(?i)\bBrasília\b""), ""Distrito Federal, Brasil"",
REGEXEXTRACT(T307,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07" s="30"/>
      <c r="K307" s="24"/>
      <c r="L307" s="24"/>
      <c r="M307" s="25"/>
      <c r="N307" s="18" t="str">
        <f t="shared" si="8"/>
        <v/>
      </c>
      <c r="O307" s="17" t="s">
        <v>28</v>
      </c>
      <c r="P307" s="17" t="s">
        <v>251</v>
      </c>
      <c r="Q307" s="26">
        <v>45973.0</v>
      </c>
      <c r="R307" s="17"/>
      <c r="S307" s="36" t="str">
        <f t="shared" si="3"/>
        <v>#VALUE!</v>
      </c>
      <c r="T307" s="29"/>
      <c r="U307" s="29"/>
    </row>
    <row r="308">
      <c r="A308" s="16">
        <v>306.0</v>
      </c>
      <c r="B308" s="17"/>
      <c r="C308" s="18" t="str">
        <f>IFERROR(__xludf.DUMMYFUNCTION("IF(B308="""","""",IF(OR(
  REGEXMATCH(B308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REGEXMATCH(B308,""Notícia|Reportagem|Artigo de opinião|Verbete"")
),""Difusão"","""")))
"),"")</f>
        <v/>
      </c>
      <c r="D308" s="19" t="str">
        <f>IFERROR(__xludf.DUMMYFUNCTION("IF(B308="""","""",IF(OR(
  REGEXMATCH(B308,""Performance|Instalação|Álbum|Música|Poema|Livro|Filme|Documentário|Recitação|Espetáculo|Peça|Intervenção|Desfile|Fotografia|Exposição|Charge|Grafite|Leitura pública|Fabricação de cachaça artesanal""),
  REGEXMA"&amp;"TCH(B308,""dança|teatral|artístico|musical|artística"")
),""Manifestação artístico-cultural"",
IF(OR(
  REGEXMATCH(B308,""Crônica|Série|Reportagem|Podcast|Audiotour|Entrevista|Vídeo|Rádio|Notícia|Artigo de opinião|Coletiva de imprensa""),
  REGEXMATCH(B30"&amp;"8,""midiática"")
),""Produção midiática"","""")))
"),"")</f>
        <v/>
      </c>
      <c r="E308" s="20" t="str">
        <f>IFERROR(__xludf.DUMMYFUNCTION("IF(B308="""","""",IF(OR(
  REGEXMATCH(B308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REGEXMATCH(B308,""público|Imediato|artística|teatral|memória|Ação popular"")
),""Público Imediato"",
IF(REGEXMATCH(B308,""Música|Álbum|Filme|Documentár"&amp;"io|Série|Podcast|Rádio|Audiotour|Entrevista|Reportagem|Crônica|Relatório|Abaixo-assinado|Manifesto|Petição|Poema|Livro|Fotografia|Curta|Live|Webinário|Charge|Leitura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08" s="20" t="str">
        <f>IFERROR(__xludf.DUMMYFUNCTION("IF(B308="""","""",IF(OR(
  REGEXMATCH(B308,""Live|Webinário|Virtual|Verbete""),
  REGEXMATCH(B308,""online"")
),""Virtual"",
IF(REGEXMATCH(B308,""Música|Álbum|Filme|Documentário|Série|Podcast|Rádio|Audiotour|Episódio|Reportagem|Curta|Charge|Vídeo|Entrevis"&amp;"ta|Notícia|Artigo de opinião""),
""Midiático"",
IF(REGEXMATCH(B308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08" s="21" t="str">
        <f>IFERROR(__xludf.DUMMYFUNCTION("IF(C308=""rememoração"", ""Insira a data manualmente"", IF(C308=""difusão"", 
 IF(NOT(ISERROR(REGEXEXTRACT(T308, ""(\d{1,2}) jan\. 2025""))), 
  TEXT(DATE(2025,1,REGEXEXTRACT(T308, ""(\d{1,2}) jan\. 2025"")), ""dd/mm/yyyy""),
 IF(NOT(ISERROR(REGEXEXTRACT("&amp;"T308, ""(\d{1,2}) fev\. 2025""))), 
  TEXT(DATE(2025,2,REGEXEXTRACT(T308, ""(\d{1,2}) fev\. 2025"")), ""dd/mm/yyyy""),
 IF(NOT(ISERROR(REGEXEXTRACT(T308, ""(\d{1,2}) mar\. 2025""))), 
  TEXT(DATE(2025,3,REGEXEXTRACT(T308, ""(\d{1,2}) mar\. 2025"")), ""dd/"&amp;"mm/yyyy""),
 IF(NOT(ISERROR(REGEXEXTRACT(T308, ""(\d{1,2}) abr\. 2025""))), 
  TEXT(DATE(2025,4,REGEXEXTRACT(T308, ""(\d{1,2}) abr\. 2025"")), ""dd/mm/yyyy""),
 IF(NOT(ISERROR(REGEXEXTRACT(T308, ""(\d{1,2}) (mai|maio)\. 2025""))), 
  TEXT(DATE(2025,5,REGE"&amp;"XEXTRACT(T308, ""(\d{1,2}) (mai|maio)\. 2025"")), ""dd/mm/yyyy""),
 IF(NOT(ISERROR(REGEXEXTRACT(T308, ""(\d{1,2}) jun\. 2025""))), 
  TEXT(DATE(2025,6,REGEXEXTRACT(T308, ""(\d{1,2}) jun\. 2025"")), ""dd/mm/yyyy""),
 IF(NOT(ISERROR(REGEXEXTRACT(T308, ""(\d"&amp;"{1,2}) jul\. 2025""))), 
  TEXT(DATE(2025,7,REGEXEXTRACT(T308, ""(\d{1,2}) jul\. 2025"")), ""dd/mm/yyyy""),
 IF(NOT(ISERROR(REGEXEXTRACT(T308, ""(\d{1,2}) ago\. 2025""))), 
  TEXT(DATE(2025,8,REGEXEXTRACT(T308, ""(\d{1,2}) ago\. 2025"")), ""dd/mm/yyyy""),"&amp;"
 IF(NOT(ISERROR(REGEXEXTRACT(T308, ""(\d{1,2}) set\. 2025""))), 
  TEXT(DATE(2025,9,REGEXEXTRACT(T308, ""(\d{1,2}) set\. 2025"")), ""dd/mm/yyyy""),
 IF(NOT(ISERROR(REGEXEXTRACT(T308, ""(\d{1,2}) out\. 2025""))), 
  TEXT(DATE(2025,10,REGEXEXTRACT(T308, """&amp;"(\d{1,2}) out\. 2025"")), ""dd/mm/yyyy""),
 IF(NOT(ISERROR(REGEXEXTRACT(T308, ""(\d{1,2}) nov\. 2025""))), 
  TEXT(DATE(2025,11,REGEXEXTRACT(T308, ""(\d{1,2}) nov\. 2025"")), ""dd/mm/yyyy""),
 IF(NOT(ISERROR(REGEXEXTRACT(T308, ""(\d{1,2}) dez\. 2025""))),"&amp;" 
  TEXT(DATE(2025,12,REGEXEXTRACT(T308, ""(\d{1,2}) dez\. 2025"")), ""dd/mm/yyyy""),
 ""Insira a data manualmente"")))))))))))), """"))"),"")</f>
        <v/>
      </c>
      <c r="H308" s="22">
        <f t="shared" si="1"/>
        <v>0</v>
      </c>
      <c r="I308" s="18" t="str">
        <f>IFERROR(__xludf.DUMMYFUNCTION("IF(REGEXMATCH(T308,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IF(REGEXMATCH(T308, ""(?i)\bBrasília\b""), ""Distrito Federal, Brasil"",
REGEXEXTRACT(T308,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08" s="30"/>
      <c r="K308" s="24"/>
      <c r="L308" s="24"/>
      <c r="M308" s="25"/>
      <c r="N308" s="18" t="str">
        <f t="shared" si="8"/>
        <v/>
      </c>
      <c r="O308" s="17" t="s">
        <v>28</v>
      </c>
      <c r="P308" s="17" t="s">
        <v>251</v>
      </c>
      <c r="Q308" s="26">
        <v>45973.0</v>
      </c>
      <c r="R308" s="17"/>
      <c r="S308" s="36" t="str">
        <f t="shared" si="3"/>
        <v>#VALUE!</v>
      </c>
      <c r="T308" s="29"/>
      <c r="U308" s="29"/>
    </row>
    <row r="309">
      <c r="A309" s="16">
        <v>307.0</v>
      </c>
      <c r="B309" s="17"/>
      <c r="C309" s="18" t="str">
        <f>IFERROR(__xludf.DUMMYFUNCTION("IF(B309="""","""",IF(OR(
  REGEXMATCH(B309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REGEXMATCH(B309,""Notícia|Reportagem|Artigo de opinião|Verbete"")
),""Difusão"","""")))
"),"")</f>
        <v/>
      </c>
      <c r="D309" s="19" t="str">
        <f>IFERROR(__xludf.DUMMYFUNCTION("IF(B309="""","""",IF(OR(
  REGEXMATCH(B309,""Performance|Instalação|Álbum|Música|Poema|Livro|Filme|Documentário|Recitação|Espetáculo|Peça|Intervenção|Desfile|Fotografia|Exposição|Charge|Grafite|Leitura pública|Fabricação de cachaça artesanal""),
  REGEXMA"&amp;"TCH(B309,""dança|teatral|artístico|musical|artística"")
),""Manifestação artístico-cultural"",
IF(OR(
  REGEXMATCH(B309,""Crônica|Série|Reportagem|Podcast|Audiotour|Entrevista|Vídeo|Rádio|Notícia|Artigo de opinião|Coletiva de imprensa""),
  REGEXMATCH(B30"&amp;"9,""midiática"")
),""Produção midiática"","""")))
"),"")</f>
        <v/>
      </c>
      <c r="E309" s="20" t="str">
        <f>IFERROR(__xludf.DUMMYFUNCTION("IF(B309="""","""",IF(OR(
  REGEXMATCH(B309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REGEXMATCH(B309,""público|Imediato|artística|teatral|memória|Ação popular"")
),""Público Imediato"",
IF(REGEXMATCH(B309,""Música|Álbum|Filme|Documentár"&amp;"io|Série|Podcast|Rádio|Audiotour|Entrevista|Reportagem|Crônica|Relatório|Abaixo-assinado|Manifesto|Petição|Poema|Livro|Fotografia|Curta|Live|Webinário|Charge|Leitura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09" s="20" t="str">
        <f>IFERROR(__xludf.DUMMYFUNCTION("IF(B309="""","""",IF(OR(
  REGEXMATCH(B309,""Live|Webinário|Virtual|Verbete""),
  REGEXMATCH(B309,""online"")
),""Virtual"",
IF(REGEXMATCH(B309,""Música|Álbum|Filme|Documentário|Série|Podcast|Rádio|Audiotour|Episódio|Reportagem|Curta|Charge|Vídeo|Entrevis"&amp;"ta|Notícia|Artigo de opinião""),
""Midiático"",
IF(REGEXMATCH(B309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09" s="21" t="str">
        <f>IFERROR(__xludf.DUMMYFUNCTION("IF(C309=""rememoração"", ""Insira a data manualmente"", IF(C309=""difusão"", 
 IF(NOT(ISERROR(REGEXEXTRACT(T309, ""(\d{1,2}) jan\. 2025""))), 
  TEXT(DATE(2025,1,REGEXEXTRACT(T309, ""(\d{1,2}) jan\. 2025"")), ""dd/mm/yyyy""),
 IF(NOT(ISERROR(REGEXEXTRACT("&amp;"T309, ""(\d{1,2}) fev\. 2025""))), 
  TEXT(DATE(2025,2,REGEXEXTRACT(T309, ""(\d{1,2}) fev\. 2025"")), ""dd/mm/yyyy""),
 IF(NOT(ISERROR(REGEXEXTRACT(T309, ""(\d{1,2}) mar\. 2025""))), 
  TEXT(DATE(2025,3,REGEXEXTRACT(T309, ""(\d{1,2}) mar\. 2025"")), ""dd/"&amp;"mm/yyyy""),
 IF(NOT(ISERROR(REGEXEXTRACT(T309, ""(\d{1,2}) abr\. 2025""))), 
  TEXT(DATE(2025,4,REGEXEXTRACT(T309, ""(\d{1,2}) abr\. 2025"")), ""dd/mm/yyyy""),
 IF(NOT(ISERROR(REGEXEXTRACT(T309, ""(\d{1,2}) (mai|maio)\. 2025""))), 
  TEXT(DATE(2025,5,REGE"&amp;"XEXTRACT(T309, ""(\d{1,2}) (mai|maio)\. 2025"")), ""dd/mm/yyyy""),
 IF(NOT(ISERROR(REGEXEXTRACT(T309, ""(\d{1,2}) jun\. 2025""))), 
  TEXT(DATE(2025,6,REGEXEXTRACT(T309, ""(\d{1,2}) jun\. 2025"")), ""dd/mm/yyyy""),
 IF(NOT(ISERROR(REGEXEXTRACT(T309, ""(\d"&amp;"{1,2}) jul\. 2025""))), 
  TEXT(DATE(2025,7,REGEXEXTRACT(T309, ""(\d{1,2}) jul\. 2025"")), ""dd/mm/yyyy""),
 IF(NOT(ISERROR(REGEXEXTRACT(T309, ""(\d{1,2}) ago\. 2025""))), 
  TEXT(DATE(2025,8,REGEXEXTRACT(T309, ""(\d{1,2}) ago\. 2025"")), ""dd/mm/yyyy""),"&amp;"
 IF(NOT(ISERROR(REGEXEXTRACT(T309, ""(\d{1,2}) set\. 2025""))), 
  TEXT(DATE(2025,9,REGEXEXTRACT(T309, ""(\d{1,2}) set\. 2025"")), ""dd/mm/yyyy""),
 IF(NOT(ISERROR(REGEXEXTRACT(T309, ""(\d{1,2}) out\. 2025""))), 
  TEXT(DATE(2025,10,REGEXEXTRACT(T309, """&amp;"(\d{1,2}) out\. 2025"")), ""dd/mm/yyyy""),
 IF(NOT(ISERROR(REGEXEXTRACT(T309, ""(\d{1,2}) nov\. 2025""))), 
  TEXT(DATE(2025,11,REGEXEXTRACT(T309, ""(\d{1,2}) nov\. 2025"")), ""dd/mm/yyyy""),
 IF(NOT(ISERROR(REGEXEXTRACT(T309, ""(\d{1,2}) dez\. 2025""))),"&amp;" 
  TEXT(DATE(2025,12,REGEXEXTRACT(T309, ""(\d{1,2}) dez\. 2025"")), ""dd/mm/yyyy""),
 ""Insira a data manualmente"")))))))))))), """"))"),"")</f>
        <v/>
      </c>
      <c r="H309" s="22">
        <f t="shared" si="1"/>
        <v>0</v>
      </c>
      <c r="I309" s="18" t="str">
        <f>IFERROR(__xludf.DUMMYFUNCTION("IF(REGEXMATCH(T309,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IF(REGEXMATCH(T309, ""(?i)\bBrasília\b""), ""Distrito Federal, Brasil"",
REGEXEXTRACT(T309,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09" s="30"/>
      <c r="K309" s="24"/>
      <c r="L309" s="24"/>
      <c r="M309" s="25"/>
      <c r="N309" s="18" t="str">
        <f t="shared" si="8"/>
        <v/>
      </c>
      <c r="O309" s="17" t="s">
        <v>28</v>
      </c>
      <c r="P309" s="17" t="s">
        <v>251</v>
      </c>
      <c r="Q309" s="26">
        <v>45973.0</v>
      </c>
      <c r="R309" s="17"/>
      <c r="S309" s="36" t="str">
        <f t="shared" si="3"/>
        <v>#VALUE!</v>
      </c>
      <c r="T309" s="29"/>
      <c r="U309" s="29"/>
    </row>
    <row r="310">
      <c r="A310" s="16">
        <v>308.0</v>
      </c>
      <c r="B310" s="17"/>
      <c r="C310" s="18" t="str">
        <f>IFERROR(__xludf.DUMMYFUNCTION("IF(B310="""","""",IF(OR(
  REGEXMATCH(B310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REGEXMATCH(B310,""Notícia|Reportagem|Artigo de opinião|Verbete"")
),""Difusão"","""")))
"),"")</f>
        <v/>
      </c>
      <c r="D310" s="19" t="str">
        <f>IFERROR(__xludf.DUMMYFUNCTION("IF(B310="""","""",IF(OR(
  REGEXMATCH(B310,""Performance|Instalação|Álbum|Música|Poema|Livro|Filme|Documentário|Recitação|Espetáculo|Peça|Intervenção|Desfile|Fotografia|Exposição|Charge|Grafite|Leitura pública|Fabricação de cachaça artesanal""),
  REGEXMA"&amp;"TCH(B310,""dança|teatral|artístico|musical|artística"")
),""Manifestação artístico-cultural"",
IF(OR(
  REGEXMATCH(B310,""Crônica|Série|Reportagem|Podcast|Audiotour|Entrevista|Vídeo|Rádio|Notícia|Artigo de opinião|Coletiva de imprensa""),
  REGEXMATCH(B31"&amp;"0,""midiática"")
),""Produção midiática"","""")))
"),"")</f>
        <v/>
      </c>
      <c r="E310" s="20" t="str">
        <f>IFERROR(__xludf.DUMMYFUNCTION("IF(B310="""","""",IF(OR(
  REGEXMATCH(B310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REGEXMATCH(B310,""público|Imediato|artística|teatral|memória|Ação popular"")
),""Público Imediato"",
IF(REGEXMATCH(B310,""Música|Álbum|Filme|Documentár"&amp;"io|Série|Podcast|Rádio|Audiotour|Entrevista|Reportagem|Crônica|Relatório|Abaixo-assinado|Manifesto|Petição|Poema|Livro|Fotografia|Curta|Live|Webinário|Charge|Leitura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10" s="20" t="str">
        <f>IFERROR(__xludf.DUMMYFUNCTION("IF(B310="""","""",IF(OR(
  REGEXMATCH(B310,""Live|Webinário|Virtual|Verbete""),
  REGEXMATCH(B310,""online"")
),""Virtual"",
IF(REGEXMATCH(B310,""Música|Álbum|Filme|Documentário|Série|Podcast|Rádio|Audiotour|Episódio|Reportagem|Curta|Charge|Vídeo|Entrevis"&amp;"ta|Notícia|Artigo de opinião""),
""Midiático"",
IF(REGEXMATCH(B310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10" s="21" t="str">
        <f>IFERROR(__xludf.DUMMYFUNCTION("IF(C310=""rememoração"", ""Insira a data manualmente"", IF(C310=""difusão"", 
 IF(NOT(ISERROR(REGEXEXTRACT(T310, ""(\d{1,2}) jan\. 2025""))), 
  TEXT(DATE(2025,1,REGEXEXTRACT(T310, ""(\d{1,2}) jan\. 2025"")), ""dd/mm/yyyy""),
 IF(NOT(ISERROR(REGEXEXTRACT("&amp;"T310, ""(\d{1,2}) fev\. 2025""))), 
  TEXT(DATE(2025,2,REGEXEXTRACT(T310, ""(\d{1,2}) fev\. 2025"")), ""dd/mm/yyyy""),
 IF(NOT(ISERROR(REGEXEXTRACT(T310, ""(\d{1,2}) mar\. 2025""))), 
  TEXT(DATE(2025,3,REGEXEXTRACT(T310, ""(\d{1,2}) mar\. 2025"")), ""dd/"&amp;"mm/yyyy""),
 IF(NOT(ISERROR(REGEXEXTRACT(T310, ""(\d{1,2}) abr\. 2025""))), 
  TEXT(DATE(2025,4,REGEXEXTRACT(T310, ""(\d{1,2}) abr\. 2025"")), ""dd/mm/yyyy""),
 IF(NOT(ISERROR(REGEXEXTRACT(T310, ""(\d{1,2}) (mai|maio)\. 2025""))), 
  TEXT(DATE(2025,5,REGE"&amp;"XEXTRACT(T310, ""(\d{1,2}) (mai|maio)\. 2025"")), ""dd/mm/yyyy""),
 IF(NOT(ISERROR(REGEXEXTRACT(T310, ""(\d{1,2}) jun\. 2025""))), 
  TEXT(DATE(2025,6,REGEXEXTRACT(T310, ""(\d{1,2}) jun\. 2025"")), ""dd/mm/yyyy""),
 IF(NOT(ISERROR(REGEXEXTRACT(T310, ""(\d"&amp;"{1,2}) jul\. 2025""))), 
  TEXT(DATE(2025,7,REGEXEXTRACT(T310, ""(\d{1,2}) jul\. 2025"")), ""dd/mm/yyyy""),
 IF(NOT(ISERROR(REGEXEXTRACT(T310, ""(\d{1,2}) ago\. 2025""))), 
  TEXT(DATE(2025,8,REGEXEXTRACT(T310, ""(\d{1,2}) ago\. 2025"")), ""dd/mm/yyyy""),"&amp;"
 IF(NOT(ISERROR(REGEXEXTRACT(T310, ""(\d{1,2}) set\. 2025""))), 
  TEXT(DATE(2025,9,REGEXEXTRACT(T310, ""(\d{1,2}) set\. 2025"")), ""dd/mm/yyyy""),
 IF(NOT(ISERROR(REGEXEXTRACT(T310, ""(\d{1,2}) out\. 2025""))), 
  TEXT(DATE(2025,10,REGEXEXTRACT(T310, """&amp;"(\d{1,2}) out\. 2025"")), ""dd/mm/yyyy""),
 IF(NOT(ISERROR(REGEXEXTRACT(T310, ""(\d{1,2}) nov\. 2025""))), 
  TEXT(DATE(2025,11,REGEXEXTRACT(T310, ""(\d{1,2}) nov\. 2025"")), ""dd/mm/yyyy""),
 IF(NOT(ISERROR(REGEXEXTRACT(T310, ""(\d{1,2}) dez\. 2025""))),"&amp;" 
  TEXT(DATE(2025,12,REGEXEXTRACT(T310, ""(\d{1,2}) dez\. 2025"")), ""dd/mm/yyyy""),
 ""Insira a data manualmente"")))))))))))), """"))"),"")</f>
        <v/>
      </c>
      <c r="H310" s="22">
        <f t="shared" si="1"/>
        <v>0</v>
      </c>
      <c r="I310" s="18" t="str">
        <f>IFERROR(__xludf.DUMMYFUNCTION("IF(REGEXMATCH(T310,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IF(REGEXMATCH(T310, ""(?i)\bBrasília\b""), ""Distrito Federal, Brasil"",
REGEXEXTRACT(T310,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10" s="30"/>
      <c r="K310" s="24"/>
      <c r="L310" s="24"/>
      <c r="M310" s="25"/>
      <c r="N310" s="18" t="str">
        <f t="shared" si="8"/>
        <v/>
      </c>
      <c r="O310" s="17" t="s">
        <v>28</v>
      </c>
      <c r="P310" s="17" t="s">
        <v>251</v>
      </c>
      <c r="Q310" s="26">
        <v>45973.0</v>
      </c>
      <c r="R310" s="17"/>
      <c r="S310" s="36" t="str">
        <f t="shared" si="3"/>
        <v>#VALUE!</v>
      </c>
      <c r="T310" s="29"/>
      <c r="U310" s="29"/>
    </row>
    <row r="311">
      <c r="A311" s="16">
        <v>309.0</v>
      </c>
      <c r="B311" s="17"/>
      <c r="C311" s="18" t="str">
        <f>IFERROR(__xludf.DUMMYFUNCTION("IF(B311="""","""",IF(OR(
  REGEXMATCH(B311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REGEXMATCH(B311,""Notícia|Reportagem|Artigo de opinião|Verbete"")
),""Difusão"","""")))
"),"")</f>
        <v/>
      </c>
      <c r="D311" s="19" t="str">
        <f>IFERROR(__xludf.DUMMYFUNCTION("IF(B311="""","""",IF(OR(
  REGEXMATCH(B311,""Performance|Instalação|Álbum|Música|Poema|Livro|Filme|Documentário|Recitação|Espetáculo|Peça|Intervenção|Desfile|Fotografia|Exposição|Charge|Grafite|Leitura pública|Fabricação de cachaça artesanal""),
  REGEXMA"&amp;"TCH(B311,""dança|teatral|artístico|musical|artística"")
),""Manifestação artístico-cultural"",
IF(OR(
  REGEXMATCH(B311,""Crônica|Série|Reportagem|Podcast|Audiotour|Entrevista|Vídeo|Rádio|Notícia|Artigo de opinião|Coletiva de imprensa""),
  REGEXMATCH(B31"&amp;"1,""midiática"")
),""Produção midiática"","""")))
"),"")</f>
        <v/>
      </c>
      <c r="E311" s="20" t="str">
        <f>IFERROR(__xludf.DUMMYFUNCTION("IF(B311="""","""",IF(OR(
  REGEXMATCH(B311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REGEXMATCH(B311,""público|Imediato|artística|teatral|memória|Ação popular"")
),""Público Imediato"",
IF(REGEXMATCH(B311,""Música|Álbum|Filme|Documentár"&amp;"io|Série|Podcast|Rádio|Audiotour|Entrevista|Reportagem|Crônica|Relatório|Abaixo-assinado|Manifesto|Petição|Poema|Livro|Fotografia|Curta|Live|Webinário|Charge|Leitura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11" s="20" t="str">
        <f>IFERROR(__xludf.DUMMYFUNCTION("IF(B311="""","""",IF(OR(
  REGEXMATCH(B311,""Live|Webinário|Virtual|Verbete""),
  REGEXMATCH(B311,""online"")
),""Virtual"",
IF(REGEXMATCH(B311,""Música|Álbum|Filme|Documentário|Série|Podcast|Rádio|Audiotour|Episódio|Reportagem|Curta|Charge|Vídeo|Entrevis"&amp;"ta|Notícia|Artigo de opinião""),
""Midiático"",
IF(REGEXMATCH(B311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11" s="21" t="str">
        <f>IFERROR(__xludf.DUMMYFUNCTION("IF(C311=""rememoração"", ""Insira a data manualmente"", IF(C311=""difusão"", 
 IF(NOT(ISERROR(REGEXEXTRACT(T311, ""(\d{1,2}) jan\. 2025""))), 
  TEXT(DATE(2025,1,REGEXEXTRACT(T311, ""(\d{1,2}) jan\. 2025"")), ""dd/mm/yyyy""),
 IF(NOT(ISERROR(REGEXEXTRACT("&amp;"T311, ""(\d{1,2}) fev\. 2025""))), 
  TEXT(DATE(2025,2,REGEXEXTRACT(T311, ""(\d{1,2}) fev\. 2025"")), ""dd/mm/yyyy""),
 IF(NOT(ISERROR(REGEXEXTRACT(T311, ""(\d{1,2}) mar\. 2025""))), 
  TEXT(DATE(2025,3,REGEXEXTRACT(T311, ""(\d{1,2}) mar\. 2025"")), ""dd/"&amp;"mm/yyyy""),
 IF(NOT(ISERROR(REGEXEXTRACT(T311, ""(\d{1,2}) abr\. 2025""))), 
  TEXT(DATE(2025,4,REGEXEXTRACT(T311, ""(\d{1,2}) abr\. 2025"")), ""dd/mm/yyyy""),
 IF(NOT(ISERROR(REGEXEXTRACT(T311, ""(\d{1,2}) (mai|maio)\. 2025""))), 
  TEXT(DATE(2025,5,REGE"&amp;"XEXTRACT(T311, ""(\d{1,2}) (mai|maio)\. 2025"")), ""dd/mm/yyyy""),
 IF(NOT(ISERROR(REGEXEXTRACT(T311, ""(\d{1,2}) jun\. 2025""))), 
  TEXT(DATE(2025,6,REGEXEXTRACT(T311, ""(\d{1,2}) jun\. 2025"")), ""dd/mm/yyyy""),
 IF(NOT(ISERROR(REGEXEXTRACT(T311, ""(\d"&amp;"{1,2}) jul\. 2025""))), 
  TEXT(DATE(2025,7,REGEXEXTRACT(T311, ""(\d{1,2}) jul\. 2025"")), ""dd/mm/yyyy""),
 IF(NOT(ISERROR(REGEXEXTRACT(T311, ""(\d{1,2}) ago\. 2025""))), 
  TEXT(DATE(2025,8,REGEXEXTRACT(T311, ""(\d{1,2}) ago\. 2025"")), ""dd/mm/yyyy""),"&amp;"
 IF(NOT(ISERROR(REGEXEXTRACT(T311, ""(\d{1,2}) set\. 2025""))), 
  TEXT(DATE(2025,9,REGEXEXTRACT(T311, ""(\d{1,2}) set\. 2025"")), ""dd/mm/yyyy""),
 IF(NOT(ISERROR(REGEXEXTRACT(T311, ""(\d{1,2}) out\. 2025""))), 
  TEXT(DATE(2025,10,REGEXEXTRACT(T311, """&amp;"(\d{1,2}) out\. 2025"")), ""dd/mm/yyyy""),
 IF(NOT(ISERROR(REGEXEXTRACT(T311, ""(\d{1,2}) nov\. 2025""))), 
  TEXT(DATE(2025,11,REGEXEXTRACT(T311, ""(\d{1,2}) nov\. 2025"")), ""dd/mm/yyyy""),
 IF(NOT(ISERROR(REGEXEXTRACT(T311, ""(\d{1,2}) dez\. 2025""))),"&amp;" 
  TEXT(DATE(2025,12,REGEXEXTRACT(T311, ""(\d{1,2}) dez\. 2025"")), ""dd/mm/yyyy""),
 ""Insira a data manualmente"")))))))))))), """"))"),"")</f>
        <v/>
      </c>
      <c r="H311" s="22">
        <f t="shared" si="1"/>
        <v>0</v>
      </c>
      <c r="I311" s="18" t="str">
        <f>IFERROR(__xludf.DUMMYFUNCTION("IF(REGEXMATCH(T311,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IF(REGEXMATCH(T311, ""(?i)\bBrasília\b""), ""Distrito Federal, Brasil"",
REGEXEXTRACT(T311,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11" s="30"/>
      <c r="K311" s="24"/>
      <c r="L311" s="24"/>
      <c r="M311" s="25"/>
      <c r="N311" s="18" t="str">
        <f t="shared" si="8"/>
        <v/>
      </c>
      <c r="O311" s="17" t="s">
        <v>28</v>
      </c>
      <c r="P311" s="17" t="s">
        <v>251</v>
      </c>
      <c r="Q311" s="26">
        <v>45973.0</v>
      </c>
      <c r="R311" s="17"/>
      <c r="S311" s="36" t="str">
        <f t="shared" si="3"/>
        <v>#VALUE!</v>
      </c>
      <c r="T311" s="29"/>
      <c r="U311" s="29"/>
    </row>
    <row r="312">
      <c r="A312" s="16">
        <v>310.0</v>
      </c>
      <c r="B312" s="17"/>
      <c r="C312" s="18" t="str">
        <f>IFERROR(__xludf.DUMMYFUNCTION("IF(B312="""","""",IF(OR(
  REGEXMATCH(B312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REGEXMATCH(B312,""Notícia|Reportagem|Artigo de opinião|Verbete"")
),""Difusão"","""")))
"),"")</f>
        <v/>
      </c>
      <c r="D312" s="19" t="str">
        <f>IFERROR(__xludf.DUMMYFUNCTION("IF(B312="""","""",IF(OR(
  REGEXMATCH(B312,""Performance|Instalação|Álbum|Música|Poema|Livro|Filme|Documentário|Recitação|Espetáculo|Peça|Intervenção|Desfile|Fotografia|Exposição|Charge|Grafite|Leitura pública|Fabricação de cachaça artesanal""),
  REGEXMA"&amp;"TCH(B312,""dança|teatral|artístico|musical|artística"")
),""Manifestação artístico-cultural"",
IF(OR(
  REGEXMATCH(B312,""Crônica|Série|Reportagem|Podcast|Audiotour|Entrevista|Vídeo|Rádio|Notícia|Artigo de opinião|Coletiva de imprensa""),
  REGEXMATCH(B31"&amp;"2,""midiática"")
),""Produção midiática"","""")))
"),"")</f>
        <v/>
      </c>
      <c r="E312" s="20" t="str">
        <f>IFERROR(__xludf.DUMMYFUNCTION("IF(B312="""","""",IF(OR(
  REGEXMATCH(B312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REGEXMATCH(B312,""público|Imediato|artística|teatral|memória|Ação popular"")
),""Público Imediato"",
IF(REGEXMATCH(B312,""Música|Álbum|Filme|Documentár"&amp;"io|Série|Podcast|Rádio|Audiotour|Entrevista|Reportagem|Crônica|Relatório|Abaixo-assinado|Manifesto|Petição|Poema|Livro|Fotografia|Curta|Live|Webinário|Charge|Leitura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12" s="20" t="str">
        <f>IFERROR(__xludf.DUMMYFUNCTION("IF(B312="""","""",IF(OR(
  REGEXMATCH(B312,""Live|Webinário|Virtual|Verbete""),
  REGEXMATCH(B312,""online"")
),""Virtual"",
IF(REGEXMATCH(B312,""Música|Álbum|Filme|Documentário|Série|Podcast|Rádio|Audiotour|Episódio|Reportagem|Curta|Charge|Vídeo|Entrevis"&amp;"ta|Notícia|Artigo de opinião""),
""Midiático"",
IF(REGEXMATCH(B312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12" s="21" t="str">
        <f>IFERROR(__xludf.DUMMYFUNCTION("IF(C312=""rememoração"", ""Insira a data manualmente"", IF(C312=""difusão"", 
 IF(NOT(ISERROR(REGEXEXTRACT(T312, ""(\d{1,2}) jan\. 2025""))), 
  TEXT(DATE(2025,1,REGEXEXTRACT(T312, ""(\d{1,2}) jan\. 2025"")), ""dd/mm/yyyy""),
 IF(NOT(ISERROR(REGEXEXTRACT("&amp;"T312, ""(\d{1,2}) fev\. 2025""))), 
  TEXT(DATE(2025,2,REGEXEXTRACT(T312, ""(\d{1,2}) fev\. 2025"")), ""dd/mm/yyyy""),
 IF(NOT(ISERROR(REGEXEXTRACT(T312, ""(\d{1,2}) mar\. 2025""))), 
  TEXT(DATE(2025,3,REGEXEXTRACT(T312, ""(\d{1,2}) mar\. 2025"")), ""dd/"&amp;"mm/yyyy""),
 IF(NOT(ISERROR(REGEXEXTRACT(T312, ""(\d{1,2}) abr\. 2025""))), 
  TEXT(DATE(2025,4,REGEXEXTRACT(T312, ""(\d{1,2}) abr\. 2025"")), ""dd/mm/yyyy""),
 IF(NOT(ISERROR(REGEXEXTRACT(T312, ""(\d{1,2}) (mai|maio)\. 2025""))), 
  TEXT(DATE(2025,5,REGE"&amp;"XEXTRACT(T312, ""(\d{1,2}) (mai|maio)\. 2025"")), ""dd/mm/yyyy""),
 IF(NOT(ISERROR(REGEXEXTRACT(T312, ""(\d{1,2}) jun\. 2025""))), 
  TEXT(DATE(2025,6,REGEXEXTRACT(T312, ""(\d{1,2}) jun\. 2025"")), ""dd/mm/yyyy""),
 IF(NOT(ISERROR(REGEXEXTRACT(T312, ""(\d"&amp;"{1,2}) jul\. 2025""))), 
  TEXT(DATE(2025,7,REGEXEXTRACT(T312, ""(\d{1,2}) jul\. 2025"")), ""dd/mm/yyyy""),
 IF(NOT(ISERROR(REGEXEXTRACT(T312, ""(\d{1,2}) ago\. 2025""))), 
  TEXT(DATE(2025,8,REGEXEXTRACT(T312, ""(\d{1,2}) ago\. 2025"")), ""dd/mm/yyyy""),"&amp;"
 IF(NOT(ISERROR(REGEXEXTRACT(T312, ""(\d{1,2}) set\. 2025""))), 
  TEXT(DATE(2025,9,REGEXEXTRACT(T312, ""(\d{1,2}) set\. 2025"")), ""dd/mm/yyyy""),
 IF(NOT(ISERROR(REGEXEXTRACT(T312, ""(\d{1,2}) out\. 2025""))), 
  TEXT(DATE(2025,10,REGEXEXTRACT(T312, """&amp;"(\d{1,2}) out\. 2025"")), ""dd/mm/yyyy""),
 IF(NOT(ISERROR(REGEXEXTRACT(T312, ""(\d{1,2}) nov\. 2025""))), 
  TEXT(DATE(2025,11,REGEXEXTRACT(T312, ""(\d{1,2}) nov\. 2025"")), ""dd/mm/yyyy""),
 IF(NOT(ISERROR(REGEXEXTRACT(T312, ""(\d{1,2}) dez\. 2025""))),"&amp;" 
  TEXT(DATE(2025,12,REGEXEXTRACT(T312, ""(\d{1,2}) dez\. 2025"")), ""dd/mm/yyyy""),
 ""Insira a data manualmente"")))))))))))), """"))"),"")</f>
        <v/>
      </c>
      <c r="H312" s="22">
        <f t="shared" si="1"/>
        <v>0</v>
      </c>
      <c r="I312" s="18" t="str">
        <f>IFERROR(__xludf.DUMMYFUNCTION("IF(REGEXMATCH(T312,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IF(REGEXMATCH(T312, ""(?i)\bBrasília\b""), ""Distrito Federal, Brasil"",
REGEXEXTRACT(T312,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12" s="30"/>
      <c r="K312" s="24"/>
      <c r="L312" s="24"/>
      <c r="M312" s="25"/>
      <c r="N312" s="18" t="str">
        <f t="shared" si="8"/>
        <v/>
      </c>
      <c r="O312" s="17" t="s">
        <v>28</v>
      </c>
      <c r="P312" s="17" t="s">
        <v>251</v>
      </c>
      <c r="Q312" s="26">
        <v>45973.0</v>
      </c>
      <c r="R312" s="17"/>
      <c r="S312" s="36" t="str">
        <f t="shared" si="3"/>
        <v>#VALUE!</v>
      </c>
      <c r="T312" s="29"/>
      <c r="U312" s="29"/>
    </row>
    <row r="313">
      <c r="A313" s="16">
        <v>311.0</v>
      </c>
      <c r="B313" s="17"/>
      <c r="C313" s="18" t="str">
        <f>IFERROR(__xludf.DUMMYFUNCTION("IF(B313="""","""",IF(OR(
  REGEXMATCH(B313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REGEXMATCH(B313,""Notícia|Reportagem|Artigo de opinião|Verbete"")
),""Difusão"","""")))
"),"")</f>
        <v/>
      </c>
      <c r="D313" s="19" t="str">
        <f>IFERROR(__xludf.DUMMYFUNCTION("IF(B313="""","""",IF(OR(
  REGEXMATCH(B313,""Performance|Instalação|Álbum|Música|Poema|Livro|Filme|Documentário|Recitação|Espetáculo|Peça|Intervenção|Desfile|Fotografia|Exposição|Charge|Grafite|Leitura pública|Fabricação de cachaça artesanal""),
  REGEXMA"&amp;"TCH(B313,""dança|teatral|artístico|musical|artística"")
),""Manifestação artístico-cultural"",
IF(OR(
  REGEXMATCH(B313,""Crônica|Série|Reportagem|Podcast|Audiotour|Entrevista|Vídeo|Rádio|Notícia|Artigo de opinião|Coletiva de imprensa""),
  REGEXMATCH(B31"&amp;"3,""midiática"")
),""Produção midiática"","""")))
"),"")</f>
        <v/>
      </c>
      <c r="E313" s="20" t="str">
        <f>IFERROR(__xludf.DUMMYFUNCTION("IF(B313="""","""",IF(OR(
  REGEXMATCH(B313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REGEXMATCH(B313,""público|Imediato|artística|teatral|memória|Ação popular"")
),""Público Imediato"",
IF(REGEXMATCH(B313,""Música|Álbum|Filme|Documentár"&amp;"io|Série|Podcast|Rádio|Audiotour|Entrevista|Reportagem|Crônica|Relatório|Abaixo-assinado|Manifesto|Petição|Poema|Livro|Fotografia|Curta|Live|Webinário|Charge|Leitura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13" s="20" t="str">
        <f>IFERROR(__xludf.DUMMYFUNCTION("IF(B313="""","""",IF(OR(
  REGEXMATCH(B313,""Live|Webinário|Virtual|Verbete""),
  REGEXMATCH(B313,""online"")
),""Virtual"",
IF(REGEXMATCH(B313,""Música|Álbum|Filme|Documentário|Série|Podcast|Rádio|Audiotour|Episódio|Reportagem|Curta|Charge|Vídeo|Entrevis"&amp;"ta|Notícia|Artigo de opinião""),
""Midiático"",
IF(REGEXMATCH(B313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13" s="21" t="str">
        <f>IFERROR(__xludf.DUMMYFUNCTION("IF(C313=""rememoração"", ""Insira a data manualmente"", IF(C313=""difusão"", 
 IF(NOT(ISERROR(REGEXEXTRACT(T313, ""(\d{1,2}) jan\. 2025""))), 
  TEXT(DATE(2025,1,REGEXEXTRACT(T313, ""(\d{1,2}) jan\. 2025"")), ""dd/mm/yyyy""),
 IF(NOT(ISERROR(REGEXEXTRACT("&amp;"T313, ""(\d{1,2}) fev\. 2025""))), 
  TEXT(DATE(2025,2,REGEXEXTRACT(T313, ""(\d{1,2}) fev\. 2025"")), ""dd/mm/yyyy""),
 IF(NOT(ISERROR(REGEXEXTRACT(T313, ""(\d{1,2}) mar\. 2025""))), 
  TEXT(DATE(2025,3,REGEXEXTRACT(T313, ""(\d{1,2}) mar\. 2025"")), ""dd/"&amp;"mm/yyyy""),
 IF(NOT(ISERROR(REGEXEXTRACT(T313, ""(\d{1,2}) abr\. 2025""))), 
  TEXT(DATE(2025,4,REGEXEXTRACT(T313, ""(\d{1,2}) abr\. 2025"")), ""dd/mm/yyyy""),
 IF(NOT(ISERROR(REGEXEXTRACT(T313, ""(\d{1,2}) (mai|maio)\. 2025""))), 
  TEXT(DATE(2025,5,REGE"&amp;"XEXTRACT(T313, ""(\d{1,2}) (mai|maio)\. 2025"")), ""dd/mm/yyyy""),
 IF(NOT(ISERROR(REGEXEXTRACT(T313, ""(\d{1,2}) jun\. 2025""))), 
  TEXT(DATE(2025,6,REGEXEXTRACT(T313, ""(\d{1,2}) jun\. 2025"")), ""dd/mm/yyyy""),
 IF(NOT(ISERROR(REGEXEXTRACT(T313, ""(\d"&amp;"{1,2}) jul\. 2025""))), 
  TEXT(DATE(2025,7,REGEXEXTRACT(T313, ""(\d{1,2}) jul\. 2025"")), ""dd/mm/yyyy""),
 IF(NOT(ISERROR(REGEXEXTRACT(T313, ""(\d{1,2}) ago\. 2025""))), 
  TEXT(DATE(2025,8,REGEXEXTRACT(T313, ""(\d{1,2}) ago\. 2025"")), ""dd/mm/yyyy""),"&amp;"
 IF(NOT(ISERROR(REGEXEXTRACT(T313, ""(\d{1,2}) set\. 2025""))), 
  TEXT(DATE(2025,9,REGEXEXTRACT(T313, ""(\d{1,2}) set\. 2025"")), ""dd/mm/yyyy""),
 IF(NOT(ISERROR(REGEXEXTRACT(T313, ""(\d{1,2}) out\. 2025""))), 
  TEXT(DATE(2025,10,REGEXEXTRACT(T313, """&amp;"(\d{1,2}) out\. 2025"")), ""dd/mm/yyyy""),
 IF(NOT(ISERROR(REGEXEXTRACT(T313, ""(\d{1,2}) nov\. 2025""))), 
  TEXT(DATE(2025,11,REGEXEXTRACT(T313, ""(\d{1,2}) nov\. 2025"")), ""dd/mm/yyyy""),
 IF(NOT(ISERROR(REGEXEXTRACT(T313, ""(\d{1,2}) dez\. 2025""))),"&amp;" 
  TEXT(DATE(2025,12,REGEXEXTRACT(T313, ""(\d{1,2}) dez\. 2025"")), ""dd/mm/yyyy""),
 ""Insira a data manualmente"")))))))))))), """"))"),"")</f>
        <v/>
      </c>
      <c r="H313" s="22">
        <f t="shared" si="1"/>
        <v>0</v>
      </c>
      <c r="I313" s="18" t="str">
        <f>IFERROR(__xludf.DUMMYFUNCTION("IF(REGEXMATCH(T313,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IF(REGEXMATCH(T313, ""(?i)\bBrasília\b""), ""Distrito Federal, Brasil"",
REGEXEXTRACT(T313,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13" s="30"/>
      <c r="K313" s="24"/>
      <c r="L313" s="24"/>
      <c r="M313" s="25"/>
      <c r="N313" s="18" t="str">
        <f t="shared" si="8"/>
        <v/>
      </c>
      <c r="O313" s="17" t="s">
        <v>28</v>
      </c>
      <c r="P313" s="17" t="s">
        <v>251</v>
      </c>
      <c r="Q313" s="26">
        <v>45973.0</v>
      </c>
      <c r="R313" s="17"/>
      <c r="S313" s="36" t="str">
        <f t="shared" si="3"/>
        <v>#VALUE!</v>
      </c>
      <c r="T313" s="29"/>
      <c r="U313" s="29"/>
    </row>
    <row r="314">
      <c r="A314" s="16">
        <v>312.0</v>
      </c>
      <c r="B314" s="17"/>
      <c r="C314" s="18" t="str">
        <f>IFERROR(__xludf.DUMMYFUNCTION("IF(B314="""","""",IF(OR(
  REGEXMATCH(B314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REGEXMATCH(B314,""Notícia|Reportagem|Artigo de opinião|Verbete"")
),""Difusão"","""")))
"),"")</f>
        <v/>
      </c>
      <c r="D314" s="19" t="str">
        <f>IFERROR(__xludf.DUMMYFUNCTION("IF(B314="""","""",IF(OR(
  REGEXMATCH(B314,""Performance|Instalação|Álbum|Música|Poema|Livro|Filme|Documentário|Recitação|Espetáculo|Peça|Intervenção|Desfile|Fotografia|Exposição|Charge|Grafite|Leitura pública|Fabricação de cachaça artesanal""),
  REGEXMA"&amp;"TCH(B314,""dança|teatral|artístico|musical|artística"")
),""Manifestação artístico-cultural"",
IF(OR(
  REGEXMATCH(B314,""Crônica|Série|Reportagem|Podcast|Audiotour|Entrevista|Vídeo|Rádio|Notícia|Artigo de opinião|Coletiva de imprensa""),
  REGEXMATCH(B31"&amp;"4,""midiática"")
),""Produção midiática"","""")))
"),"")</f>
        <v/>
      </c>
      <c r="E314" s="20" t="str">
        <f>IFERROR(__xludf.DUMMYFUNCTION("IF(B314="""","""",IF(OR(
  REGEXMATCH(B314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REGEXMATCH(B314,""público|Imediato|artística|teatral|memória|Ação popular"")
),""Público Imediato"",
IF(REGEXMATCH(B314,""Música|Álbum|Filme|Documentár"&amp;"io|Série|Podcast|Rádio|Audiotour|Entrevista|Reportagem|Crônica|Relatório|Abaixo-assinado|Manifesto|Petição|Poema|Livro|Fotografia|Curta|Live|Webinário|Charge|Leitura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14" s="20" t="str">
        <f>IFERROR(__xludf.DUMMYFUNCTION("IF(B314="""","""",IF(OR(
  REGEXMATCH(B314,""Live|Webinário|Virtual|Verbete""),
  REGEXMATCH(B314,""online"")
),""Virtual"",
IF(REGEXMATCH(B314,""Música|Álbum|Filme|Documentário|Série|Podcast|Rádio|Audiotour|Episódio|Reportagem|Curta|Charge|Vídeo|Entrevis"&amp;"ta|Notícia|Artigo de opinião""),
""Midiático"",
IF(REGEXMATCH(B314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14" s="21" t="str">
        <f>IFERROR(__xludf.DUMMYFUNCTION("IF(C314=""rememoração"", ""Insira a data manualmente"", IF(C314=""difusão"", 
 IF(NOT(ISERROR(REGEXEXTRACT(T314, ""(\d{1,2}) jan\. 2025""))), 
  TEXT(DATE(2025,1,REGEXEXTRACT(T314, ""(\d{1,2}) jan\. 2025"")), ""dd/mm/yyyy""),
 IF(NOT(ISERROR(REGEXEXTRACT("&amp;"T314, ""(\d{1,2}) fev\. 2025""))), 
  TEXT(DATE(2025,2,REGEXEXTRACT(T314, ""(\d{1,2}) fev\. 2025"")), ""dd/mm/yyyy""),
 IF(NOT(ISERROR(REGEXEXTRACT(T314, ""(\d{1,2}) mar\. 2025""))), 
  TEXT(DATE(2025,3,REGEXEXTRACT(T314, ""(\d{1,2}) mar\. 2025"")), ""dd/"&amp;"mm/yyyy""),
 IF(NOT(ISERROR(REGEXEXTRACT(T314, ""(\d{1,2}) abr\. 2025""))), 
  TEXT(DATE(2025,4,REGEXEXTRACT(T314, ""(\d{1,2}) abr\. 2025"")), ""dd/mm/yyyy""),
 IF(NOT(ISERROR(REGEXEXTRACT(T314, ""(\d{1,2}) (mai|maio)\. 2025""))), 
  TEXT(DATE(2025,5,REGE"&amp;"XEXTRACT(T314, ""(\d{1,2}) (mai|maio)\. 2025"")), ""dd/mm/yyyy""),
 IF(NOT(ISERROR(REGEXEXTRACT(T314, ""(\d{1,2}) jun\. 2025""))), 
  TEXT(DATE(2025,6,REGEXEXTRACT(T314, ""(\d{1,2}) jun\. 2025"")), ""dd/mm/yyyy""),
 IF(NOT(ISERROR(REGEXEXTRACT(T314, ""(\d"&amp;"{1,2}) jul\. 2025""))), 
  TEXT(DATE(2025,7,REGEXEXTRACT(T314, ""(\d{1,2}) jul\. 2025"")), ""dd/mm/yyyy""),
 IF(NOT(ISERROR(REGEXEXTRACT(T314, ""(\d{1,2}) ago\. 2025""))), 
  TEXT(DATE(2025,8,REGEXEXTRACT(T314, ""(\d{1,2}) ago\. 2025"")), ""dd/mm/yyyy""),"&amp;"
 IF(NOT(ISERROR(REGEXEXTRACT(T314, ""(\d{1,2}) set\. 2025""))), 
  TEXT(DATE(2025,9,REGEXEXTRACT(T314, ""(\d{1,2}) set\. 2025"")), ""dd/mm/yyyy""),
 IF(NOT(ISERROR(REGEXEXTRACT(T314, ""(\d{1,2}) out\. 2025""))), 
  TEXT(DATE(2025,10,REGEXEXTRACT(T314, """&amp;"(\d{1,2}) out\. 2025"")), ""dd/mm/yyyy""),
 IF(NOT(ISERROR(REGEXEXTRACT(T314, ""(\d{1,2}) nov\. 2025""))), 
  TEXT(DATE(2025,11,REGEXEXTRACT(T314, ""(\d{1,2}) nov\. 2025"")), ""dd/mm/yyyy""),
 IF(NOT(ISERROR(REGEXEXTRACT(T314, ""(\d{1,2}) dez\. 2025""))),"&amp;" 
  TEXT(DATE(2025,12,REGEXEXTRACT(T314, ""(\d{1,2}) dez\. 2025"")), ""dd/mm/yyyy""),
 ""Insira a data manualmente"")))))))))))), """"))"),"")</f>
        <v/>
      </c>
      <c r="H314" s="22">
        <f t="shared" si="1"/>
        <v>0</v>
      </c>
      <c r="I314" s="18" t="str">
        <f>IFERROR(__xludf.DUMMYFUNCTION("IF(REGEXMATCH(T314,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IF(REGEXMATCH(T314, ""(?i)\bBrasília\b""), ""Distrito Federal, Brasil"",
REGEXEXTRACT(T314,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14" s="30"/>
      <c r="K314" s="24"/>
      <c r="L314" s="24"/>
      <c r="M314" s="25"/>
      <c r="N314" s="18" t="str">
        <f t="shared" si="8"/>
        <v/>
      </c>
      <c r="O314" s="17" t="s">
        <v>28</v>
      </c>
      <c r="P314" s="17" t="s">
        <v>251</v>
      </c>
      <c r="Q314" s="26">
        <v>45973.0</v>
      </c>
      <c r="R314" s="17"/>
      <c r="S314" s="36" t="str">
        <f t="shared" si="3"/>
        <v>#VALUE!</v>
      </c>
      <c r="T314" s="29"/>
      <c r="U314" s="29"/>
    </row>
    <row r="315">
      <c r="A315" s="16">
        <v>313.0</v>
      </c>
      <c r="B315" s="17"/>
      <c r="C315" s="18" t="str">
        <f>IFERROR(__xludf.DUMMYFUNCTION("IF(B315="""","""",IF(OR(
  REGEXMATCH(B315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REGEXMATCH(B315,""Notícia|Reportagem|Artigo de opinião|Verbete"")
),""Difusão"","""")))
"),"")</f>
        <v/>
      </c>
      <c r="D315" s="19" t="str">
        <f>IFERROR(__xludf.DUMMYFUNCTION("IF(B315="""","""",IF(OR(
  REGEXMATCH(B315,""Performance|Instalação|Álbum|Música|Poema|Livro|Filme|Documentário|Recitação|Espetáculo|Peça|Intervenção|Desfile|Fotografia|Exposição|Charge|Grafite|Leitura pública|Fabricação de cachaça artesanal""),
  REGEXMA"&amp;"TCH(B315,""dança|teatral|artístico|musical|artística"")
),""Manifestação artístico-cultural"",
IF(OR(
  REGEXMATCH(B315,""Crônica|Série|Reportagem|Podcast|Audiotour|Entrevista|Vídeo|Rádio|Notícia|Artigo de opinião|Coletiva de imprensa""),
  REGEXMATCH(B31"&amp;"5,""midiática"")
),""Produção midiática"","""")))
"),"")</f>
        <v/>
      </c>
      <c r="E315" s="20" t="str">
        <f>IFERROR(__xludf.DUMMYFUNCTION("IF(B315="""","""",IF(OR(
  REGEXMATCH(B315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REGEXMATCH(B315,""público|Imediato|artística|teatral|memória|Ação popular"")
),""Público Imediato"",
IF(REGEXMATCH(B315,""Música|Álbum|Filme|Documentár"&amp;"io|Série|Podcast|Rádio|Audiotour|Entrevista|Reportagem|Crônica|Relatório|Abaixo-assinado|Manifesto|Petição|Poema|Livro|Fotografia|Curta|Live|Webinário|Charge|Leitura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15" s="20" t="str">
        <f>IFERROR(__xludf.DUMMYFUNCTION("IF(B315="""","""",IF(OR(
  REGEXMATCH(B315,""Live|Webinário|Virtual|Verbete""),
  REGEXMATCH(B315,""online"")
),""Virtual"",
IF(REGEXMATCH(B315,""Música|Álbum|Filme|Documentário|Série|Podcast|Rádio|Audiotour|Episódio|Reportagem|Curta|Charge|Vídeo|Entrevis"&amp;"ta|Notícia|Artigo de opinião""),
""Midiático"",
IF(REGEXMATCH(B315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15" s="21" t="str">
        <f>IFERROR(__xludf.DUMMYFUNCTION("IF(C315=""rememoração"", ""Insira a data manualmente"", IF(C315=""difusão"", 
 IF(NOT(ISERROR(REGEXEXTRACT(T315, ""(\d{1,2}) jan\. 2025""))), 
  TEXT(DATE(2025,1,REGEXEXTRACT(T315, ""(\d{1,2}) jan\. 2025"")), ""dd/mm/yyyy""),
 IF(NOT(ISERROR(REGEXEXTRACT("&amp;"T315, ""(\d{1,2}) fev\. 2025""))), 
  TEXT(DATE(2025,2,REGEXEXTRACT(T315, ""(\d{1,2}) fev\. 2025"")), ""dd/mm/yyyy""),
 IF(NOT(ISERROR(REGEXEXTRACT(T315, ""(\d{1,2}) mar\. 2025""))), 
  TEXT(DATE(2025,3,REGEXEXTRACT(T315, ""(\d{1,2}) mar\. 2025"")), ""dd/"&amp;"mm/yyyy""),
 IF(NOT(ISERROR(REGEXEXTRACT(T315, ""(\d{1,2}) abr\. 2025""))), 
  TEXT(DATE(2025,4,REGEXEXTRACT(T315, ""(\d{1,2}) abr\. 2025"")), ""dd/mm/yyyy""),
 IF(NOT(ISERROR(REGEXEXTRACT(T315, ""(\d{1,2}) (mai|maio)\. 2025""))), 
  TEXT(DATE(2025,5,REGE"&amp;"XEXTRACT(T315, ""(\d{1,2}) (mai|maio)\. 2025"")), ""dd/mm/yyyy""),
 IF(NOT(ISERROR(REGEXEXTRACT(T315, ""(\d{1,2}) jun\. 2025""))), 
  TEXT(DATE(2025,6,REGEXEXTRACT(T315, ""(\d{1,2}) jun\. 2025"")), ""dd/mm/yyyy""),
 IF(NOT(ISERROR(REGEXEXTRACT(T315, ""(\d"&amp;"{1,2}) jul\. 2025""))), 
  TEXT(DATE(2025,7,REGEXEXTRACT(T315, ""(\d{1,2}) jul\. 2025"")), ""dd/mm/yyyy""),
 IF(NOT(ISERROR(REGEXEXTRACT(T315, ""(\d{1,2}) ago\. 2025""))), 
  TEXT(DATE(2025,8,REGEXEXTRACT(T315, ""(\d{1,2}) ago\. 2025"")), ""dd/mm/yyyy""),"&amp;"
 IF(NOT(ISERROR(REGEXEXTRACT(T315, ""(\d{1,2}) set\. 2025""))), 
  TEXT(DATE(2025,9,REGEXEXTRACT(T315, ""(\d{1,2}) set\. 2025"")), ""dd/mm/yyyy""),
 IF(NOT(ISERROR(REGEXEXTRACT(T315, ""(\d{1,2}) out\. 2025""))), 
  TEXT(DATE(2025,10,REGEXEXTRACT(T315, """&amp;"(\d{1,2}) out\. 2025"")), ""dd/mm/yyyy""),
 IF(NOT(ISERROR(REGEXEXTRACT(T315, ""(\d{1,2}) nov\. 2025""))), 
  TEXT(DATE(2025,11,REGEXEXTRACT(T315, ""(\d{1,2}) nov\. 2025"")), ""dd/mm/yyyy""),
 IF(NOT(ISERROR(REGEXEXTRACT(T315, ""(\d{1,2}) dez\. 2025""))),"&amp;" 
  TEXT(DATE(2025,12,REGEXEXTRACT(T315, ""(\d{1,2}) dez\. 2025"")), ""dd/mm/yyyy""),
 ""Insira a data manualmente"")))))))))))), """"))"),"")</f>
        <v/>
      </c>
      <c r="H315" s="22">
        <f t="shared" si="1"/>
        <v>0</v>
      </c>
      <c r="I315" s="18" t="str">
        <f>IFERROR(__xludf.DUMMYFUNCTION("IF(REGEXMATCH(T315,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IF(REGEXMATCH(T315, ""(?i)\bBrasília\b""), ""Distrito Federal, Brasil"",
REGEXEXTRACT(T315,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15" s="30"/>
      <c r="K315" s="24"/>
      <c r="L315" s="24"/>
      <c r="M315" s="25"/>
      <c r="N315" s="18" t="str">
        <f t="shared" si="8"/>
        <v/>
      </c>
      <c r="O315" s="17" t="s">
        <v>28</v>
      </c>
      <c r="P315" s="17" t="s">
        <v>251</v>
      </c>
      <c r="Q315" s="26">
        <v>45973.0</v>
      </c>
      <c r="R315" s="17"/>
      <c r="S315" s="36" t="str">
        <f t="shared" si="3"/>
        <v>#VALUE!</v>
      </c>
      <c r="T315" s="29"/>
      <c r="U315" s="29"/>
    </row>
    <row r="316">
      <c r="A316" s="16">
        <v>314.0</v>
      </c>
      <c r="B316" s="17"/>
      <c r="C316" s="18" t="str">
        <f>IFERROR(__xludf.DUMMYFUNCTION("IF(B316="""","""",IF(OR(
  REGEXMATCH(B316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REGEXMATCH(B316,""Notícia|Reportagem|Artigo de opinião|Verbete"")
),""Difusão"","""")))
"),"")</f>
        <v/>
      </c>
      <c r="D316" s="19" t="str">
        <f>IFERROR(__xludf.DUMMYFUNCTION("IF(B316="""","""",IF(OR(
  REGEXMATCH(B316,""Performance|Instalação|Álbum|Música|Poema|Livro|Filme|Documentário|Recitação|Espetáculo|Peça|Intervenção|Desfile|Fotografia|Exposição|Charge|Grafite|Leitura pública|Fabricação de cachaça artesanal""),
  REGEXMA"&amp;"TCH(B316,""dança|teatral|artístico|musical|artística"")
),""Manifestação artístico-cultural"",
IF(OR(
  REGEXMATCH(B316,""Crônica|Série|Reportagem|Podcast|Audiotour|Entrevista|Vídeo|Rádio|Notícia|Artigo de opinião|Coletiva de imprensa""),
  REGEXMATCH(B31"&amp;"6,""midiática"")
),""Produção midiática"","""")))
"),"")</f>
        <v/>
      </c>
      <c r="E316" s="20" t="str">
        <f>IFERROR(__xludf.DUMMYFUNCTION("IF(B316="""","""",IF(OR(
  REGEXMATCH(B316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REGEXMATCH(B316,""público|Imediato|artística|teatral|memória|Ação popular"")
),""Público Imediato"",
IF(REGEXMATCH(B316,""Música|Álbum|Filme|Documentár"&amp;"io|Série|Podcast|Rádio|Audiotour|Entrevista|Reportagem|Crônica|Relatório|Abaixo-assinado|Manifesto|Petição|Poema|Livro|Fotografia|Curta|Live|Webinário|Charge|Leitura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16" s="20" t="str">
        <f>IFERROR(__xludf.DUMMYFUNCTION("IF(B316="""","""",IF(OR(
  REGEXMATCH(B316,""Live|Webinário|Virtual|Verbete""),
  REGEXMATCH(B316,""online"")
),""Virtual"",
IF(REGEXMATCH(B316,""Música|Álbum|Filme|Documentário|Série|Podcast|Rádio|Audiotour|Episódio|Reportagem|Curta|Charge|Vídeo|Entrevis"&amp;"ta|Notícia|Artigo de opinião""),
""Midiático"",
IF(REGEXMATCH(B316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16" s="21" t="str">
        <f>IFERROR(__xludf.DUMMYFUNCTION("IF(C316=""rememoração"", ""Insira a data manualmente"", IF(C316=""difusão"", 
 IF(NOT(ISERROR(REGEXEXTRACT(T316, ""(\d{1,2}) jan\. 2025""))), 
  TEXT(DATE(2025,1,REGEXEXTRACT(T316, ""(\d{1,2}) jan\. 2025"")), ""dd/mm/yyyy""),
 IF(NOT(ISERROR(REGEXEXTRACT("&amp;"T316, ""(\d{1,2}) fev\. 2025""))), 
  TEXT(DATE(2025,2,REGEXEXTRACT(T316, ""(\d{1,2}) fev\. 2025"")), ""dd/mm/yyyy""),
 IF(NOT(ISERROR(REGEXEXTRACT(T316, ""(\d{1,2}) mar\. 2025""))), 
  TEXT(DATE(2025,3,REGEXEXTRACT(T316, ""(\d{1,2}) mar\. 2025"")), ""dd/"&amp;"mm/yyyy""),
 IF(NOT(ISERROR(REGEXEXTRACT(T316, ""(\d{1,2}) abr\. 2025""))), 
  TEXT(DATE(2025,4,REGEXEXTRACT(T316, ""(\d{1,2}) abr\. 2025"")), ""dd/mm/yyyy""),
 IF(NOT(ISERROR(REGEXEXTRACT(T316, ""(\d{1,2}) (mai|maio)\. 2025""))), 
  TEXT(DATE(2025,5,REGE"&amp;"XEXTRACT(T316, ""(\d{1,2}) (mai|maio)\. 2025"")), ""dd/mm/yyyy""),
 IF(NOT(ISERROR(REGEXEXTRACT(T316, ""(\d{1,2}) jun\. 2025""))), 
  TEXT(DATE(2025,6,REGEXEXTRACT(T316, ""(\d{1,2}) jun\. 2025"")), ""dd/mm/yyyy""),
 IF(NOT(ISERROR(REGEXEXTRACT(T316, ""(\d"&amp;"{1,2}) jul\. 2025""))), 
  TEXT(DATE(2025,7,REGEXEXTRACT(T316, ""(\d{1,2}) jul\. 2025"")), ""dd/mm/yyyy""),
 IF(NOT(ISERROR(REGEXEXTRACT(T316, ""(\d{1,2}) ago\. 2025""))), 
  TEXT(DATE(2025,8,REGEXEXTRACT(T316, ""(\d{1,2}) ago\. 2025"")), ""dd/mm/yyyy""),"&amp;"
 IF(NOT(ISERROR(REGEXEXTRACT(T316, ""(\d{1,2}) set\. 2025""))), 
  TEXT(DATE(2025,9,REGEXEXTRACT(T316, ""(\d{1,2}) set\. 2025"")), ""dd/mm/yyyy""),
 IF(NOT(ISERROR(REGEXEXTRACT(T316, ""(\d{1,2}) out\. 2025""))), 
  TEXT(DATE(2025,10,REGEXEXTRACT(T316, """&amp;"(\d{1,2}) out\. 2025"")), ""dd/mm/yyyy""),
 IF(NOT(ISERROR(REGEXEXTRACT(T316, ""(\d{1,2}) nov\. 2025""))), 
  TEXT(DATE(2025,11,REGEXEXTRACT(T316, ""(\d{1,2}) nov\. 2025"")), ""dd/mm/yyyy""),
 IF(NOT(ISERROR(REGEXEXTRACT(T316, ""(\d{1,2}) dez\. 2025""))),"&amp;" 
  TEXT(DATE(2025,12,REGEXEXTRACT(T316, ""(\d{1,2}) dez\. 2025"")), ""dd/mm/yyyy""),
 ""Insira a data manualmente"")))))))))))), """"))"),"")</f>
        <v/>
      </c>
      <c r="H316" s="22">
        <f t="shared" si="1"/>
        <v>0</v>
      </c>
      <c r="I316" s="18" t="str">
        <f>IFERROR(__xludf.DUMMYFUNCTION("IF(REGEXMATCH(T316,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IF(REGEXMATCH(T316, ""(?i)\bBrasília\b""), ""Distrito Federal, Brasil"",
REGEXEXTRACT(T316,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16" s="30"/>
      <c r="K316" s="24"/>
      <c r="L316" s="24"/>
      <c r="M316" s="25"/>
      <c r="N316" s="18" t="str">
        <f t="shared" si="8"/>
        <v/>
      </c>
      <c r="O316" s="17" t="s">
        <v>28</v>
      </c>
      <c r="P316" s="17" t="s">
        <v>251</v>
      </c>
      <c r="Q316" s="26">
        <v>45973.0</v>
      </c>
      <c r="R316" s="17"/>
      <c r="S316" s="36" t="str">
        <f t="shared" si="3"/>
        <v>#VALUE!</v>
      </c>
      <c r="T316" s="29"/>
      <c r="U316" s="29"/>
    </row>
    <row r="317">
      <c r="A317" s="16">
        <v>315.0</v>
      </c>
      <c r="B317" s="17"/>
      <c r="C317" s="18" t="str">
        <f>IFERROR(__xludf.DUMMYFUNCTION("IF(B317="""","""",IF(OR(
  REGEXMATCH(B317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REGEXMATCH(B317,""Notícia|Reportagem|Artigo de opinião|Verbete"")
),""Difusão"","""")))
"),"")</f>
        <v/>
      </c>
      <c r="D317" s="19" t="str">
        <f>IFERROR(__xludf.DUMMYFUNCTION("IF(B317="""","""",IF(OR(
  REGEXMATCH(B317,""Performance|Instalação|Álbum|Música|Poema|Livro|Filme|Documentário|Recitação|Espetáculo|Peça|Intervenção|Desfile|Fotografia|Exposição|Charge|Grafite|Leitura pública|Fabricação de cachaça artesanal""),
  REGEXMA"&amp;"TCH(B317,""dança|teatral|artístico|musical|artística"")
),""Manifestação artístico-cultural"",
IF(OR(
  REGEXMATCH(B317,""Crônica|Série|Reportagem|Podcast|Audiotour|Entrevista|Vídeo|Rádio|Notícia|Artigo de opinião|Coletiva de imprensa""),
  REGEXMATCH(B31"&amp;"7,""midiática"")
),""Produção midiática"","""")))
"),"")</f>
        <v/>
      </c>
      <c r="E317" s="20" t="str">
        <f>IFERROR(__xludf.DUMMYFUNCTION("IF(B317="""","""",IF(OR(
  REGEXMATCH(B317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REGEXMATCH(B317,""público|Imediato|artística|teatral|memória|Ação popular"")
),""Público Imediato"",
IF(REGEXMATCH(B317,""Música|Álbum|Filme|Documentár"&amp;"io|Série|Podcast|Rádio|Audiotour|Entrevista|Reportagem|Crônica|Relatório|Abaixo-assinado|Manifesto|Petição|Poema|Livro|Fotografia|Curta|Live|Webinário|Charge|Leitura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17" s="20" t="str">
        <f>IFERROR(__xludf.DUMMYFUNCTION("IF(B317="""","""",IF(OR(
  REGEXMATCH(B317,""Live|Webinário|Virtual|Verbete""),
  REGEXMATCH(B317,""online"")
),""Virtual"",
IF(REGEXMATCH(B317,""Música|Álbum|Filme|Documentário|Série|Podcast|Rádio|Audiotour|Episódio|Reportagem|Curta|Charge|Vídeo|Entrevis"&amp;"ta|Notícia|Artigo de opinião""),
""Midiático"",
IF(REGEXMATCH(B317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17" s="21" t="str">
        <f>IFERROR(__xludf.DUMMYFUNCTION("IF(C317=""rememoração"", ""Insira a data manualmente"", IF(C317=""difusão"", 
 IF(NOT(ISERROR(REGEXEXTRACT(T317, ""(\d{1,2}) jan\. 2025""))), 
  TEXT(DATE(2025,1,REGEXEXTRACT(T317, ""(\d{1,2}) jan\. 2025"")), ""dd/mm/yyyy""),
 IF(NOT(ISERROR(REGEXEXTRACT("&amp;"T317, ""(\d{1,2}) fev\. 2025""))), 
  TEXT(DATE(2025,2,REGEXEXTRACT(T317, ""(\d{1,2}) fev\. 2025"")), ""dd/mm/yyyy""),
 IF(NOT(ISERROR(REGEXEXTRACT(T317, ""(\d{1,2}) mar\. 2025""))), 
  TEXT(DATE(2025,3,REGEXEXTRACT(T317, ""(\d{1,2}) mar\. 2025"")), ""dd/"&amp;"mm/yyyy""),
 IF(NOT(ISERROR(REGEXEXTRACT(T317, ""(\d{1,2}) abr\. 2025""))), 
  TEXT(DATE(2025,4,REGEXEXTRACT(T317, ""(\d{1,2}) abr\. 2025"")), ""dd/mm/yyyy""),
 IF(NOT(ISERROR(REGEXEXTRACT(T317, ""(\d{1,2}) (mai|maio)\. 2025""))), 
  TEXT(DATE(2025,5,REGE"&amp;"XEXTRACT(T317, ""(\d{1,2}) (mai|maio)\. 2025"")), ""dd/mm/yyyy""),
 IF(NOT(ISERROR(REGEXEXTRACT(T317, ""(\d{1,2}) jun\. 2025""))), 
  TEXT(DATE(2025,6,REGEXEXTRACT(T317, ""(\d{1,2}) jun\. 2025"")), ""dd/mm/yyyy""),
 IF(NOT(ISERROR(REGEXEXTRACT(T317, ""(\d"&amp;"{1,2}) jul\. 2025""))), 
  TEXT(DATE(2025,7,REGEXEXTRACT(T317, ""(\d{1,2}) jul\. 2025"")), ""dd/mm/yyyy""),
 IF(NOT(ISERROR(REGEXEXTRACT(T317, ""(\d{1,2}) ago\. 2025""))), 
  TEXT(DATE(2025,8,REGEXEXTRACT(T317, ""(\d{1,2}) ago\. 2025"")), ""dd/mm/yyyy""),"&amp;"
 IF(NOT(ISERROR(REGEXEXTRACT(T317, ""(\d{1,2}) set\. 2025""))), 
  TEXT(DATE(2025,9,REGEXEXTRACT(T317, ""(\d{1,2}) set\. 2025"")), ""dd/mm/yyyy""),
 IF(NOT(ISERROR(REGEXEXTRACT(T317, ""(\d{1,2}) out\. 2025""))), 
  TEXT(DATE(2025,10,REGEXEXTRACT(T317, """&amp;"(\d{1,2}) out\. 2025"")), ""dd/mm/yyyy""),
 IF(NOT(ISERROR(REGEXEXTRACT(T317, ""(\d{1,2}) nov\. 2025""))), 
  TEXT(DATE(2025,11,REGEXEXTRACT(T317, ""(\d{1,2}) nov\. 2025"")), ""dd/mm/yyyy""),
 IF(NOT(ISERROR(REGEXEXTRACT(T317, ""(\d{1,2}) dez\. 2025""))),"&amp;" 
  TEXT(DATE(2025,12,REGEXEXTRACT(T317, ""(\d{1,2}) dez\. 2025"")), ""dd/mm/yyyy""),
 ""Insira a data manualmente"")))))))))))), """"))"),"")</f>
        <v/>
      </c>
      <c r="H317" s="22">
        <f t="shared" si="1"/>
        <v>0</v>
      </c>
      <c r="I317" s="18" t="str">
        <f>IFERROR(__xludf.DUMMYFUNCTION("IF(REGEXMATCH(T317,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IF(REGEXMATCH(T317, ""(?i)\bBrasília\b""), ""Distrito Federal, Brasil"",
REGEXEXTRACT(T317,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17" s="30"/>
      <c r="K317" s="24"/>
      <c r="L317" s="24"/>
      <c r="M317" s="25"/>
      <c r="N317" s="18" t="str">
        <f t="shared" si="8"/>
        <v/>
      </c>
      <c r="O317" s="17" t="s">
        <v>28</v>
      </c>
      <c r="P317" s="17" t="s">
        <v>251</v>
      </c>
      <c r="Q317" s="26">
        <v>45973.0</v>
      </c>
      <c r="R317" s="17"/>
      <c r="S317" s="36" t="str">
        <f t="shared" si="3"/>
        <v>#VALUE!</v>
      </c>
      <c r="T317" s="29"/>
      <c r="U317" s="29"/>
    </row>
    <row r="318">
      <c r="A318" s="16">
        <v>316.0</v>
      </c>
      <c r="B318" s="17"/>
      <c r="C318" s="18" t="str">
        <f>IFERROR(__xludf.DUMMYFUNCTION("IF(B318="""","""",IF(OR(
  REGEXMATCH(B318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REGEXMATCH(B318,""Notícia|Reportagem|Artigo de opinião|Verbete"")
),""Difusão"","""")))
"),"")</f>
        <v/>
      </c>
      <c r="D318" s="19" t="str">
        <f>IFERROR(__xludf.DUMMYFUNCTION("IF(B318="""","""",IF(OR(
  REGEXMATCH(B318,""Performance|Instalação|Álbum|Música|Poema|Livro|Filme|Documentário|Recitação|Espetáculo|Peça|Intervenção|Desfile|Fotografia|Exposição|Charge|Grafite|Leitura pública|Fabricação de cachaça artesanal""),
  REGEXMA"&amp;"TCH(B318,""dança|teatral|artístico|musical|artística"")
),""Manifestação artístico-cultural"",
IF(OR(
  REGEXMATCH(B318,""Crônica|Série|Reportagem|Podcast|Audiotour|Entrevista|Vídeo|Rádio|Notícia|Artigo de opinião|Coletiva de imprensa""),
  REGEXMATCH(B31"&amp;"8,""midiática"")
),""Produção midiática"","""")))
"),"")</f>
        <v/>
      </c>
      <c r="E318" s="20" t="str">
        <f>IFERROR(__xludf.DUMMYFUNCTION("IF(B318="""","""",IF(OR(
  REGEXMATCH(B318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REGEXMATCH(B318,""público|Imediato|artística|teatral|memória|Ação popular"")
),""Público Imediato"",
IF(REGEXMATCH(B318,""Música|Álbum|Filme|Documentár"&amp;"io|Série|Podcast|Rádio|Audiotour|Entrevista|Reportagem|Crônica|Relatório|Abaixo-assinado|Manifesto|Petição|Poema|Livro|Fotografia|Curta|Live|Webinário|Charge|Leitura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18" s="20" t="str">
        <f>IFERROR(__xludf.DUMMYFUNCTION("IF(B318="""","""",IF(OR(
  REGEXMATCH(B318,""Live|Webinário|Virtual|Verbete""),
  REGEXMATCH(B318,""online"")
),""Virtual"",
IF(REGEXMATCH(B318,""Música|Álbum|Filme|Documentário|Série|Podcast|Rádio|Audiotour|Episódio|Reportagem|Curta|Charge|Vídeo|Entrevis"&amp;"ta|Notícia|Artigo de opinião""),
""Midiático"",
IF(REGEXMATCH(B318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18" s="21" t="str">
        <f>IFERROR(__xludf.DUMMYFUNCTION("IF(C318=""rememoração"", ""Insira a data manualmente"", IF(C318=""difusão"", 
 IF(NOT(ISERROR(REGEXEXTRACT(T318, ""(\d{1,2}) jan\. 2025""))), 
  TEXT(DATE(2025,1,REGEXEXTRACT(T318, ""(\d{1,2}) jan\. 2025"")), ""dd/mm/yyyy""),
 IF(NOT(ISERROR(REGEXEXTRACT("&amp;"T318, ""(\d{1,2}) fev\. 2025""))), 
  TEXT(DATE(2025,2,REGEXEXTRACT(T318, ""(\d{1,2}) fev\. 2025"")), ""dd/mm/yyyy""),
 IF(NOT(ISERROR(REGEXEXTRACT(T318, ""(\d{1,2}) mar\. 2025""))), 
  TEXT(DATE(2025,3,REGEXEXTRACT(T318, ""(\d{1,2}) mar\. 2025"")), ""dd/"&amp;"mm/yyyy""),
 IF(NOT(ISERROR(REGEXEXTRACT(T318, ""(\d{1,2}) abr\. 2025""))), 
  TEXT(DATE(2025,4,REGEXEXTRACT(T318, ""(\d{1,2}) abr\. 2025"")), ""dd/mm/yyyy""),
 IF(NOT(ISERROR(REGEXEXTRACT(T318, ""(\d{1,2}) (mai|maio)\. 2025""))), 
  TEXT(DATE(2025,5,REGE"&amp;"XEXTRACT(T318, ""(\d{1,2}) (mai|maio)\. 2025"")), ""dd/mm/yyyy""),
 IF(NOT(ISERROR(REGEXEXTRACT(T318, ""(\d{1,2}) jun\. 2025""))), 
  TEXT(DATE(2025,6,REGEXEXTRACT(T318, ""(\d{1,2}) jun\. 2025"")), ""dd/mm/yyyy""),
 IF(NOT(ISERROR(REGEXEXTRACT(T318, ""(\d"&amp;"{1,2}) jul\. 2025""))), 
  TEXT(DATE(2025,7,REGEXEXTRACT(T318, ""(\d{1,2}) jul\. 2025"")), ""dd/mm/yyyy""),
 IF(NOT(ISERROR(REGEXEXTRACT(T318, ""(\d{1,2}) ago\. 2025""))), 
  TEXT(DATE(2025,8,REGEXEXTRACT(T318, ""(\d{1,2}) ago\. 2025"")), ""dd/mm/yyyy""),"&amp;"
 IF(NOT(ISERROR(REGEXEXTRACT(T318, ""(\d{1,2}) set\. 2025""))), 
  TEXT(DATE(2025,9,REGEXEXTRACT(T318, ""(\d{1,2}) set\. 2025"")), ""dd/mm/yyyy""),
 IF(NOT(ISERROR(REGEXEXTRACT(T318, ""(\d{1,2}) out\. 2025""))), 
  TEXT(DATE(2025,10,REGEXEXTRACT(T318, """&amp;"(\d{1,2}) out\. 2025"")), ""dd/mm/yyyy""),
 IF(NOT(ISERROR(REGEXEXTRACT(T318, ""(\d{1,2}) nov\. 2025""))), 
  TEXT(DATE(2025,11,REGEXEXTRACT(T318, ""(\d{1,2}) nov\. 2025"")), ""dd/mm/yyyy""),
 IF(NOT(ISERROR(REGEXEXTRACT(T318, ""(\d{1,2}) dez\. 2025""))),"&amp;" 
  TEXT(DATE(2025,12,REGEXEXTRACT(T318, ""(\d{1,2}) dez\. 2025"")), ""dd/mm/yyyy""),
 ""Insira a data manualmente"")))))))))))), """"))"),"")</f>
        <v/>
      </c>
      <c r="H318" s="22">
        <f t="shared" si="1"/>
        <v>0</v>
      </c>
      <c r="I318" s="18" t="str">
        <f>IFERROR(__xludf.DUMMYFUNCTION("IF(REGEXMATCH(T318,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IF(REGEXMATCH(T318, ""(?i)\bBrasília\b""), ""Distrito Federal, Brasil"",
REGEXEXTRACT(T318,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18" s="30"/>
      <c r="K318" s="24"/>
      <c r="L318" s="24"/>
      <c r="M318" s="25"/>
      <c r="N318" s="18" t="str">
        <f t="shared" si="8"/>
        <v/>
      </c>
      <c r="O318" s="17" t="s">
        <v>28</v>
      </c>
      <c r="P318" s="17" t="s">
        <v>251</v>
      </c>
      <c r="Q318" s="26">
        <v>45973.0</v>
      </c>
      <c r="R318" s="17"/>
      <c r="S318" s="36" t="str">
        <f t="shared" si="3"/>
        <v>#VALUE!</v>
      </c>
      <c r="T318" s="29"/>
      <c r="U318" s="29"/>
    </row>
    <row r="319">
      <c r="A319" s="16">
        <v>317.0</v>
      </c>
      <c r="B319" s="17"/>
      <c r="C319" s="18" t="str">
        <f>IFERROR(__xludf.DUMMYFUNCTION("IF(B319="""","""",IF(OR(
  REGEXMATCH(B319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REGEXMATCH(B319,""Notícia|Reportagem|Artigo de opinião|Verbete"")
),""Difusão"","""")))
"),"")</f>
        <v/>
      </c>
      <c r="D319" s="19" t="str">
        <f>IFERROR(__xludf.DUMMYFUNCTION("IF(B319="""","""",IF(OR(
  REGEXMATCH(B319,""Performance|Instalação|Álbum|Música|Poema|Livro|Filme|Documentário|Recitação|Espetáculo|Peça|Intervenção|Desfile|Fotografia|Exposição|Charge|Grafite|Leitura pública|Fabricação de cachaça artesanal""),
  REGEXMA"&amp;"TCH(B319,""dança|teatral|artístico|musical|artística"")
),""Manifestação artístico-cultural"",
IF(OR(
  REGEXMATCH(B319,""Crônica|Série|Reportagem|Podcast|Audiotour|Entrevista|Vídeo|Rádio|Notícia|Artigo de opinião|Coletiva de imprensa""),
  REGEXMATCH(B31"&amp;"9,""midiática"")
),""Produção midiática"","""")))
"),"")</f>
        <v/>
      </c>
      <c r="E319" s="20" t="str">
        <f>IFERROR(__xludf.DUMMYFUNCTION("IF(B319="""","""",IF(OR(
  REGEXMATCH(B319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REGEXMATCH(B319,""público|Imediato|artística|teatral|memória|Ação popular"")
),""Público Imediato"",
IF(REGEXMATCH(B319,""Música|Álbum|Filme|Documentár"&amp;"io|Série|Podcast|Rádio|Audiotour|Entrevista|Reportagem|Crônica|Relatório|Abaixo-assinado|Manifesto|Petição|Poema|Livro|Fotografia|Curta|Live|Webinário|Charge|Leitura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19" s="20" t="str">
        <f>IFERROR(__xludf.DUMMYFUNCTION("IF(B319="""","""",IF(OR(
  REGEXMATCH(B319,""Live|Webinário|Virtual|Verbete""),
  REGEXMATCH(B319,""online"")
),""Virtual"",
IF(REGEXMATCH(B319,""Música|Álbum|Filme|Documentário|Série|Podcast|Rádio|Audiotour|Episódio|Reportagem|Curta|Charge|Vídeo|Entrevis"&amp;"ta|Notícia|Artigo de opinião""),
""Midiático"",
IF(REGEXMATCH(B319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19" s="21" t="str">
        <f>IFERROR(__xludf.DUMMYFUNCTION("IF(C319=""rememoração"", ""Insira a data manualmente"", IF(C319=""difusão"", 
 IF(NOT(ISERROR(REGEXEXTRACT(T319, ""(\d{1,2}) jan\. 2025""))), 
  TEXT(DATE(2025,1,REGEXEXTRACT(T319, ""(\d{1,2}) jan\. 2025"")), ""dd/mm/yyyy""),
 IF(NOT(ISERROR(REGEXEXTRACT("&amp;"T319, ""(\d{1,2}) fev\. 2025""))), 
  TEXT(DATE(2025,2,REGEXEXTRACT(T319, ""(\d{1,2}) fev\. 2025"")), ""dd/mm/yyyy""),
 IF(NOT(ISERROR(REGEXEXTRACT(T319, ""(\d{1,2}) mar\. 2025""))), 
  TEXT(DATE(2025,3,REGEXEXTRACT(T319, ""(\d{1,2}) mar\. 2025"")), ""dd/"&amp;"mm/yyyy""),
 IF(NOT(ISERROR(REGEXEXTRACT(T319, ""(\d{1,2}) abr\. 2025""))), 
  TEXT(DATE(2025,4,REGEXEXTRACT(T319, ""(\d{1,2}) abr\. 2025"")), ""dd/mm/yyyy""),
 IF(NOT(ISERROR(REGEXEXTRACT(T319, ""(\d{1,2}) (mai|maio)\. 2025""))), 
  TEXT(DATE(2025,5,REGE"&amp;"XEXTRACT(T319, ""(\d{1,2}) (mai|maio)\. 2025"")), ""dd/mm/yyyy""),
 IF(NOT(ISERROR(REGEXEXTRACT(T319, ""(\d{1,2}) jun\. 2025""))), 
  TEXT(DATE(2025,6,REGEXEXTRACT(T319, ""(\d{1,2}) jun\. 2025"")), ""dd/mm/yyyy""),
 IF(NOT(ISERROR(REGEXEXTRACT(T319, ""(\d"&amp;"{1,2}) jul\. 2025""))), 
  TEXT(DATE(2025,7,REGEXEXTRACT(T319, ""(\d{1,2}) jul\. 2025"")), ""dd/mm/yyyy""),
 IF(NOT(ISERROR(REGEXEXTRACT(T319, ""(\d{1,2}) ago\. 2025""))), 
  TEXT(DATE(2025,8,REGEXEXTRACT(T319, ""(\d{1,2}) ago\. 2025"")), ""dd/mm/yyyy""),"&amp;"
 IF(NOT(ISERROR(REGEXEXTRACT(T319, ""(\d{1,2}) set\. 2025""))), 
  TEXT(DATE(2025,9,REGEXEXTRACT(T319, ""(\d{1,2}) set\. 2025"")), ""dd/mm/yyyy""),
 IF(NOT(ISERROR(REGEXEXTRACT(T319, ""(\d{1,2}) out\. 2025""))), 
  TEXT(DATE(2025,10,REGEXEXTRACT(T319, """&amp;"(\d{1,2}) out\. 2025"")), ""dd/mm/yyyy""),
 IF(NOT(ISERROR(REGEXEXTRACT(T319, ""(\d{1,2}) nov\. 2025""))), 
  TEXT(DATE(2025,11,REGEXEXTRACT(T319, ""(\d{1,2}) nov\. 2025"")), ""dd/mm/yyyy""),
 IF(NOT(ISERROR(REGEXEXTRACT(T319, ""(\d{1,2}) dez\. 2025""))),"&amp;" 
  TEXT(DATE(2025,12,REGEXEXTRACT(T319, ""(\d{1,2}) dez\. 2025"")), ""dd/mm/yyyy""),
 ""Insira a data manualmente"")))))))))))), """"))"),"")</f>
        <v/>
      </c>
      <c r="H319" s="22">
        <f t="shared" si="1"/>
        <v>0</v>
      </c>
      <c r="I319" s="18" t="str">
        <f>IFERROR(__xludf.DUMMYFUNCTION("IF(REGEXMATCH(T319,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IF(REGEXMATCH(T319, ""(?i)\bBrasília\b""), ""Distrito Federal, Brasil"",
REGEXEXTRACT(T319,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19" s="30"/>
      <c r="K319" s="24"/>
      <c r="L319" s="24"/>
      <c r="M319" s="25"/>
      <c r="N319" s="18" t="str">
        <f t="shared" si="8"/>
        <v/>
      </c>
      <c r="O319" s="17" t="s">
        <v>28</v>
      </c>
      <c r="P319" s="17" t="s">
        <v>251</v>
      </c>
      <c r="Q319" s="26">
        <v>45973.0</v>
      </c>
      <c r="R319" s="17"/>
      <c r="S319" s="36" t="str">
        <f t="shared" si="3"/>
        <v>#VALUE!</v>
      </c>
      <c r="T319" s="29"/>
      <c r="U319" s="29"/>
    </row>
    <row r="320">
      <c r="A320" s="16">
        <v>318.0</v>
      </c>
      <c r="B320" s="17"/>
      <c r="C320" s="18" t="str">
        <f>IFERROR(__xludf.DUMMYFUNCTION("IF(B320="""","""",IF(OR(
  REGEXMATCH(B320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REGEXMATCH(B320,""Notícia|Reportagem|Artigo de opinião|Verbete"")
),""Difusão"","""")))
"),"")</f>
        <v/>
      </c>
      <c r="D320" s="19" t="str">
        <f>IFERROR(__xludf.DUMMYFUNCTION("IF(B320="""","""",IF(OR(
  REGEXMATCH(B320,""Performance|Instalação|Álbum|Música|Poema|Livro|Filme|Documentário|Recitação|Espetáculo|Peça|Intervenção|Desfile|Fotografia|Exposição|Charge|Grafite|Leitura pública|Fabricação de cachaça artesanal""),
  REGEXMA"&amp;"TCH(B320,""dança|teatral|artístico|musical|artística"")
),""Manifestação artístico-cultural"",
IF(OR(
  REGEXMATCH(B320,""Crônica|Série|Reportagem|Podcast|Audiotour|Entrevista|Vídeo|Rádio|Notícia|Artigo de opinião|Coletiva de imprensa""),
  REGEXMATCH(B32"&amp;"0,""midiática"")
),""Produção midiática"","""")))
"),"")</f>
        <v/>
      </c>
      <c r="E320" s="20" t="str">
        <f>IFERROR(__xludf.DUMMYFUNCTION("IF(B320="""","""",IF(OR(
  REGEXMATCH(B320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REGEXMATCH(B320,""público|Imediato|artística|teatral|memória|Ação popular"")
),""Público Imediato"",
IF(REGEXMATCH(B320,""Música|Álbum|Filme|Documentár"&amp;"io|Série|Podcast|Rádio|Audiotour|Entrevista|Reportagem|Crônica|Relatório|Abaixo-assinado|Manifesto|Petição|Poema|Livro|Fotografia|Curta|Live|Webinário|Charge|Leitura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20" s="20" t="str">
        <f>IFERROR(__xludf.DUMMYFUNCTION("IF(B320="""","""",IF(OR(
  REGEXMATCH(B320,""Live|Webinário|Virtual|Verbete""),
  REGEXMATCH(B320,""online"")
),""Virtual"",
IF(REGEXMATCH(B320,""Música|Álbum|Filme|Documentário|Série|Podcast|Rádio|Audiotour|Episódio|Reportagem|Curta|Charge|Vídeo|Entrevis"&amp;"ta|Notícia|Artigo de opinião""),
""Midiático"",
IF(REGEXMATCH(B320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20" s="21" t="str">
        <f>IFERROR(__xludf.DUMMYFUNCTION("IF(C320=""rememoração"", ""Insira a data manualmente"", IF(C320=""difusão"", 
 IF(NOT(ISERROR(REGEXEXTRACT(T320, ""(\d{1,2}) jan\. 2025""))), 
  TEXT(DATE(2025,1,REGEXEXTRACT(T320, ""(\d{1,2}) jan\. 2025"")), ""dd/mm/yyyy""),
 IF(NOT(ISERROR(REGEXEXTRACT("&amp;"T320, ""(\d{1,2}) fev\. 2025""))), 
  TEXT(DATE(2025,2,REGEXEXTRACT(T320, ""(\d{1,2}) fev\. 2025"")), ""dd/mm/yyyy""),
 IF(NOT(ISERROR(REGEXEXTRACT(T320, ""(\d{1,2}) mar\. 2025""))), 
  TEXT(DATE(2025,3,REGEXEXTRACT(T320, ""(\d{1,2}) mar\. 2025"")), ""dd/"&amp;"mm/yyyy""),
 IF(NOT(ISERROR(REGEXEXTRACT(T320, ""(\d{1,2}) abr\. 2025""))), 
  TEXT(DATE(2025,4,REGEXEXTRACT(T320, ""(\d{1,2}) abr\. 2025"")), ""dd/mm/yyyy""),
 IF(NOT(ISERROR(REGEXEXTRACT(T320, ""(\d{1,2}) (mai|maio)\. 2025""))), 
  TEXT(DATE(2025,5,REGE"&amp;"XEXTRACT(T320, ""(\d{1,2}) (mai|maio)\. 2025"")), ""dd/mm/yyyy""),
 IF(NOT(ISERROR(REGEXEXTRACT(T320, ""(\d{1,2}) jun\. 2025""))), 
  TEXT(DATE(2025,6,REGEXEXTRACT(T320, ""(\d{1,2}) jun\. 2025"")), ""dd/mm/yyyy""),
 IF(NOT(ISERROR(REGEXEXTRACT(T320, ""(\d"&amp;"{1,2}) jul\. 2025""))), 
  TEXT(DATE(2025,7,REGEXEXTRACT(T320, ""(\d{1,2}) jul\. 2025"")), ""dd/mm/yyyy""),
 IF(NOT(ISERROR(REGEXEXTRACT(T320, ""(\d{1,2}) ago\. 2025""))), 
  TEXT(DATE(2025,8,REGEXEXTRACT(T320, ""(\d{1,2}) ago\. 2025"")), ""dd/mm/yyyy""),"&amp;"
 IF(NOT(ISERROR(REGEXEXTRACT(T320, ""(\d{1,2}) set\. 2025""))), 
  TEXT(DATE(2025,9,REGEXEXTRACT(T320, ""(\d{1,2}) set\. 2025"")), ""dd/mm/yyyy""),
 IF(NOT(ISERROR(REGEXEXTRACT(T320, ""(\d{1,2}) out\. 2025""))), 
  TEXT(DATE(2025,10,REGEXEXTRACT(T320, """&amp;"(\d{1,2}) out\. 2025"")), ""dd/mm/yyyy""),
 IF(NOT(ISERROR(REGEXEXTRACT(T320, ""(\d{1,2}) nov\. 2025""))), 
  TEXT(DATE(2025,11,REGEXEXTRACT(T320, ""(\d{1,2}) nov\. 2025"")), ""dd/mm/yyyy""),
 IF(NOT(ISERROR(REGEXEXTRACT(T320, ""(\d{1,2}) dez\. 2025""))),"&amp;" 
  TEXT(DATE(2025,12,REGEXEXTRACT(T320, ""(\d{1,2}) dez\. 2025"")), ""dd/mm/yyyy""),
 ""Insira a data manualmente"")))))))))))), """"))"),"")</f>
        <v/>
      </c>
      <c r="H320" s="22">
        <f t="shared" si="1"/>
        <v>0</v>
      </c>
      <c r="I320" s="18" t="str">
        <f>IFERROR(__xludf.DUMMYFUNCTION("IF(REGEXMATCH(T320,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IF(REGEXMATCH(T320, ""(?i)\bBrasília\b""), ""Distrito Federal, Brasil"",
REGEXEXTRACT(T320,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20" s="30"/>
      <c r="K320" s="24"/>
      <c r="L320" s="24"/>
      <c r="M320" s="25"/>
      <c r="N320" s="18" t="str">
        <f t="shared" si="8"/>
        <v/>
      </c>
      <c r="O320" s="17" t="s">
        <v>28</v>
      </c>
      <c r="P320" s="17" t="s">
        <v>251</v>
      </c>
      <c r="Q320" s="26">
        <v>45973.0</v>
      </c>
      <c r="R320" s="17"/>
      <c r="S320" s="36" t="str">
        <f t="shared" si="3"/>
        <v>#VALUE!</v>
      </c>
      <c r="T320" s="29"/>
      <c r="U320" s="29"/>
    </row>
    <row r="321">
      <c r="A321" s="16">
        <v>319.0</v>
      </c>
      <c r="B321" s="17"/>
      <c r="C321" s="18" t="str">
        <f>IFERROR(__xludf.DUMMYFUNCTION("IF(B321="""","""",IF(OR(
  REGEXMATCH(B321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REGEXMATCH(B321,""Notícia|Reportagem|Artigo de opinião|Verbete"")
),""Difusão"","""")))
"),"")</f>
        <v/>
      </c>
      <c r="D321" s="19" t="str">
        <f>IFERROR(__xludf.DUMMYFUNCTION("IF(B321="""","""",IF(OR(
  REGEXMATCH(B321,""Performance|Instalação|Álbum|Música|Poema|Livro|Filme|Documentário|Recitação|Espetáculo|Peça|Intervenção|Desfile|Fotografia|Exposição|Charge|Grafite|Leitura pública|Fabricação de cachaça artesanal""),
  REGEXMA"&amp;"TCH(B321,""dança|teatral|artístico|musical|artística"")
),""Manifestação artístico-cultural"",
IF(OR(
  REGEXMATCH(B321,""Crônica|Série|Reportagem|Podcast|Audiotour|Entrevista|Vídeo|Rádio|Notícia|Artigo de opinião|Coletiva de imprensa""),
  REGEXMATCH(B32"&amp;"1,""midiática"")
),""Produção midiática"","""")))
"),"")</f>
        <v/>
      </c>
      <c r="E321" s="20" t="str">
        <f>IFERROR(__xludf.DUMMYFUNCTION("IF(B321="""","""",IF(OR(
  REGEXMATCH(B321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REGEXMATCH(B321,""público|Imediato|artística|teatral|memória|Ação popular"")
),""Público Imediato"",
IF(REGEXMATCH(B321,""Música|Álbum|Filme|Documentár"&amp;"io|Série|Podcast|Rádio|Audiotour|Entrevista|Reportagem|Crônica|Relatório|Abaixo-assinado|Manifesto|Petição|Poema|Livro|Fotografia|Curta|Live|Webinário|Charge|Leitura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21" s="20" t="str">
        <f>IFERROR(__xludf.DUMMYFUNCTION("IF(B321="""","""",IF(OR(
  REGEXMATCH(B321,""Live|Webinário|Virtual|Verbete""),
  REGEXMATCH(B321,""online"")
),""Virtual"",
IF(REGEXMATCH(B321,""Música|Álbum|Filme|Documentário|Série|Podcast|Rádio|Audiotour|Episódio|Reportagem|Curta|Charge|Vídeo|Entrevis"&amp;"ta|Notícia|Artigo de opinião""),
""Midiático"",
IF(REGEXMATCH(B321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21" s="21" t="str">
        <f>IFERROR(__xludf.DUMMYFUNCTION("IF(C321=""rememoração"", ""Insira a data manualmente"", IF(C321=""difusão"", 
 IF(NOT(ISERROR(REGEXEXTRACT(T321, ""(\d{1,2}) jan\. 2025""))), 
  TEXT(DATE(2025,1,REGEXEXTRACT(T321, ""(\d{1,2}) jan\. 2025"")), ""dd/mm/yyyy""),
 IF(NOT(ISERROR(REGEXEXTRACT("&amp;"T321, ""(\d{1,2}) fev\. 2025""))), 
  TEXT(DATE(2025,2,REGEXEXTRACT(T321, ""(\d{1,2}) fev\. 2025"")), ""dd/mm/yyyy""),
 IF(NOT(ISERROR(REGEXEXTRACT(T321, ""(\d{1,2}) mar\. 2025""))), 
  TEXT(DATE(2025,3,REGEXEXTRACT(T321, ""(\d{1,2}) mar\. 2025"")), ""dd/"&amp;"mm/yyyy""),
 IF(NOT(ISERROR(REGEXEXTRACT(T321, ""(\d{1,2}) abr\. 2025""))), 
  TEXT(DATE(2025,4,REGEXEXTRACT(T321, ""(\d{1,2}) abr\. 2025"")), ""dd/mm/yyyy""),
 IF(NOT(ISERROR(REGEXEXTRACT(T321, ""(\d{1,2}) (mai|maio)\. 2025""))), 
  TEXT(DATE(2025,5,REGE"&amp;"XEXTRACT(T321, ""(\d{1,2}) (mai|maio)\. 2025"")), ""dd/mm/yyyy""),
 IF(NOT(ISERROR(REGEXEXTRACT(T321, ""(\d{1,2}) jun\. 2025""))), 
  TEXT(DATE(2025,6,REGEXEXTRACT(T321, ""(\d{1,2}) jun\. 2025"")), ""dd/mm/yyyy""),
 IF(NOT(ISERROR(REGEXEXTRACT(T321, ""(\d"&amp;"{1,2}) jul\. 2025""))), 
  TEXT(DATE(2025,7,REGEXEXTRACT(T321, ""(\d{1,2}) jul\. 2025"")), ""dd/mm/yyyy""),
 IF(NOT(ISERROR(REGEXEXTRACT(T321, ""(\d{1,2}) ago\. 2025""))), 
  TEXT(DATE(2025,8,REGEXEXTRACT(T321, ""(\d{1,2}) ago\. 2025"")), ""dd/mm/yyyy""),"&amp;"
 IF(NOT(ISERROR(REGEXEXTRACT(T321, ""(\d{1,2}) set\. 2025""))), 
  TEXT(DATE(2025,9,REGEXEXTRACT(T321, ""(\d{1,2}) set\. 2025"")), ""dd/mm/yyyy""),
 IF(NOT(ISERROR(REGEXEXTRACT(T321, ""(\d{1,2}) out\. 2025""))), 
  TEXT(DATE(2025,10,REGEXEXTRACT(T321, """&amp;"(\d{1,2}) out\. 2025"")), ""dd/mm/yyyy""),
 IF(NOT(ISERROR(REGEXEXTRACT(T321, ""(\d{1,2}) nov\. 2025""))), 
  TEXT(DATE(2025,11,REGEXEXTRACT(T321, ""(\d{1,2}) nov\. 2025"")), ""dd/mm/yyyy""),
 IF(NOT(ISERROR(REGEXEXTRACT(T321, ""(\d{1,2}) dez\. 2025""))),"&amp;" 
  TEXT(DATE(2025,12,REGEXEXTRACT(T321, ""(\d{1,2}) dez\. 2025"")), ""dd/mm/yyyy""),
 ""Insira a data manualmente"")))))))))))), """"))"),"")</f>
        <v/>
      </c>
      <c r="H321" s="22">
        <f t="shared" si="1"/>
        <v>0</v>
      </c>
      <c r="I321" s="18" t="str">
        <f>IFERROR(__xludf.DUMMYFUNCTION("IF(REGEXMATCH(T321,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IF(REGEXMATCH(T321, ""(?i)\bBrasília\b""), ""Distrito Federal, Brasil"",
REGEXEXTRACT(T321,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21" s="30"/>
      <c r="K321" s="24"/>
      <c r="L321" s="24"/>
      <c r="M321" s="25"/>
      <c r="N321" s="18" t="str">
        <f t="shared" si="8"/>
        <v/>
      </c>
      <c r="O321" s="17" t="s">
        <v>28</v>
      </c>
      <c r="P321" s="17" t="s">
        <v>251</v>
      </c>
      <c r="Q321" s="26">
        <v>45973.0</v>
      </c>
      <c r="R321" s="17"/>
      <c r="S321" s="36" t="str">
        <f t="shared" si="3"/>
        <v>#VALUE!</v>
      </c>
      <c r="T321" s="29"/>
      <c r="U321" s="29"/>
    </row>
    <row r="322">
      <c r="A322" s="16">
        <v>320.0</v>
      </c>
      <c r="B322" s="17"/>
      <c r="C322" s="18" t="str">
        <f>IFERROR(__xludf.DUMMYFUNCTION("IF(B322="""","""",IF(OR(
  REGEXMATCH(B322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REGEXMATCH(B322,""Notícia|Reportagem|Artigo de opinião|Verbete"")
),""Difusão"","""")))
"),"")</f>
        <v/>
      </c>
      <c r="D322" s="19" t="str">
        <f>IFERROR(__xludf.DUMMYFUNCTION("IF(B322="""","""",IF(OR(
  REGEXMATCH(B322,""Performance|Instalação|Álbum|Música|Poema|Livro|Filme|Documentário|Recitação|Espetáculo|Peça|Intervenção|Desfile|Fotografia|Exposição|Charge|Grafite|Leitura pública|Fabricação de cachaça artesanal""),
  REGEXMA"&amp;"TCH(B322,""dança|teatral|artístico|musical|artística"")
),""Manifestação artístico-cultural"",
IF(OR(
  REGEXMATCH(B322,""Crônica|Série|Reportagem|Podcast|Audiotour|Entrevista|Vídeo|Rádio|Notícia|Artigo de opinião|Coletiva de imprensa""),
  REGEXMATCH(B32"&amp;"2,""midiática"")
),""Produção midiática"","""")))
"),"")</f>
        <v/>
      </c>
      <c r="E322" s="20" t="str">
        <f>IFERROR(__xludf.DUMMYFUNCTION("IF(B322="""","""",IF(OR(
  REGEXMATCH(B322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REGEXMATCH(B322,""público|Imediato|artística|teatral|memória|Ação popular"")
),""Público Imediato"",
IF(REGEXMATCH(B322,""Música|Álbum|Filme|Documentár"&amp;"io|Série|Podcast|Rádio|Audiotour|Entrevista|Reportagem|Crônica|Relatório|Abaixo-assinado|Manifesto|Petição|Poema|Livro|Fotografia|Curta|Live|Webinário|Charge|Leitura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22" s="20" t="str">
        <f>IFERROR(__xludf.DUMMYFUNCTION("IF(B322="""","""",IF(OR(
  REGEXMATCH(B322,""Live|Webinário|Virtual|Verbete""),
  REGEXMATCH(B322,""online"")
),""Virtual"",
IF(REGEXMATCH(B322,""Música|Álbum|Filme|Documentário|Série|Podcast|Rádio|Audiotour|Episódio|Reportagem|Curta|Charge|Vídeo|Entrevis"&amp;"ta|Notícia|Artigo de opinião""),
""Midiático"",
IF(REGEXMATCH(B322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22" s="21" t="str">
        <f>IFERROR(__xludf.DUMMYFUNCTION("IF(C322=""rememoração"", ""Insira a data manualmente"", IF(C322=""difusão"", 
 IF(NOT(ISERROR(REGEXEXTRACT(T322, ""(\d{1,2}) jan\. 2025""))), 
  TEXT(DATE(2025,1,REGEXEXTRACT(T322, ""(\d{1,2}) jan\. 2025"")), ""dd/mm/yyyy""),
 IF(NOT(ISERROR(REGEXEXTRACT("&amp;"T322, ""(\d{1,2}) fev\. 2025""))), 
  TEXT(DATE(2025,2,REGEXEXTRACT(T322, ""(\d{1,2}) fev\. 2025"")), ""dd/mm/yyyy""),
 IF(NOT(ISERROR(REGEXEXTRACT(T322, ""(\d{1,2}) mar\. 2025""))), 
  TEXT(DATE(2025,3,REGEXEXTRACT(T322, ""(\d{1,2}) mar\. 2025"")), ""dd/"&amp;"mm/yyyy""),
 IF(NOT(ISERROR(REGEXEXTRACT(T322, ""(\d{1,2}) abr\. 2025""))), 
  TEXT(DATE(2025,4,REGEXEXTRACT(T322, ""(\d{1,2}) abr\. 2025"")), ""dd/mm/yyyy""),
 IF(NOT(ISERROR(REGEXEXTRACT(T322, ""(\d{1,2}) (mai|maio)\. 2025""))), 
  TEXT(DATE(2025,5,REGE"&amp;"XEXTRACT(T322, ""(\d{1,2}) (mai|maio)\. 2025"")), ""dd/mm/yyyy""),
 IF(NOT(ISERROR(REGEXEXTRACT(T322, ""(\d{1,2}) jun\. 2025""))), 
  TEXT(DATE(2025,6,REGEXEXTRACT(T322, ""(\d{1,2}) jun\. 2025"")), ""dd/mm/yyyy""),
 IF(NOT(ISERROR(REGEXEXTRACT(T322, ""(\d"&amp;"{1,2}) jul\. 2025""))), 
  TEXT(DATE(2025,7,REGEXEXTRACT(T322, ""(\d{1,2}) jul\. 2025"")), ""dd/mm/yyyy""),
 IF(NOT(ISERROR(REGEXEXTRACT(T322, ""(\d{1,2}) ago\. 2025""))), 
  TEXT(DATE(2025,8,REGEXEXTRACT(T322, ""(\d{1,2}) ago\. 2025"")), ""dd/mm/yyyy""),"&amp;"
 IF(NOT(ISERROR(REGEXEXTRACT(T322, ""(\d{1,2}) set\. 2025""))), 
  TEXT(DATE(2025,9,REGEXEXTRACT(T322, ""(\d{1,2}) set\. 2025"")), ""dd/mm/yyyy""),
 IF(NOT(ISERROR(REGEXEXTRACT(T322, ""(\d{1,2}) out\. 2025""))), 
  TEXT(DATE(2025,10,REGEXEXTRACT(T322, """&amp;"(\d{1,2}) out\. 2025"")), ""dd/mm/yyyy""),
 IF(NOT(ISERROR(REGEXEXTRACT(T322, ""(\d{1,2}) nov\. 2025""))), 
  TEXT(DATE(2025,11,REGEXEXTRACT(T322, ""(\d{1,2}) nov\. 2025"")), ""dd/mm/yyyy""),
 IF(NOT(ISERROR(REGEXEXTRACT(T322, ""(\d{1,2}) dez\. 2025""))),"&amp;" 
  TEXT(DATE(2025,12,REGEXEXTRACT(T322, ""(\d{1,2}) dez\. 2025"")), ""dd/mm/yyyy""),
 ""Insira a data manualmente"")))))))))))), """"))"),"")</f>
        <v/>
      </c>
      <c r="H322" s="22">
        <f t="shared" si="1"/>
        <v>0</v>
      </c>
      <c r="I322" s="18" t="str">
        <f>IFERROR(__xludf.DUMMYFUNCTION("IF(REGEXMATCH(T322,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IF(REGEXMATCH(T322, ""(?i)\bBrasília\b""), ""Distrito Federal, Brasil"",
REGEXEXTRACT(T322,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22" s="30"/>
      <c r="K322" s="24"/>
      <c r="L322" s="24"/>
      <c r="M322" s="25"/>
      <c r="N322" s="18" t="str">
        <f t="shared" si="8"/>
        <v/>
      </c>
      <c r="O322" s="17" t="s">
        <v>28</v>
      </c>
      <c r="P322" s="17" t="s">
        <v>251</v>
      </c>
      <c r="Q322" s="26">
        <v>45973.0</v>
      </c>
      <c r="R322" s="17"/>
      <c r="S322" s="36" t="str">
        <f t="shared" si="3"/>
        <v>#VALUE!</v>
      </c>
      <c r="T322" s="29"/>
      <c r="U322" s="29"/>
    </row>
    <row r="323">
      <c r="A323" s="16">
        <v>321.0</v>
      </c>
      <c r="B323" s="17"/>
      <c r="C323" s="18" t="str">
        <f>IFERROR(__xludf.DUMMYFUNCTION("IF(B323="""","""",IF(OR(
  REGEXMATCH(B323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REGEXMATCH(B323,""Notícia|Reportagem|Artigo de opinião|Verbete"")
),""Difusão"","""")))
"),"")</f>
        <v/>
      </c>
      <c r="D323" s="19" t="str">
        <f>IFERROR(__xludf.DUMMYFUNCTION("IF(B323="""","""",IF(OR(
  REGEXMATCH(B323,""Performance|Instalação|Álbum|Música|Poema|Livro|Filme|Documentário|Recitação|Espetáculo|Peça|Intervenção|Desfile|Fotografia|Exposição|Charge|Grafite|Leitura pública|Fabricação de cachaça artesanal""),
  REGEXMA"&amp;"TCH(B323,""dança|teatral|artístico|musical|artística"")
),""Manifestação artístico-cultural"",
IF(OR(
  REGEXMATCH(B323,""Crônica|Série|Reportagem|Podcast|Audiotour|Entrevista|Vídeo|Rádio|Notícia|Artigo de opinião|Coletiva de imprensa""),
  REGEXMATCH(B32"&amp;"3,""midiática"")
),""Produção midiática"","""")))
"),"")</f>
        <v/>
      </c>
      <c r="E323" s="20" t="str">
        <f>IFERROR(__xludf.DUMMYFUNCTION("IF(B323="""","""",IF(OR(
  REGEXMATCH(B323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REGEXMATCH(B323,""público|Imediato|artística|teatral|memória|Ação popular"")
),""Público Imediato"",
IF(REGEXMATCH(B323,""Música|Álbum|Filme|Documentár"&amp;"io|Série|Podcast|Rádio|Audiotour|Entrevista|Reportagem|Crônica|Relatório|Abaixo-assinado|Manifesto|Petição|Poema|Livro|Fotografia|Curta|Live|Webinário|Charge|Leitura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23" s="20" t="str">
        <f>IFERROR(__xludf.DUMMYFUNCTION("IF(B323="""","""",IF(OR(
  REGEXMATCH(B323,""Live|Webinário|Virtual|Verbete""),
  REGEXMATCH(B323,""online"")
),""Virtual"",
IF(REGEXMATCH(B323,""Música|Álbum|Filme|Documentário|Série|Podcast|Rádio|Audiotour|Episódio|Reportagem|Curta|Charge|Vídeo|Entrevis"&amp;"ta|Notícia|Artigo de opinião""),
""Midiático"",
IF(REGEXMATCH(B323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23" s="21" t="str">
        <f>IFERROR(__xludf.DUMMYFUNCTION("IF(C323=""rememoração"", ""Insira a data manualmente"", IF(C323=""difusão"", 
 IF(NOT(ISERROR(REGEXEXTRACT(T323, ""(\d{1,2}) jan\. 2025""))), 
  TEXT(DATE(2025,1,REGEXEXTRACT(T323, ""(\d{1,2}) jan\. 2025"")), ""dd/mm/yyyy""),
 IF(NOT(ISERROR(REGEXEXTRACT("&amp;"T323, ""(\d{1,2}) fev\. 2025""))), 
  TEXT(DATE(2025,2,REGEXEXTRACT(T323, ""(\d{1,2}) fev\. 2025"")), ""dd/mm/yyyy""),
 IF(NOT(ISERROR(REGEXEXTRACT(T323, ""(\d{1,2}) mar\. 2025""))), 
  TEXT(DATE(2025,3,REGEXEXTRACT(T323, ""(\d{1,2}) mar\. 2025"")), ""dd/"&amp;"mm/yyyy""),
 IF(NOT(ISERROR(REGEXEXTRACT(T323, ""(\d{1,2}) abr\. 2025""))), 
  TEXT(DATE(2025,4,REGEXEXTRACT(T323, ""(\d{1,2}) abr\. 2025"")), ""dd/mm/yyyy""),
 IF(NOT(ISERROR(REGEXEXTRACT(T323, ""(\d{1,2}) (mai|maio)\. 2025""))), 
  TEXT(DATE(2025,5,REGE"&amp;"XEXTRACT(T323, ""(\d{1,2}) (mai|maio)\. 2025"")), ""dd/mm/yyyy""),
 IF(NOT(ISERROR(REGEXEXTRACT(T323, ""(\d{1,2}) jun\. 2025""))), 
  TEXT(DATE(2025,6,REGEXEXTRACT(T323, ""(\d{1,2}) jun\. 2025"")), ""dd/mm/yyyy""),
 IF(NOT(ISERROR(REGEXEXTRACT(T323, ""(\d"&amp;"{1,2}) jul\. 2025""))), 
  TEXT(DATE(2025,7,REGEXEXTRACT(T323, ""(\d{1,2}) jul\. 2025"")), ""dd/mm/yyyy""),
 IF(NOT(ISERROR(REGEXEXTRACT(T323, ""(\d{1,2}) ago\. 2025""))), 
  TEXT(DATE(2025,8,REGEXEXTRACT(T323, ""(\d{1,2}) ago\. 2025"")), ""dd/mm/yyyy""),"&amp;"
 IF(NOT(ISERROR(REGEXEXTRACT(T323, ""(\d{1,2}) set\. 2025""))), 
  TEXT(DATE(2025,9,REGEXEXTRACT(T323, ""(\d{1,2}) set\. 2025"")), ""dd/mm/yyyy""),
 IF(NOT(ISERROR(REGEXEXTRACT(T323, ""(\d{1,2}) out\. 2025""))), 
  TEXT(DATE(2025,10,REGEXEXTRACT(T323, """&amp;"(\d{1,2}) out\. 2025"")), ""dd/mm/yyyy""),
 IF(NOT(ISERROR(REGEXEXTRACT(T323, ""(\d{1,2}) nov\. 2025""))), 
  TEXT(DATE(2025,11,REGEXEXTRACT(T323, ""(\d{1,2}) nov\. 2025"")), ""dd/mm/yyyy""),
 IF(NOT(ISERROR(REGEXEXTRACT(T323, ""(\d{1,2}) dez\. 2025""))),"&amp;" 
  TEXT(DATE(2025,12,REGEXEXTRACT(T323, ""(\d{1,2}) dez\. 2025"")), ""dd/mm/yyyy""),
 ""Insira a data manualmente"")))))))))))), """"))"),"")</f>
        <v/>
      </c>
      <c r="H323" s="22">
        <f t="shared" si="1"/>
        <v>0</v>
      </c>
      <c r="I323" s="18" t="str">
        <f>IFERROR(__xludf.DUMMYFUNCTION("IF(REGEXMATCH(T323,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IF(REGEXMATCH(T323, ""(?i)\bBrasília\b""), ""Distrito Federal, Brasil"",
REGEXEXTRACT(T323,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23" s="30"/>
      <c r="K323" s="24"/>
      <c r="L323" s="24"/>
      <c r="M323" s="25"/>
      <c r="N323" s="18" t="str">
        <f t="shared" si="8"/>
        <v/>
      </c>
      <c r="O323" s="17" t="s">
        <v>28</v>
      </c>
      <c r="P323" s="17" t="s">
        <v>251</v>
      </c>
      <c r="Q323" s="26">
        <v>45973.0</v>
      </c>
      <c r="R323" s="17"/>
      <c r="S323" s="36" t="str">
        <f t="shared" si="3"/>
        <v>#VALUE!</v>
      </c>
      <c r="T323" s="29"/>
      <c r="U323" s="29"/>
    </row>
    <row r="324">
      <c r="A324" s="16">
        <v>322.0</v>
      </c>
      <c r="B324" s="17"/>
      <c r="C324" s="18" t="str">
        <f>IFERROR(__xludf.DUMMYFUNCTION("IF(B324="""","""",IF(OR(
  REGEXMATCH(B324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REGEXMATCH(B324,""Notícia|Reportagem|Artigo de opinião|Verbete"")
),""Difusão"","""")))
"),"")</f>
        <v/>
      </c>
      <c r="D324" s="19" t="str">
        <f>IFERROR(__xludf.DUMMYFUNCTION("IF(B324="""","""",IF(OR(
  REGEXMATCH(B324,""Performance|Instalação|Álbum|Música|Poema|Livro|Filme|Documentário|Recitação|Espetáculo|Peça|Intervenção|Desfile|Fotografia|Exposição|Charge|Grafite|Leitura pública|Fabricação de cachaça artesanal""),
  REGEXMA"&amp;"TCH(B324,""dança|teatral|artístico|musical|artística"")
),""Manifestação artístico-cultural"",
IF(OR(
  REGEXMATCH(B324,""Crônica|Série|Reportagem|Podcast|Audiotour|Entrevista|Vídeo|Rádio|Notícia|Artigo de opinião|Coletiva de imprensa""),
  REGEXMATCH(B32"&amp;"4,""midiática"")
),""Produção midiática"","""")))
"),"")</f>
        <v/>
      </c>
      <c r="E324" s="20" t="str">
        <f>IFERROR(__xludf.DUMMYFUNCTION("IF(B324="""","""",IF(OR(
  REGEXMATCH(B324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REGEXMATCH(B324,""público|Imediato|artística|teatral|memória|Ação popular"")
),""Público Imediato"",
IF(REGEXMATCH(B324,""Música|Álbum|Filme|Documentár"&amp;"io|Série|Podcast|Rádio|Audiotour|Entrevista|Reportagem|Crônica|Relatório|Abaixo-assinado|Manifesto|Petição|Poema|Livro|Fotografia|Curta|Live|Webinário|Charge|Leitura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24" s="20" t="str">
        <f>IFERROR(__xludf.DUMMYFUNCTION("IF(B324="""","""",IF(OR(
  REGEXMATCH(B324,""Live|Webinário|Virtual|Verbete""),
  REGEXMATCH(B324,""online"")
),""Virtual"",
IF(REGEXMATCH(B324,""Música|Álbum|Filme|Documentário|Série|Podcast|Rádio|Audiotour|Episódio|Reportagem|Curta|Charge|Vídeo|Entrevis"&amp;"ta|Notícia|Artigo de opinião""),
""Midiático"",
IF(REGEXMATCH(B324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24" s="21" t="str">
        <f>IFERROR(__xludf.DUMMYFUNCTION("IF(C324=""rememoração"", ""Insira a data manualmente"", IF(C324=""difusão"", 
 IF(NOT(ISERROR(REGEXEXTRACT(T324, ""(\d{1,2}) jan\. 2025""))), 
  TEXT(DATE(2025,1,REGEXEXTRACT(T324, ""(\d{1,2}) jan\. 2025"")), ""dd/mm/yyyy""),
 IF(NOT(ISERROR(REGEXEXTRACT("&amp;"T324, ""(\d{1,2}) fev\. 2025""))), 
  TEXT(DATE(2025,2,REGEXEXTRACT(T324, ""(\d{1,2}) fev\. 2025"")), ""dd/mm/yyyy""),
 IF(NOT(ISERROR(REGEXEXTRACT(T324, ""(\d{1,2}) mar\. 2025""))), 
  TEXT(DATE(2025,3,REGEXEXTRACT(T324, ""(\d{1,2}) mar\. 2025"")), ""dd/"&amp;"mm/yyyy""),
 IF(NOT(ISERROR(REGEXEXTRACT(T324, ""(\d{1,2}) abr\. 2025""))), 
  TEXT(DATE(2025,4,REGEXEXTRACT(T324, ""(\d{1,2}) abr\. 2025"")), ""dd/mm/yyyy""),
 IF(NOT(ISERROR(REGEXEXTRACT(T324, ""(\d{1,2}) (mai|maio)\. 2025""))), 
  TEXT(DATE(2025,5,REGE"&amp;"XEXTRACT(T324, ""(\d{1,2}) (mai|maio)\. 2025"")), ""dd/mm/yyyy""),
 IF(NOT(ISERROR(REGEXEXTRACT(T324, ""(\d{1,2}) jun\. 2025""))), 
  TEXT(DATE(2025,6,REGEXEXTRACT(T324, ""(\d{1,2}) jun\. 2025"")), ""dd/mm/yyyy""),
 IF(NOT(ISERROR(REGEXEXTRACT(T324, ""(\d"&amp;"{1,2}) jul\. 2025""))), 
  TEXT(DATE(2025,7,REGEXEXTRACT(T324, ""(\d{1,2}) jul\. 2025"")), ""dd/mm/yyyy""),
 IF(NOT(ISERROR(REGEXEXTRACT(T324, ""(\d{1,2}) ago\. 2025""))), 
  TEXT(DATE(2025,8,REGEXEXTRACT(T324, ""(\d{1,2}) ago\. 2025"")), ""dd/mm/yyyy""),"&amp;"
 IF(NOT(ISERROR(REGEXEXTRACT(T324, ""(\d{1,2}) set\. 2025""))), 
  TEXT(DATE(2025,9,REGEXEXTRACT(T324, ""(\d{1,2}) set\. 2025"")), ""dd/mm/yyyy""),
 IF(NOT(ISERROR(REGEXEXTRACT(T324, ""(\d{1,2}) out\. 2025""))), 
  TEXT(DATE(2025,10,REGEXEXTRACT(T324, """&amp;"(\d{1,2}) out\. 2025"")), ""dd/mm/yyyy""),
 IF(NOT(ISERROR(REGEXEXTRACT(T324, ""(\d{1,2}) nov\. 2025""))), 
  TEXT(DATE(2025,11,REGEXEXTRACT(T324, ""(\d{1,2}) nov\. 2025"")), ""dd/mm/yyyy""),
 IF(NOT(ISERROR(REGEXEXTRACT(T324, ""(\d{1,2}) dez\. 2025""))),"&amp;" 
  TEXT(DATE(2025,12,REGEXEXTRACT(T324, ""(\d{1,2}) dez\. 2025"")), ""dd/mm/yyyy""),
 ""Insira a data manualmente"")))))))))))), """"))"),"")</f>
        <v/>
      </c>
      <c r="H324" s="22">
        <f t="shared" si="1"/>
        <v>0</v>
      </c>
      <c r="I324" s="18" t="str">
        <f>IFERROR(__xludf.DUMMYFUNCTION("IF(REGEXMATCH(T324,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IF(REGEXMATCH(T324, ""(?i)\bBrasília\b""), ""Distrito Federal, Brasil"",
REGEXEXTRACT(T324,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24" s="30"/>
      <c r="K324" s="24"/>
      <c r="L324" s="24"/>
      <c r="M324" s="25"/>
      <c r="N324" s="18" t="str">
        <f t="shared" si="8"/>
        <v/>
      </c>
      <c r="O324" s="17" t="s">
        <v>28</v>
      </c>
      <c r="P324" s="17" t="s">
        <v>251</v>
      </c>
      <c r="Q324" s="26">
        <v>45973.0</v>
      </c>
      <c r="R324" s="17"/>
      <c r="S324" s="36" t="str">
        <f t="shared" si="3"/>
        <v>#VALUE!</v>
      </c>
      <c r="T324" s="29"/>
      <c r="U324" s="29"/>
    </row>
    <row r="325">
      <c r="A325" s="16">
        <v>323.0</v>
      </c>
      <c r="B325" s="17"/>
      <c r="C325" s="18" t="str">
        <f>IFERROR(__xludf.DUMMYFUNCTION("IF(B325="""","""",IF(OR(
  REGEXMATCH(B325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REGEXMATCH(B325,""Notícia|Reportagem|Artigo de opinião|Verbete"")
),""Difusão"","""")))
"),"")</f>
        <v/>
      </c>
      <c r="D325" s="19" t="str">
        <f>IFERROR(__xludf.DUMMYFUNCTION("IF(B325="""","""",IF(OR(
  REGEXMATCH(B325,""Performance|Instalação|Álbum|Música|Poema|Livro|Filme|Documentário|Recitação|Espetáculo|Peça|Intervenção|Desfile|Fotografia|Exposição|Charge|Grafite|Leitura pública|Fabricação de cachaça artesanal""),
  REGEXMA"&amp;"TCH(B325,""dança|teatral|artístico|musical|artística"")
),""Manifestação artístico-cultural"",
IF(OR(
  REGEXMATCH(B325,""Crônica|Série|Reportagem|Podcast|Audiotour|Entrevista|Vídeo|Rádio|Notícia|Artigo de opinião|Coletiva de imprensa""),
  REGEXMATCH(B32"&amp;"5,""midiática"")
),""Produção midiática"","""")))
"),"")</f>
        <v/>
      </c>
      <c r="E325" s="20" t="str">
        <f>IFERROR(__xludf.DUMMYFUNCTION("IF(B325="""","""",IF(OR(
  REGEXMATCH(B325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REGEXMATCH(B325,""público|Imediato|artística|teatral|memória|Ação popular"")
),""Público Imediato"",
IF(REGEXMATCH(B325,""Música|Álbum|Filme|Documentár"&amp;"io|Série|Podcast|Rádio|Audiotour|Entrevista|Reportagem|Crônica|Relatório|Abaixo-assinado|Manifesto|Petição|Poema|Livro|Fotografia|Curta|Live|Webinário|Charge|Leitura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25" s="20" t="str">
        <f>IFERROR(__xludf.DUMMYFUNCTION("IF(B325="""","""",IF(OR(
  REGEXMATCH(B325,""Live|Webinário|Virtual|Verbete""),
  REGEXMATCH(B325,""online"")
),""Virtual"",
IF(REGEXMATCH(B325,""Música|Álbum|Filme|Documentário|Série|Podcast|Rádio|Audiotour|Episódio|Reportagem|Curta|Charge|Vídeo|Entrevis"&amp;"ta|Notícia|Artigo de opinião""),
""Midiático"",
IF(REGEXMATCH(B325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25" s="21" t="str">
        <f>IFERROR(__xludf.DUMMYFUNCTION("IF(C325=""rememoração"", ""Insira a data manualmente"", IF(C325=""difusão"", 
 IF(NOT(ISERROR(REGEXEXTRACT(T325, ""(\d{1,2}) jan\. 2025""))), 
  TEXT(DATE(2025,1,REGEXEXTRACT(T325, ""(\d{1,2}) jan\. 2025"")), ""dd/mm/yyyy""),
 IF(NOT(ISERROR(REGEXEXTRACT("&amp;"T325, ""(\d{1,2}) fev\. 2025""))), 
  TEXT(DATE(2025,2,REGEXEXTRACT(T325, ""(\d{1,2}) fev\. 2025"")), ""dd/mm/yyyy""),
 IF(NOT(ISERROR(REGEXEXTRACT(T325, ""(\d{1,2}) mar\. 2025""))), 
  TEXT(DATE(2025,3,REGEXEXTRACT(T325, ""(\d{1,2}) mar\. 2025"")), ""dd/"&amp;"mm/yyyy""),
 IF(NOT(ISERROR(REGEXEXTRACT(T325, ""(\d{1,2}) abr\. 2025""))), 
  TEXT(DATE(2025,4,REGEXEXTRACT(T325, ""(\d{1,2}) abr\. 2025"")), ""dd/mm/yyyy""),
 IF(NOT(ISERROR(REGEXEXTRACT(T325, ""(\d{1,2}) (mai|maio)\. 2025""))), 
  TEXT(DATE(2025,5,REGE"&amp;"XEXTRACT(T325, ""(\d{1,2}) (mai|maio)\. 2025"")), ""dd/mm/yyyy""),
 IF(NOT(ISERROR(REGEXEXTRACT(T325, ""(\d{1,2}) jun\. 2025""))), 
  TEXT(DATE(2025,6,REGEXEXTRACT(T325, ""(\d{1,2}) jun\. 2025"")), ""dd/mm/yyyy""),
 IF(NOT(ISERROR(REGEXEXTRACT(T325, ""(\d"&amp;"{1,2}) jul\. 2025""))), 
  TEXT(DATE(2025,7,REGEXEXTRACT(T325, ""(\d{1,2}) jul\. 2025"")), ""dd/mm/yyyy""),
 IF(NOT(ISERROR(REGEXEXTRACT(T325, ""(\d{1,2}) ago\. 2025""))), 
  TEXT(DATE(2025,8,REGEXEXTRACT(T325, ""(\d{1,2}) ago\. 2025"")), ""dd/mm/yyyy""),"&amp;"
 IF(NOT(ISERROR(REGEXEXTRACT(T325, ""(\d{1,2}) set\. 2025""))), 
  TEXT(DATE(2025,9,REGEXEXTRACT(T325, ""(\d{1,2}) set\. 2025"")), ""dd/mm/yyyy""),
 IF(NOT(ISERROR(REGEXEXTRACT(T325, ""(\d{1,2}) out\. 2025""))), 
  TEXT(DATE(2025,10,REGEXEXTRACT(T325, """&amp;"(\d{1,2}) out\. 2025"")), ""dd/mm/yyyy""),
 IF(NOT(ISERROR(REGEXEXTRACT(T325, ""(\d{1,2}) nov\. 2025""))), 
  TEXT(DATE(2025,11,REGEXEXTRACT(T325, ""(\d{1,2}) nov\. 2025"")), ""dd/mm/yyyy""),
 IF(NOT(ISERROR(REGEXEXTRACT(T325, ""(\d{1,2}) dez\. 2025""))),"&amp;" 
  TEXT(DATE(2025,12,REGEXEXTRACT(T325, ""(\d{1,2}) dez\. 2025"")), ""dd/mm/yyyy""),
 ""Insira a data manualmente"")))))))))))), """"))"),"")</f>
        <v/>
      </c>
      <c r="H325" s="22">
        <f t="shared" si="1"/>
        <v>0</v>
      </c>
      <c r="I325" s="18" t="str">
        <f>IFERROR(__xludf.DUMMYFUNCTION("IF(REGEXMATCH(T325,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IF(REGEXMATCH(T325, ""(?i)\bBrasília\b""), ""Distrito Federal, Brasil"",
REGEXEXTRACT(T325,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25" s="30"/>
      <c r="K325" s="24"/>
      <c r="L325" s="24"/>
      <c r="M325" s="25"/>
      <c r="N325" s="18" t="str">
        <f t="shared" si="8"/>
        <v/>
      </c>
      <c r="O325" s="17" t="s">
        <v>28</v>
      </c>
      <c r="P325" s="17" t="s">
        <v>251</v>
      </c>
      <c r="Q325" s="26">
        <v>45973.0</v>
      </c>
      <c r="R325" s="17"/>
      <c r="S325" s="36" t="str">
        <f t="shared" si="3"/>
        <v>#VALUE!</v>
      </c>
      <c r="T325" s="29"/>
      <c r="U325" s="29"/>
    </row>
    <row r="326">
      <c r="A326" s="16">
        <v>324.0</v>
      </c>
      <c r="B326" s="17"/>
      <c r="C326" s="18" t="str">
        <f>IFERROR(__xludf.DUMMYFUNCTION("IF(B326="""","""",IF(OR(
  REGEXMATCH(B326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REGEXMATCH(B326,""Notícia|Reportagem|Artigo de opinião|Verbete"")
),""Difusão"","""")))
"),"")</f>
        <v/>
      </c>
      <c r="D326" s="19" t="str">
        <f>IFERROR(__xludf.DUMMYFUNCTION("IF(B326="""","""",IF(OR(
  REGEXMATCH(B326,""Performance|Instalação|Álbum|Música|Poema|Livro|Filme|Documentário|Recitação|Espetáculo|Peça|Intervenção|Desfile|Fotografia|Exposição|Charge|Grafite|Leitura pública|Fabricação de cachaça artesanal""),
  REGEXMA"&amp;"TCH(B326,""dança|teatral|artístico|musical|artística"")
),""Manifestação artístico-cultural"",
IF(OR(
  REGEXMATCH(B326,""Crônica|Série|Reportagem|Podcast|Audiotour|Entrevista|Vídeo|Rádio|Notícia|Artigo de opinião|Coletiva de imprensa""),
  REGEXMATCH(B32"&amp;"6,""midiática"")
),""Produção midiática"","""")))
"),"")</f>
        <v/>
      </c>
      <c r="E326" s="20" t="str">
        <f>IFERROR(__xludf.DUMMYFUNCTION("IF(B326="""","""",IF(OR(
  REGEXMATCH(B326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REGEXMATCH(B326,""público|Imediato|artística|teatral|memória|Ação popular"")
),""Público Imediato"",
IF(REGEXMATCH(B326,""Música|Álbum|Filme|Documentár"&amp;"io|Série|Podcast|Rádio|Audiotour|Entrevista|Reportagem|Crônica|Relatório|Abaixo-assinado|Manifesto|Petição|Poema|Livro|Fotografia|Curta|Live|Webinário|Charge|Leitura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26" s="20" t="str">
        <f>IFERROR(__xludf.DUMMYFUNCTION("IF(B326="""","""",IF(OR(
  REGEXMATCH(B326,""Live|Webinário|Virtual|Verbete""),
  REGEXMATCH(B326,""online"")
),""Virtual"",
IF(REGEXMATCH(B326,""Música|Álbum|Filme|Documentário|Série|Podcast|Rádio|Audiotour|Episódio|Reportagem|Curta|Charge|Vídeo|Entrevis"&amp;"ta|Notícia|Artigo de opinião""),
""Midiático"",
IF(REGEXMATCH(B326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26" s="21" t="str">
        <f>IFERROR(__xludf.DUMMYFUNCTION("IF(C326=""rememoração"", ""Insira a data manualmente"", IF(C326=""difusão"", 
 IF(NOT(ISERROR(REGEXEXTRACT(T326, ""(\d{1,2}) jan\. 2025""))), 
  TEXT(DATE(2025,1,REGEXEXTRACT(T326, ""(\d{1,2}) jan\. 2025"")), ""dd/mm/yyyy""),
 IF(NOT(ISERROR(REGEXEXTRACT("&amp;"T326, ""(\d{1,2}) fev\. 2025""))), 
  TEXT(DATE(2025,2,REGEXEXTRACT(T326, ""(\d{1,2}) fev\. 2025"")), ""dd/mm/yyyy""),
 IF(NOT(ISERROR(REGEXEXTRACT(T326, ""(\d{1,2}) mar\. 2025""))), 
  TEXT(DATE(2025,3,REGEXEXTRACT(T326, ""(\d{1,2}) mar\. 2025"")), ""dd/"&amp;"mm/yyyy""),
 IF(NOT(ISERROR(REGEXEXTRACT(T326, ""(\d{1,2}) abr\. 2025""))), 
  TEXT(DATE(2025,4,REGEXEXTRACT(T326, ""(\d{1,2}) abr\. 2025"")), ""dd/mm/yyyy""),
 IF(NOT(ISERROR(REGEXEXTRACT(T326, ""(\d{1,2}) (mai|maio)\. 2025""))), 
  TEXT(DATE(2025,5,REGE"&amp;"XEXTRACT(T326, ""(\d{1,2}) (mai|maio)\. 2025"")), ""dd/mm/yyyy""),
 IF(NOT(ISERROR(REGEXEXTRACT(T326, ""(\d{1,2}) jun\. 2025""))), 
  TEXT(DATE(2025,6,REGEXEXTRACT(T326, ""(\d{1,2}) jun\. 2025"")), ""dd/mm/yyyy""),
 IF(NOT(ISERROR(REGEXEXTRACT(T326, ""(\d"&amp;"{1,2}) jul\. 2025""))), 
  TEXT(DATE(2025,7,REGEXEXTRACT(T326, ""(\d{1,2}) jul\. 2025"")), ""dd/mm/yyyy""),
 IF(NOT(ISERROR(REGEXEXTRACT(T326, ""(\d{1,2}) ago\. 2025""))), 
  TEXT(DATE(2025,8,REGEXEXTRACT(T326, ""(\d{1,2}) ago\. 2025"")), ""dd/mm/yyyy""),"&amp;"
 IF(NOT(ISERROR(REGEXEXTRACT(T326, ""(\d{1,2}) set\. 2025""))), 
  TEXT(DATE(2025,9,REGEXEXTRACT(T326, ""(\d{1,2}) set\. 2025"")), ""dd/mm/yyyy""),
 IF(NOT(ISERROR(REGEXEXTRACT(T326, ""(\d{1,2}) out\. 2025""))), 
  TEXT(DATE(2025,10,REGEXEXTRACT(T326, """&amp;"(\d{1,2}) out\. 2025"")), ""dd/mm/yyyy""),
 IF(NOT(ISERROR(REGEXEXTRACT(T326, ""(\d{1,2}) nov\. 2025""))), 
  TEXT(DATE(2025,11,REGEXEXTRACT(T326, ""(\d{1,2}) nov\. 2025"")), ""dd/mm/yyyy""),
 IF(NOT(ISERROR(REGEXEXTRACT(T326, ""(\d{1,2}) dez\. 2025""))),"&amp;" 
  TEXT(DATE(2025,12,REGEXEXTRACT(T326, ""(\d{1,2}) dez\. 2025"")), ""dd/mm/yyyy""),
 ""Insira a data manualmente"")))))))))))), """"))"),"")</f>
        <v/>
      </c>
      <c r="H326" s="22">
        <f t="shared" si="1"/>
        <v>0</v>
      </c>
      <c r="I326" s="18" t="str">
        <f>IFERROR(__xludf.DUMMYFUNCTION("IF(REGEXMATCH(T326,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IF(REGEXMATCH(T326, ""(?i)\bBrasília\b""), ""Distrito Federal, Brasil"",
REGEXEXTRACT(T326,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26" s="30"/>
      <c r="K326" s="24"/>
      <c r="L326" s="24"/>
      <c r="M326" s="25"/>
      <c r="N326" s="18" t="str">
        <f t="shared" si="8"/>
        <v/>
      </c>
      <c r="O326" s="17" t="s">
        <v>28</v>
      </c>
      <c r="P326" s="17" t="s">
        <v>251</v>
      </c>
      <c r="Q326" s="26">
        <v>45973.0</v>
      </c>
      <c r="R326" s="17"/>
      <c r="S326" s="36" t="str">
        <f t="shared" si="3"/>
        <v>#VALUE!</v>
      </c>
      <c r="T326" s="29"/>
      <c r="U326" s="29"/>
    </row>
    <row r="327">
      <c r="A327" s="16">
        <v>325.0</v>
      </c>
      <c r="B327" s="17"/>
      <c r="C327" s="18" t="str">
        <f>IFERROR(__xludf.DUMMYFUNCTION("IF(B327="""","""",IF(OR(
  REGEXMATCH(B327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REGEXMATCH(B327,""Notícia|Reportagem|Artigo de opinião|Verbete"")
),""Difusão"","""")))
"),"")</f>
        <v/>
      </c>
      <c r="D327" s="19" t="str">
        <f>IFERROR(__xludf.DUMMYFUNCTION("IF(B327="""","""",IF(OR(
  REGEXMATCH(B327,""Performance|Instalação|Álbum|Música|Poema|Livro|Filme|Documentário|Recitação|Espetáculo|Peça|Intervenção|Desfile|Fotografia|Exposição|Charge|Grafite|Leitura pública|Fabricação de cachaça artesanal""),
  REGEXMA"&amp;"TCH(B327,""dança|teatral|artístico|musical|artística"")
),""Manifestação artístico-cultural"",
IF(OR(
  REGEXMATCH(B327,""Crônica|Série|Reportagem|Podcast|Audiotour|Entrevista|Vídeo|Rádio|Notícia|Artigo de opinião|Coletiva de imprensa""),
  REGEXMATCH(B32"&amp;"7,""midiática"")
),""Produção midiática"","""")))
"),"")</f>
        <v/>
      </c>
      <c r="E327" s="20" t="str">
        <f>IFERROR(__xludf.DUMMYFUNCTION("IF(B327="""","""",IF(OR(
  REGEXMATCH(B327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REGEXMATCH(B327,""público|Imediato|artística|teatral|memória|Ação popular"")
),""Público Imediato"",
IF(REGEXMATCH(B327,""Música|Álbum|Filme|Documentár"&amp;"io|Série|Podcast|Rádio|Audiotour|Entrevista|Reportagem|Crônica|Relatório|Abaixo-assinado|Manifesto|Petição|Poema|Livro|Fotografia|Curta|Live|Webinário|Charge|Leitura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27" s="20" t="str">
        <f>IFERROR(__xludf.DUMMYFUNCTION("IF(B327="""","""",IF(OR(
  REGEXMATCH(B327,""Live|Webinário|Virtual|Verbete""),
  REGEXMATCH(B327,""online"")
),""Virtual"",
IF(REGEXMATCH(B327,""Música|Álbum|Filme|Documentário|Série|Podcast|Rádio|Audiotour|Episódio|Reportagem|Curta|Charge|Vídeo|Entrevis"&amp;"ta|Notícia|Artigo de opinião""),
""Midiático"",
IF(REGEXMATCH(B327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27" s="21" t="str">
        <f>IFERROR(__xludf.DUMMYFUNCTION("IF(C327=""rememoração"", ""Insira a data manualmente"", IF(C327=""difusão"", 
 IF(NOT(ISERROR(REGEXEXTRACT(T327, ""(\d{1,2}) jan\. 2025""))), 
  TEXT(DATE(2025,1,REGEXEXTRACT(T327, ""(\d{1,2}) jan\. 2025"")), ""dd/mm/yyyy""),
 IF(NOT(ISERROR(REGEXEXTRACT("&amp;"T327, ""(\d{1,2}) fev\. 2025""))), 
  TEXT(DATE(2025,2,REGEXEXTRACT(T327, ""(\d{1,2}) fev\. 2025"")), ""dd/mm/yyyy""),
 IF(NOT(ISERROR(REGEXEXTRACT(T327, ""(\d{1,2}) mar\. 2025""))), 
  TEXT(DATE(2025,3,REGEXEXTRACT(T327, ""(\d{1,2}) mar\. 2025"")), ""dd/"&amp;"mm/yyyy""),
 IF(NOT(ISERROR(REGEXEXTRACT(T327, ""(\d{1,2}) abr\. 2025""))), 
  TEXT(DATE(2025,4,REGEXEXTRACT(T327, ""(\d{1,2}) abr\. 2025"")), ""dd/mm/yyyy""),
 IF(NOT(ISERROR(REGEXEXTRACT(T327, ""(\d{1,2}) (mai|maio)\. 2025""))), 
  TEXT(DATE(2025,5,REGE"&amp;"XEXTRACT(T327, ""(\d{1,2}) (mai|maio)\. 2025"")), ""dd/mm/yyyy""),
 IF(NOT(ISERROR(REGEXEXTRACT(T327, ""(\d{1,2}) jun\. 2025""))), 
  TEXT(DATE(2025,6,REGEXEXTRACT(T327, ""(\d{1,2}) jun\. 2025"")), ""dd/mm/yyyy""),
 IF(NOT(ISERROR(REGEXEXTRACT(T327, ""(\d"&amp;"{1,2}) jul\. 2025""))), 
  TEXT(DATE(2025,7,REGEXEXTRACT(T327, ""(\d{1,2}) jul\. 2025"")), ""dd/mm/yyyy""),
 IF(NOT(ISERROR(REGEXEXTRACT(T327, ""(\d{1,2}) ago\. 2025""))), 
  TEXT(DATE(2025,8,REGEXEXTRACT(T327, ""(\d{1,2}) ago\. 2025"")), ""dd/mm/yyyy""),"&amp;"
 IF(NOT(ISERROR(REGEXEXTRACT(T327, ""(\d{1,2}) set\. 2025""))), 
  TEXT(DATE(2025,9,REGEXEXTRACT(T327, ""(\d{1,2}) set\. 2025"")), ""dd/mm/yyyy""),
 IF(NOT(ISERROR(REGEXEXTRACT(T327, ""(\d{1,2}) out\. 2025""))), 
  TEXT(DATE(2025,10,REGEXEXTRACT(T327, """&amp;"(\d{1,2}) out\. 2025"")), ""dd/mm/yyyy""),
 IF(NOT(ISERROR(REGEXEXTRACT(T327, ""(\d{1,2}) nov\. 2025""))), 
  TEXT(DATE(2025,11,REGEXEXTRACT(T327, ""(\d{1,2}) nov\. 2025"")), ""dd/mm/yyyy""),
 IF(NOT(ISERROR(REGEXEXTRACT(T327, ""(\d{1,2}) dez\. 2025""))),"&amp;" 
  TEXT(DATE(2025,12,REGEXEXTRACT(T327, ""(\d{1,2}) dez\. 2025"")), ""dd/mm/yyyy""),
 ""Insira a data manualmente"")))))))))))), """"))"),"")</f>
        <v/>
      </c>
      <c r="H327" s="22">
        <f t="shared" si="1"/>
        <v>0</v>
      </c>
      <c r="I327" s="18" t="str">
        <f>IFERROR(__xludf.DUMMYFUNCTION("IF(REGEXMATCH(T327,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IF(REGEXMATCH(T327, ""(?i)\bBrasília\b""), ""Distrito Federal, Brasil"",
REGEXEXTRACT(T327,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27" s="30"/>
      <c r="K327" s="24"/>
      <c r="L327" s="24"/>
      <c r="M327" s="25"/>
      <c r="N327" s="18" t="str">
        <f t="shared" si="8"/>
        <v/>
      </c>
      <c r="O327" s="17" t="s">
        <v>28</v>
      </c>
      <c r="P327" s="17" t="s">
        <v>251</v>
      </c>
      <c r="Q327" s="26">
        <v>45973.0</v>
      </c>
      <c r="R327" s="17"/>
      <c r="S327" s="36" t="str">
        <f t="shared" si="3"/>
        <v>#VALUE!</v>
      </c>
      <c r="T327" s="29"/>
      <c r="U327" s="29"/>
    </row>
    <row r="328">
      <c r="A328" s="16">
        <v>326.0</v>
      </c>
      <c r="B328" s="17"/>
      <c r="C328" s="18" t="str">
        <f>IFERROR(__xludf.DUMMYFUNCTION("IF(B328="""","""",IF(OR(
  REGEXMATCH(B328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REGEXMATCH(B328,""Notícia|Reportagem|Artigo de opinião|Verbete"")
),""Difusão"","""")))
"),"")</f>
        <v/>
      </c>
      <c r="D328" s="19" t="str">
        <f>IFERROR(__xludf.DUMMYFUNCTION("IF(B328="""","""",IF(OR(
  REGEXMATCH(B328,""Performance|Instalação|Álbum|Música|Poema|Livro|Filme|Documentário|Recitação|Espetáculo|Peça|Intervenção|Desfile|Fotografia|Exposição|Charge|Grafite|Leitura pública|Fabricação de cachaça artesanal""),
  REGEXMA"&amp;"TCH(B328,""dança|teatral|artístico|musical|artística"")
),""Manifestação artístico-cultural"",
IF(OR(
  REGEXMATCH(B328,""Crônica|Série|Reportagem|Podcast|Audiotour|Entrevista|Vídeo|Rádio|Notícia|Artigo de opinião|Coletiva de imprensa""),
  REGEXMATCH(B32"&amp;"8,""midiática"")
),""Produção midiática"","""")))
"),"")</f>
        <v/>
      </c>
      <c r="E328" s="20" t="str">
        <f>IFERROR(__xludf.DUMMYFUNCTION("IF(B328="""","""",IF(OR(
  REGEXMATCH(B328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REGEXMATCH(B328,""público|Imediato|artística|teatral|memória|Ação popular"")
),""Público Imediato"",
IF(REGEXMATCH(B328,""Música|Álbum|Filme|Documentár"&amp;"io|Série|Podcast|Rádio|Audiotour|Entrevista|Reportagem|Crônica|Relatório|Abaixo-assinado|Manifesto|Petição|Poema|Livro|Fotografia|Curta|Live|Webinário|Charge|Leitura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28" s="20" t="str">
        <f>IFERROR(__xludf.DUMMYFUNCTION("IF(B328="""","""",IF(OR(
  REGEXMATCH(B328,""Live|Webinário|Virtual|Verbete""),
  REGEXMATCH(B328,""online"")
),""Virtual"",
IF(REGEXMATCH(B328,""Música|Álbum|Filme|Documentário|Série|Podcast|Rádio|Audiotour|Episódio|Reportagem|Curta|Charge|Vídeo|Entrevis"&amp;"ta|Notícia|Artigo de opinião""),
""Midiático"",
IF(REGEXMATCH(B328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28" s="21" t="str">
        <f>IFERROR(__xludf.DUMMYFUNCTION("IF(C328=""rememoração"", ""Insira a data manualmente"", IF(C328=""difusão"", 
 IF(NOT(ISERROR(REGEXEXTRACT(T328, ""(\d{1,2}) jan\. 2025""))), 
  TEXT(DATE(2025,1,REGEXEXTRACT(T328, ""(\d{1,2}) jan\. 2025"")), ""dd/mm/yyyy""),
 IF(NOT(ISERROR(REGEXEXTRACT("&amp;"T328, ""(\d{1,2}) fev\. 2025""))), 
  TEXT(DATE(2025,2,REGEXEXTRACT(T328, ""(\d{1,2}) fev\. 2025"")), ""dd/mm/yyyy""),
 IF(NOT(ISERROR(REGEXEXTRACT(T328, ""(\d{1,2}) mar\. 2025""))), 
  TEXT(DATE(2025,3,REGEXEXTRACT(T328, ""(\d{1,2}) mar\. 2025"")), ""dd/"&amp;"mm/yyyy""),
 IF(NOT(ISERROR(REGEXEXTRACT(T328, ""(\d{1,2}) abr\. 2025""))), 
  TEXT(DATE(2025,4,REGEXEXTRACT(T328, ""(\d{1,2}) abr\. 2025"")), ""dd/mm/yyyy""),
 IF(NOT(ISERROR(REGEXEXTRACT(T328, ""(\d{1,2}) (mai|maio)\. 2025""))), 
  TEXT(DATE(2025,5,REGE"&amp;"XEXTRACT(T328, ""(\d{1,2}) (mai|maio)\. 2025"")), ""dd/mm/yyyy""),
 IF(NOT(ISERROR(REGEXEXTRACT(T328, ""(\d{1,2}) jun\. 2025""))), 
  TEXT(DATE(2025,6,REGEXEXTRACT(T328, ""(\d{1,2}) jun\. 2025"")), ""dd/mm/yyyy""),
 IF(NOT(ISERROR(REGEXEXTRACT(T328, ""(\d"&amp;"{1,2}) jul\. 2025""))), 
  TEXT(DATE(2025,7,REGEXEXTRACT(T328, ""(\d{1,2}) jul\. 2025"")), ""dd/mm/yyyy""),
 IF(NOT(ISERROR(REGEXEXTRACT(T328, ""(\d{1,2}) ago\. 2025""))), 
  TEXT(DATE(2025,8,REGEXEXTRACT(T328, ""(\d{1,2}) ago\. 2025"")), ""dd/mm/yyyy""),"&amp;"
 IF(NOT(ISERROR(REGEXEXTRACT(T328, ""(\d{1,2}) set\. 2025""))), 
  TEXT(DATE(2025,9,REGEXEXTRACT(T328, ""(\d{1,2}) set\. 2025"")), ""dd/mm/yyyy""),
 IF(NOT(ISERROR(REGEXEXTRACT(T328, ""(\d{1,2}) out\. 2025""))), 
  TEXT(DATE(2025,10,REGEXEXTRACT(T328, """&amp;"(\d{1,2}) out\. 2025"")), ""dd/mm/yyyy""),
 IF(NOT(ISERROR(REGEXEXTRACT(T328, ""(\d{1,2}) nov\. 2025""))), 
  TEXT(DATE(2025,11,REGEXEXTRACT(T328, ""(\d{1,2}) nov\. 2025"")), ""dd/mm/yyyy""),
 IF(NOT(ISERROR(REGEXEXTRACT(T328, ""(\d{1,2}) dez\. 2025""))),"&amp;" 
  TEXT(DATE(2025,12,REGEXEXTRACT(T328, ""(\d{1,2}) dez\. 2025"")), ""dd/mm/yyyy""),
 ""Insira a data manualmente"")))))))))))), """"))"),"")</f>
        <v/>
      </c>
      <c r="H328" s="22">
        <f t="shared" si="1"/>
        <v>0</v>
      </c>
      <c r="I328" s="18" t="str">
        <f>IFERROR(__xludf.DUMMYFUNCTION("IF(REGEXMATCH(T328,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IF(REGEXMATCH(T328, ""(?i)\bBrasília\b""), ""Distrito Federal, Brasil"",
REGEXEXTRACT(T328,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28" s="30"/>
      <c r="K328" s="24"/>
      <c r="L328" s="24"/>
      <c r="M328" s="25"/>
      <c r="N328" s="18" t="str">
        <f t="shared" si="8"/>
        <v/>
      </c>
      <c r="O328" s="17" t="s">
        <v>28</v>
      </c>
      <c r="P328" s="17" t="s">
        <v>251</v>
      </c>
      <c r="Q328" s="26">
        <v>45973.0</v>
      </c>
      <c r="R328" s="17"/>
      <c r="S328" s="36" t="str">
        <f t="shared" si="3"/>
        <v>#VALUE!</v>
      </c>
      <c r="T328" s="29"/>
      <c r="U328" s="29"/>
    </row>
    <row r="329">
      <c r="A329" s="16">
        <v>327.0</v>
      </c>
      <c r="B329" s="17"/>
      <c r="C329" s="18" t="str">
        <f>IFERROR(__xludf.DUMMYFUNCTION("IF(B329="""","""",IF(OR(
  REGEXMATCH(B329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REGEXMATCH(B329,""Notícia|Reportagem|Artigo de opinião|Verbete"")
),""Difusão"","""")))
"),"")</f>
        <v/>
      </c>
      <c r="D329" s="19" t="str">
        <f>IFERROR(__xludf.DUMMYFUNCTION("IF(B329="""","""",IF(OR(
  REGEXMATCH(B329,""Performance|Instalação|Álbum|Música|Poema|Livro|Filme|Documentário|Recitação|Espetáculo|Peça|Intervenção|Desfile|Fotografia|Exposição|Charge|Grafite|Leitura pública|Fabricação de cachaça artesanal""),
  REGEXMA"&amp;"TCH(B329,""dança|teatral|artístico|musical|artística"")
),""Manifestação artístico-cultural"",
IF(OR(
  REGEXMATCH(B329,""Crônica|Série|Reportagem|Podcast|Audiotour|Entrevista|Vídeo|Rádio|Notícia|Artigo de opinião|Coletiva de imprensa""),
  REGEXMATCH(B32"&amp;"9,""midiática"")
),""Produção midiática"","""")))
"),"")</f>
        <v/>
      </c>
      <c r="E329" s="20" t="str">
        <f>IFERROR(__xludf.DUMMYFUNCTION("IF(B329="""","""",IF(OR(
  REGEXMATCH(B329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REGEXMATCH(B329,""público|Imediato|artística|teatral|memória|Ação popular"")
),""Público Imediato"",
IF(REGEXMATCH(B329,""Música|Álbum|Filme|Documentár"&amp;"io|Série|Podcast|Rádio|Audiotour|Entrevista|Reportagem|Crônica|Relatório|Abaixo-assinado|Manifesto|Petição|Poema|Livro|Fotografia|Curta|Live|Webinário|Charge|Leitura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29" s="20" t="str">
        <f>IFERROR(__xludf.DUMMYFUNCTION("IF(B329="""","""",IF(OR(
  REGEXMATCH(B329,""Live|Webinário|Virtual|Verbete""),
  REGEXMATCH(B329,""online"")
),""Virtual"",
IF(REGEXMATCH(B329,""Música|Álbum|Filme|Documentário|Série|Podcast|Rádio|Audiotour|Episódio|Reportagem|Curta|Charge|Vídeo|Entrevis"&amp;"ta|Notícia|Artigo de opinião""),
""Midiático"",
IF(REGEXMATCH(B329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29" s="21" t="str">
        <f>IFERROR(__xludf.DUMMYFUNCTION("IF(C329=""rememoração"", ""Insira a data manualmente"", IF(C329=""difusão"", 
 IF(NOT(ISERROR(REGEXEXTRACT(T329, ""(\d{1,2}) jan\. 2025""))), 
  TEXT(DATE(2025,1,REGEXEXTRACT(T329, ""(\d{1,2}) jan\. 2025"")), ""dd/mm/yyyy""),
 IF(NOT(ISERROR(REGEXEXTRACT("&amp;"T329, ""(\d{1,2}) fev\. 2025""))), 
  TEXT(DATE(2025,2,REGEXEXTRACT(T329, ""(\d{1,2}) fev\. 2025"")), ""dd/mm/yyyy""),
 IF(NOT(ISERROR(REGEXEXTRACT(T329, ""(\d{1,2}) mar\. 2025""))), 
  TEXT(DATE(2025,3,REGEXEXTRACT(T329, ""(\d{1,2}) mar\. 2025"")), ""dd/"&amp;"mm/yyyy""),
 IF(NOT(ISERROR(REGEXEXTRACT(T329, ""(\d{1,2}) abr\. 2025""))), 
  TEXT(DATE(2025,4,REGEXEXTRACT(T329, ""(\d{1,2}) abr\. 2025"")), ""dd/mm/yyyy""),
 IF(NOT(ISERROR(REGEXEXTRACT(T329, ""(\d{1,2}) (mai|maio)\. 2025""))), 
  TEXT(DATE(2025,5,REGE"&amp;"XEXTRACT(T329, ""(\d{1,2}) (mai|maio)\. 2025"")), ""dd/mm/yyyy""),
 IF(NOT(ISERROR(REGEXEXTRACT(T329, ""(\d{1,2}) jun\. 2025""))), 
  TEXT(DATE(2025,6,REGEXEXTRACT(T329, ""(\d{1,2}) jun\. 2025"")), ""dd/mm/yyyy""),
 IF(NOT(ISERROR(REGEXEXTRACT(T329, ""(\d"&amp;"{1,2}) jul\. 2025""))), 
  TEXT(DATE(2025,7,REGEXEXTRACT(T329, ""(\d{1,2}) jul\. 2025"")), ""dd/mm/yyyy""),
 IF(NOT(ISERROR(REGEXEXTRACT(T329, ""(\d{1,2}) ago\. 2025""))), 
  TEXT(DATE(2025,8,REGEXEXTRACT(T329, ""(\d{1,2}) ago\. 2025"")), ""dd/mm/yyyy""),"&amp;"
 IF(NOT(ISERROR(REGEXEXTRACT(T329, ""(\d{1,2}) set\. 2025""))), 
  TEXT(DATE(2025,9,REGEXEXTRACT(T329, ""(\d{1,2}) set\. 2025"")), ""dd/mm/yyyy""),
 IF(NOT(ISERROR(REGEXEXTRACT(T329, ""(\d{1,2}) out\. 2025""))), 
  TEXT(DATE(2025,10,REGEXEXTRACT(T329, """&amp;"(\d{1,2}) out\. 2025"")), ""dd/mm/yyyy""),
 IF(NOT(ISERROR(REGEXEXTRACT(T329, ""(\d{1,2}) nov\. 2025""))), 
  TEXT(DATE(2025,11,REGEXEXTRACT(T329, ""(\d{1,2}) nov\. 2025"")), ""dd/mm/yyyy""),
 IF(NOT(ISERROR(REGEXEXTRACT(T329, ""(\d{1,2}) dez\. 2025""))),"&amp;" 
  TEXT(DATE(2025,12,REGEXEXTRACT(T329, ""(\d{1,2}) dez\. 2025"")), ""dd/mm/yyyy""),
 ""Insira a data manualmente"")))))))))))), """"))"),"")</f>
        <v/>
      </c>
      <c r="H329" s="22">
        <f t="shared" si="1"/>
        <v>0</v>
      </c>
      <c r="I329" s="18" t="str">
        <f>IFERROR(__xludf.DUMMYFUNCTION("IF(REGEXMATCH(T329,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IF(REGEXMATCH(T329, ""(?i)\bBrasília\b""), ""Distrito Federal, Brasil"",
REGEXEXTRACT(T329,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29" s="30"/>
      <c r="K329" s="24"/>
      <c r="L329" s="24"/>
      <c r="M329" s="25"/>
      <c r="N329" s="18" t="str">
        <f t="shared" si="8"/>
        <v/>
      </c>
      <c r="O329" s="17" t="s">
        <v>28</v>
      </c>
      <c r="P329" s="17" t="s">
        <v>251</v>
      </c>
      <c r="Q329" s="26">
        <v>45973.0</v>
      </c>
      <c r="R329" s="17"/>
      <c r="S329" s="36" t="str">
        <f t="shared" si="3"/>
        <v>#VALUE!</v>
      </c>
      <c r="T329" s="29"/>
      <c r="U329" s="29"/>
    </row>
    <row r="330">
      <c r="A330" s="16">
        <v>328.0</v>
      </c>
      <c r="B330" s="17"/>
      <c r="C330" s="18" t="str">
        <f>IFERROR(__xludf.DUMMYFUNCTION("IF(B330="""","""",IF(OR(
  REGEXMATCH(B330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REGEXMATCH(B330,""Notícia|Reportagem|Artigo de opinião|Verbete"")
),""Difusão"","""")))
"),"")</f>
        <v/>
      </c>
      <c r="D330" s="19" t="str">
        <f>IFERROR(__xludf.DUMMYFUNCTION("IF(B330="""","""",IF(OR(
  REGEXMATCH(B330,""Performance|Instalação|Álbum|Música|Poema|Livro|Filme|Documentário|Recitação|Espetáculo|Peça|Intervenção|Desfile|Fotografia|Exposição|Charge|Grafite|Leitura pública|Fabricação de cachaça artesanal""),
  REGEXMA"&amp;"TCH(B330,""dança|teatral|artístico|musical|artística"")
),""Manifestação artístico-cultural"",
IF(OR(
  REGEXMATCH(B330,""Crônica|Série|Reportagem|Podcast|Audiotour|Entrevista|Vídeo|Rádio|Notícia|Artigo de opinião|Coletiva de imprensa""),
  REGEXMATCH(B33"&amp;"0,""midiática"")
),""Produção midiática"","""")))
"),"")</f>
        <v/>
      </c>
      <c r="E330" s="20" t="str">
        <f>IFERROR(__xludf.DUMMYFUNCTION("IF(B330="""","""",IF(OR(
  REGEXMATCH(B330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REGEXMATCH(B330,""público|Imediato|artística|teatral|memória|Ação popular"")
),""Público Imediato"",
IF(REGEXMATCH(B330,""Música|Álbum|Filme|Documentár"&amp;"io|Série|Podcast|Rádio|Audiotour|Entrevista|Reportagem|Crônica|Relatório|Abaixo-assinado|Manifesto|Petição|Poema|Livro|Fotografia|Curta|Live|Webinário|Charge|Leitura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30" s="20" t="str">
        <f>IFERROR(__xludf.DUMMYFUNCTION("IF(B330="""","""",IF(OR(
  REGEXMATCH(B330,""Live|Webinário|Virtual|Verbete""),
  REGEXMATCH(B330,""online"")
),""Virtual"",
IF(REGEXMATCH(B330,""Música|Álbum|Filme|Documentário|Série|Podcast|Rádio|Audiotour|Episódio|Reportagem|Curta|Charge|Vídeo|Entrevis"&amp;"ta|Notícia|Artigo de opinião""),
""Midiático"",
IF(REGEXMATCH(B330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30" s="21" t="str">
        <f>IFERROR(__xludf.DUMMYFUNCTION("IF(C330=""rememoração"", ""Insira a data manualmente"", IF(C330=""difusão"", 
 IF(NOT(ISERROR(REGEXEXTRACT(T330, ""(\d{1,2}) jan\. 2025""))), 
  TEXT(DATE(2025,1,REGEXEXTRACT(T330, ""(\d{1,2}) jan\. 2025"")), ""dd/mm/yyyy""),
 IF(NOT(ISERROR(REGEXEXTRACT("&amp;"T330, ""(\d{1,2}) fev\. 2025""))), 
  TEXT(DATE(2025,2,REGEXEXTRACT(T330, ""(\d{1,2}) fev\. 2025"")), ""dd/mm/yyyy""),
 IF(NOT(ISERROR(REGEXEXTRACT(T330, ""(\d{1,2}) mar\. 2025""))), 
  TEXT(DATE(2025,3,REGEXEXTRACT(T330, ""(\d{1,2}) mar\. 2025"")), ""dd/"&amp;"mm/yyyy""),
 IF(NOT(ISERROR(REGEXEXTRACT(T330, ""(\d{1,2}) abr\. 2025""))), 
  TEXT(DATE(2025,4,REGEXEXTRACT(T330, ""(\d{1,2}) abr\. 2025"")), ""dd/mm/yyyy""),
 IF(NOT(ISERROR(REGEXEXTRACT(T330, ""(\d{1,2}) (mai|maio)\. 2025""))), 
  TEXT(DATE(2025,5,REGE"&amp;"XEXTRACT(T330, ""(\d{1,2}) (mai|maio)\. 2025"")), ""dd/mm/yyyy""),
 IF(NOT(ISERROR(REGEXEXTRACT(T330, ""(\d{1,2}) jun\. 2025""))), 
  TEXT(DATE(2025,6,REGEXEXTRACT(T330, ""(\d{1,2}) jun\. 2025"")), ""dd/mm/yyyy""),
 IF(NOT(ISERROR(REGEXEXTRACT(T330, ""(\d"&amp;"{1,2}) jul\. 2025""))), 
  TEXT(DATE(2025,7,REGEXEXTRACT(T330, ""(\d{1,2}) jul\. 2025"")), ""dd/mm/yyyy""),
 IF(NOT(ISERROR(REGEXEXTRACT(T330, ""(\d{1,2}) ago\. 2025""))), 
  TEXT(DATE(2025,8,REGEXEXTRACT(T330, ""(\d{1,2}) ago\. 2025"")), ""dd/mm/yyyy""),"&amp;"
 IF(NOT(ISERROR(REGEXEXTRACT(T330, ""(\d{1,2}) set\. 2025""))), 
  TEXT(DATE(2025,9,REGEXEXTRACT(T330, ""(\d{1,2}) set\. 2025"")), ""dd/mm/yyyy""),
 IF(NOT(ISERROR(REGEXEXTRACT(T330, ""(\d{1,2}) out\. 2025""))), 
  TEXT(DATE(2025,10,REGEXEXTRACT(T330, """&amp;"(\d{1,2}) out\. 2025"")), ""dd/mm/yyyy""),
 IF(NOT(ISERROR(REGEXEXTRACT(T330, ""(\d{1,2}) nov\. 2025""))), 
  TEXT(DATE(2025,11,REGEXEXTRACT(T330, ""(\d{1,2}) nov\. 2025"")), ""dd/mm/yyyy""),
 IF(NOT(ISERROR(REGEXEXTRACT(T330, ""(\d{1,2}) dez\. 2025""))),"&amp;" 
  TEXT(DATE(2025,12,REGEXEXTRACT(T330, ""(\d{1,2}) dez\. 2025"")), ""dd/mm/yyyy""),
 ""Insira a data manualmente"")))))))))))), """"))"),"")</f>
        <v/>
      </c>
      <c r="H330" s="22">
        <f t="shared" si="1"/>
        <v>0</v>
      </c>
      <c r="I330" s="18" t="str">
        <f>IFERROR(__xludf.DUMMYFUNCTION("IF(REGEXMATCH(T330,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IF(REGEXMATCH(T330, ""(?i)\bBrasília\b""), ""Distrito Federal, Brasil"",
REGEXEXTRACT(T330,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30" s="30"/>
      <c r="K330" s="24"/>
      <c r="L330" s="24"/>
      <c r="M330" s="25"/>
      <c r="N330" s="18" t="str">
        <f t="shared" si="8"/>
        <v/>
      </c>
      <c r="O330" s="17" t="s">
        <v>28</v>
      </c>
      <c r="P330" s="17" t="s">
        <v>251</v>
      </c>
      <c r="Q330" s="26">
        <v>45973.0</v>
      </c>
      <c r="R330" s="17"/>
      <c r="S330" s="36" t="str">
        <f t="shared" si="3"/>
        <v>#VALUE!</v>
      </c>
      <c r="T330" s="29"/>
      <c r="U330" s="29"/>
    </row>
    <row r="331">
      <c r="A331" s="16">
        <v>329.0</v>
      </c>
      <c r="B331" s="17"/>
      <c r="C331" s="18" t="str">
        <f>IFERROR(__xludf.DUMMYFUNCTION("IF(B331="""","""",IF(OR(
  REGEXMATCH(B331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REGEXMATCH(B331,""Notícia|Reportagem|Artigo de opinião|Verbete"")
),""Difusão"","""")))
"),"")</f>
        <v/>
      </c>
      <c r="D331" s="19" t="str">
        <f>IFERROR(__xludf.DUMMYFUNCTION("IF(B331="""","""",IF(OR(
  REGEXMATCH(B331,""Performance|Instalação|Álbum|Música|Poema|Livro|Filme|Documentário|Recitação|Espetáculo|Peça|Intervenção|Desfile|Fotografia|Exposição|Charge|Grafite|Leitura pública|Fabricação de cachaça artesanal""),
  REGEXMA"&amp;"TCH(B331,""dança|teatral|artístico|musical|artística"")
),""Manifestação artístico-cultural"",
IF(OR(
  REGEXMATCH(B331,""Crônica|Série|Reportagem|Podcast|Audiotour|Entrevista|Vídeo|Rádio|Notícia|Artigo de opinião|Coletiva de imprensa""),
  REGEXMATCH(B33"&amp;"1,""midiática"")
),""Produção midiática"","""")))
"),"")</f>
        <v/>
      </c>
      <c r="E331" s="20" t="str">
        <f>IFERROR(__xludf.DUMMYFUNCTION("IF(B331="""","""",IF(OR(
  REGEXMATCH(B331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REGEXMATCH(B331,""público|Imediato|artística|teatral|memória|Ação popular"")
),""Público Imediato"",
IF(REGEXMATCH(B331,""Música|Álbum|Filme|Documentár"&amp;"io|Série|Podcast|Rádio|Audiotour|Entrevista|Reportagem|Crônica|Relatório|Abaixo-assinado|Manifesto|Petição|Poema|Livro|Fotografia|Curta|Live|Webinário|Charge|Leitura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31" s="20" t="str">
        <f>IFERROR(__xludf.DUMMYFUNCTION("IF(B331="""","""",IF(OR(
  REGEXMATCH(B331,""Live|Webinário|Virtual|Verbete""),
  REGEXMATCH(B331,""online"")
),""Virtual"",
IF(REGEXMATCH(B331,""Música|Álbum|Filme|Documentário|Série|Podcast|Rádio|Audiotour|Episódio|Reportagem|Curta|Charge|Vídeo|Entrevis"&amp;"ta|Notícia|Artigo de opinião""),
""Midiático"",
IF(REGEXMATCH(B331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31" s="21" t="str">
        <f>IFERROR(__xludf.DUMMYFUNCTION("IF(C331=""rememoração"", ""Insira a data manualmente"", IF(C331=""difusão"", 
 IF(NOT(ISERROR(REGEXEXTRACT(T331, ""(\d{1,2}) jan\. 2025""))), 
  TEXT(DATE(2025,1,REGEXEXTRACT(T331, ""(\d{1,2}) jan\. 2025"")), ""dd/mm/yyyy""),
 IF(NOT(ISERROR(REGEXEXTRACT("&amp;"T331, ""(\d{1,2}) fev\. 2025""))), 
  TEXT(DATE(2025,2,REGEXEXTRACT(T331, ""(\d{1,2}) fev\. 2025"")), ""dd/mm/yyyy""),
 IF(NOT(ISERROR(REGEXEXTRACT(T331, ""(\d{1,2}) mar\. 2025""))), 
  TEXT(DATE(2025,3,REGEXEXTRACT(T331, ""(\d{1,2}) mar\. 2025"")), ""dd/"&amp;"mm/yyyy""),
 IF(NOT(ISERROR(REGEXEXTRACT(T331, ""(\d{1,2}) abr\. 2025""))), 
  TEXT(DATE(2025,4,REGEXEXTRACT(T331, ""(\d{1,2}) abr\. 2025"")), ""dd/mm/yyyy""),
 IF(NOT(ISERROR(REGEXEXTRACT(T331, ""(\d{1,2}) (mai|maio)\. 2025""))), 
  TEXT(DATE(2025,5,REGE"&amp;"XEXTRACT(T331, ""(\d{1,2}) (mai|maio)\. 2025"")), ""dd/mm/yyyy""),
 IF(NOT(ISERROR(REGEXEXTRACT(T331, ""(\d{1,2}) jun\. 2025""))), 
  TEXT(DATE(2025,6,REGEXEXTRACT(T331, ""(\d{1,2}) jun\. 2025"")), ""dd/mm/yyyy""),
 IF(NOT(ISERROR(REGEXEXTRACT(T331, ""(\d"&amp;"{1,2}) jul\. 2025""))), 
  TEXT(DATE(2025,7,REGEXEXTRACT(T331, ""(\d{1,2}) jul\. 2025"")), ""dd/mm/yyyy""),
 IF(NOT(ISERROR(REGEXEXTRACT(T331, ""(\d{1,2}) ago\. 2025""))), 
  TEXT(DATE(2025,8,REGEXEXTRACT(T331, ""(\d{1,2}) ago\. 2025"")), ""dd/mm/yyyy""),"&amp;"
 IF(NOT(ISERROR(REGEXEXTRACT(T331, ""(\d{1,2}) set\. 2025""))), 
  TEXT(DATE(2025,9,REGEXEXTRACT(T331, ""(\d{1,2}) set\. 2025"")), ""dd/mm/yyyy""),
 IF(NOT(ISERROR(REGEXEXTRACT(T331, ""(\d{1,2}) out\. 2025""))), 
  TEXT(DATE(2025,10,REGEXEXTRACT(T331, """&amp;"(\d{1,2}) out\. 2025"")), ""dd/mm/yyyy""),
 IF(NOT(ISERROR(REGEXEXTRACT(T331, ""(\d{1,2}) nov\. 2025""))), 
  TEXT(DATE(2025,11,REGEXEXTRACT(T331, ""(\d{1,2}) nov\. 2025"")), ""dd/mm/yyyy""),
 IF(NOT(ISERROR(REGEXEXTRACT(T331, ""(\d{1,2}) dez\. 2025""))),"&amp;" 
  TEXT(DATE(2025,12,REGEXEXTRACT(T331, ""(\d{1,2}) dez\. 2025"")), ""dd/mm/yyyy""),
 ""Insira a data manualmente"")))))))))))), """"))"),"")</f>
        <v/>
      </c>
      <c r="H331" s="22">
        <f t="shared" si="1"/>
        <v>0</v>
      </c>
      <c r="I331" s="18" t="str">
        <f>IFERROR(__xludf.DUMMYFUNCTION("IF(REGEXMATCH(T331,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IF(REGEXMATCH(T331, ""(?i)\bBrasília\b""), ""Distrito Federal, Brasil"",
REGEXEXTRACT(T331,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31" s="30"/>
      <c r="K331" s="24"/>
      <c r="L331" s="24"/>
      <c r="M331" s="25"/>
      <c r="N331" s="18" t="str">
        <f t="shared" si="8"/>
        <v/>
      </c>
      <c r="O331" s="17" t="s">
        <v>28</v>
      </c>
      <c r="P331" s="17" t="s">
        <v>251</v>
      </c>
      <c r="Q331" s="26">
        <v>45973.0</v>
      </c>
      <c r="R331" s="17"/>
      <c r="S331" s="36" t="str">
        <f t="shared" si="3"/>
        <v>#VALUE!</v>
      </c>
      <c r="T331" s="29"/>
      <c r="U331" s="29"/>
    </row>
    <row r="332">
      <c r="A332" s="16">
        <v>330.0</v>
      </c>
      <c r="B332" s="17"/>
      <c r="C332" s="18" t="str">
        <f>IFERROR(__xludf.DUMMYFUNCTION("IF(B332="""","""",IF(OR(
  REGEXMATCH(B332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REGEXMATCH(B332,""Notícia|Reportagem|Artigo de opinião|Verbete"")
),""Difusão"","""")))
"),"")</f>
        <v/>
      </c>
      <c r="D332" s="19" t="str">
        <f>IFERROR(__xludf.DUMMYFUNCTION("IF(B332="""","""",IF(OR(
  REGEXMATCH(B332,""Performance|Instalação|Álbum|Música|Poema|Livro|Filme|Documentário|Recitação|Espetáculo|Peça|Intervenção|Desfile|Fotografia|Exposição|Charge|Grafite|Leitura pública|Fabricação de cachaça artesanal""),
  REGEXMA"&amp;"TCH(B332,""dança|teatral|artístico|musical|artística"")
),""Manifestação artístico-cultural"",
IF(OR(
  REGEXMATCH(B332,""Crônica|Série|Reportagem|Podcast|Audiotour|Entrevista|Vídeo|Rádio|Notícia|Artigo de opinião|Coletiva de imprensa""),
  REGEXMATCH(B33"&amp;"2,""midiática"")
),""Produção midiática"","""")))
"),"")</f>
        <v/>
      </c>
      <c r="E332" s="20" t="str">
        <f>IFERROR(__xludf.DUMMYFUNCTION("IF(B332="""","""",IF(OR(
  REGEXMATCH(B332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REGEXMATCH(B332,""público|Imediato|artística|teatral|memória|Ação popular"")
),""Público Imediato"",
IF(REGEXMATCH(B332,""Música|Álbum|Filme|Documentár"&amp;"io|Série|Podcast|Rádio|Audiotour|Entrevista|Reportagem|Crônica|Relatório|Abaixo-assinado|Manifesto|Petição|Poema|Livro|Fotografia|Curta|Live|Webinário|Charge|Leitura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32" s="20" t="str">
        <f>IFERROR(__xludf.DUMMYFUNCTION("IF(B332="""","""",IF(OR(
  REGEXMATCH(B332,""Live|Webinário|Virtual|Verbete""),
  REGEXMATCH(B332,""online"")
),""Virtual"",
IF(REGEXMATCH(B332,""Música|Álbum|Filme|Documentário|Série|Podcast|Rádio|Audiotour|Episódio|Reportagem|Curta|Charge|Vídeo|Entrevis"&amp;"ta|Notícia|Artigo de opinião""),
""Midiático"",
IF(REGEXMATCH(B332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32" s="21" t="str">
        <f>IFERROR(__xludf.DUMMYFUNCTION("IF(C332=""rememoração"", ""Insira a data manualmente"", IF(C332=""difusão"", 
 IF(NOT(ISERROR(REGEXEXTRACT(T332, ""(\d{1,2}) jan\. 2025""))), 
  TEXT(DATE(2025,1,REGEXEXTRACT(T332, ""(\d{1,2}) jan\. 2025"")), ""dd/mm/yyyy""),
 IF(NOT(ISERROR(REGEXEXTRACT("&amp;"T332, ""(\d{1,2}) fev\. 2025""))), 
  TEXT(DATE(2025,2,REGEXEXTRACT(T332, ""(\d{1,2}) fev\. 2025"")), ""dd/mm/yyyy""),
 IF(NOT(ISERROR(REGEXEXTRACT(T332, ""(\d{1,2}) mar\. 2025""))), 
  TEXT(DATE(2025,3,REGEXEXTRACT(T332, ""(\d{1,2}) mar\. 2025"")), ""dd/"&amp;"mm/yyyy""),
 IF(NOT(ISERROR(REGEXEXTRACT(T332, ""(\d{1,2}) abr\. 2025""))), 
  TEXT(DATE(2025,4,REGEXEXTRACT(T332, ""(\d{1,2}) abr\. 2025"")), ""dd/mm/yyyy""),
 IF(NOT(ISERROR(REGEXEXTRACT(T332, ""(\d{1,2}) (mai|maio)\. 2025""))), 
  TEXT(DATE(2025,5,REGE"&amp;"XEXTRACT(T332, ""(\d{1,2}) (mai|maio)\. 2025"")), ""dd/mm/yyyy""),
 IF(NOT(ISERROR(REGEXEXTRACT(T332, ""(\d{1,2}) jun\. 2025""))), 
  TEXT(DATE(2025,6,REGEXEXTRACT(T332, ""(\d{1,2}) jun\. 2025"")), ""dd/mm/yyyy""),
 IF(NOT(ISERROR(REGEXEXTRACT(T332, ""(\d"&amp;"{1,2}) jul\. 2025""))), 
  TEXT(DATE(2025,7,REGEXEXTRACT(T332, ""(\d{1,2}) jul\. 2025"")), ""dd/mm/yyyy""),
 IF(NOT(ISERROR(REGEXEXTRACT(T332, ""(\d{1,2}) ago\. 2025""))), 
  TEXT(DATE(2025,8,REGEXEXTRACT(T332, ""(\d{1,2}) ago\. 2025"")), ""dd/mm/yyyy""),"&amp;"
 IF(NOT(ISERROR(REGEXEXTRACT(T332, ""(\d{1,2}) set\. 2025""))), 
  TEXT(DATE(2025,9,REGEXEXTRACT(T332, ""(\d{1,2}) set\. 2025"")), ""dd/mm/yyyy""),
 IF(NOT(ISERROR(REGEXEXTRACT(T332, ""(\d{1,2}) out\. 2025""))), 
  TEXT(DATE(2025,10,REGEXEXTRACT(T332, """&amp;"(\d{1,2}) out\. 2025"")), ""dd/mm/yyyy""),
 IF(NOT(ISERROR(REGEXEXTRACT(T332, ""(\d{1,2}) nov\. 2025""))), 
  TEXT(DATE(2025,11,REGEXEXTRACT(T332, ""(\d{1,2}) nov\. 2025"")), ""dd/mm/yyyy""),
 IF(NOT(ISERROR(REGEXEXTRACT(T332, ""(\d{1,2}) dez\. 2025""))),"&amp;" 
  TEXT(DATE(2025,12,REGEXEXTRACT(T332, ""(\d{1,2}) dez\. 2025"")), ""dd/mm/yyyy""),
 ""Insira a data manualmente"")))))))))))), """"))"),"")</f>
        <v/>
      </c>
      <c r="H332" s="22">
        <f t="shared" si="1"/>
        <v>0</v>
      </c>
      <c r="I332" s="18" t="str">
        <f>IFERROR(__xludf.DUMMYFUNCTION("IF(REGEXMATCH(T332,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IF(REGEXMATCH(T332, ""(?i)\bBrasília\b""), ""Distrito Federal, Brasil"",
REGEXEXTRACT(T332,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32" s="30"/>
      <c r="K332" s="24"/>
      <c r="L332" s="24"/>
      <c r="M332" s="25"/>
      <c r="N332" s="18" t="str">
        <f t="shared" si="8"/>
        <v/>
      </c>
      <c r="O332" s="17" t="s">
        <v>28</v>
      </c>
      <c r="P332" s="17" t="s">
        <v>251</v>
      </c>
      <c r="Q332" s="26">
        <v>45973.0</v>
      </c>
      <c r="R332" s="17"/>
      <c r="S332" s="36" t="str">
        <f t="shared" si="3"/>
        <v>#VALUE!</v>
      </c>
      <c r="T332" s="29"/>
      <c r="U332" s="29"/>
    </row>
    <row r="333">
      <c r="A333" s="16">
        <v>331.0</v>
      </c>
      <c r="B333" s="17"/>
      <c r="C333" s="18" t="str">
        <f>IFERROR(__xludf.DUMMYFUNCTION("IF(B333="""","""",IF(OR(
  REGEXMATCH(B333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REGEXMATCH(B333,""Notícia|Reportagem|Artigo de opinião|Verbete"")
),""Difusão"","""")))
"),"")</f>
        <v/>
      </c>
      <c r="D333" s="19" t="str">
        <f>IFERROR(__xludf.DUMMYFUNCTION("IF(B333="""","""",IF(OR(
  REGEXMATCH(B333,""Performance|Instalação|Álbum|Música|Poema|Livro|Filme|Documentário|Recitação|Espetáculo|Peça|Intervenção|Desfile|Fotografia|Exposição|Charge|Grafite|Leitura pública|Fabricação de cachaça artesanal""),
  REGEXMA"&amp;"TCH(B333,""dança|teatral|artístico|musical|artística"")
),""Manifestação artístico-cultural"",
IF(OR(
  REGEXMATCH(B333,""Crônica|Série|Reportagem|Podcast|Audiotour|Entrevista|Vídeo|Rádio|Notícia|Artigo de opinião|Coletiva de imprensa""),
  REGEXMATCH(B33"&amp;"3,""midiática"")
),""Produção midiática"","""")))
"),"")</f>
        <v/>
      </c>
      <c r="E333" s="20" t="str">
        <f>IFERROR(__xludf.DUMMYFUNCTION("IF(B333="""","""",IF(OR(
  REGEXMATCH(B333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REGEXMATCH(B333,""público|Imediato|artística|teatral|memória|Ação popular"")
),""Público Imediato"",
IF(REGEXMATCH(B333,""Música|Álbum|Filme|Documentár"&amp;"io|Série|Podcast|Rádio|Audiotour|Entrevista|Reportagem|Crônica|Relatório|Abaixo-assinado|Manifesto|Petição|Poema|Livro|Fotografia|Curta|Live|Webinário|Charge|Leitura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33" s="20" t="str">
        <f>IFERROR(__xludf.DUMMYFUNCTION("IF(B333="""","""",IF(OR(
  REGEXMATCH(B333,""Live|Webinário|Virtual|Verbete""),
  REGEXMATCH(B333,""online"")
),""Virtual"",
IF(REGEXMATCH(B333,""Música|Álbum|Filme|Documentário|Série|Podcast|Rádio|Audiotour|Episódio|Reportagem|Curta|Charge|Vídeo|Entrevis"&amp;"ta|Notícia|Artigo de opinião""),
""Midiático"",
IF(REGEXMATCH(B333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33" s="21" t="str">
        <f>IFERROR(__xludf.DUMMYFUNCTION("IF(C333=""rememoração"", ""Insira a data manualmente"", IF(C333=""difusão"", 
 IF(NOT(ISERROR(REGEXEXTRACT(T333, ""(\d{1,2}) jan\. 2025""))), 
  TEXT(DATE(2025,1,REGEXEXTRACT(T333, ""(\d{1,2}) jan\. 2025"")), ""dd/mm/yyyy""),
 IF(NOT(ISERROR(REGEXEXTRACT("&amp;"T333, ""(\d{1,2}) fev\. 2025""))), 
  TEXT(DATE(2025,2,REGEXEXTRACT(T333, ""(\d{1,2}) fev\. 2025"")), ""dd/mm/yyyy""),
 IF(NOT(ISERROR(REGEXEXTRACT(T333, ""(\d{1,2}) mar\. 2025""))), 
  TEXT(DATE(2025,3,REGEXEXTRACT(T333, ""(\d{1,2}) mar\. 2025"")), ""dd/"&amp;"mm/yyyy""),
 IF(NOT(ISERROR(REGEXEXTRACT(T333, ""(\d{1,2}) abr\. 2025""))), 
  TEXT(DATE(2025,4,REGEXEXTRACT(T333, ""(\d{1,2}) abr\. 2025"")), ""dd/mm/yyyy""),
 IF(NOT(ISERROR(REGEXEXTRACT(T333, ""(\d{1,2}) (mai|maio)\. 2025""))), 
  TEXT(DATE(2025,5,REGE"&amp;"XEXTRACT(T333, ""(\d{1,2}) (mai|maio)\. 2025"")), ""dd/mm/yyyy""),
 IF(NOT(ISERROR(REGEXEXTRACT(T333, ""(\d{1,2}) jun\. 2025""))), 
  TEXT(DATE(2025,6,REGEXEXTRACT(T333, ""(\d{1,2}) jun\. 2025"")), ""dd/mm/yyyy""),
 IF(NOT(ISERROR(REGEXEXTRACT(T333, ""(\d"&amp;"{1,2}) jul\. 2025""))), 
  TEXT(DATE(2025,7,REGEXEXTRACT(T333, ""(\d{1,2}) jul\. 2025"")), ""dd/mm/yyyy""),
 IF(NOT(ISERROR(REGEXEXTRACT(T333, ""(\d{1,2}) ago\. 2025""))), 
  TEXT(DATE(2025,8,REGEXEXTRACT(T333, ""(\d{1,2}) ago\. 2025"")), ""dd/mm/yyyy""),"&amp;"
 IF(NOT(ISERROR(REGEXEXTRACT(T333, ""(\d{1,2}) set\. 2025""))), 
  TEXT(DATE(2025,9,REGEXEXTRACT(T333, ""(\d{1,2}) set\. 2025"")), ""dd/mm/yyyy""),
 IF(NOT(ISERROR(REGEXEXTRACT(T333, ""(\d{1,2}) out\. 2025""))), 
  TEXT(DATE(2025,10,REGEXEXTRACT(T333, """&amp;"(\d{1,2}) out\. 2025"")), ""dd/mm/yyyy""),
 IF(NOT(ISERROR(REGEXEXTRACT(T333, ""(\d{1,2}) nov\. 2025""))), 
  TEXT(DATE(2025,11,REGEXEXTRACT(T333, ""(\d{1,2}) nov\. 2025"")), ""dd/mm/yyyy""),
 IF(NOT(ISERROR(REGEXEXTRACT(T333, ""(\d{1,2}) dez\. 2025""))),"&amp;" 
  TEXT(DATE(2025,12,REGEXEXTRACT(T333, ""(\d{1,2}) dez\. 2025"")), ""dd/mm/yyyy""),
 ""Insira a data manualmente"")))))))))))), """"))"),"")</f>
        <v/>
      </c>
      <c r="H333" s="22">
        <f t="shared" si="1"/>
        <v>0</v>
      </c>
      <c r="I333" s="18" t="str">
        <f>IFERROR(__xludf.DUMMYFUNCTION("IF(REGEXMATCH(T333,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IF(REGEXMATCH(T333, ""(?i)\bBrasília\b""), ""Distrito Federal, Brasil"",
REGEXEXTRACT(T333,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33" s="30"/>
      <c r="K333" s="24"/>
      <c r="L333" s="24"/>
      <c r="M333" s="25"/>
      <c r="N333" s="18" t="str">
        <f t="shared" si="8"/>
        <v/>
      </c>
      <c r="O333" s="17" t="s">
        <v>28</v>
      </c>
      <c r="P333" s="17" t="s">
        <v>251</v>
      </c>
      <c r="Q333" s="26">
        <v>45973.0</v>
      </c>
      <c r="R333" s="17"/>
      <c r="S333" s="36" t="str">
        <f t="shared" si="3"/>
        <v>#VALUE!</v>
      </c>
      <c r="T333" s="29"/>
      <c r="U333" s="29"/>
    </row>
    <row r="334">
      <c r="A334" s="16">
        <v>332.0</v>
      </c>
      <c r="B334" s="17"/>
      <c r="C334" s="18" t="str">
        <f>IFERROR(__xludf.DUMMYFUNCTION("IF(B334="""","""",IF(OR(
  REGEXMATCH(B334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REGEXMATCH(B334,""Notícia|Reportagem|Artigo de opinião|Verbete"")
),""Difusão"","""")))
"),"")</f>
        <v/>
      </c>
      <c r="D334" s="19" t="str">
        <f>IFERROR(__xludf.DUMMYFUNCTION("IF(B334="""","""",IF(OR(
  REGEXMATCH(B334,""Performance|Instalação|Álbum|Música|Poema|Livro|Filme|Documentário|Recitação|Espetáculo|Peça|Intervenção|Desfile|Fotografia|Exposição|Charge|Grafite|Leitura pública|Fabricação de cachaça artesanal""),
  REGEXMA"&amp;"TCH(B334,""dança|teatral|artístico|musical|artística"")
),""Manifestação artístico-cultural"",
IF(OR(
  REGEXMATCH(B334,""Crônica|Série|Reportagem|Podcast|Audiotour|Entrevista|Vídeo|Rádio|Notícia|Artigo de opinião|Coletiva de imprensa""),
  REGEXMATCH(B33"&amp;"4,""midiática"")
),""Produção midiática"","""")))
"),"")</f>
        <v/>
      </c>
      <c r="E334" s="20" t="str">
        <f>IFERROR(__xludf.DUMMYFUNCTION("IF(B334="""","""",IF(OR(
  REGEXMATCH(B334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REGEXMATCH(B334,""público|Imediato|artística|teatral|memória|Ação popular"")
),""Público Imediato"",
IF(REGEXMATCH(B334,""Música|Álbum|Filme|Documentár"&amp;"io|Série|Podcast|Rádio|Audiotour|Entrevista|Reportagem|Crônica|Relatório|Abaixo-assinado|Manifesto|Petição|Poema|Livro|Fotografia|Curta|Live|Webinário|Charge|Leitura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34" s="20" t="str">
        <f>IFERROR(__xludf.DUMMYFUNCTION("IF(B334="""","""",IF(OR(
  REGEXMATCH(B334,""Live|Webinário|Virtual|Verbete""),
  REGEXMATCH(B334,""online"")
),""Virtual"",
IF(REGEXMATCH(B334,""Música|Álbum|Filme|Documentário|Série|Podcast|Rádio|Audiotour|Episódio|Reportagem|Curta|Charge|Vídeo|Entrevis"&amp;"ta|Notícia|Artigo de opinião""),
""Midiático"",
IF(REGEXMATCH(B334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34" s="21" t="str">
        <f>IFERROR(__xludf.DUMMYFUNCTION("IF(C334=""rememoração"", ""Insira a data manualmente"", IF(C334=""difusão"", 
 IF(NOT(ISERROR(REGEXEXTRACT(T334, ""(\d{1,2}) jan\. 2025""))), 
  TEXT(DATE(2025,1,REGEXEXTRACT(T334, ""(\d{1,2}) jan\. 2025"")), ""dd/mm/yyyy""),
 IF(NOT(ISERROR(REGEXEXTRACT("&amp;"T334, ""(\d{1,2}) fev\. 2025""))), 
  TEXT(DATE(2025,2,REGEXEXTRACT(T334, ""(\d{1,2}) fev\. 2025"")), ""dd/mm/yyyy""),
 IF(NOT(ISERROR(REGEXEXTRACT(T334, ""(\d{1,2}) mar\. 2025""))), 
  TEXT(DATE(2025,3,REGEXEXTRACT(T334, ""(\d{1,2}) mar\. 2025"")), ""dd/"&amp;"mm/yyyy""),
 IF(NOT(ISERROR(REGEXEXTRACT(T334, ""(\d{1,2}) abr\. 2025""))), 
  TEXT(DATE(2025,4,REGEXEXTRACT(T334, ""(\d{1,2}) abr\. 2025"")), ""dd/mm/yyyy""),
 IF(NOT(ISERROR(REGEXEXTRACT(T334, ""(\d{1,2}) (mai|maio)\. 2025""))), 
  TEXT(DATE(2025,5,REGE"&amp;"XEXTRACT(T334, ""(\d{1,2}) (mai|maio)\. 2025"")), ""dd/mm/yyyy""),
 IF(NOT(ISERROR(REGEXEXTRACT(T334, ""(\d{1,2}) jun\. 2025""))), 
  TEXT(DATE(2025,6,REGEXEXTRACT(T334, ""(\d{1,2}) jun\. 2025"")), ""dd/mm/yyyy""),
 IF(NOT(ISERROR(REGEXEXTRACT(T334, ""(\d"&amp;"{1,2}) jul\. 2025""))), 
  TEXT(DATE(2025,7,REGEXEXTRACT(T334, ""(\d{1,2}) jul\. 2025"")), ""dd/mm/yyyy""),
 IF(NOT(ISERROR(REGEXEXTRACT(T334, ""(\d{1,2}) ago\. 2025""))), 
  TEXT(DATE(2025,8,REGEXEXTRACT(T334, ""(\d{1,2}) ago\. 2025"")), ""dd/mm/yyyy""),"&amp;"
 IF(NOT(ISERROR(REGEXEXTRACT(T334, ""(\d{1,2}) set\. 2025""))), 
  TEXT(DATE(2025,9,REGEXEXTRACT(T334, ""(\d{1,2}) set\. 2025"")), ""dd/mm/yyyy""),
 IF(NOT(ISERROR(REGEXEXTRACT(T334, ""(\d{1,2}) out\. 2025""))), 
  TEXT(DATE(2025,10,REGEXEXTRACT(T334, """&amp;"(\d{1,2}) out\. 2025"")), ""dd/mm/yyyy""),
 IF(NOT(ISERROR(REGEXEXTRACT(T334, ""(\d{1,2}) nov\. 2025""))), 
  TEXT(DATE(2025,11,REGEXEXTRACT(T334, ""(\d{1,2}) nov\. 2025"")), ""dd/mm/yyyy""),
 IF(NOT(ISERROR(REGEXEXTRACT(T334, ""(\d{1,2}) dez\. 2025""))),"&amp;" 
  TEXT(DATE(2025,12,REGEXEXTRACT(T334, ""(\d{1,2}) dez\. 2025"")), ""dd/mm/yyyy""),
 ""Insira a data manualmente"")))))))))))), """"))"),"")</f>
        <v/>
      </c>
      <c r="H334" s="22">
        <f t="shared" si="1"/>
        <v>0</v>
      </c>
      <c r="I334" s="18" t="str">
        <f>IFERROR(__xludf.DUMMYFUNCTION("IF(REGEXMATCH(T334,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IF(REGEXMATCH(T334, ""(?i)\bBrasília\b""), ""Distrito Federal, Brasil"",
REGEXEXTRACT(T334,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34" s="30"/>
      <c r="K334" s="24"/>
      <c r="L334" s="24"/>
      <c r="M334" s="25"/>
      <c r="N334" s="18" t="str">
        <f t="shared" si="8"/>
        <v/>
      </c>
      <c r="O334" s="17" t="s">
        <v>28</v>
      </c>
      <c r="P334" s="17" t="s">
        <v>251</v>
      </c>
      <c r="Q334" s="26">
        <v>45973.0</v>
      </c>
      <c r="R334" s="17"/>
      <c r="S334" s="36" t="str">
        <f t="shared" si="3"/>
        <v>#VALUE!</v>
      </c>
      <c r="T334" s="29"/>
      <c r="U334" s="29"/>
    </row>
    <row r="335">
      <c r="A335" s="16">
        <v>333.0</v>
      </c>
      <c r="B335" s="17"/>
      <c r="C335" s="18" t="str">
        <f>IFERROR(__xludf.DUMMYFUNCTION("IF(B335="""","""",IF(OR(
  REGEXMATCH(B335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REGEXMATCH(B335,""Notícia|Reportagem|Artigo de opinião|Verbete"")
),""Difusão"","""")))
"),"")</f>
        <v/>
      </c>
      <c r="D335" s="19" t="str">
        <f>IFERROR(__xludf.DUMMYFUNCTION("IF(B335="""","""",IF(OR(
  REGEXMATCH(B335,""Performance|Instalação|Álbum|Música|Poema|Livro|Filme|Documentário|Recitação|Espetáculo|Peça|Intervenção|Desfile|Fotografia|Exposição|Charge|Grafite|Leitura pública|Fabricação de cachaça artesanal""),
  REGEXMA"&amp;"TCH(B335,""dança|teatral|artístico|musical|artística"")
),""Manifestação artístico-cultural"",
IF(OR(
  REGEXMATCH(B335,""Crônica|Série|Reportagem|Podcast|Audiotour|Entrevista|Vídeo|Rádio|Notícia|Artigo de opinião|Coletiva de imprensa""),
  REGEXMATCH(B33"&amp;"5,""midiática"")
),""Produção midiática"","""")))
"),"")</f>
        <v/>
      </c>
      <c r="E335" s="20" t="str">
        <f>IFERROR(__xludf.DUMMYFUNCTION("IF(B335="""","""",IF(OR(
  REGEXMATCH(B335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REGEXMATCH(B335,""público|Imediato|artística|teatral|memória|Ação popular"")
),""Público Imediato"",
IF(REGEXMATCH(B335,""Música|Álbum|Filme|Documentár"&amp;"io|Série|Podcast|Rádio|Audiotour|Entrevista|Reportagem|Crônica|Relatório|Abaixo-assinado|Manifesto|Petição|Poema|Livro|Fotografia|Curta|Live|Webinário|Charge|Leitura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35" s="20" t="str">
        <f>IFERROR(__xludf.DUMMYFUNCTION("IF(B335="""","""",IF(OR(
  REGEXMATCH(B335,""Live|Webinário|Virtual|Verbete""),
  REGEXMATCH(B335,""online"")
),""Virtual"",
IF(REGEXMATCH(B335,""Música|Álbum|Filme|Documentário|Série|Podcast|Rádio|Audiotour|Episódio|Reportagem|Curta|Charge|Vídeo|Entrevis"&amp;"ta|Notícia|Artigo de opinião""),
""Midiático"",
IF(REGEXMATCH(B335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35" s="21" t="str">
        <f>IFERROR(__xludf.DUMMYFUNCTION("IF(C335=""rememoração"", ""Insira a data manualmente"", IF(C335=""difusão"", 
 IF(NOT(ISERROR(REGEXEXTRACT(T335, ""(\d{1,2}) jan\. 2025""))), 
  TEXT(DATE(2025,1,REGEXEXTRACT(T335, ""(\d{1,2}) jan\. 2025"")), ""dd/mm/yyyy""),
 IF(NOT(ISERROR(REGEXEXTRACT("&amp;"T335, ""(\d{1,2}) fev\. 2025""))), 
  TEXT(DATE(2025,2,REGEXEXTRACT(T335, ""(\d{1,2}) fev\. 2025"")), ""dd/mm/yyyy""),
 IF(NOT(ISERROR(REGEXEXTRACT(T335, ""(\d{1,2}) mar\. 2025""))), 
  TEXT(DATE(2025,3,REGEXEXTRACT(T335, ""(\d{1,2}) mar\. 2025"")), ""dd/"&amp;"mm/yyyy""),
 IF(NOT(ISERROR(REGEXEXTRACT(T335, ""(\d{1,2}) abr\. 2025""))), 
  TEXT(DATE(2025,4,REGEXEXTRACT(T335, ""(\d{1,2}) abr\. 2025"")), ""dd/mm/yyyy""),
 IF(NOT(ISERROR(REGEXEXTRACT(T335, ""(\d{1,2}) (mai|maio)\. 2025""))), 
  TEXT(DATE(2025,5,REGE"&amp;"XEXTRACT(T335, ""(\d{1,2}) (mai|maio)\. 2025"")), ""dd/mm/yyyy""),
 IF(NOT(ISERROR(REGEXEXTRACT(T335, ""(\d{1,2}) jun\. 2025""))), 
  TEXT(DATE(2025,6,REGEXEXTRACT(T335, ""(\d{1,2}) jun\. 2025"")), ""dd/mm/yyyy""),
 IF(NOT(ISERROR(REGEXEXTRACT(T335, ""(\d"&amp;"{1,2}) jul\. 2025""))), 
  TEXT(DATE(2025,7,REGEXEXTRACT(T335, ""(\d{1,2}) jul\. 2025"")), ""dd/mm/yyyy""),
 IF(NOT(ISERROR(REGEXEXTRACT(T335, ""(\d{1,2}) ago\. 2025""))), 
  TEXT(DATE(2025,8,REGEXEXTRACT(T335, ""(\d{1,2}) ago\. 2025"")), ""dd/mm/yyyy""),"&amp;"
 IF(NOT(ISERROR(REGEXEXTRACT(T335, ""(\d{1,2}) set\. 2025""))), 
  TEXT(DATE(2025,9,REGEXEXTRACT(T335, ""(\d{1,2}) set\. 2025"")), ""dd/mm/yyyy""),
 IF(NOT(ISERROR(REGEXEXTRACT(T335, ""(\d{1,2}) out\. 2025""))), 
  TEXT(DATE(2025,10,REGEXEXTRACT(T335, """&amp;"(\d{1,2}) out\. 2025"")), ""dd/mm/yyyy""),
 IF(NOT(ISERROR(REGEXEXTRACT(T335, ""(\d{1,2}) nov\. 2025""))), 
  TEXT(DATE(2025,11,REGEXEXTRACT(T335, ""(\d{1,2}) nov\. 2025"")), ""dd/mm/yyyy""),
 IF(NOT(ISERROR(REGEXEXTRACT(T335, ""(\d{1,2}) dez\. 2025""))),"&amp;" 
  TEXT(DATE(2025,12,REGEXEXTRACT(T335, ""(\d{1,2}) dez\. 2025"")), ""dd/mm/yyyy""),
 ""Insira a data manualmente"")))))))))))), """"))"),"")</f>
        <v/>
      </c>
      <c r="H335" s="22">
        <f t="shared" si="1"/>
        <v>0</v>
      </c>
      <c r="I335" s="18" t="str">
        <f>IFERROR(__xludf.DUMMYFUNCTION("IF(REGEXMATCH(T335,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IF(REGEXMATCH(T335, ""(?i)\bBrasília\b""), ""Distrito Federal, Brasil"",
REGEXEXTRACT(T335,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35" s="30"/>
      <c r="K335" s="24"/>
      <c r="L335" s="24"/>
      <c r="M335" s="25"/>
      <c r="N335" s="18" t="str">
        <f t="shared" si="8"/>
        <v/>
      </c>
      <c r="O335" s="17" t="s">
        <v>28</v>
      </c>
      <c r="P335" s="17" t="s">
        <v>251</v>
      </c>
      <c r="Q335" s="26">
        <v>45973.0</v>
      </c>
      <c r="R335" s="17"/>
      <c r="S335" s="36" t="str">
        <f t="shared" si="3"/>
        <v>#VALUE!</v>
      </c>
      <c r="T335" s="29"/>
      <c r="U335" s="29"/>
    </row>
    <row r="336">
      <c r="A336" s="16">
        <v>334.0</v>
      </c>
      <c r="B336" s="17"/>
      <c r="C336" s="18" t="str">
        <f>IFERROR(__xludf.DUMMYFUNCTION("IF(B336="""","""",IF(OR(
  REGEXMATCH(B336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REGEXMATCH(B336,""Notícia|Reportagem|Artigo de opinião|Verbete"")
),""Difusão"","""")))
"),"")</f>
        <v/>
      </c>
      <c r="D336" s="19" t="str">
        <f>IFERROR(__xludf.DUMMYFUNCTION("IF(B336="""","""",IF(OR(
  REGEXMATCH(B336,""Performance|Instalação|Álbum|Música|Poema|Livro|Filme|Documentário|Recitação|Espetáculo|Peça|Intervenção|Desfile|Fotografia|Exposição|Charge|Grafite|Leitura pública|Fabricação de cachaça artesanal""),
  REGEXMA"&amp;"TCH(B336,""dança|teatral|artístico|musical|artística"")
),""Manifestação artístico-cultural"",
IF(OR(
  REGEXMATCH(B336,""Crônica|Série|Reportagem|Podcast|Audiotour|Entrevista|Vídeo|Rádio|Notícia|Artigo de opinião|Coletiva de imprensa""),
  REGEXMATCH(B33"&amp;"6,""midiática"")
),""Produção midiática"","""")))
"),"")</f>
        <v/>
      </c>
      <c r="E336" s="20" t="str">
        <f>IFERROR(__xludf.DUMMYFUNCTION("IF(B336="""","""",IF(OR(
  REGEXMATCH(B336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REGEXMATCH(B336,""público|Imediato|artística|teatral|memória|Ação popular"")
),""Público Imediato"",
IF(REGEXMATCH(B336,""Música|Álbum|Filme|Documentár"&amp;"io|Série|Podcast|Rádio|Audiotour|Entrevista|Reportagem|Crônica|Relatório|Abaixo-assinado|Manifesto|Petição|Poema|Livro|Fotografia|Curta|Live|Webinário|Charge|Leitura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36" s="20" t="str">
        <f>IFERROR(__xludf.DUMMYFUNCTION("IF(B336="""","""",IF(OR(
  REGEXMATCH(B336,""Live|Webinário|Virtual|Verbete""),
  REGEXMATCH(B336,""online"")
),""Virtual"",
IF(REGEXMATCH(B336,""Música|Álbum|Filme|Documentário|Série|Podcast|Rádio|Audiotour|Episódio|Reportagem|Curta|Charge|Vídeo|Entrevis"&amp;"ta|Notícia|Artigo de opinião""),
""Midiático"",
IF(REGEXMATCH(B336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36" s="21" t="str">
        <f>IFERROR(__xludf.DUMMYFUNCTION("IF(C336=""rememoração"", ""Insira a data manualmente"", IF(C336=""difusão"", 
 IF(NOT(ISERROR(REGEXEXTRACT(T336, ""(\d{1,2}) jan\. 2025""))), 
  TEXT(DATE(2025,1,REGEXEXTRACT(T336, ""(\d{1,2}) jan\. 2025"")), ""dd/mm/yyyy""),
 IF(NOT(ISERROR(REGEXEXTRACT("&amp;"T336, ""(\d{1,2}) fev\. 2025""))), 
  TEXT(DATE(2025,2,REGEXEXTRACT(T336, ""(\d{1,2}) fev\. 2025"")), ""dd/mm/yyyy""),
 IF(NOT(ISERROR(REGEXEXTRACT(T336, ""(\d{1,2}) mar\. 2025""))), 
  TEXT(DATE(2025,3,REGEXEXTRACT(T336, ""(\d{1,2}) mar\. 2025"")), ""dd/"&amp;"mm/yyyy""),
 IF(NOT(ISERROR(REGEXEXTRACT(T336, ""(\d{1,2}) abr\. 2025""))), 
  TEXT(DATE(2025,4,REGEXEXTRACT(T336, ""(\d{1,2}) abr\. 2025"")), ""dd/mm/yyyy""),
 IF(NOT(ISERROR(REGEXEXTRACT(T336, ""(\d{1,2}) (mai|maio)\. 2025""))), 
  TEXT(DATE(2025,5,REGE"&amp;"XEXTRACT(T336, ""(\d{1,2}) (mai|maio)\. 2025"")), ""dd/mm/yyyy""),
 IF(NOT(ISERROR(REGEXEXTRACT(T336, ""(\d{1,2}) jun\. 2025""))), 
  TEXT(DATE(2025,6,REGEXEXTRACT(T336, ""(\d{1,2}) jun\. 2025"")), ""dd/mm/yyyy""),
 IF(NOT(ISERROR(REGEXEXTRACT(T336, ""(\d"&amp;"{1,2}) jul\. 2025""))), 
  TEXT(DATE(2025,7,REGEXEXTRACT(T336, ""(\d{1,2}) jul\. 2025"")), ""dd/mm/yyyy""),
 IF(NOT(ISERROR(REGEXEXTRACT(T336, ""(\d{1,2}) ago\. 2025""))), 
  TEXT(DATE(2025,8,REGEXEXTRACT(T336, ""(\d{1,2}) ago\. 2025"")), ""dd/mm/yyyy""),"&amp;"
 IF(NOT(ISERROR(REGEXEXTRACT(T336, ""(\d{1,2}) set\. 2025""))), 
  TEXT(DATE(2025,9,REGEXEXTRACT(T336, ""(\d{1,2}) set\. 2025"")), ""dd/mm/yyyy""),
 IF(NOT(ISERROR(REGEXEXTRACT(T336, ""(\d{1,2}) out\. 2025""))), 
  TEXT(DATE(2025,10,REGEXEXTRACT(T336, """&amp;"(\d{1,2}) out\. 2025"")), ""dd/mm/yyyy""),
 IF(NOT(ISERROR(REGEXEXTRACT(T336, ""(\d{1,2}) nov\. 2025""))), 
  TEXT(DATE(2025,11,REGEXEXTRACT(T336, ""(\d{1,2}) nov\. 2025"")), ""dd/mm/yyyy""),
 IF(NOT(ISERROR(REGEXEXTRACT(T336, ""(\d{1,2}) dez\. 2025""))),"&amp;" 
  TEXT(DATE(2025,12,REGEXEXTRACT(T336, ""(\d{1,2}) dez\. 2025"")), ""dd/mm/yyyy""),
 ""Insira a data manualmente"")))))))))))), """"))"),"")</f>
        <v/>
      </c>
      <c r="H336" s="22">
        <f t="shared" si="1"/>
        <v>0</v>
      </c>
      <c r="I336" s="18" t="str">
        <f>IFERROR(__xludf.DUMMYFUNCTION("IF(REGEXMATCH(T336,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IF(REGEXMATCH(T336, ""(?i)\bBrasília\b""), ""Distrito Federal, Brasil"",
REGEXEXTRACT(T336,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36" s="30"/>
      <c r="K336" s="24"/>
      <c r="L336" s="24"/>
      <c r="M336" s="25"/>
      <c r="N336" s="18" t="str">
        <f t="shared" si="8"/>
        <v/>
      </c>
      <c r="O336" s="17" t="s">
        <v>28</v>
      </c>
      <c r="P336" s="17" t="s">
        <v>251</v>
      </c>
      <c r="Q336" s="26">
        <v>45973.0</v>
      </c>
      <c r="R336" s="17"/>
      <c r="S336" s="36" t="str">
        <f t="shared" si="3"/>
        <v>#VALUE!</v>
      </c>
      <c r="T336" s="29"/>
      <c r="U336" s="29"/>
    </row>
    <row r="337">
      <c r="A337" s="16">
        <v>335.0</v>
      </c>
      <c r="B337" s="17"/>
      <c r="C337" s="18" t="str">
        <f>IFERROR(__xludf.DUMMYFUNCTION("IF(B337="""","""",IF(OR(
  REGEXMATCH(B337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REGEXMATCH(B337,""Notícia|Reportagem|Artigo de opinião|Verbete"")
),""Difusão"","""")))
"),"")</f>
        <v/>
      </c>
      <c r="D337" s="19" t="str">
        <f>IFERROR(__xludf.DUMMYFUNCTION("IF(B337="""","""",IF(OR(
  REGEXMATCH(B337,""Performance|Instalação|Álbum|Música|Poema|Livro|Filme|Documentário|Recitação|Espetáculo|Peça|Intervenção|Desfile|Fotografia|Exposição|Charge|Grafite|Leitura pública|Fabricação de cachaça artesanal""),
  REGEXMA"&amp;"TCH(B337,""dança|teatral|artístico|musical|artística"")
),""Manifestação artístico-cultural"",
IF(OR(
  REGEXMATCH(B337,""Crônica|Série|Reportagem|Podcast|Audiotour|Entrevista|Vídeo|Rádio|Notícia|Artigo de opinião|Coletiva de imprensa""),
  REGEXMATCH(B33"&amp;"7,""midiática"")
),""Produção midiática"","""")))
"),"")</f>
        <v/>
      </c>
      <c r="E337" s="20" t="str">
        <f>IFERROR(__xludf.DUMMYFUNCTION("IF(B337="""","""",IF(OR(
  REGEXMATCH(B337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REGEXMATCH(B337,""público|Imediato|artística|teatral|memória|Ação popular"")
),""Público Imediato"",
IF(REGEXMATCH(B337,""Música|Álbum|Filme|Documentár"&amp;"io|Série|Podcast|Rádio|Audiotour|Entrevista|Reportagem|Crônica|Relatório|Abaixo-assinado|Manifesto|Petição|Poema|Livro|Fotografia|Curta|Live|Webinário|Charge|Leitura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37" s="20" t="str">
        <f>IFERROR(__xludf.DUMMYFUNCTION("IF(B337="""","""",IF(OR(
  REGEXMATCH(B337,""Live|Webinário|Virtual|Verbete""),
  REGEXMATCH(B337,""online"")
),""Virtual"",
IF(REGEXMATCH(B337,""Música|Álbum|Filme|Documentário|Série|Podcast|Rádio|Audiotour|Episódio|Reportagem|Curta|Charge|Vídeo|Entrevis"&amp;"ta|Notícia|Artigo de opinião""),
""Midiático"",
IF(REGEXMATCH(B337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37" s="21" t="str">
        <f>IFERROR(__xludf.DUMMYFUNCTION("IF(C337=""rememoração"", ""Insira a data manualmente"", IF(C337=""difusão"", 
 IF(NOT(ISERROR(REGEXEXTRACT(T337, ""(\d{1,2}) jan\. 2025""))), 
  TEXT(DATE(2025,1,REGEXEXTRACT(T337, ""(\d{1,2}) jan\. 2025"")), ""dd/mm/yyyy""),
 IF(NOT(ISERROR(REGEXEXTRACT("&amp;"T337, ""(\d{1,2}) fev\. 2025""))), 
  TEXT(DATE(2025,2,REGEXEXTRACT(T337, ""(\d{1,2}) fev\. 2025"")), ""dd/mm/yyyy""),
 IF(NOT(ISERROR(REGEXEXTRACT(T337, ""(\d{1,2}) mar\. 2025""))), 
  TEXT(DATE(2025,3,REGEXEXTRACT(T337, ""(\d{1,2}) mar\. 2025"")), ""dd/"&amp;"mm/yyyy""),
 IF(NOT(ISERROR(REGEXEXTRACT(T337, ""(\d{1,2}) abr\. 2025""))), 
  TEXT(DATE(2025,4,REGEXEXTRACT(T337, ""(\d{1,2}) abr\. 2025"")), ""dd/mm/yyyy""),
 IF(NOT(ISERROR(REGEXEXTRACT(T337, ""(\d{1,2}) (mai|maio)\. 2025""))), 
  TEXT(DATE(2025,5,REGE"&amp;"XEXTRACT(T337, ""(\d{1,2}) (mai|maio)\. 2025"")), ""dd/mm/yyyy""),
 IF(NOT(ISERROR(REGEXEXTRACT(T337, ""(\d{1,2}) jun\. 2025""))), 
  TEXT(DATE(2025,6,REGEXEXTRACT(T337, ""(\d{1,2}) jun\. 2025"")), ""dd/mm/yyyy""),
 IF(NOT(ISERROR(REGEXEXTRACT(T337, ""(\d"&amp;"{1,2}) jul\. 2025""))), 
  TEXT(DATE(2025,7,REGEXEXTRACT(T337, ""(\d{1,2}) jul\. 2025"")), ""dd/mm/yyyy""),
 IF(NOT(ISERROR(REGEXEXTRACT(T337, ""(\d{1,2}) ago\. 2025""))), 
  TEXT(DATE(2025,8,REGEXEXTRACT(T337, ""(\d{1,2}) ago\. 2025"")), ""dd/mm/yyyy""),"&amp;"
 IF(NOT(ISERROR(REGEXEXTRACT(T337, ""(\d{1,2}) set\. 2025""))), 
  TEXT(DATE(2025,9,REGEXEXTRACT(T337, ""(\d{1,2}) set\. 2025"")), ""dd/mm/yyyy""),
 IF(NOT(ISERROR(REGEXEXTRACT(T337, ""(\d{1,2}) out\. 2025""))), 
  TEXT(DATE(2025,10,REGEXEXTRACT(T337, """&amp;"(\d{1,2}) out\. 2025"")), ""dd/mm/yyyy""),
 IF(NOT(ISERROR(REGEXEXTRACT(T337, ""(\d{1,2}) nov\. 2025""))), 
  TEXT(DATE(2025,11,REGEXEXTRACT(T337, ""(\d{1,2}) nov\. 2025"")), ""dd/mm/yyyy""),
 IF(NOT(ISERROR(REGEXEXTRACT(T337, ""(\d{1,2}) dez\. 2025""))),"&amp;" 
  TEXT(DATE(2025,12,REGEXEXTRACT(T337, ""(\d{1,2}) dez\. 2025"")), ""dd/mm/yyyy""),
 ""Insira a data manualmente"")))))))))))), """"))"),"")</f>
        <v/>
      </c>
      <c r="H337" s="22">
        <f t="shared" si="1"/>
        <v>0</v>
      </c>
      <c r="I337" s="18" t="str">
        <f>IFERROR(__xludf.DUMMYFUNCTION("IF(REGEXMATCH(T337,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IF(REGEXMATCH(T337, ""(?i)\bBrasília\b""), ""Distrito Federal, Brasil"",
REGEXEXTRACT(T337,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37" s="30"/>
      <c r="K337" s="24"/>
      <c r="L337" s="24"/>
      <c r="M337" s="25"/>
      <c r="N337" s="18" t="str">
        <f t="shared" si="8"/>
        <v/>
      </c>
      <c r="O337" s="17" t="s">
        <v>28</v>
      </c>
      <c r="P337" s="17" t="s">
        <v>251</v>
      </c>
      <c r="Q337" s="26">
        <v>45973.0</v>
      </c>
      <c r="R337" s="17"/>
      <c r="S337" s="36" t="str">
        <f t="shared" si="3"/>
        <v>#VALUE!</v>
      </c>
      <c r="T337" s="29"/>
      <c r="U337" s="29"/>
    </row>
    <row r="338">
      <c r="A338" s="16">
        <v>336.0</v>
      </c>
      <c r="B338" s="17"/>
      <c r="C338" s="18" t="str">
        <f>IFERROR(__xludf.DUMMYFUNCTION("IF(B338="""","""",IF(OR(
  REGEXMATCH(B338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REGEXMATCH(B338,""Notícia|Reportagem|Artigo de opinião|Verbete"")
),""Difusão"","""")))
"),"")</f>
        <v/>
      </c>
      <c r="D338" s="19" t="str">
        <f>IFERROR(__xludf.DUMMYFUNCTION("IF(B338="""","""",IF(OR(
  REGEXMATCH(B338,""Performance|Instalação|Álbum|Música|Poema|Livro|Filme|Documentário|Recitação|Espetáculo|Peça|Intervenção|Desfile|Fotografia|Exposição|Charge|Grafite|Leitura pública|Fabricação de cachaça artesanal""),
  REGEXMA"&amp;"TCH(B338,""dança|teatral|artístico|musical|artística"")
),""Manifestação artístico-cultural"",
IF(OR(
  REGEXMATCH(B338,""Crônica|Série|Reportagem|Podcast|Audiotour|Entrevista|Vídeo|Rádio|Notícia|Artigo de opinião|Coletiva de imprensa""),
  REGEXMATCH(B33"&amp;"8,""midiática"")
),""Produção midiática"","""")))
"),"")</f>
        <v/>
      </c>
      <c r="E338" s="20" t="str">
        <f>IFERROR(__xludf.DUMMYFUNCTION("IF(B338="""","""",IF(OR(
  REGEXMATCH(B338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REGEXMATCH(B338,""público|Imediato|artística|teatral|memória|Ação popular"")
),""Público Imediato"",
IF(REGEXMATCH(B338,""Música|Álbum|Filme|Documentár"&amp;"io|Série|Podcast|Rádio|Audiotour|Entrevista|Reportagem|Crônica|Relatório|Abaixo-assinado|Manifesto|Petição|Poema|Livro|Fotografia|Curta|Live|Webinário|Charge|Leitura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38" s="20" t="str">
        <f>IFERROR(__xludf.DUMMYFUNCTION("IF(B338="""","""",IF(OR(
  REGEXMATCH(B338,""Live|Webinário|Virtual|Verbete""),
  REGEXMATCH(B338,""online"")
),""Virtual"",
IF(REGEXMATCH(B338,""Música|Álbum|Filme|Documentário|Série|Podcast|Rádio|Audiotour|Episódio|Reportagem|Curta|Charge|Vídeo|Entrevis"&amp;"ta|Notícia|Artigo de opinião""),
""Midiático"",
IF(REGEXMATCH(B338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38" s="21" t="str">
        <f>IFERROR(__xludf.DUMMYFUNCTION("IF(C338=""rememoração"", ""Insira a data manualmente"", IF(C338=""difusão"", 
 IF(NOT(ISERROR(REGEXEXTRACT(T338, ""(\d{1,2}) jan\. 2025""))), 
  TEXT(DATE(2025,1,REGEXEXTRACT(T338, ""(\d{1,2}) jan\. 2025"")), ""dd/mm/yyyy""),
 IF(NOT(ISERROR(REGEXEXTRACT("&amp;"T338, ""(\d{1,2}) fev\. 2025""))), 
  TEXT(DATE(2025,2,REGEXEXTRACT(T338, ""(\d{1,2}) fev\. 2025"")), ""dd/mm/yyyy""),
 IF(NOT(ISERROR(REGEXEXTRACT(T338, ""(\d{1,2}) mar\. 2025""))), 
  TEXT(DATE(2025,3,REGEXEXTRACT(T338, ""(\d{1,2}) mar\. 2025"")), ""dd/"&amp;"mm/yyyy""),
 IF(NOT(ISERROR(REGEXEXTRACT(T338, ""(\d{1,2}) abr\. 2025""))), 
  TEXT(DATE(2025,4,REGEXEXTRACT(T338, ""(\d{1,2}) abr\. 2025"")), ""dd/mm/yyyy""),
 IF(NOT(ISERROR(REGEXEXTRACT(T338, ""(\d{1,2}) (mai|maio)\. 2025""))), 
  TEXT(DATE(2025,5,REGE"&amp;"XEXTRACT(T338, ""(\d{1,2}) (mai|maio)\. 2025"")), ""dd/mm/yyyy""),
 IF(NOT(ISERROR(REGEXEXTRACT(T338, ""(\d{1,2}) jun\. 2025""))), 
  TEXT(DATE(2025,6,REGEXEXTRACT(T338, ""(\d{1,2}) jun\. 2025"")), ""dd/mm/yyyy""),
 IF(NOT(ISERROR(REGEXEXTRACT(T338, ""(\d"&amp;"{1,2}) jul\. 2025""))), 
  TEXT(DATE(2025,7,REGEXEXTRACT(T338, ""(\d{1,2}) jul\. 2025"")), ""dd/mm/yyyy""),
 IF(NOT(ISERROR(REGEXEXTRACT(T338, ""(\d{1,2}) ago\. 2025""))), 
  TEXT(DATE(2025,8,REGEXEXTRACT(T338, ""(\d{1,2}) ago\. 2025"")), ""dd/mm/yyyy""),"&amp;"
 IF(NOT(ISERROR(REGEXEXTRACT(T338, ""(\d{1,2}) set\. 2025""))), 
  TEXT(DATE(2025,9,REGEXEXTRACT(T338, ""(\d{1,2}) set\. 2025"")), ""dd/mm/yyyy""),
 IF(NOT(ISERROR(REGEXEXTRACT(T338, ""(\d{1,2}) out\. 2025""))), 
  TEXT(DATE(2025,10,REGEXEXTRACT(T338, """&amp;"(\d{1,2}) out\. 2025"")), ""dd/mm/yyyy""),
 IF(NOT(ISERROR(REGEXEXTRACT(T338, ""(\d{1,2}) nov\. 2025""))), 
  TEXT(DATE(2025,11,REGEXEXTRACT(T338, ""(\d{1,2}) nov\. 2025"")), ""dd/mm/yyyy""),
 IF(NOT(ISERROR(REGEXEXTRACT(T338, ""(\d{1,2}) dez\. 2025""))),"&amp;" 
  TEXT(DATE(2025,12,REGEXEXTRACT(T338, ""(\d{1,2}) dez\. 2025"")), ""dd/mm/yyyy""),
 ""Insira a data manualmente"")))))))))))), """"))"),"")</f>
        <v/>
      </c>
      <c r="H338" s="22">
        <f t="shared" si="1"/>
        <v>0</v>
      </c>
      <c r="I338" s="18" t="str">
        <f>IFERROR(__xludf.DUMMYFUNCTION("IF(REGEXMATCH(T338,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IF(REGEXMATCH(T338, ""(?i)\bBrasília\b""), ""Distrito Federal, Brasil"",
REGEXEXTRACT(T338,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38" s="30"/>
      <c r="K338" s="24"/>
      <c r="L338" s="24"/>
      <c r="M338" s="25"/>
      <c r="N338" s="18" t="str">
        <f t="shared" si="8"/>
        <v/>
      </c>
      <c r="O338" s="17" t="s">
        <v>28</v>
      </c>
      <c r="P338" s="17" t="s">
        <v>251</v>
      </c>
      <c r="Q338" s="26">
        <v>45973.0</v>
      </c>
      <c r="R338" s="17"/>
      <c r="S338" s="36" t="str">
        <f t="shared" si="3"/>
        <v>#VALUE!</v>
      </c>
      <c r="T338" s="29"/>
      <c r="U338" s="29"/>
    </row>
    <row r="339">
      <c r="A339" s="16">
        <v>337.0</v>
      </c>
      <c r="B339" s="17"/>
      <c r="C339" s="18" t="str">
        <f>IFERROR(__xludf.DUMMYFUNCTION("IF(B339="""","""",IF(OR(
  REGEXMATCH(B339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REGEXMATCH(B339,""Notícia|Reportagem|Artigo de opinião|Verbete"")
),""Difusão"","""")))
"),"")</f>
        <v/>
      </c>
      <c r="D339" s="19" t="str">
        <f>IFERROR(__xludf.DUMMYFUNCTION("IF(B339="""","""",IF(OR(
  REGEXMATCH(B339,""Performance|Instalação|Álbum|Música|Poema|Livro|Filme|Documentário|Recitação|Espetáculo|Peça|Intervenção|Desfile|Fotografia|Exposição|Charge|Grafite|Leitura pública|Fabricação de cachaça artesanal""),
  REGEXMA"&amp;"TCH(B339,""dança|teatral|artístico|musical|artística"")
),""Manifestação artístico-cultural"",
IF(OR(
  REGEXMATCH(B339,""Crônica|Série|Reportagem|Podcast|Audiotour|Entrevista|Vídeo|Rádio|Notícia|Artigo de opinião|Coletiva de imprensa""),
  REGEXMATCH(B33"&amp;"9,""midiática"")
),""Produção midiática"","""")))
"),"")</f>
        <v/>
      </c>
      <c r="E339" s="20" t="str">
        <f>IFERROR(__xludf.DUMMYFUNCTION("IF(B339="""","""",IF(OR(
  REGEXMATCH(B339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REGEXMATCH(B339,""público|Imediato|artística|teatral|memória|Ação popular"")
),""Público Imediato"",
IF(REGEXMATCH(B339,""Música|Álbum|Filme|Documentár"&amp;"io|Série|Podcast|Rádio|Audiotour|Entrevista|Reportagem|Crônica|Relatório|Abaixo-assinado|Manifesto|Petição|Poema|Livro|Fotografia|Curta|Live|Webinário|Charge|Leitura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39" s="20" t="str">
        <f>IFERROR(__xludf.DUMMYFUNCTION("IF(B339="""","""",IF(OR(
  REGEXMATCH(B339,""Live|Webinário|Virtual|Verbete""),
  REGEXMATCH(B339,""online"")
),""Virtual"",
IF(REGEXMATCH(B339,""Música|Álbum|Filme|Documentário|Série|Podcast|Rádio|Audiotour|Episódio|Reportagem|Curta|Charge|Vídeo|Entrevis"&amp;"ta|Notícia|Artigo de opinião""),
""Midiático"",
IF(REGEXMATCH(B339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39" s="21" t="str">
        <f>IFERROR(__xludf.DUMMYFUNCTION("IF(C339=""rememoração"", ""Insira a data manualmente"", IF(C339=""difusão"", 
 IF(NOT(ISERROR(REGEXEXTRACT(T339, ""(\d{1,2}) jan\. 2025""))), 
  TEXT(DATE(2025,1,REGEXEXTRACT(T339, ""(\d{1,2}) jan\. 2025"")), ""dd/mm/yyyy""),
 IF(NOT(ISERROR(REGEXEXTRACT("&amp;"T339, ""(\d{1,2}) fev\. 2025""))), 
  TEXT(DATE(2025,2,REGEXEXTRACT(T339, ""(\d{1,2}) fev\. 2025"")), ""dd/mm/yyyy""),
 IF(NOT(ISERROR(REGEXEXTRACT(T339, ""(\d{1,2}) mar\. 2025""))), 
  TEXT(DATE(2025,3,REGEXEXTRACT(T339, ""(\d{1,2}) mar\. 2025"")), ""dd/"&amp;"mm/yyyy""),
 IF(NOT(ISERROR(REGEXEXTRACT(T339, ""(\d{1,2}) abr\. 2025""))), 
  TEXT(DATE(2025,4,REGEXEXTRACT(T339, ""(\d{1,2}) abr\. 2025"")), ""dd/mm/yyyy""),
 IF(NOT(ISERROR(REGEXEXTRACT(T339, ""(\d{1,2}) (mai|maio)\. 2025""))), 
  TEXT(DATE(2025,5,REGE"&amp;"XEXTRACT(T339, ""(\d{1,2}) (mai|maio)\. 2025"")), ""dd/mm/yyyy""),
 IF(NOT(ISERROR(REGEXEXTRACT(T339, ""(\d{1,2}) jun\. 2025""))), 
  TEXT(DATE(2025,6,REGEXEXTRACT(T339, ""(\d{1,2}) jun\. 2025"")), ""dd/mm/yyyy""),
 IF(NOT(ISERROR(REGEXEXTRACT(T339, ""(\d"&amp;"{1,2}) jul\. 2025""))), 
  TEXT(DATE(2025,7,REGEXEXTRACT(T339, ""(\d{1,2}) jul\. 2025"")), ""dd/mm/yyyy""),
 IF(NOT(ISERROR(REGEXEXTRACT(T339, ""(\d{1,2}) ago\. 2025""))), 
  TEXT(DATE(2025,8,REGEXEXTRACT(T339, ""(\d{1,2}) ago\. 2025"")), ""dd/mm/yyyy""),"&amp;"
 IF(NOT(ISERROR(REGEXEXTRACT(T339, ""(\d{1,2}) set\. 2025""))), 
  TEXT(DATE(2025,9,REGEXEXTRACT(T339, ""(\d{1,2}) set\. 2025"")), ""dd/mm/yyyy""),
 IF(NOT(ISERROR(REGEXEXTRACT(T339, ""(\d{1,2}) out\. 2025""))), 
  TEXT(DATE(2025,10,REGEXEXTRACT(T339, """&amp;"(\d{1,2}) out\. 2025"")), ""dd/mm/yyyy""),
 IF(NOT(ISERROR(REGEXEXTRACT(T339, ""(\d{1,2}) nov\. 2025""))), 
  TEXT(DATE(2025,11,REGEXEXTRACT(T339, ""(\d{1,2}) nov\. 2025"")), ""dd/mm/yyyy""),
 IF(NOT(ISERROR(REGEXEXTRACT(T339, ""(\d{1,2}) dez\. 2025""))),"&amp;" 
  TEXT(DATE(2025,12,REGEXEXTRACT(T339, ""(\d{1,2}) dez\. 2025"")), ""dd/mm/yyyy""),
 ""Insira a data manualmente"")))))))))))), """"))"),"")</f>
        <v/>
      </c>
      <c r="H339" s="22">
        <f t="shared" si="1"/>
        <v>0</v>
      </c>
      <c r="I339" s="18" t="str">
        <f>IFERROR(__xludf.DUMMYFUNCTION("IF(REGEXMATCH(T339,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IF(REGEXMATCH(T339, ""(?i)\bBrasília\b""), ""Distrito Federal, Brasil"",
REGEXEXTRACT(T339,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39" s="30"/>
      <c r="K339" s="24"/>
      <c r="L339" s="24"/>
      <c r="M339" s="25"/>
      <c r="N339" s="18" t="str">
        <f t="shared" si="8"/>
        <v/>
      </c>
      <c r="O339" s="17" t="s">
        <v>28</v>
      </c>
      <c r="P339" s="17" t="s">
        <v>251</v>
      </c>
      <c r="Q339" s="26">
        <v>45973.0</v>
      </c>
      <c r="R339" s="17"/>
      <c r="S339" s="36" t="str">
        <f t="shared" si="3"/>
        <v>#VALUE!</v>
      </c>
      <c r="T339" s="29"/>
      <c r="U339" s="29"/>
    </row>
    <row r="340">
      <c r="A340" s="16">
        <v>338.0</v>
      </c>
      <c r="B340" s="17"/>
      <c r="C340" s="18" t="str">
        <f>IFERROR(__xludf.DUMMYFUNCTION("IF(B340="""","""",IF(OR(
  REGEXMATCH(B340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REGEXMATCH(B340,""Notícia|Reportagem|Artigo de opinião|Verbete"")
),""Difusão"","""")))
"),"")</f>
        <v/>
      </c>
      <c r="D340" s="19" t="str">
        <f>IFERROR(__xludf.DUMMYFUNCTION("IF(B340="""","""",IF(OR(
  REGEXMATCH(B340,""Performance|Instalação|Álbum|Música|Poema|Livro|Filme|Documentário|Recitação|Espetáculo|Peça|Intervenção|Desfile|Fotografia|Exposição|Charge|Grafite|Leitura pública|Fabricação de cachaça artesanal""),
  REGEXMA"&amp;"TCH(B340,""dança|teatral|artístico|musical|artística"")
),""Manifestação artístico-cultural"",
IF(OR(
  REGEXMATCH(B340,""Crônica|Série|Reportagem|Podcast|Audiotour|Entrevista|Vídeo|Rádio|Notícia|Artigo de opinião|Coletiva de imprensa""),
  REGEXMATCH(B34"&amp;"0,""midiática"")
),""Produção midiática"","""")))
"),"")</f>
        <v/>
      </c>
      <c r="E340" s="20" t="str">
        <f>IFERROR(__xludf.DUMMYFUNCTION("IF(B340="""","""",IF(OR(
  REGEXMATCH(B340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REGEXMATCH(B340,""público|Imediato|artística|teatral|memória|Ação popular"")
),""Público Imediato"",
IF(REGEXMATCH(B340,""Música|Álbum|Filme|Documentár"&amp;"io|Série|Podcast|Rádio|Audiotour|Entrevista|Reportagem|Crônica|Relatório|Abaixo-assinado|Manifesto|Petição|Poema|Livro|Fotografia|Curta|Live|Webinário|Charge|Leitura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40" s="20" t="str">
        <f>IFERROR(__xludf.DUMMYFUNCTION("IF(B340="""","""",IF(OR(
  REGEXMATCH(B340,""Live|Webinário|Virtual|Verbete""),
  REGEXMATCH(B340,""online"")
),""Virtual"",
IF(REGEXMATCH(B340,""Música|Álbum|Filme|Documentário|Série|Podcast|Rádio|Audiotour|Episódio|Reportagem|Curta|Charge|Vídeo|Entrevis"&amp;"ta|Notícia|Artigo de opinião""),
""Midiático"",
IF(REGEXMATCH(B340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40" s="21" t="str">
        <f>IFERROR(__xludf.DUMMYFUNCTION("IF(C340=""rememoração"", ""Insira a data manualmente"", IF(C340=""difusão"", 
 IF(NOT(ISERROR(REGEXEXTRACT(T340, ""(\d{1,2}) jan\. 2025""))), 
  TEXT(DATE(2025,1,REGEXEXTRACT(T340, ""(\d{1,2}) jan\. 2025"")), ""dd/mm/yyyy""),
 IF(NOT(ISERROR(REGEXEXTRACT("&amp;"T340, ""(\d{1,2}) fev\. 2025""))), 
  TEXT(DATE(2025,2,REGEXEXTRACT(T340, ""(\d{1,2}) fev\. 2025"")), ""dd/mm/yyyy""),
 IF(NOT(ISERROR(REGEXEXTRACT(T340, ""(\d{1,2}) mar\. 2025""))), 
  TEXT(DATE(2025,3,REGEXEXTRACT(T340, ""(\d{1,2}) mar\. 2025"")), ""dd/"&amp;"mm/yyyy""),
 IF(NOT(ISERROR(REGEXEXTRACT(T340, ""(\d{1,2}) abr\. 2025""))), 
  TEXT(DATE(2025,4,REGEXEXTRACT(T340, ""(\d{1,2}) abr\. 2025"")), ""dd/mm/yyyy""),
 IF(NOT(ISERROR(REGEXEXTRACT(T340, ""(\d{1,2}) (mai|maio)\. 2025""))), 
  TEXT(DATE(2025,5,REGE"&amp;"XEXTRACT(T340, ""(\d{1,2}) (mai|maio)\. 2025"")), ""dd/mm/yyyy""),
 IF(NOT(ISERROR(REGEXEXTRACT(T340, ""(\d{1,2}) jun\. 2025""))), 
  TEXT(DATE(2025,6,REGEXEXTRACT(T340, ""(\d{1,2}) jun\. 2025"")), ""dd/mm/yyyy""),
 IF(NOT(ISERROR(REGEXEXTRACT(T340, ""(\d"&amp;"{1,2}) jul\. 2025""))), 
  TEXT(DATE(2025,7,REGEXEXTRACT(T340, ""(\d{1,2}) jul\. 2025"")), ""dd/mm/yyyy""),
 IF(NOT(ISERROR(REGEXEXTRACT(T340, ""(\d{1,2}) ago\. 2025""))), 
  TEXT(DATE(2025,8,REGEXEXTRACT(T340, ""(\d{1,2}) ago\. 2025"")), ""dd/mm/yyyy""),"&amp;"
 IF(NOT(ISERROR(REGEXEXTRACT(T340, ""(\d{1,2}) set\. 2025""))), 
  TEXT(DATE(2025,9,REGEXEXTRACT(T340, ""(\d{1,2}) set\. 2025"")), ""dd/mm/yyyy""),
 IF(NOT(ISERROR(REGEXEXTRACT(T340, ""(\d{1,2}) out\. 2025""))), 
  TEXT(DATE(2025,10,REGEXEXTRACT(T340, """&amp;"(\d{1,2}) out\. 2025"")), ""dd/mm/yyyy""),
 IF(NOT(ISERROR(REGEXEXTRACT(T340, ""(\d{1,2}) nov\. 2025""))), 
  TEXT(DATE(2025,11,REGEXEXTRACT(T340, ""(\d{1,2}) nov\. 2025"")), ""dd/mm/yyyy""),
 IF(NOT(ISERROR(REGEXEXTRACT(T340, ""(\d{1,2}) dez\. 2025""))),"&amp;" 
  TEXT(DATE(2025,12,REGEXEXTRACT(T340, ""(\d{1,2}) dez\. 2025"")), ""dd/mm/yyyy""),
 ""Insira a data manualmente"")))))))))))), """"))"),"")</f>
        <v/>
      </c>
      <c r="H340" s="22">
        <f t="shared" si="1"/>
        <v>0</v>
      </c>
      <c r="I340" s="18" t="str">
        <f>IFERROR(__xludf.DUMMYFUNCTION("IF(REGEXMATCH(T340,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IF(REGEXMATCH(T340, ""(?i)\bBrasília\b""), ""Distrito Federal, Brasil"",
REGEXEXTRACT(T340,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40" s="30"/>
      <c r="K340" s="24"/>
      <c r="L340" s="24"/>
      <c r="M340" s="25"/>
      <c r="N340" s="18" t="str">
        <f t="shared" si="8"/>
        <v/>
      </c>
      <c r="O340" s="17" t="s">
        <v>28</v>
      </c>
      <c r="P340" s="17" t="s">
        <v>251</v>
      </c>
      <c r="Q340" s="26">
        <v>45973.0</v>
      </c>
      <c r="R340" s="17"/>
      <c r="S340" s="36" t="str">
        <f t="shared" si="3"/>
        <v>#VALUE!</v>
      </c>
      <c r="T340" s="29"/>
      <c r="U340" s="29"/>
    </row>
    <row r="341">
      <c r="A341" s="16">
        <v>339.0</v>
      </c>
      <c r="B341" s="17"/>
      <c r="C341" s="18" t="str">
        <f>IFERROR(__xludf.DUMMYFUNCTION("IF(B341="""","""",IF(OR(
  REGEXMATCH(B341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REGEXMATCH(B341,""Notícia|Reportagem|Artigo de opinião|Verbete"")
),""Difusão"","""")))
"),"")</f>
        <v/>
      </c>
      <c r="D341" s="19" t="str">
        <f>IFERROR(__xludf.DUMMYFUNCTION("IF(B341="""","""",IF(OR(
  REGEXMATCH(B341,""Performance|Instalação|Álbum|Música|Poema|Livro|Filme|Documentário|Recitação|Espetáculo|Peça|Intervenção|Desfile|Fotografia|Exposição|Charge|Grafite|Leitura pública|Fabricação de cachaça artesanal""),
  REGEXMA"&amp;"TCH(B341,""dança|teatral|artístico|musical|artística"")
),""Manifestação artístico-cultural"",
IF(OR(
  REGEXMATCH(B341,""Crônica|Série|Reportagem|Podcast|Audiotour|Entrevista|Vídeo|Rádio|Notícia|Artigo de opinião|Coletiva de imprensa""),
  REGEXMATCH(B34"&amp;"1,""midiática"")
),""Produção midiática"","""")))
"),"")</f>
        <v/>
      </c>
      <c r="E341" s="20" t="str">
        <f>IFERROR(__xludf.DUMMYFUNCTION("IF(B341="""","""",IF(OR(
  REGEXMATCH(B341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REGEXMATCH(B341,""público|Imediato|artística|teatral|memória|Ação popular"")
),""Público Imediato"",
IF(REGEXMATCH(B341,""Música|Álbum|Filme|Documentár"&amp;"io|Série|Podcast|Rádio|Audiotour|Entrevista|Reportagem|Crônica|Relatório|Abaixo-assinado|Manifesto|Petição|Poema|Livro|Fotografia|Curta|Live|Webinário|Charge|Leitura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41" s="20" t="str">
        <f>IFERROR(__xludf.DUMMYFUNCTION("IF(B341="""","""",IF(OR(
  REGEXMATCH(B341,""Live|Webinário|Virtual|Verbete""),
  REGEXMATCH(B341,""online"")
),""Virtual"",
IF(REGEXMATCH(B341,""Música|Álbum|Filme|Documentário|Série|Podcast|Rádio|Audiotour|Episódio|Reportagem|Curta|Charge|Vídeo|Entrevis"&amp;"ta|Notícia|Artigo de opinião""),
""Midiático"",
IF(REGEXMATCH(B341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41" s="21" t="str">
        <f>IFERROR(__xludf.DUMMYFUNCTION("IF(C341=""rememoração"", ""Insira a data manualmente"", IF(C341=""difusão"", 
 IF(NOT(ISERROR(REGEXEXTRACT(T341, ""(\d{1,2}) jan\. 2025""))), 
  TEXT(DATE(2025,1,REGEXEXTRACT(T341, ""(\d{1,2}) jan\. 2025"")), ""dd/mm/yyyy""),
 IF(NOT(ISERROR(REGEXEXTRACT("&amp;"T341, ""(\d{1,2}) fev\. 2025""))), 
  TEXT(DATE(2025,2,REGEXEXTRACT(T341, ""(\d{1,2}) fev\. 2025"")), ""dd/mm/yyyy""),
 IF(NOT(ISERROR(REGEXEXTRACT(T341, ""(\d{1,2}) mar\. 2025""))), 
  TEXT(DATE(2025,3,REGEXEXTRACT(T341, ""(\d{1,2}) mar\. 2025"")), ""dd/"&amp;"mm/yyyy""),
 IF(NOT(ISERROR(REGEXEXTRACT(T341, ""(\d{1,2}) abr\. 2025""))), 
  TEXT(DATE(2025,4,REGEXEXTRACT(T341, ""(\d{1,2}) abr\. 2025"")), ""dd/mm/yyyy""),
 IF(NOT(ISERROR(REGEXEXTRACT(T341, ""(\d{1,2}) (mai|maio)\. 2025""))), 
  TEXT(DATE(2025,5,REGE"&amp;"XEXTRACT(T341, ""(\d{1,2}) (mai|maio)\. 2025"")), ""dd/mm/yyyy""),
 IF(NOT(ISERROR(REGEXEXTRACT(T341, ""(\d{1,2}) jun\. 2025""))), 
  TEXT(DATE(2025,6,REGEXEXTRACT(T341, ""(\d{1,2}) jun\. 2025"")), ""dd/mm/yyyy""),
 IF(NOT(ISERROR(REGEXEXTRACT(T341, ""(\d"&amp;"{1,2}) jul\. 2025""))), 
  TEXT(DATE(2025,7,REGEXEXTRACT(T341, ""(\d{1,2}) jul\. 2025"")), ""dd/mm/yyyy""),
 IF(NOT(ISERROR(REGEXEXTRACT(T341, ""(\d{1,2}) ago\. 2025""))), 
  TEXT(DATE(2025,8,REGEXEXTRACT(T341, ""(\d{1,2}) ago\. 2025"")), ""dd/mm/yyyy""),"&amp;"
 IF(NOT(ISERROR(REGEXEXTRACT(T341, ""(\d{1,2}) set\. 2025""))), 
  TEXT(DATE(2025,9,REGEXEXTRACT(T341, ""(\d{1,2}) set\. 2025"")), ""dd/mm/yyyy""),
 IF(NOT(ISERROR(REGEXEXTRACT(T341, ""(\d{1,2}) out\. 2025""))), 
  TEXT(DATE(2025,10,REGEXEXTRACT(T341, """&amp;"(\d{1,2}) out\. 2025"")), ""dd/mm/yyyy""),
 IF(NOT(ISERROR(REGEXEXTRACT(T341, ""(\d{1,2}) nov\. 2025""))), 
  TEXT(DATE(2025,11,REGEXEXTRACT(T341, ""(\d{1,2}) nov\. 2025"")), ""dd/mm/yyyy""),
 IF(NOT(ISERROR(REGEXEXTRACT(T341, ""(\d{1,2}) dez\. 2025""))),"&amp;" 
  TEXT(DATE(2025,12,REGEXEXTRACT(T341, ""(\d{1,2}) dez\. 2025"")), ""dd/mm/yyyy""),
 ""Insira a data manualmente"")))))))))))), """"))"),"")</f>
        <v/>
      </c>
      <c r="H341" s="22">
        <f t="shared" si="1"/>
        <v>0</v>
      </c>
      <c r="I341" s="18" t="str">
        <f>IFERROR(__xludf.DUMMYFUNCTION("IF(REGEXMATCH(T341,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IF(REGEXMATCH(T341, ""(?i)\bBrasília\b""), ""Distrito Federal, Brasil"",
REGEXEXTRACT(T341,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41" s="30"/>
      <c r="K341" s="24"/>
      <c r="L341" s="24"/>
      <c r="M341" s="25"/>
      <c r="N341" s="18" t="str">
        <f t="shared" si="8"/>
        <v/>
      </c>
      <c r="O341" s="17" t="s">
        <v>28</v>
      </c>
      <c r="P341" s="17" t="s">
        <v>251</v>
      </c>
      <c r="Q341" s="26">
        <v>45973.0</v>
      </c>
      <c r="R341" s="17"/>
      <c r="S341" s="36" t="str">
        <f t="shared" si="3"/>
        <v>#VALUE!</v>
      </c>
      <c r="T341" s="29"/>
      <c r="U341" s="29"/>
    </row>
    <row r="342">
      <c r="A342" s="16">
        <v>340.0</v>
      </c>
      <c r="B342" s="17"/>
      <c r="C342" s="18" t="str">
        <f>IFERROR(__xludf.DUMMYFUNCTION("IF(B342="""","""",IF(OR(
  REGEXMATCH(B342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REGEXMATCH(B342,""Notícia|Reportagem|Artigo de opinião|Verbete"")
),""Difusão"","""")))
"),"")</f>
        <v/>
      </c>
      <c r="D342" s="19" t="str">
        <f>IFERROR(__xludf.DUMMYFUNCTION("IF(B342="""","""",IF(OR(
  REGEXMATCH(B342,""Performance|Instalação|Álbum|Música|Poema|Livro|Filme|Documentário|Recitação|Espetáculo|Peça|Intervenção|Desfile|Fotografia|Exposição|Charge|Grafite|Leitura pública|Fabricação de cachaça artesanal""),
  REGEXMA"&amp;"TCH(B342,""dança|teatral|artístico|musical|artística"")
),""Manifestação artístico-cultural"",
IF(OR(
  REGEXMATCH(B342,""Crônica|Série|Reportagem|Podcast|Audiotour|Entrevista|Vídeo|Rádio|Notícia|Artigo de opinião|Coletiva de imprensa""),
  REGEXMATCH(B34"&amp;"2,""midiática"")
),""Produção midiática"","""")))
"),"")</f>
        <v/>
      </c>
      <c r="E342" s="20" t="str">
        <f>IFERROR(__xludf.DUMMYFUNCTION("IF(B342="""","""",IF(OR(
  REGEXMATCH(B342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REGEXMATCH(B342,""público|Imediato|artística|teatral|memória|Ação popular"")
),""Público Imediato"",
IF(REGEXMATCH(B342,""Música|Álbum|Filme|Documentár"&amp;"io|Série|Podcast|Rádio|Audiotour|Entrevista|Reportagem|Crônica|Relatório|Abaixo-assinado|Manifesto|Petição|Poema|Livro|Fotografia|Curta|Live|Webinário|Charge|Leitura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42" s="20" t="str">
        <f>IFERROR(__xludf.DUMMYFUNCTION("IF(B342="""","""",IF(OR(
  REGEXMATCH(B342,""Live|Webinário|Virtual|Verbete""),
  REGEXMATCH(B342,""online"")
),""Virtual"",
IF(REGEXMATCH(B342,""Música|Álbum|Filme|Documentário|Série|Podcast|Rádio|Audiotour|Episódio|Reportagem|Curta|Charge|Vídeo|Entrevis"&amp;"ta|Notícia|Artigo de opinião""),
""Midiático"",
IF(REGEXMATCH(B342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42" s="21" t="str">
        <f>IFERROR(__xludf.DUMMYFUNCTION("IF(C342=""rememoração"", ""Insira a data manualmente"", IF(C342=""difusão"", 
 IF(NOT(ISERROR(REGEXEXTRACT(T342, ""(\d{1,2}) jan\. 2025""))), 
  TEXT(DATE(2025,1,REGEXEXTRACT(T342, ""(\d{1,2}) jan\. 2025"")), ""dd/mm/yyyy""),
 IF(NOT(ISERROR(REGEXEXTRACT("&amp;"T342, ""(\d{1,2}) fev\. 2025""))), 
  TEXT(DATE(2025,2,REGEXEXTRACT(T342, ""(\d{1,2}) fev\. 2025"")), ""dd/mm/yyyy""),
 IF(NOT(ISERROR(REGEXEXTRACT(T342, ""(\d{1,2}) mar\. 2025""))), 
  TEXT(DATE(2025,3,REGEXEXTRACT(T342, ""(\d{1,2}) mar\. 2025"")), ""dd/"&amp;"mm/yyyy""),
 IF(NOT(ISERROR(REGEXEXTRACT(T342, ""(\d{1,2}) abr\. 2025""))), 
  TEXT(DATE(2025,4,REGEXEXTRACT(T342, ""(\d{1,2}) abr\. 2025"")), ""dd/mm/yyyy""),
 IF(NOT(ISERROR(REGEXEXTRACT(T342, ""(\d{1,2}) (mai|maio)\. 2025""))), 
  TEXT(DATE(2025,5,REGE"&amp;"XEXTRACT(T342, ""(\d{1,2}) (mai|maio)\. 2025"")), ""dd/mm/yyyy""),
 IF(NOT(ISERROR(REGEXEXTRACT(T342, ""(\d{1,2}) jun\. 2025""))), 
  TEXT(DATE(2025,6,REGEXEXTRACT(T342, ""(\d{1,2}) jun\. 2025"")), ""dd/mm/yyyy""),
 IF(NOT(ISERROR(REGEXEXTRACT(T342, ""(\d"&amp;"{1,2}) jul\. 2025""))), 
  TEXT(DATE(2025,7,REGEXEXTRACT(T342, ""(\d{1,2}) jul\. 2025"")), ""dd/mm/yyyy""),
 IF(NOT(ISERROR(REGEXEXTRACT(T342, ""(\d{1,2}) ago\. 2025""))), 
  TEXT(DATE(2025,8,REGEXEXTRACT(T342, ""(\d{1,2}) ago\. 2025"")), ""dd/mm/yyyy""),"&amp;"
 IF(NOT(ISERROR(REGEXEXTRACT(T342, ""(\d{1,2}) set\. 2025""))), 
  TEXT(DATE(2025,9,REGEXEXTRACT(T342, ""(\d{1,2}) set\. 2025"")), ""dd/mm/yyyy""),
 IF(NOT(ISERROR(REGEXEXTRACT(T342, ""(\d{1,2}) out\. 2025""))), 
  TEXT(DATE(2025,10,REGEXEXTRACT(T342, """&amp;"(\d{1,2}) out\. 2025"")), ""dd/mm/yyyy""),
 IF(NOT(ISERROR(REGEXEXTRACT(T342, ""(\d{1,2}) nov\. 2025""))), 
  TEXT(DATE(2025,11,REGEXEXTRACT(T342, ""(\d{1,2}) nov\. 2025"")), ""dd/mm/yyyy""),
 IF(NOT(ISERROR(REGEXEXTRACT(T342, ""(\d{1,2}) dez\. 2025""))),"&amp;" 
  TEXT(DATE(2025,12,REGEXEXTRACT(T342, ""(\d{1,2}) dez\. 2025"")), ""dd/mm/yyyy""),
 ""Insira a data manualmente"")))))))))))), """"))"),"")</f>
        <v/>
      </c>
      <c r="H342" s="22">
        <f t="shared" si="1"/>
        <v>0</v>
      </c>
      <c r="I342" s="18" t="str">
        <f>IFERROR(__xludf.DUMMYFUNCTION("IF(REGEXMATCH(T342,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IF(REGEXMATCH(T342, ""(?i)\bBrasília\b""), ""Distrito Federal, Brasil"",
REGEXEXTRACT(T342,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42" s="30"/>
      <c r="K342" s="24"/>
      <c r="L342" s="24"/>
      <c r="M342" s="25"/>
      <c r="N342" s="18" t="str">
        <f t="shared" si="8"/>
        <v/>
      </c>
      <c r="O342" s="17" t="s">
        <v>28</v>
      </c>
      <c r="P342" s="17" t="s">
        <v>251</v>
      </c>
      <c r="Q342" s="26">
        <v>45973.0</v>
      </c>
      <c r="R342" s="17"/>
      <c r="S342" s="36" t="str">
        <f t="shared" si="3"/>
        <v>#VALUE!</v>
      </c>
      <c r="T342" s="29"/>
      <c r="U342" s="29"/>
    </row>
    <row r="343">
      <c r="A343" s="16">
        <v>341.0</v>
      </c>
      <c r="B343" s="17"/>
      <c r="C343" s="18" t="str">
        <f>IFERROR(__xludf.DUMMYFUNCTION("IF(B343="""","""",IF(OR(
  REGEXMATCH(B343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REGEXMATCH(B343,""Notícia|Reportagem|Artigo de opinião|Verbete"")
),""Difusão"","""")))
"),"")</f>
        <v/>
      </c>
      <c r="D343" s="19" t="str">
        <f>IFERROR(__xludf.DUMMYFUNCTION("IF(B343="""","""",IF(OR(
  REGEXMATCH(B343,""Performance|Instalação|Álbum|Música|Poema|Livro|Filme|Documentário|Recitação|Espetáculo|Peça|Intervenção|Desfile|Fotografia|Exposição|Charge|Grafite|Leitura pública|Fabricação de cachaça artesanal""),
  REGEXMA"&amp;"TCH(B343,""dança|teatral|artístico|musical|artística"")
),""Manifestação artístico-cultural"",
IF(OR(
  REGEXMATCH(B343,""Crônica|Série|Reportagem|Podcast|Audiotour|Entrevista|Vídeo|Rádio|Notícia|Artigo de opinião|Coletiva de imprensa""),
  REGEXMATCH(B34"&amp;"3,""midiática"")
),""Produção midiática"","""")))
"),"")</f>
        <v/>
      </c>
      <c r="E343" s="20" t="str">
        <f>IFERROR(__xludf.DUMMYFUNCTION("IF(B343="""","""",IF(OR(
  REGEXMATCH(B343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REGEXMATCH(B343,""público|Imediato|artística|teatral|memória|Ação popular"")
),""Público Imediato"",
IF(REGEXMATCH(B343,""Música|Álbum|Filme|Documentár"&amp;"io|Série|Podcast|Rádio|Audiotour|Entrevista|Reportagem|Crônica|Relatório|Abaixo-assinado|Manifesto|Petição|Poema|Livro|Fotografia|Curta|Live|Webinário|Charge|Leitura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43" s="20" t="str">
        <f>IFERROR(__xludf.DUMMYFUNCTION("IF(B343="""","""",IF(OR(
  REGEXMATCH(B343,""Live|Webinário|Virtual|Verbete""),
  REGEXMATCH(B343,""online"")
),""Virtual"",
IF(REGEXMATCH(B343,""Música|Álbum|Filme|Documentário|Série|Podcast|Rádio|Audiotour|Episódio|Reportagem|Curta|Charge|Vídeo|Entrevis"&amp;"ta|Notícia|Artigo de opinião""),
""Midiático"",
IF(REGEXMATCH(B343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43" s="21" t="str">
        <f>IFERROR(__xludf.DUMMYFUNCTION("IF(C343=""rememoração"", ""Insira a data manualmente"", IF(C343=""difusão"", 
 IF(NOT(ISERROR(REGEXEXTRACT(T343, ""(\d{1,2}) jan\. 2025""))), 
  TEXT(DATE(2025,1,REGEXEXTRACT(T343, ""(\d{1,2}) jan\. 2025"")), ""dd/mm/yyyy""),
 IF(NOT(ISERROR(REGEXEXTRACT("&amp;"T343, ""(\d{1,2}) fev\. 2025""))), 
  TEXT(DATE(2025,2,REGEXEXTRACT(T343, ""(\d{1,2}) fev\. 2025"")), ""dd/mm/yyyy""),
 IF(NOT(ISERROR(REGEXEXTRACT(T343, ""(\d{1,2}) mar\. 2025""))), 
  TEXT(DATE(2025,3,REGEXEXTRACT(T343, ""(\d{1,2}) mar\. 2025"")), ""dd/"&amp;"mm/yyyy""),
 IF(NOT(ISERROR(REGEXEXTRACT(T343, ""(\d{1,2}) abr\. 2025""))), 
  TEXT(DATE(2025,4,REGEXEXTRACT(T343, ""(\d{1,2}) abr\. 2025"")), ""dd/mm/yyyy""),
 IF(NOT(ISERROR(REGEXEXTRACT(T343, ""(\d{1,2}) (mai|maio)\. 2025""))), 
  TEXT(DATE(2025,5,REGE"&amp;"XEXTRACT(T343, ""(\d{1,2}) (mai|maio)\. 2025"")), ""dd/mm/yyyy""),
 IF(NOT(ISERROR(REGEXEXTRACT(T343, ""(\d{1,2}) jun\. 2025""))), 
  TEXT(DATE(2025,6,REGEXEXTRACT(T343, ""(\d{1,2}) jun\. 2025"")), ""dd/mm/yyyy""),
 IF(NOT(ISERROR(REGEXEXTRACT(T343, ""(\d"&amp;"{1,2}) jul\. 2025""))), 
  TEXT(DATE(2025,7,REGEXEXTRACT(T343, ""(\d{1,2}) jul\. 2025"")), ""dd/mm/yyyy""),
 IF(NOT(ISERROR(REGEXEXTRACT(T343, ""(\d{1,2}) ago\. 2025""))), 
  TEXT(DATE(2025,8,REGEXEXTRACT(T343, ""(\d{1,2}) ago\. 2025"")), ""dd/mm/yyyy""),"&amp;"
 IF(NOT(ISERROR(REGEXEXTRACT(T343, ""(\d{1,2}) set\. 2025""))), 
  TEXT(DATE(2025,9,REGEXEXTRACT(T343, ""(\d{1,2}) set\. 2025"")), ""dd/mm/yyyy""),
 IF(NOT(ISERROR(REGEXEXTRACT(T343, ""(\d{1,2}) out\. 2025""))), 
  TEXT(DATE(2025,10,REGEXEXTRACT(T343, """&amp;"(\d{1,2}) out\. 2025"")), ""dd/mm/yyyy""),
 IF(NOT(ISERROR(REGEXEXTRACT(T343, ""(\d{1,2}) nov\. 2025""))), 
  TEXT(DATE(2025,11,REGEXEXTRACT(T343, ""(\d{1,2}) nov\. 2025"")), ""dd/mm/yyyy""),
 IF(NOT(ISERROR(REGEXEXTRACT(T343, ""(\d{1,2}) dez\. 2025""))),"&amp;" 
  TEXT(DATE(2025,12,REGEXEXTRACT(T343, ""(\d{1,2}) dez\. 2025"")), ""dd/mm/yyyy""),
 ""Insira a data manualmente"")))))))))))), """"))"),"")</f>
        <v/>
      </c>
      <c r="H343" s="22">
        <f t="shared" si="1"/>
        <v>0</v>
      </c>
      <c r="I343" s="18" t="str">
        <f>IFERROR(__xludf.DUMMYFUNCTION("IF(REGEXMATCH(T343,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IF(REGEXMATCH(T343, ""(?i)\bBrasília\b""), ""Distrito Federal, Brasil"",
REGEXEXTRACT(T343,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43" s="30"/>
      <c r="K343" s="24"/>
      <c r="L343" s="24"/>
      <c r="M343" s="25"/>
      <c r="N343" s="18" t="str">
        <f t="shared" si="8"/>
        <v/>
      </c>
      <c r="O343" s="17" t="s">
        <v>28</v>
      </c>
      <c r="P343" s="17" t="s">
        <v>251</v>
      </c>
      <c r="Q343" s="26">
        <v>45973.0</v>
      </c>
      <c r="R343" s="17"/>
      <c r="S343" s="36" t="str">
        <f t="shared" si="3"/>
        <v>#VALUE!</v>
      </c>
      <c r="T343" s="29"/>
      <c r="U343" s="29"/>
    </row>
    <row r="344">
      <c r="A344" s="16">
        <v>342.0</v>
      </c>
      <c r="B344" s="17"/>
      <c r="C344" s="18" t="str">
        <f>IFERROR(__xludf.DUMMYFUNCTION("IF(B344="""","""",IF(OR(
  REGEXMATCH(B344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REGEXMATCH(B344,""Notícia|Reportagem|Artigo de opinião|Verbete"")
),""Difusão"","""")))
"),"")</f>
        <v/>
      </c>
      <c r="D344" s="19" t="str">
        <f>IFERROR(__xludf.DUMMYFUNCTION("IF(B344="""","""",IF(OR(
  REGEXMATCH(B344,""Performance|Instalação|Álbum|Música|Poema|Livro|Filme|Documentário|Recitação|Espetáculo|Peça|Intervenção|Desfile|Fotografia|Exposição|Charge|Grafite|Leitura pública|Fabricação de cachaça artesanal""),
  REGEXMA"&amp;"TCH(B344,""dança|teatral|artístico|musical|artística"")
),""Manifestação artístico-cultural"",
IF(OR(
  REGEXMATCH(B344,""Crônica|Série|Reportagem|Podcast|Audiotour|Entrevista|Vídeo|Rádio|Notícia|Artigo de opinião|Coletiva de imprensa""),
  REGEXMATCH(B34"&amp;"4,""midiática"")
),""Produção midiática"","""")))
"),"")</f>
        <v/>
      </c>
      <c r="E344" s="20" t="str">
        <f>IFERROR(__xludf.DUMMYFUNCTION("IF(B344="""","""",IF(OR(
  REGEXMATCH(B344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REGEXMATCH(B344,""público|Imediato|artística|teatral|memória|Ação popular"")
),""Público Imediato"",
IF(REGEXMATCH(B344,""Música|Álbum|Filme|Documentár"&amp;"io|Série|Podcast|Rádio|Audiotour|Entrevista|Reportagem|Crônica|Relatório|Abaixo-assinado|Manifesto|Petição|Poema|Livro|Fotografia|Curta|Live|Webinário|Charge|Leitura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44" s="20" t="str">
        <f>IFERROR(__xludf.DUMMYFUNCTION("IF(B344="""","""",IF(OR(
  REGEXMATCH(B344,""Live|Webinário|Virtual|Verbete""),
  REGEXMATCH(B344,""online"")
),""Virtual"",
IF(REGEXMATCH(B344,""Música|Álbum|Filme|Documentário|Série|Podcast|Rádio|Audiotour|Episódio|Reportagem|Curta|Charge|Vídeo|Entrevis"&amp;"ta|Notícia|Artigo de opinião""),
""Midiático"",
IF(REGEXMATCH(B344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44" s="21" t="str">
        <f>IFERROR(__xludf.DUMMYFUNCTION("IF(C344=""rememoração"", ""Insira a data manualmente"", IF(C344=""difusão"", 
 IF(NOT(ISERROR(REGEXEXTRACT(T344, ""(\d{1,2}) jan\. 2025""))), 
  TEXT(DATE(2025,1,REGEXEXTRACT(T344, ""(\d{1,2}) jan\. 2025"")), ""dd/mm/yyyy""),
 IF(NOT(ISERROR(REGEXEXTRACT("&amp;"T344, ""(\d{1,2}) fev\. 2025""))), 
  TEXT(DATE(2025,2,REGEXEXTRACT(T344, ""(\d{1,2}) fev\. 2025"")), ""dd/mm/yyyy""),
 IF(NOT(ISERROR(REGEXEXTRACT(T344, ""(\d{1,2}) mar\. 2025""))), 
  TEXT(DATE(2025,3,REGEXEXTRACT(T344, ""(\d{1,2}) mar\. 2025"")), ""dd/"&amp;"mm/yyyy""),
 IF(NOT(ISERROR(REGEXEXTRACT(T344, ""(\d{1,2}) abr\. 2025""))), 
  TEXT(DATE(2025,4,REGEXEXTRACT(T344, ""(\d{1,2}) abr\. 2025"")), ""dd/mm/yyyy""),
 IF(NOT(ISERROR(REGEXEXTRACT(T344, ""(\d{1,2}) (mai|maio)\. 2025""))), 
  TEXT(DATE(2025,5,REGE"&amp;"XEXTRACT(T344, ""(\d{1,2}) (mai|maio)\. 2025"")), ""dd/mm/yyyy""),
 IF(NOT(ISERROR(REGEXEXTRACT(T344, ""(\d{1,2}) jun\. 2025""))), 
  TEXT(DATE(2025,6,REGEXEXTRACT(T344, ""(\d{1,2}) jun\. 2025"")), ""dd/mm/yyyy""),
 IF(NOT(ISERROR(REGEXEXTRACT(T344, ""(\d"&amp;"{1,2}) jul\. 2025""))), 
  TEXT(DATE(2025,7,REGEXEXTRACT(T344, ""(\d{1,2}) jul\. 2025"")), ""dd/mm/yyyy""),
 IF(NOT(ISERROR(REGEXEXTRACT(T344, ""(\d{1,2}) ago\. 2025""))), 
  TEXT(DATE(2025,8,REGEXEXTRACT(T344, ""(\d{1,2}) ago\. 2025"")), ""dd/mm/yyyy""),"&amp;"
 IF(NOT(ISERROR(REGEXEXTRACT(T344, ""(\d{1,2}) set\. 2025""))), 
  TEXT(DATE(2025,9,REGEXEXTRACT(T344, ""(\d{1,2}) set\. 2025"")), ""dd/mm/yyyy""),
 IF(NOT(ISERROR(REGEXEXTRACT(T344, ""(\d{1,2}) out\. 2025""))), 
  TEXT(DATE(2025,10,REGEXEXTRACT(T344, """&amp;"(\d{1,2}) out\. 2025"")), ""dd/mm/yyyy""),
 IF(NOT(ISERROR(REGEXEXTRACT(T344, ""(\d{1,2}) nov\. 2025""))), 
  TEXT(DATE(2025,11,REGEXEXTRACT(T344, ""(\d{1,2}) nov\. 2025"")), ""dd/mm/yyyy""),
 IF(NOT(ISERROR(REGEXEXTRACT(T344, ""(\d{1,2}) dez\. 2025""))),"&amp;" 
  TEXT(DATE(2025,12,REGEXEXTRACT(T344, ""(\d{1,2}) dez\. 2025"")), ""dd/mm/yyyy""),
 ""Insira a data manualmente"")))))))))))), """"))"),"")</f>
        <v/>
      </c>
      <c r="H344" s="22">
        <f t="shared" si="1"/>
        <v>0</v>
      </c>
      <c r="I344" s="18" t="str">
        <f>IFERROR(__xludf.DUMMYFUNCTION("IF(REGEXMATCH(T344,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IF(REGEXMATCH(T344, ""(?i)\bBrasília\b""), ""Distrito Federal, Brasil"",
REGEXEXTRACT(T344,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44" s="30"/>
      <c r="K344" s="24"/>
      <c r="L344" s="24"/>
      <c r="M344" s="25"/>
      <c r="N344" s="18" t="str">
        <f t="shared" si="8"/>
        <v/>
      </c>
      <c r="O344" s="17" t="s">
        <v>28</v>
      </c>
      <c r="P344" s="17" t="s">
        <v>251</v>
      </c>
      <c r="Q344" s="26">
        <v>45973.0</v>
      </c>
      <c r="R344" s="17"/>
      <c r="S344" s="36" t="str">
        <f t="shared" si="3"/>
        <v>#VALUE!</v>
      </c>
      <c r="T344" s="29"/>
      <c r="U344" s="29"/>
    </row>
    <row r="345">
      <c r="A345" s="16">
        <v>343.0</v>
      </c>
      <c r="B345" s="17"/>
      <c r="C345" s="18" t="str">
        <f>IFERROR(__xludf.DUMMYFUNCTION("IF(B345="""","""",IF(OR(
  REGEXMATCH(B345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REGEXMATCH(B345,""Notícia|Reportagem|Artigo de opinião|Verbete"")
),""Difusão"","""")))
"),"")</f>
        <v/>
      </c>
      <c r="D345" s="19" t="str">
        <f>IFERROR(__xludf.DUMMYFUNCTION("IF(B345="""","""",IF(OR(
  REGEXMATCH(B345,""Performance|Instalação|Álbum|Música|Poema|Livro|Filme|Documentário|Recitação|Espetáculo|Peça|Intervenção|Desfile|Fotografia|Exposição|Charge|Grafite|Leitura pública|Fabricação de cachaça artesanal""),
  REGEXMA"&amp;"TCH(B345,""dança|teatral|artístico|musical|artística"")
),""Manifestação artístico-cultural"",
IF(OR(
  REGEXMATCH(B345,""Crônica|Série|Reportagem|Podcast|Audiotour|Entrevista|Vídeo|Rádio|Notícia|Artigo de opinião|Coletiva de imprensa""),
  REGEXMATCH(B34"&amp;"5,""midiática"")
),""Produção midiática"","""")))
"),"")</f>
        <v/>
      </c>
      <c r="E345" s="20" t="str">
        <f>IFERROR(__xludf.DUMMYFUNCTION("IF(B345="""","""",IF(OR(
  REGEXMATCH(B345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REGEXMATCH(B345,""público|Imediato|artística|teatral|memória|Ação popular"")
),""Público Imediato"",
IF(REGEXMATCH(B345,""Música|Álbum|Filme|Documentár"&amp;"io|Série|Podcast|Rádio|Audiotour|Entrevista|Reportagem|Crônica|Relatório|Abaixo-assinado|Manifesto|Petição|Poema|Livro|Fotografia|Curta|Live|Webinário|Charge|Leitura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45" s="20" t="str">
        <f>IFERROR(__xludf.DUMMYFUNCTION("IF(B345="""","""",IF(OR(
  REGEXMATCH(B345,""Live|Webinário|Virtual|Verbete""),
  REGEXMATCH(B345,""online"")
),""Virtual"",
IF(REGEXMATCH(B345,""Música|Álbum|Filme|Documentário|Série|Podcast|Rádio|Audiotour|Episódio|Reportagem|Curta|Charge|Vídeo|Entrevis"&amp;"ta|Notícia|Artigo de opinião""),
""Midiático"",
IF(REGEXMATCH(B345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45" s="21" t="str">
        <f>IFERROR(__xludf.DUMMYFUNCTION("IF(C345=""rememoração"", ""Insira a data manualmente"", IF(C345=""difusão"", 
 IF(NOT(ISERROR(REGEXEXTRACT(T345, ""(\d{1,2}) jan\. 2025""))), 
  TEXT(DATE(2025,1,REGEXEXTRACT(T345, ""(\d{1,2}) jan\. 2025"")), ""dd/mm/yyyy""),
 IF(NOT(ISERROR(REGEXEXTRACT("&amp;"T345, ""(\d{1,2}) fev\. 2025""))), 
  TEXT(DATE(2025,2,REGEXEXTRACT(T345, ""(\d{1,2}) fev\. 2025"")), ""dd/mm/yyyy""),
 IF(NOT(ISERROR(REGEXEXTRACT(T345, ""(\d{1,2}) mar\. 2025""))), 
  TEXT(DATE(2025,3,REGEXEXTRACT(T345, ""(\d{1,2}) mar\. 2025"")), ""dd/"&amp;"mm/yyyy""),
 IF(NOT(ISERROR(REGEXEXTRACT(T345, ""(\d{1,2}) abr\. 2025""))), 
  TEXT(DATE(2025,4,REGEXEXTRACT(T345, ""(\d{1,2}) abr\. 2025"")), ""dd/mm/yyyy""),
 IF(NOT(ISERROR(REGEXEXTRACT(T345, ""(\d{1,2}) (mai|maio)\. 2025""))), 
  TEXT(DATE(2025,5,REGE"&amp;"XEXTRACT(T345, ""(\d{1,2}) (mai|maio)\. 2025"")), ""dd/mm/yyyy""),
 IF(NOT(ISERROR(REGEXEXTRACT(T345, ""(\d{1,2}) jun\. 2025""))), 
  TEXT(DATE(2025,6,REGEXEXTRACT(T345, ""(\d{1,2}) jun\. 2025"")), ""dd/mm/yyyy""),
 IF(NOT(ISERROR(REGEXEXTRACT(T345, ""(\d"&amp;"{1,2}) jul\. 2025""))), 
  TEXT(DATE(2025,7,REGEXEXTRACT(T345, ""(\d{1,2}) jul\. 2025"")), ""dd/mm/yyyy""),
 IF(NOT(ISERROR(REGEXEXTRACT(T345, ""(\d{1,2}) ago\. 2025""))), 
  TEXT(DATE(2025,8,REGEXEXTRACT(T345, ""(\d{1,2}) ago\. 2025"")), ""dd/mm/yyyy""),"&amp;"
 IF(NOT(ISERROR(REGEXEXTRACT(T345, ""(\d{1,2}) set\. 2025""))), 
  TEXT(DATE(2025,9,REGEXEXTRACT(T345, ""(\d{1,2}) set\. 2025"")), ""dd/mm/yyyy""),
 IF(NOT(ISERROR(REGEXEXTRACT(T345, ""(\d{1,2}) out\. 2025""))), 
  TEXT(DATE(2025,10,REGEXEXTRACT(T345, """&amp;"(\d{1,2}) out\. 2025"")), ""dd/mm/yyyy""),
 IF(NOT(ISERROR(REGEXEXTRACT(T345, ""(\d{1,2}) nov\. 2025""))), 
  TEXT(DATE(2025,11,REGEXEXTRACT(T345, ""(\d{1,2}) nov\. 2025"")), ""dd/mm/yyyy""),
 IF(NOT(ISERROR(REGEXEXTRACT(T345, ""(\d{1,2}) dez\. 2025""))),"&amp;" 
  TEXT(DATE(2025,12,REGEXEXTRACT(T345, ""(\d{1,2}) dez\. 2025"")), ""dd/mm/yyyy""),
 ""Insira a data manualmente"")))))))))))), """"))"),"")</f>
        <v/>
      </c>
      <c r="H345" s="22">
        <f t="shared" si="1"/>
        <v>0</v>
      </c>
      <c r="I345" s="18" t="str">
        <f>IFERROR(__xludf.DUMMYFUNCTION("IF(REGEXMATCH(T345,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IF(REGEXMATCH(T345, ""(?i)\bBrasília\b""), ""Distrito Federal, Brasil"",
REGEXEXTRACT(T345,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45" s="30"/>
      <c r="K345" s="24"/>
      <c r="L345" s="24"/>
      <c r="M345" s="25"/>
      <c r="N345" s="18" t="str">
        <f t="shared" si="8"/>
        <v/>
      </c>
      <c r="O345" s="17" t="s">
        <v>28</v>
      </c>
      <c r="P345" s="17" t="s">
        <v>251</v>
      </c>
      <c r="Q345" s="26">
        <v>45973.0</v>
      </c>
      <c r="R345" s="17"/>
      <c r="S345" s="36" t="str">
        <f t="shared" si="3"/>
        <v>#VALUE!</v>
      </c>
      <c r="T345" s="29"/>
      <c r="U345" s="29"/>
    </row>
    <row r="346">
      <c r="A346" s="16">
        <v>344.0</v>
      </c>
      <c r="B346" s="17"/>
      <c r="C346" s="18" t="str">
        <f>IFERROR(__xludf.DUMMYFUNCTION("IF(B346="""","""",IF(OR(
  REGEXMATCH(B346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REGEXMATCH(B346,""Notícia|Reportagem|Artigo de opinião|Verbete"")
),""Difusão"","""")))
"),"")</f>
        <v/>
      </c>
      <c r="D346" s="19" t="str">
        <f>IFERROR(__xludf.DUMMYFUNCTION("IF(B346="""","""",IF(OR(
  REGEXMATCH(B346,""Performance|Instalação|Álbum|Música|Poema|Livro|Filme|Documentário|Recitação|Espetáculo|Peça|Intervenção|Desfile|Fotografia|Exposição|Charge|Grafite|Leitura pública|Fabricação de cachaça artesanal""),
  REGEXMA"&amp;"TCH(B346,""dança|teatral|artístico|musical|artística"")
),""Manifestação artístico-cultural"",
IF(OR(
  REGEXMATCH(B346,""Crônica|Série|Reportagem|Podcast|Audiotour|Entrevista|Vídeo|Rádio|Notícia|Artigo de opinião|Coletiva de imprensa""),
  REGEXMATCH(B34"&amp;"6,""midiática"")
),""Produção midiática"","""")))
"),"")</f>
        <v/>
      </c>
      <c r="E346" s="20" t="str">
        <f>IFERROR(__xludf.DUMMYFUNCTION("IF(B346="""","""",IF(OR(
  REGEXMATCH(B346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REGEXMATCH(B346,""público|Imediato|artística|teatral|memória|Ação popular"")
),""Público Imediato"",
IF(REGEXMATCH(B346,""Música|Álbum|Filme|Documentár"&amp;"io|Série|Podcast|Rádio|Audiotour|Entrevista|Reportagem|Crônica|Relatório|Abaixo-assinado|Manifesto|Petição|Poema|Livro|Fotografia|Curta|Live|Webinário|Charge|Leitura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46" s="20" t="str">
        <f>IFERROR(__xludf.DUMMYFUNCTION("IF(B346="""","""",IF(OR(
  REGEXMATCH(B346,""Live|Webinário|Virtual|Verbete""),
  REGEXMATCH(B346,""online"")
),""Virtual"",
IF(REGEXMATCH(B346,""Música|Álbum|Filme|Documentário|Série|Podcast|Rádio|Audiotour|Episódio|Reportagem|Curta|Charge|Vídeo|Entrevis"&amp;"ta|Notícia|Artigo de opinião""),
""Midiático"",
IF(REGEXMATCH(B346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46" s="21" t="str">
        <f>IFERROR(__xludf.DUMMYFUNCTION("IF(C346=""rememoração"", ""Insira a data manualmente"", IF(C346=""difusão"", 
 IF(NOT(ISERROR(REGEXEXTRACT(T346, ""(\d{1,2}) jan\. 2025""))), 
  TEXT(DATE(2025,1,REGEXEXTRACT(T346, ""(\d{1,2}) jan\. 2025"")), ""dd/mm/yyyy""),
 IF(NOT(ISERROR(REGEXEXTRACT("&amp;"T346, ""(\d{1,2}) fev\. 2025""))), 
  TEXT(DATE(2025,2,REGEXEXTRACT(T346, ""(\d{1,2}) fev\. 2025"")), ""dd/mm/yyyy""),
 IF(NOT(ISERROR(REGEXEXTRACT(T346, ""(\d{1,2}) mar\. 2025""))), 
  TEXT(DATE(2025,3,REGEXEXTRACT(T346, ""(\d{1,2}) mar\. 2025"")), ""dd/"&amp;"mm/yyyy""),
 IF(NOT(ISERROR(REGEXEXTRACT(T346, ""(\d{1,2}) abr\. 2025""))), 
  TEXT(DATE(2025,4,REGEXEXTRACT(T346, ""(\d{1,2}) abr\. 2025"")), ""dd/mm/yyyy""),
 IF(NOT(ISERROR(REGEXEXTRACT(T346, ""(\d{1,2}) (mai|maio)\. 2025""))), 
  TEXT(DATE(2025,5,REGE"&amp;"XEXTRACT(T346, ""(\d{1,2}) (mai|maio)\. 2025"")), ""dd/mm/yyyy""),
 IF(NOT(ISERROR(REGEXEXTRACT(T346, ""(\d{1,2}) jun\. 2025""))), 
  TEXT(DATE(2025,6,REGEXEXTRACT(T346, ""(\d{1,2}) jun\. 2025"")), ""dd/mm/yyyy""),
 IF(NOT(ISERROR(REGEXEXTRACT(T346, ""(\d"&amp;"{1,2}) jul\. 2025""))), 
  TEXT(DATE(2025,7,REGEXEXTRACT(T346, ""(\d{1,2}) jul\. 2025"")), ""dd/mm/yyyy""),
 IF(NOT(ISERROR(REGEXEXTRACT(T346, ""(\d{1,2}) ago\. 2025""))), 
  TEXT(DATE(2025,8,REGEXEXTRACT(T346, ""(\d{1,2}) ago\. 2025"")), ""dd/mm/yyyy""),"&amp;"
 IF(NOT(ISERROR(REGEXEXTRACT(T346, ""(\d{1,2}) set\. 2025""))), 
  TEXT(DATE(2025,9,REGEXEXTRACT(T346, ""(\d{1,2}) set\. 2025"")), ""dd/mm/yyyy""),
 IF(NOT(ISERROR(REGEXEXTRACT(T346, ""(\d{1,2}) out\. 2025""))), 
  TEXT(DATE(2025,10,REGEXEXTRACT(T346, """&amp;"(\d{1,2}) out\. 2025"")), ""dd/mm/yyyy""),
 IF(NOT(ISERROR(REGEXEXTRACT(T346, ""(\d{1,2}) nov\. 2025""))), 
  TEXT(DATE(2025,11,REGEXEXTRACT(T346, ""(\d{1,2}) nov\. 2025"")), ""dd/mm/yyyy""),
 IF(NOT(ISERROR(REGEXEXTRACT(T346, ""(\d{1,2}) dez\. 2025""))),"&amp;" 
  TEXT(DATE(2025,12,REGEXEXTRACT(T346, ""(\d{1,2}) dez\. 2025"")), ""dd/mm/yyyy""),
 ""Insira a data manualmente"")))))))))))), """"))"),"")</f>
        <v/>
      </c>
      <c r="H346" s="22">
        <f t="shared" si="1"/>
        <v>0</v>
      </c>
      <c r="I346" s="18" t="str">
        <f>IFERROR(__xludf.DUMMYFUNCTION("IF(REGEXMATCH(T346,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IF(REGEXMATCH(T346, ""(?i)\bBrasília\b""), ""Distrito Federal, Brasil"",
REGEXEXTRACT(T346,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46" s="30"/>
      <c r="K346" s="24"/>
      <c r="L346" s="24"/>
      <c r="M346" s="25"/>
      <c r="N346" s="18" t="str">
        <f t="shared" si="8"/>
        <v/>
      </c>
      <c r="O346" s="17" t="s">
        <v>28</v>
      </c>
      <c r="P346" s="17" t="s">
        <v>251</v>
      </c>
      <c r="Q346" s="26">
        <v>45973.0</v>
      </c>
      <c r="R346" s="17"/>
      <c r="S346" s="36" t="str">
        <f t="shared" si="3"/>
        <v>#VALUE!</v>
      </c>
      <c r="T346" s="29"/>
      <c r="U346" s="29"/>
    </row>
    <row r="347">
      <c r="A347" s="16">
        <v>345.0</v>
      </c>
      <c r="B347" s="17"/>
      <c r="C347" s="18" t="str">
        <f>IFERROR(__xludf.DUMMYFUNCTION("IF(B347="""","""",IF(OR(
  REGEXMATCH(B347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REGEXMATCH(B347,""Notícia|Reportagem|Artigo de opinião|Verbete"")
),""Difusão"","""")))
"),"")</f>
        <v/>
      </c>
      <c r="D347" s="19" t="str">
        <f>IFERROR(__xludf.DUMMYFUNCTION("IF(B347="""","""",IF(OR(
  REGEXMATCH(B347,""Performance|Instalação|Álbum|Música|Poema|Livro|Filme|Documentário|Recitação|Espetáculo|Peça|Intervenção|Desfile|Fotografia|Exposição|Charge|Grafite|Leitura pública|Fabricação de cachaça artesanal""),
  REGEXMA"&amp;"TCH(B347,""dança|teatral|artístico|musical|artística"")
),""Manifestação artístico-cultural"",
IF(OR(
  REGEXMATCH(B347,""Crônica|Série|Reportagem|Podcast|Audiotour|Entrevista|Vídeo|Rádio|Notícia|Artigo de opinião|Coletiva de imprensa""),
  REGEXMATCH(B34"&amp;"7,""midiática"")
),""Produção midiática"","""")))
"),"")</f>
        <v/>
      </c>
      <c r="E347" s="20" t="str">
        <f>IFERROR(__xludf.DUMMYFUNCTION("IF(B347="""","""",IF(OR(
  REGEXMATCH(B347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REGEXMATCH(B347,""público|Imediato|artística|teatral|memória|Ação popular"")
),""Público Imediato"",
IF(REGEXMATCH(B347,""Música|Álbum|Filme|Documentár"&amp;"io|Série|Podcast|Rádio|Audiotour|Entrevista|Reportagem|Crônica|Relatório|Abaixo-assinado|Manifesto|Petição|Poema|Livro|Fotografia|Curta|Live|Webinário|Charge|Leitura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47" s="20" t="str">
        <f>IFERROR(__xludf.DUMMYFUNCTION("IF(B347="""","""",IF(OR(
  REGEXMATCH(B347,""Live|Webinário|Virtual|Verbete""),
  REGEXMATCH(B347,""online"")
),""Virtual"",
IF(REGEXMATCH(B347,""Música|Álbum|Filme|Documentário|Série|Podcast|Rádio|Audiotour|Episódio|Reportagem|Curta|Charge|Vídeo|Entrevis"&amp;"ta|Notícia|Artigo de opinião""),
""Midiático"",
IF(REGEXMATCH(B347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47" s="21" t="str">
        <f>IFERROR(__xludf.DUMMYFUNCTION("IF(C347=""rememoração"", ""Insira a data manualmente"", IF(C347=""difusão"", 
 IF(NOT(ISERROR(REGEXEXTRACT(T347, ""(\d{1,2}) jan\. 2025""))), 
  TEXT(DATE(2025,1,REGEXEXTRACT(T347, ""(\d{1,2}) jan\. 2025"")), ""dd/mm/yyyy""),
 IF(NOT(ISERROR(REGEXEXTRACT("&amp;"T347, ""(\d{1,2}) fev\. 2025""))), 
  TEXT(DATE(2025,2,REGEXEXTRACT(T347, ""(\d{1,2}) fev\. 2025"")), ""dd/mm/yyyy""),
 IF(NOT(ISERROR(REGEXEXTRACT(T347, ""(\d{1,2}) mar\. 2025""))), 
  TEXT(DATE(2025,3,REGEXEXTRACT(T347, ""(\d{1,2}) mar\. 2025"")), ""dd/"&amp;"mm/yyyy""),
 IF(NOT(ISERROR(REGEXEXTRACT(T347, ""(\d{1,2}) abr\. 2025""))), 
  TEXT(DATE(2025,4,REGEXEXTRACT(T347, ""(\d{1,2}) abr\. 2025"")), ""dd/mm/yyyy""),
 IF(NOT(ISERROR(REGEXEXTRACT(T347, ""(\d{1,2}) (mai|maio)\. 2025""))), 
  TEXT(DATE(2025,5,REGE"&amp;"XEXTRACT(T347, ""(\d{1,2}) (mai|maio)\. 2025"")), ""dd/mm/yyyy""),
 IF(NOT(ISERROR(REGEXEXTRACT(T347, ""(\d{1,2}) jun\. 2025""))), 
  TEXT(DATE(2025,6,REGEXEXTRACT(T347, ""(\d{1,2}) jun\. 2025"")), ""dd/mm/yyyy""),
 IF(NOT(ISERROR(REGEXEXTRACT(T347, ""(\d"&amp;"{1,2}) jul\. 2025""))), 
  TEXT(DATE(2025,7,REGEXEXTRACT(T347, ""(\d{1,2}) jul\. 2025"")), ""dd/mm/yyyy""),
 IF(NOT(ISERROR(REGEXEXTRACT(T347, ""(\d{1,2}) ago\. 2025""))), 
  TEXT(DATE(2025,8,REGEXEXTRACT(T347, ""(\d{1,2}) ago\. 2025"")), ""dd/mm/yyyy""),"&amp;"
 IF(NOT(ISERROR(REGEXEXTRACT(T347, ""(\d{1,2}) set\. 2025""))), 
  TEXT(DATE(2025,9,REGEXEXTRACT(T347, ""(\d{1,2}) set\. 2025"")), ""dd/mm/yyyy""),
 IF(NOT(ISERROR(REGEXEXTRACT(T347, ""(\d{1,2}) out\. 2025""))), 
  TEXT(DATE(2025,10,REGEXEXTRACT(T347, """&amp;"(\d{1,2}) out\. 2025"")), ""dd/mm/yyyy""),
 IF(NOT(ISERROR(REGEXEXTRACT(T347, ""(\d{1,2}) nov\. 2025""))), 
  TEXT(DATE(2025,11,REGEXEXTRACT(T347, ""(\d{1,2}) nov\. 2025"")), ""dd/mm/yyyy""),
 IF(NOT(ISERROR(REGEXEXTRACT(T347, ""(\d{1,2}) dez\. 2025""))),"&amp;" 
  TEXT(DATE(2025,12,REGEXEXTRACT(T347, ""(\d{1,2}) dez\. 2025"")), ""dd/mm/yyyy""),
 ""Insira a data manualmente"")))))))))))), """"))"),"")</f>
        <v/>
      </c>
      <c r="H347" s="22">
        <f t="shared" si="1"/>
        <v>0</v>
      </c>
      <c r="I347" s="18" t="str">
        <f>IFERROR(__xludf.DUMMYFUNCTION("IF(REGEXMATCH(T347,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IF(REGEXMATCH(T347, ""(?i)\bBrasília\b""), ""Distrito Federal, Brasil"",
REGEXEXTRACT(T347,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47" s="30"/>
      <c r="K347" s="24"/>
      <c r="L347" s="24"/>
      <c r="M347" s="25"/>
      <c r="N347" s="18" t="str">
        <f t="shared" si="8"/>
        <v/>
      </c>
      <c r="O347" s="17" t="s">
        <v>28</v>
      </c>
      <c r="P347" s="17" t="s">
        <v>251</v>
      </c>
      <c r="Q347" s="26">
        <v>45973.0</v>
      </c>
      <c r="R347" s="17"/>
      <c r="S347" s="36" t="str">
        <f t="shared" si="3"/>
        <v>#VALUE!</v>
      </c>
      <c r="T347" s="29"/>
      <c r="U347" s="29"/>
    </row>
    <row r="348">
      <c r="A348" s="16">
        <v>346.0</v>
      </c>
      <c r="B348" s="17"/>
      <c r="C348" s="18" t="str">
        <f>IFERROR(__xludf.DUMMYFUNCTION("IF(B348="""","""",IF(OR(
  REGEXMATCH(B348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REGEXMATCH(B348,""Notícia|Reportagem|Artigo de opinião|Verbete"")
),""Difusão"","""")))
"),"")</f>
        <v/>
      </c>
      <c r="D348" s="19" t="str">
        <f>IFERROR(__xludf.DUMMYFUNCTION("IF(B348="""","""",IF(OR(
  REGEXMATCH(B348,""Performance|Instalação|Álbum|Música|Poema|Livro|Filme|Documentário|Recitação|Espetáculo|Peça|Intervenção|Desfile|Fotografia|Exposição|Charge|Grafite|Leitura pública|Fabricação de cachaça artesanal""),
  REGEXMA"&amp;"TCH(B348,""dança|teatral|artístico|musical|artística"")
),""Manifestação artístico-cultural"",
IF(OR(
  REGEXMATCH(B348,""Crônica|Série|Reportagem|Podcast|Audiotour|Entrevista|Vídeo|Rádio|Notícia|Artigo de opinião|Coletiva de imprensa""),
  REGEXMATCH(B34"&amp;"8,""midiática"")
),""Produção midiática"","""")))
"),"")</f>
        <v/>
      </c>
      <c r="E348" s="20" t="str">
        <f>IFERROR(__xludf.DUMMYFUNCTION("IF(B348="""","""",IF(OR(
  REGEXMATCH(B348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REGEXMATCH(B348,""público|Imediato|artística|teatral|memória|Ação popular"")
),""Público Imediato"",
IF(REGEXMATCH(B348,""Música|Álbum|Filme|Documentár"&amp;"io|Série|Podcast|Rádio|Audiotour|Entrevista|Reportagem|Crônica|Relatório|Abaixo-assinado|Manifesto|Petição|Poema|Livro|Fotografia|Curta|Live|Webinário|Charge|Leitura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48" s="20" t="str">
        <f>IFERROR(__xludf.DUMMYFUNCTION("IF(B348="""","""",IF(OR(
  REGEXMATCH(B348,""Live|Webinário|Virtual|Verbete""),
  REGEXMATCH(B348,""online"")
),""Virtual"",
IF(REGEXMATCH(B348,""Música|Álbum|Filme|Documentário|Série|Podcast|Rádio|Audiotour|Episódio|Reportagem|Curta|Charge|Vídeo|Entrevis"&amp;"ta|Notícia|Artigo de opinião""),
""Midiático"",
IF(REGEXMATCH(B348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48" s="21" t="str">
        <f>IFERROR(__xludf.DUMMYFUNCTION("IF(C348=""rememoração"", ""Insira a data manualmente"", IF(C348=""difusão"", 
 IF(NOT(ISERROR(REGEXEXTRACT(T348, ""(\d{1,2}) jan\. 2025""))), 
  TEXT(DATE(2025,1,REGEXEXTRACT(T348, ""(\d{1,2}) jan\. 2025"")), ""dd/mm/yyyy""),
 IF(NOT(ISERROR(REGEXEXTRACT("&amp;"T348, ""(\d{1,2}) fev\. 2025""))), 
  TEXT(DATE(2025,2,REGEXEXTRACT(T348, ""(\d{1,2}) fev\. 2025"")), ""dd/mm/yyyy""),
 IF(NOT(ISERROR(REGEXEXTRACT(T348, ""(\d{1,2}) mar\. 2025""))), 
  TEXT(DATE(2025,3,REGEXEXTRACT(T348, ""(\d{1,2}) mar\. 2025"")), ""dd/"&amp;"mm/yyyy""),
 IF(NOT(ISERROR(REGEXEXTRACT(T348, ""(\d{1,2}) abr\. 2025""))), 
  TEXT(DATE(2025,4,REGEXEXTRACT(T348, ""(\d{1,2}) abr\. 2025"")), ""dd/mm/yyyy""),
 IF(NOT(ISERROR(REGEXEXTRACT(T348, ""(\d{1,2}) (mai|maio)\. 2025""))), 
  TEXT(DATE(2025,5,REGE"&amp;"XEXTRACT(T348, ""(\d{1,2}) (mai|maio)\. 2025"")), ""dd/mm/yyyy""),
 IF(NOT(ISERROR(REGEXEXTRACT(T348, ""(\d{1,2}) jun\. 2025""))), 
  TEXT(DATE(2025,6,REGEXEXTRACT(T348, ""(\d{1,2}) jun\. 2025"")), ""dd/mm/yyyy""),
 IF(NOT(ISERROR(REGEXEXTRACT(T348, ""(\d"&amp;"{1,2}) jul\. 2025""))), 
  TEXT(DATE(2025,7,REGEXEXTRACT(T348, ""(\d{1,2}) jul\. 2025"")), ""dd/mm/yyyy""),
 IF(NOT(ISERROR(REGEXEXTRACT(T348, ""(\d{1,2}) ago\. 2025""))), 
  TEXT(DATE(2025,8,REGEXEXTRACT(T348, ""(\d{1,2}) ago\. 2025"")), ""dd/mm/yyyy""),"&amp;"
 IF(NOT(ISERROR(REGEXEXTRACT(T348, ""(\d{1,2}) set\. 2025""))), 
  TEXT(DATE(2025,9,REGEXEXTRACT(T348, ""(\d{1,2}) set\. 2025"")), ""dd/mm/yyyy""),
 IF(NOT(ISERROR(REGEXEXTRACT(T348, ""(\d{1,2}) out\. 2025""))), 
  TEXT(DATE(2025,10,REGEXEXTRACT(T348, """&amp;"(\d{1,2}) out\. 2025"")), ""dd/mm/yyyy""),
 IF(NOT(ISERROR(REGEXEXTRACT(T348, ""(\d{1,2}) nov\. 2025""))), 
  TEXT(DATE(2025,11,REGEXEXTRACT(T348, ""(\d{1,2}) nov\. 2025"")), ""dd/mm/yyyy""),
 IF(NOT(ISERROR(REGEXEXTRACT(T348, ""(\d{1,2}) dez\. 2025""))),"&amp;" 
  TEXT(DATE(2025,12,REGEXEXTRACT(T348, ""(\d{1,2}) dez\. 2025"")), ""dd/mm/yyyy""),
 ""Insira a data manualmente"")))))))))))), """"))"),"")</f>
        <v/>
      </c>
      <c r="H348" s="22">
        <f t="shared" si="1"/>
        <v>0</v>
      </c>
      <c r="I348" s="18" t="str">
        <f>IFERROR(__xludf.DUMMYFUNCTION("IF(REGEXMATCH(T348,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IF(REGEXMATCH(T348, ""(?i)\bBrasília\b""), ""Distrito Federal, Brasil"",
REGEXEXTRACT(T348,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48" s="30"/>
      <c r="K348" s="24"/>
      <c r="L348" s="24"/>
      <c r="M348" s="25"/>
      <c r="N348" s="18" t="str">
        <f t="shared" si="8"/>
        <v/>
      </c>
      <c r="O348" s="17" t="s">
        <v>28</v>
      </c>
      <c r="P348" s="17" t="s">
        <v>251</v>
      </c>
      <c r="Q348" s="26">
        <v>45973.0</v>
      </c>
      <c r="R348" s="17"/>
      <c r="S348" s="36" t="str">
        <f t="shared" si="3"/>
        <v>#VALUE!</v>
      </c>
      <c r="T348" s="29"/>
      <c r="U348" s="29"/>
    </row>
    <row r="349">
      <c r="A349" s="16">
        <v>347.0</v>
      </c>
      <c r="B349" s="17"/>
      <c r="C349" s="18" t="str">
        <f>IFERROR(__xludf.DUMMYFUNCTION("IF(B349="""","""",IF(OR(
  REGEXMATCH(B349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REGEXMATCH(B349,""Notícia|Reportagem|Artigo de opinião|Verbete"")
),""Difusão"","""")))
"),"")</f>
        <v/>
      </c>
      <c r="D349" s="19" t="str">
        <f>IFERROR(__xludf.DUMMYFUNCTION("IF(B349="""","""",IF(OR(
  REGEXMATCH(B349,""Performance|Instalação|Álbum|Música|Poema|Livro|Filme|Documentário|Recitação|Espetáculo|Peça|Intervenção|Desfile|Fotografia|Exposição|Charge|Grafite|Leitura pública|Fabricação de cachaça artesanal""),
  REGEXMA"&amp;"TCH(B349,""dança|teatral|artístico|musical|artística"")
),""Manifestação artístico-cultural"",
IF(OR(
  REGEXMATCH(B349,""Crônica|Série|Reportagem|Podcast|Audiotour|Entrevista|Vídeo|Rádio|Notícia|Artigo de opinião|Coletiva de imprensa""),
  REGEXMATCH(B34"&amp;"9,""midiática"")
),""Produção midiática"","""")))
"),"")</f>
        <v/>
      </c>
      <c r="E349" s="20" t="str">
        <f>IFERROR(__xludf.DUMMYFUNCTION("IF(B349="""","""",IF(OR(
  REGEXMATCH(B349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REGEXMATCH(B349,""público|Imediato|artística|teatral|memória|Ação popular"")
),""Público Imediato"",
IF(REGEXMATCH(B349,""Música|Álbum|Filme|Documentár"&amp;"io|Série|Podcast|Rádio|Audiotour|Entrevista|Reportagem|Crônica|Relatório|Abaixo-assinado|Manifesto|Petição|Poema|Livro|Fotografia|Curta|Live|Webinário|Charge|Leitura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49" s="20" t="str">
        <f>IFERROR(__xludf.DUMMYFUNCTION("IF(B349="""","""",IF(OR(
  REGEXMATCH(B349,""Live|Webinário|Virtual|Verbete""),
  REGEXMATCH(B349,""online"")
),""Virtual"",
IF(REGEXMATCH(B349,""Música|Álbum|Filme|Documentário|Série|Podcast|Rádio|Audiotour|Episódio|Reportagem|Curta|Charge|Vídeo|Entrevis"&amp;"ta|Notícia|Artigo de opinião""),
""Midiático"",
IF(REGEXMATCH(B349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49" s="21" t="str">
        <f>IFERROR(__xludf.DUMMYFUNCTION("IF(C349=""rememoração"", ""Insira a data manualmente"", IF(C349=""difusão"", 
 IF(NOT(ISERROR(REGEXEXTRACT(T349, ""(\d{1,2}) jan\. 2025""))), 
  TEXT(DATE(2025,1,REGEXEXTRACT(T349, ""(\d{1,2}) jan\. 2025"")), ""dd/mm/yyyy""),
 IF(NOT(ISERROR(REGEXEXTRACT("&amp;"T349, ""(\d{1,2}) fev\. 2025""))), 
  TEXT(DATE(2025,2,REGEXEXTRACT(T349, ""(\d{1,2}) fev\. 2025"")), ""dd/mm/yyyy""),
 IF(NOT(ISERROR(REGEXEXTRACT(T349, ""(\d{1,2}) mar\. 2025""))), 
  TEXT(DATE(2025,3,REGEXEXTRACT(T349, ""(\d{1,2}) mar\. 2025"")), ""dd/"&amp;"mm/yyyy""),
 IF(NOT(ISERROR(REGEXEXTRACT(T349, ""(\d{1,2}) abr\. 2025""))), 
  TEXT(DATE(2025,4,REGEXEXTRACT(T349, ""(\d{1,2}) abr\. 2025"")), ""dd/mm/yyyy""),
 IF(NOT(ISERROR(REGEXEXTRACT(T349, ""(\d{1,2}) (mai|maio)\. 2025""))), 
  TEXT(DATE(2025,5,REGE"&amp;"XEXTRACT(T349, ""(\d{1,2}) (mai|maio)\. 2025"")), ""dd/mm/yyyy""),
 IF(NOT(ISERROR(REGEXEXTRACT(T349, ""(\d{1,2}) jun\. 2025""))), 
  TEXT(DATE(2025,6,REGEXEXTRACT(T349, ""(\d{1,2}) jun\. 2025"")), ""dd/mm/yyyy""),
 IF(NOT(ISERROR(REGEXEXTRACT(T349, ""(\d"&amp;"{1,2}) jul\. 2025""))), 
  TEXT(DATE(2025,7,REGEXEXTRACT(T349, ""(\d{1,2}) jul\. 2025"")), ""dd/mm/yyyy""),
 IF(NOT(ISERROR(REGEXEXTRACT(T349, ""(\d{1,2}) ago\. 2025""))), 
  TEXT(DATE(2025,8,REGEXEXTRACT(T349, ""(\d{1,2}) ago\. 2025"")), ""dd/mm/yyyy""),"&amp;"
 IF(NOT(ISERROR(REGEXEXTRACT(T349, ""(\d{1,2}) set\. 2025""))), 
  TEXT(DATE(2025,9,REGEXEXTRACT(T349, ""(\d{1,2}) set\. 2025"")), ""dd/mm/yyyy""),
 IF(NOT(ISERROR(REGEXEXTRACT(T349, ""(\d{1,2}) out\. 2025""))), 
  TEXT(DATE(2025,10,REGEXEXTRACT(T349, """&amp;"(\d{1,2}) out\. 2025"")), ""dd/mm/yyyy""),
 IF(NOT(ISERROR(REGEXEXTRACT(T349, ""(\d{1,2}) nov\. 2025""))), 
  TEXT(DATE(2025,11,REGEXEXTRACT(T349, ""(\d{1,2}) nov\. 2025"")), ""dd/mm/yyyy""),
 IF(NOT(ISERROR(REGEXEXTRACT(T349, ""(\d{1,2}) dez\. 2025""))),"&amp;" 
  TEXT(DATE(2025,12,REGEXEXTRACT(T349, ""(\d{1,2}) dez\. 2025"")), ""dd/mm/yyyy""),
 ""Insira a data manualmente"")))))))))))), """"))"),"")</f>
        <v/>
      </c>
      <c r="H349" s="22">
        <f t="shared" si="1"/>
        <v>0</v>
      </c>
      <c r="I349" s="18" t="str">
        <f>IFERROR(__xludf.DUMMYFUNCTION("IF(REGEXMATCH(T349,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IF(REGEXMATCH(T349, ""(?i)\bBrasília\b""), ""Distrito Federal, Brasil"",
REGEXEXTRACT(T349,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49" s="30"/>
      <c r="K349" s="24"/>
      <c r="L349" s="24"/>
      <c r="M349" s="25"/>
      <c r="N349" s="18" t="str">
        <f t="shared" si="8"/>
        <v/>
      </c>
      <c r="O349" s="17" t="s">
        <v>28</v>
      </c>
      <c r="P349" s="17" t="s">
        <v>251</v>
      </c>
      <c r="Q349" s="26">
        <v>45973.0</v>
      </c>
      <c r="R349" s="17"/>
      <c r="S349" s="36" t="str">
        <f t="shared" si="3"/>
        <v>#VALUE!</v>
      </c>
      <c r="T349" s="29"/>
      <c r="U349" s="29"/>
    </row>
    <row r="350">
      <c r="A350" s="16">
        <v>348.0</v>
      </c>
      <c r="B350" s="17"/>
      <c r="C350" s="18" t="str">
        <f>IFERROR(__xludf.DUMMYFUNCTION("IF(B350="""","""",IF(OR(
  REGEXMATCH(B350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REGEXMATCH(B350,""Notícia|Reportagem|Artigo de opinião|Verbete"")
),""Difusão"","""")))
"),"")</f>
        <v/>
      </c>
      <c r="D350" s="19" t="str">
        <f>IFERROR(__xludf.DUMMYFUNCTION("IF(B350="""","""",IF(OR(
  REGEXMATCH(B350,""Performance|Instalação|Álbum|Música|Poema|Livro|Filme|Documentário|Recitação|Espetáculo|Peça|Intervenção|Desfile|Fotografia|Exposição|Charge|Grafite|Leitura pública|Fabricação de cachaça artesanal""),
  REGEXMA"&amp;"TCH(B350,""dança|teatral|artístico|musical|artística"")
),""Manifestação artístico-cultural"",
IF(OR(
  REGEXMATCH(B350,""Crônica|Série|Reportagem|Podcast|Audiotour|Entrevista|Vídeo|Rádio|Notícia|Artigo de opinião|Coletiva de imprensa""),
  REGEXMATCH(B35"&amp;"0,""midiática"")
),""Produção midiática"","""")))
"),"")</f>
        <v/>
      </c>
      <c r="E350" s="20" t="str">
        <f>IFERROR(__xludf.DUMMYFUNCTION("IF(B350="""","""",IF(OR(
  REGEXMATCH(B350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REGEXMATCH(B350,""público|Imediato|artística|teatral|memória|Ação popular"")
),""Público Imediato"",
IF(REGEXMATCH(B350,""Música|Álbum|Filme|Documentár"&amp;"io|Série|Podcast|Rádio|Audiotour|Entrevista|Reportagem|Crônica|Relatório|Abaixo-assinado|Manifesto|Petição|Poema|Livro|Fotografia|Curta|Live|Webinário|Charge|Leitura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50" s="20" t="str">
        <f>IFERROR(__xludf.DUMMYFUNCTION("IF(B350="""","""",IF(OR(
  REGEXMATCH(B350,""Live|Webinário|Virtual|Verbete""),
  REGEXMATCH(B350,""online"")
),""Virtual"",
IF(REGEXMATCH(B350,""Música|Álbum|Filme|Documentário|Série|Podcast|Rádio|Audiotour|Episódio|Reportagem|Curta|Charge|Vídeo|Entrevis"&amp;"ta|Notícia|Artigo de opinião""),
""Midiático"",
IF(REGEXMATCH(B350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50" s="21" t="str">
        <f>IFERROR(__xludf.DUMMYFUNCTION("IF(C350=""rememoração"", ""Insira a data manualmente"", IF(C350=""difusão"", 
 IF(NOT(ISERROR(REGEXEXTRACT(T350, ""(\d{1,2}) jan\. 2025""))), 
  TEXT(DATE(2025,1,REGEXEXTRACT(T350, ""(\d{1,2}) jan\. 2025"")), ""dd/mm/yyyy""),
 IF(NOT(ISERROR(REGEXEXTRACT("&amp;"T350, ""(\d{1,2}) fev\. 2025""))), 
  TEXT(DATE(2025,2,REGEXEXTRACT(T350, ""(\d{1,2}) fev\. 2025"")), ""dd/mm/yyyy""),
 IF(NOT(ISERROR(REGEXEXTRACT(T350, ""(\d{1,2}) mar\. 2025""))), 
  TEXT(DATE(2025,3,REGEXEXTRACT(T350, ""(\d{1,2}) mar\. 2025"")), ""dd/"&amp;"mm/yyyy""),
 IF(NOT(ISERROR(REGEXEXTRACT(T350, ""(\d{1,2}) abr\. 2025""))), 
  TEXT(DATE(2025,4,REGEXEXTRACT(T350, ""(\d{1,2}) abr\. 2025"")), ""dd/mm/yyyy""),
 IF(NOT(ISERROR(REGEXEXTRACT(T350, ""(\d{1,2}) (mai|maio)\. 2025""))), 
  TEXT(DATE(2025,5,REGE"&amp;"XEXTRACT(T350, ""(\d{1,2}) (mai|maio)\. 2025"")), ""dd/mm/yyyy""),
 IF(NOT(ISERROR(REGEXEXTRACT(T350, ""(\d{1,2}) jun\. 2025""))), 
  TEXT(DATE(2025,6,REGEXEXTRACT(T350, ""(\d{1,2}) jun\. 2025"")), ""dd/mm/yyyy""),
 IF(NOT(ISERROR(REGEXEXTRACT(T350, ""(\d"&amp;"{1,2}) jul\. 2025""))), 
  TEXT(DATE(2025,7,REGEXEXTRACT(T350, ""(\d{1,2}) jul\. 2025"")), ""dd/mm/yyyy""),
 IF(NOT(ISERROR(REGEXEXTRACT(T350, ""(\d{1,2}) ago\. 2025""))), 
  TEXT(DATE(2025,8,REGEXEXTRACT(T350, ""(\d{1,2}) ago\. 2025"")), ""dd/mm/yyyy""),"&amp;"
 IF(NOT(ISERROR(REGEXEXTRACT(T350, ""(\d{1,2}) set\. 2025""))), 
  TEXT(DATE(2025,9,REGEXEXTRACT(T350, ""(\d{1,2}) set\. 2025"")), ""dd/mm/yyyy""),
 IF(NOT(ISERROR(REGEXEXTRACT(T350, ""(\d{1,2}) out\. 2025""))), 
  TEXT(DATE(2025,10,REGEXEXTRACT(T350, """&amp;"(\d{1,2}) out\. 2025"")), ""dd/mm/yyyy""),
 IF(NOT(ISERROR(REGEXEXTRACT(T350, ""(\d{1,2}) nov\. 2025""))), 
  TEXT(DATE(2025,11,REGEXEXTRACT(T350, ""(\d{1,2}) nov\. 2025"")), ""dd/mm/yyyy""),
 IF(NOT(ISERROR(REGEXEXTRACT(T350, ""(\d{1,2}) dez\. 2025""))),"&amp;" 
  TEXT(DATE(2025,12,REGEXEXTRACT(T350, ""(\d{1,2}) dez\. 2025"")), ""dd/mm/yyyy""),
 ""Insira a data manualmente"")))))))))))), """"))"),"")</f>
        <v/>
      </c>
      <c r="H350" s="22">
        <f t="shared" si="1"/>
        <v>0</v>
      </c>
      <c r="I350" s="18" t="str">
        <f>IFERROR(__xludf.DUMMYFUNCTION("IF(REGEXMATCH(T350,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IF(REGEXMATCH(T350, ""(?i)\bBrasília\b""), ""Distrito Federal, Brasil"",
REGEXEXTRACT(T350,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50" s="30"/>
      <c r="K350" s="24"/>
      <c r="L350" s="24"/>
      <c r="M350" s="25"/>
      <c r="N350" s="18" t="str">
        <f t="shared" si="8"/>
        <v/>
      </c>
      <c r="O350" s="17" t="s">
        <v>28</v>
      </c>
      <c r="P350" s="17" t="s">
        <v>251</v>
      </c>
      <c r="Q350" s="26">
        <v>45973.0</v>
      </c>
      <c r="R350" s="17"/>
      <c r="S350" s="36" t="str">
        <f t="shared" si="3"/>
        <v>#VALUE!</v>
      </c>
      <c r="T350" s="29"/>
      <c r="U350" s="29"/>
    </row>
    <row r="351">
      <c r="A351" s="16">
        <v>349.0</v>
      </c>
      <c r="B351" s="17"/>
      <c r="C351" s="18" t="str">
        <f>IFERROR(__xludf.DUMMYFUNCTION("IF(B351="""","""",IF(OR(
  REGEXMATCH(B351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REGEXMATCH(B351,""Notícia|Reportagem|Artigo de opinião|Verbete"")
),""Difusão"","""")))
"),"")</f>
        <v/>
      </c>
      <c r="D351" s="19" t="str">
        <f>IFERROR(__xludf.DUMMYFUNCTION("IF(B351="""","""",IF(OR(
  REGEXMATCH(B351,""Performance|Instalação|Álbum|Música|Poema|Livro|Filme|Documentário|Recitação|Espetáculo|Peça|Intervenção|Desfile|Fotografia|Exposição|Charge|Grafite|Leitura pública|Fabricação de cachaça artesanal""),
  REGEXMA"&amp;"TCH(B351,""dança|teatral|artístico|musical|artística"")
),""Manifestação artístico-cultural"",
IF(OR(
  REGEXMATCH(B351,""Crônica|Série|Reportagem|Podcast|Audiotour|Entrevista|Vídeo|Rádio|Notícia|Artigo de opinião|Coletiva de imprensa""),
  REGEXMATCH(B35"&amp;"1,""midiática"")
),""Produção midiática"","""")))
"),"")</f>
        <v/>
      </c>
      <c r="E351" s="20" t="str">
        <f>IFERROR(__xludf.DUMMYFUNCTION("IF(B351="""","""",IF(OR(
  REGEXMATCH(B351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REGEXMATCH(B351,""público|Imediato|artística|teatral|memória|Ação popular"")
),""Público Imediato"",
IF(REGEXMATCH(B351,""Música|Álbum|Filme|Documentár"&amp;"io|Série|Podcast|Rádio|Audiotour|Entrevista|Reportagem|Crônica|Relatório|Abaixo-assinado|Manifesto|Petição|Poema|Livro|Fotografia|Curta|Live|Webinário|Charge|Leitura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51" s="20" t="str">
        <f>IFERROR(__xludf.DUMMYFUNCTION("IF(B351="""","""",IF(OR(
  REGEXMATCH(B351,""Live|Webinário|Virtual|Verbete""),
  REGEXMATCH(B351,""online"")
),""Virtual"",
IF(REGEXMATCH(B351,""Música|Álbum|Filme|Documentário|Série|Podcast|Rádio|Audiotour|Episódio|Reportagem|Curta|Charge|Vídeo|Entrevis"&amp;"ta|Notícia|Artigo de opinião""),
""Midiático"",
IF(REGEXMATCH(B351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51" s="21" t="str">
        <f>IFERROR(__xludf.DUMMYFUNCTION("IF(C351=""rememoração"", ""Insira a data manualmente"", IF(C351=""difusão"", 
 IF(NOT(ISERROR(REGEXEXTRACT(T351, ""(\d{1,2}) jan\. 2025""))), 
  TEXT(DATE(2025,1,REGEXEXTRACT(T351, ""(\d{1,2}) jan\. 2025"")), ""dd/mm/yyyy""),
 IF(NOT(ISERROR(REGEXEXTRACT("&amp;"T351, ""(\d{1,2}) fev\. 2025""))), 
  TEXT(DATE(2025,2,REGEXEXTRACT(T351, ""(\d{1,2}) fev\. 2025"")), ""dd/mm/yyyy""),
 IF(NOT(ISERROR(REGEXEXTRACT(T351, ""(\d{1,2}) mar\. 2025""))), 
  TEXT(DATE(2025,3,REGEXEXTRACT(T351, ""(\d{1,2}) mar\. 2025"")), ""dd/"&amp;"mm/yyyy""),
 IF(NOT(ISERROR(REGEXEXTRACT(T351, ""(\d{1,2}) abr\. 2025""))), 
  TEXT(DATE(2025,4,REGEXEXTRACT(T351, ""(\d{1,2}) abr\. 2025"")), ""dd/mm/yyyy""),
 IF(NOT(ISERROR(REGEXEXTRACT(T351, ""(\d{1,2}) (mai|maio)\. 2025""))), 
  TEXT(DATE(2025,5,REGE"&amp;"XEXTRACT(T351, ""(\d{1,2}) (mai|maio)\. 2025"")), ""dd/mm/yyyy""),
 IF(NOT(ISERROR(REGEXEXTRACT(T351, ""(\d{1,2}) jun\. 2025""))), 
  TEXT(DATE(2025,6,REGEXEXTRACT(T351, ""(\d{1,2}) jun\. 2025"")), ""dd/mm/yyyy""),
 IF(NOT(ISERROR(REGEXEXTRACT(T351, ""(\d"&amp;"{1,2}) jul\. 2025""))), 
  TEXT(DATE(2025,7,REGEXEXTRACT(T351, ""(\d{1,2}) jul\. 2025"")), ""dd/mm/yyyy""),
 IF(NOT(ISERROR(REGEXEXTRACT(T351, ""(\d{1,2}) ago\. 2025""))), 
  TEXT(DATE(2025,8,REGEXEXTRACT(T351, ""(\d{1,2}) ago\. 2025"")), ""dd/mm/yyyy""),"&amp;"
 IF(NOT(ISERROR(REGEXEXTRACT(T351, ""(\d{1,2}) set\. 2025""))), 
  TEXT(DATE(2025,9,REGEXEXTRACT(T351, ""(\d{1,2}) set\. 2025"")), ""dd/mm/yyyy""),
 IF(NOT(ISERROR(REGEXEXTRACT(T351, ""(\d{1,2}) out\. 2025""))), 
  TEXT(DATE(2025,10,REGEXEXTRACT(T351, """&amp;"(\d{1,2}) out\. 2025"")), ""dd/mm/yyyy""),
 IF(NOT(ISERROR(REGEXEXTRACT(T351, ""(\d{1,2}) nov\. 2025""))), 
  TEXT(DATE(2025,11,REGEXEXTRACT(T351, ""(\d{1,2}) nov\. 2025"")), ""dd/mm/yyyy""),
 IF(NOT(ISERROR(REGEXEXTRACT(T351, ""(\d{1,2}) dez\. 2025""))),"&amp;" 
  TEXT(DATE(2025,12,REGEXEXTRACT(T351, ""(\d{1,2}) dez\. 2025"")), ""dd/mm/yyyy""),
 ""Insira a data manualmente"")))))))))))), """"))"),"")</f>
        <v/>
      </c>
      <c r="H351" s="22">
        <f t="shared" si="1"/>
        <v>0</v>
      </c>
      <c r="I351" s="18" t="str">
        <f>IFERROR(__xludf.DUMMYFUNCTION("IF(REGEXMATCH(T351,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IF(REGEXMATCH(T351, ""(?i)\bBrasília\b""), ""Distrito Federal, Brasil"",
REGEXEXTRACT(T351,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51" s="30"/>
      <c r="K351" s="24"/>
      <c r="L351" s="24"/>
      <c r="M351" s="25"/>
      <c r="N351" s="18" t="str">
        <f t="shared" si="8"/>
        <v/>
      </c>
      <c r="O351" s="17" t="s">
        <v>28</v>
      </c>
      <c r="P351" s="17" t="s">
        <v>251</v>
      </c>
      <c r="Q351" s="26">
        <v>45973.0</v>
      </c>
      <c r="R351" s="17"/>
      <c r="S351" s="36" t="str">
        <f t="shared" si="3"/>
        <v>#VALUE!</v>
      </c>
      <c r="T351" s="29"/>
      <c r="U351" s="29"/>
    </row>
    <row r="352">
      <c r="A352" s="16">
        <v>350.0</v>
      </c>
      <c r="B352" s="17"/>
      <c r="C352" s="18" t="str">
        <f>IFERROR(__xludf.DUMMYFUNCTION("IF(B352="""","""",IF(OR(
  REGEXMATCH(B352,""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REGEXMATCH(B352,""Notícia|Reportagem|Artigo de opinião|Verbete"")
),""Difusão"","""")))
"),"")</f>
        <v/>
      </c>
      <c r="D352" s="19" t="str">
        <f>IFERROR(__xludf.DUMMYFUNCTION("IF(B352="""","""",IF(OR(
  REGEXMATCH(B352,""Performance|Instalação|Álbum|Música|Poema|Livro|Filme|Documentário|Recitação|Espetáculo|Peça|Intervenção|Desfile|Fotografia|Exposição|Charge|Grafite|Leitura pública|Fabricação de cachaça artesanal""),
  REGEXMA"&amp;"TCH(B352,""dança|teatral|artístico|musical|artística"")
),""Manifestação artístico-cultural"",
IF(OR(
  REGEXMATCH(B352,""Crônica|Série|Reportagem|Podcast|Audiotour|Entrevista|Vídeo|Rádio|Notícia|Artigo de opinião|Coletiva de imprensa""),
  REGEXMATCH(B35"&amp;"2,""midiática"")
),""Produção midiática"","""")))
"),"")</f>
        <v/>
      </c>
      <c r="E352" s="20" t="str">
        <f>IFERROR(__xludf.DUMMYFUNCTION("IF(B352="""","""",IF(OR(
  REGEXMATCH(B352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REGEXMATCH(B352,""público|Imediato|artística|teatral|memória|Ação popular"")
),""Público Imediato"",
IF(REGEXMATCH(B352,""Música|Álbum|Filme|Documentár"&amp;"io|Série|Podcast|Rádio|Audiotour|Entrevista|Reportagem|Crônica|Relatório|Abaixo-assinado|Manifesto|Petição|Poema|Livro|Fotografia|Curta|Live|Webinário|Charge|Leitura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52" s="20" t="str">
        <f>IFERROR(__xludf.DUMMYFUNCTION("IF(B352="""","""",IF(OR(
  REGEXMATCH(B352,""Live|Webinário|Virtual|Verbete""),
  REGEXMATCH(B352,""online"")
),""Virtual"",
IF(REGEXMATCH(B352,""Música|Álbum|Filme|Documentário|Série|Podcast|Rádio|Audiotour|Episódio|Reportagem|Curta|Charge|Vídeo|Entrevis"&amp;"ta|Notícia|Artigo de opinião""),
""Midiático"",
IF(REGEXMATCH(B352,""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52" s="21" t="str">
        <f>IFERROR(__xludf.DUMMYFUNCTION("IF(C352=""rememoração"", ""Insira a data manualmente"", IF(C352=""difusão"", 
 IF(NOT(ISERROR(REGEXEXTRACT(T352, ""(\d{1,2}) jan\. 2025""))), 
  TEXT(DATE(2025,1,REGEXEXTRACT(T352, ""(\d{1,2}) jan\. 2025"")), ""dd/mm/yyyy""),
 IF(NOT(ISERROR(REGEXEXTRACT("&amp;"T352, ""(\d{1,2}) fev\. 2025""))), 
  TEXT(DATE(2025,2,REGEXEXTRACT(T352, ""(\d{1,2}) fev\. 2025"")), ""dd/mm/yyyy""),
 IF(NOT(ISERROR(REGEXEXTRACT(T352, ""(\d{1,2}) mar\. 2025""))), 
  TEXT(DATE(2025,3,REGEXEXTRACT(T352, ""(\d{1,2}) mar\. 2025"")), ""dd/"&amp;"mm/yyyy""),
 IF(NOT(ISERROR(REGEXEXTRACT(T352, ""(\d{1,2}) abr\. 2025""))), 
  TEXT(DATE(2025,4,REGEXEXTRACT(T352, ""(\d{1,2}) abr\. 2025"")), ""dd/mm/yyyy""),
 IF(NOT(ISERROR(REGEXEXTRACT(T352, ""(\d{1,2}) (mai|maio)\. 2025""))), 
  TEXT(DATE(2025,5,REGE"&amp;"XEXTRACT(T352, ""(\d{1,2}) (mai|maio)\. 2025"")), ""dd/mm/yyyy""),
 IF(NOT(ISERROR(REGEXEXTRACT(T352, ""(\d{1,2}) jun\. 2025""))), 
  TEXT(DATE(2025,6,REGEXEXTRACT(T352, ""(\d{1,2}) jun\. 2025"")), ""dd/mm/yyyy""),
 IF(NOT(ISERROR(REGEXEXTRACT(T352, ""(\d"&amp;"{1,2}) jul\. 2025""))), 
  TEXT(DATE(2025,7,REGEXEXTRACT(T352, ""(\d{1,2}) jul\. 2025"")), ""dd/mm/yyyy""),
 IF(NOT(ISERROR(REGEXEXTRACT(T352, ""(\d{1,2}) ago\. 2025""))), 
  TEXT(DATE(2025,8,REGEXEXTRACT(T352, ""(\d{1,2}) ago\. 2025"")), ""dd/mm/yyyy""),"&amp;"
 IF(NOT(ISERROR(REGEXEXTRACT(T352, ""(\d{1,2}) set\. 2025""))), 
  TEXT(DATE(2025,9,REGEXEXTRACT(T352, ""(\d{1,2}) set\. 2025"")), ""dd/mm/yyyy""),
 IF(NOT(ISERROR(REGEXEXTRACT(T352, ""(\d{1,2}) out\. 2025""))), 
  TEXT(DATE(2025,10,REGEXEXTRACT(T352, """&amp;"(\d{1,2}) out\. 2025"")), ""dd/mm/yyyy""),
 IF(NOT(ISERROR(REGEXEXTRACT(T352, ""(\d{1,2}) nov\. 2025""))), 
  TEXT(DATE(2025,11,REGEXEXTRACT(T352, ""(\d{1,2}) nov\. 2025"")), ""dd/mm/yyyy""),
 IF(NOT(ISERROR(REGEXEXTRACT(T352, ""(\d{1,2}) dez\. 2025""))),"&amp;" 
  TEXT(DATE(2025,12,REGEXEXTRACT(T352, ""(\d{1,2}) dez\. 2025"")), ""dd/mm/yyyy""),
 ""Insira a data manualmente"")))))))))))), """"))"),"")</f>
        <v/>
      </c>
      <c r="H352" s="22">
        <f t="shared" si="1"/>
        <v>0</v>
      </c>
      <c r="I352" s="18" t="str">
        <f>IFERROR(__xludf.DUMMYFUNCTION("IF(REGEXMATCH(T352,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IF(REGEXMATCH(T352, ""(?i)\bBrasília\b""), ""Distrito Federal, Brasil"",
REGEXEXTRACT(T352,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52" s="30"/>
      <c r="K352" s="24"/>
      <c r="L352" s="24"/>
      <c r="M352" s="25"/>
      <c r="N352" s="18" t="str">
        <f t="shared" si="8"/>
        <v/>
      </c>
      <c r="O352" s="17" t="s">
        <v>28</v>
      </c>
      <c r="P352" s="17" t="s">
        <v>251</v>
      </c>
      <c r="Q352" s="26">
        <v>45973.0</v>
      </c>
      <c r="R352" s="17"/>
      <c r="S352" s="36" t="str">
        <f t="shared" si="3"/>
        <v>#VALUE!</v>
      </c>
      <c r="T352" s="29"/>
      <c r="U352" s="29"/>
    </row>
    <row r="353">
      <c r="A353" s="16">
        <v>351.0</v>
      </c>
      <c r="B353" s="17"/>
      <c r="C353" s="18" t="str">
        <f>IFERROR(__xludf.DUMMYFUNCTION("IF(B353="""","""",IF(OR(
  REGEXMATCH(B353,""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REGEXMATCH(B353,""Notícia|Reportagem|Artigo de opinião|Verbete"")
),""Difusão"","""")))
"),"")</f>
        <v/>
      </c>
      <c r="D353" s="19" t="str">
        <f>IFERROR(__xludf.DUMMYFUNCTION("IF(B353="""","""",IF(OR(
  REGEXMATCH(B353,""Performance|Instalação|Álbum|Música|Poema|Livro|Filme|Documentário|Recitação|Espetáculo|Peça|Intervenção|Desfile|Fotografia|Exposição|Charge|Grafite|Leitura pública|Fabricação de cachaça artesanal""),
  REGEXMA"&amp;"TCH(B353,""dança|teatral|artístico|musical|artística"")
),""Manifestação artístico-cultural"",
IF(OR(
  REGEXMATCH(B353,""Crônica|Série|Reportagem|Podcast|Audiotour|Entrevista|Vídeo|Rádio|Notícia|Artigo de opinião|Coletiva de imprensa""),
  REGEXMATCH(B35"&amp;"3,""midiática"")
),""Produção midiática"","""")))
"),"")</f>
        <v/>
      </c>
      <c r="E353" s="20" t="str">
        <f>IFERROR(__xludf.DUMMYFUNCTION("IF(B353="""","""",IF(OR(
  REGEXMATCH(B353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REGEXMATCH(B353,""público|Imediato|artística|teatral|memória|Ação popular"")
),""Público Imediato"",
IF(REGEXMATCH(B353,""Música|Álbum|Filme|Documentár"&amp;"io|Série|Podcast|Rádio|Audiotour|Entrevista|Reportagem|Crônica|Relatório|Abaixo-assinado|Manifesto|Petição|Poema|Livro|Fotografia|Curta|Live|Webinário|Charge|Leitura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53" s="20" t="str">
        <f>IFERROR(__xludf.DUMMYFUNCTION("IF(B353="""","""",IF(OR(
  REGEXMATCH(B353,""Live|Webinário|Virtual|Verbete""),
  REGEXMATCH(B353,""online"")
),""Virtual"",
IF(REGEXMATCH(B353,""Música|Álbum|Filme|Documentário|Série|Podcast|Rádio|Audiotour|Episódio|Reportagem|Curta|Charge|Vídeo|Entrevis"&amp;"ta|Notícia|Artigo de opinião""),
""Midiático"",
IF(REGEXMATCH(B353,""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53" s="21" t="str">
        <f>IFERROR(__xludf.DUMMYFUNCTION("IF(C353=""rememoração"", ""Insira a data manualmente"", IF(C353=""difusão"", 
 IF(NOT(ISERROR(REGEXEXTRACT(T353, ""(\d{1,2}) jan\. 2025""))), 
  TEXT(DATE(2025,1,REGEXEXTRACT(T353, ""(\d{1,2}) jan\. 2025"")), ""dd/mm/yyyy""),
 IF(NOT(ISERROR(REGEXEXTRACT("&amp;"T353, ""(\d{1,2}) fev\. 2025""))), 
  TEXT(DATE(2025,2,REGEXEXTRACT(T353, ""(\d{1,2}) fev\. 2025"")), ""dd/mm/yyyy""),
 IF(NOT(ISERROR(REGEXEXTRACT(T353, ""(\d{1,2}) mar\. 2025""))), 
  TEXT(DATE(2025,3,REGEXEXTRACT(T353, ""(\d{1,2}) mar\. 2025"")), ""dd/"&amp;"mm/yyyy""),
 IF(NOT(ISERROR(REGEXEXTRACT(T353, ""(\d{1,2}) abr\. 2025""))), 
  TEXT(DATE(2025,4,REGEXEXTRACT(T353, ""(\d{1,2}) abr\. 2025"")), ""dd/mm/yyyy""),
 IF(NOT(ISERROR(REGEXEXTRACT(T353, ""(\d{1,2}) (mai|maio)\. 2025""))), 
  TEXT(DATE(2025,5,REGE"&amp;"XEXTRACT(T353, ""(\d{1,2}) (mai|maio)\. 2025"")), ""dd/mm/yyyy""),
 IF(NOT(ISERROR(REGEXEXTRACT(T353, ""(\d{1,2}) jun\. 2025""))), 
  TEXT(DATE(2025,6,REGEXEXTRACT(T353, ""(\d{1,2}) jun\. 2025"")), ""dd/mm/yyyy""),
 IF(NOT(ISERROR(REGEXEXTRACT(T353, ""(\d"&amp;"{1,2}) jul\. 2025""))), 
  TEXT(DATE(2025,7,REGEXEXTRACT(T353, ""(\d{1,2}) jul\. 2025"")), ""dd/mm/yyyy""),
 IF(NOT(ISERROR(REGEXEXTRACT(T353, ""(\d{1,2}) ago\. 2025""))), 
  TEXT(DATE(2025,8,REGEXEXTRACT(T353, ""(\d{1,2}) ago\. 2025"")), ""dd/mm/yyyy""),"&amp;"
 IF(NOT(ISERROR(REGEXEXTRACT(T353, ""(\d{1,2}) set\. 2025""))), 
  TEXT(DATE(2025,9,REGEXEXTRACT(T353, ""(\d{1,2}) set\. 2025"")), ""dd/mm/yyyy""),
 IF(NOT(ISERROR(REGEXEXTRACT(T353, ""(\d{1,2}) out\. 2025""))), 
  TEXT(DATE(2025,10,REGEXEXTRACT(T353, """&amp;"(\d{1,2}) out\. 2025"")), ""dd/mm/yyyy""),
 IF(NOT(ISERROR(REGEXEXTRACT(T353, ""(\d{1,2}) nov\. 2025""))), 
  TEXT(DATE(2025,11,REGEXEXTRACT(T353, ""(\d{1,2}) nov\. 2025"")), ""dd/mm/yyyy""),
 IF(NOT(ISERROR(REGEXEXTRACT(T353, ""(\d{1,2}) dez\. 2025""))),"&amp;" 
  TEXT(DATE(2025,12,REGEXEXTRACT(T353, ""(\d{1,2}) dez\. 2025"")), ""dd/mm/yyyy""),
 ""Insira a data manualmente"")))))))))))), """"))"),"")</f>
        <v/>
      </c>
      <c r="H353" s="22">
        <f t="shared" si="1"/>
        <v>0</v>
      </c>
      <c r="I353" s="18" t="str">
        <f>IFERROR(__xludf.DUMMYFUNCTION("IF(REGEXMATCH(T353,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IF(REGEXMATCH(T353, ""(?i)\bBrasília\b""), ""Distrito Federal, Brasil"",
REGEXEXTRACT(T353,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53" s="30"/>
      <c r="K353" s="24"/>
      <c r="L353" s="24"/>
      <c r="M353" s="25"/>
      <c r="N353" s="18" t="str">
        <f t="shared" si="8"/>
        <v/>
      </c>
      <c r="O353" s="17" t="s">
        <v>28</v>
      </c>
      <c r="P353" s="17" t="s">
        <v>251</v>
      </c>
      <c r="Q353" s="26">
        <v>45973.0</v>
      </c>
      <c r="R353" s="17"/>
      <c r="S353" s="36" t="str">
        <f t="shared" si="3"/>
        <v>#VALUE!</v>
      </c>
      <c r="T353" s="29"/>
      <c r="U353" s="29"/>
    </row>
    <row r="354">
      <c r="A354" s="16">
        <v>352.0</v>
      </c>
      <c r="B354" s="17"/>
      <c r="C354" s="18" t="str">
        <f>IFERROR(__xludf.DUMMYFUNCTION("IF(B354="""","""",IF(OR(
  REGEXMATCH(B354,""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REGEXMATCH(B354,""Notícia|Reportagem|Artigo de opinião|Verbete"")
),""Difusão"","""")))
"),"")</f>
        <v/>
      </c>
      <c r="D354" s="19" t="str">
        <f>IFERROR(__xludf.DUMMYFUNCTION("IF(B354="""","""",IF(OR(
  REGEXMATCH(B354,""Performance|Instalação|Álbum|Música|Poema|Livro|Filme|Documentário|Recitação|Espetáculo|Peça|Intervenção|Desfile|Fotografia|Exposição|Charge|Grafite|Leitura pública|Fabricação de cachaça artesanal""),
  REGEXMA"&amp;"TCH(B354,""dança|teatral|artístico|musical|artística"")
),""Manifestação artístico-cultural"",
IF(OR(
  REGEXMATCH(B354,""Crônica|Série|Reportagem|Podcast|Audiotour|Entrevista|Vídeo|Rádio|Notícia|Artigo de opinião|Coletiva de imprensa""),
  REGEXMATCH(B35"&amp;"4,""midiática"")
),""Produção midiática"","""")))
"),"")</f>
        <v/>
      </c>
      <c r="E354" s="20" t="str">
        <f>IFERROR(__xludf.DUMMYFUNCTION("IF(B354="""","""",IF(OR(
  REGEXMATCH(B354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REGEXMATCH(B354,""público|Imediato|artística|teatral|memória|Ação popular"")
),""Público Imediato"",
IF(REGEXMATCH(B354,""Música|Álbum|Filme|Documentár"&amp;"io|Série|Podcast|Rádio|Audiotour|Entrevista|Reportagem|Crônica|Relatório|Abaixo-assinado|Manifesto|Petição|Poema|Livro|Fotografia|Curta|Live|Webinário|Charge|Leitura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54" s="20" t="str">
        <f>IFERROR(__xludf.DUMMYFUNCTION("IF(B354="""","""",IF(OR(
  REGEXMATCH(B354,""Live|Webinário|Virtual|Verbete""),
  REGEXMATCH(B354,""online"")
),""Virtual"",
IF(REGEXMATCH(B354,""Música|Álbum|Filme|Documentário|Série|Podcast|Rádio|Audiotour|Episódio|Reportagem|Curta|Charge|Vídeo|Entrevis"&amp;"ta|Notícia|Artigo de opinião""),
""Midiático"",
IF(REGEXMATCH(B354,""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54" s="21" t="str">
        <f>IFERROR(__xludf.DUMMYFUNCTION("IF(C354=""rememoração"", ""Insira a data manualmente"", IF(C354=""difusão"", 
 IF(NOT(ISERROR(REGEXEXTRACT(T354, ""(\d{1,2}) jan\. 2025""))), 
  TEXT(DATE(2025,1,REGEXEXTRACT(T354, ""(\d{1,2}) jan\. 2025"")), ""dd/mm/yyyy""),
 IF(NOT(ISERROR(REGEXEXTRACT("&amp;"T354, ""(\d{1,2}) fev\. 2025""))), 
  TEXT(DATE(2025,2,REGEXEXTRACT(T354, ""(\d{1,2}) fev\. 2025"")), ""dd/mm/yyyy""),
 IF(NOT(ISERROR(REGEXEXTRACT(T354, ""(\d{1,2}) mar\. 2025""))), 
  TEXT(DATE(2025,3,REGEXEXTRACT(T354, ""(\d{1,2}) mar\. 2025"")), ""dd/"&amp;"mm/yyyy""),
 IF(NOT(ISERROR(REGEXEXTRACT(T354, ""(\d{1,2}) abr\. 2025""))), 
  TEXT(DATE(2025,4,REGEXEXTRACT(T354, ""(\d{1,2}) abr\. 2025"")), ""dd/mm/yyyy""),
 IF(NOT(ISERROR(REGEXEXTRACT(T354, ""(\d{1,2}) (mai|maio)\. 2025""))), 
  TEXT(DATE(2025,5,REGE"&amp;"XEXTRACT(T354, ""(\d{1,2}) (mai|maio)\. 2025"")), ""dd/mm/yyyy""),
 IF(NOT(ISERROR(REGEXEXTRACT(T354, ""(\d{1,2}) jun\. 2025""))), 
  TEXT(DATE(2025,6,REGEXEXTRACT(T354, ""(\d{1,2}) jun\. 2025"")), ""dd/mm/yyyy""),
 IF(NOT(ISERROR(REGEXEXTRACT(T354, ""(\d"&amp;"{1,2}) jul\. 2025""))), 
  TEXT(DATE(2025,7,REGEXEXTRACT(T354, ""(\d{1,2}) jul\. 2025"")), ""dd/mm/yyyy""),
 IF(NOT(ISERROR(REGEXEXTRACT(T354, ""(\d{1,2}) ago\. 2025""))), 
  TEXT(DATE(2025,8,REGEXEXTRACT(T354, ""(\d{1,2}) ago\. 2025"")), ""dd/mm/yyyy""),"&amp;"
 IF(NOT(ISERROR(REGEXEXTRACT(T354, ""(\d{1,2}) set\. 2025""))), 
  TEXT(DATE(2025,9,REGEXEXTRACT(T354, ""(\d{1,2}) set\. 2025"")), ""dd/mm/yyyy""),
 IF(NOT(ISERROR(REGEXEXTRACT(T354, ""(\d{1,2}) out\. 2025""))), 
  TEXT(DATE(2025,10,REGEXEXTRACT(T354, """&amp;"(\d{1,2}) out\. 2025"")), ""dd/mm/yyyy""),
 IF(NOT(ISERROR(REGEXEXTRACT(T354, ""(\d{1,2}) nov\. 2025""))), 
  TEXT(DATE(2025,11,REGEXEXTRACT(T354, ""(\d{1,2}) nov\. 2025"")), ""dd/mm/yyyy""),
 IF(NOT(ISERROR(REGEXEXTRACT(T354, ""(\d{1,2}) dez\. 2025""))),"&amp;" 
  TEXT(DATE(2025,12,REGEXEXTRACT(T354, ""(\d{1,2}) dez\. 2025"")), ""dd/mm/yyyy""),
 ""Insira a data manualmente"")))))))))))), """"))"),"")</f>
        <v/>
      </c>
      <c r="H354" s="22">
        <f t="shared" si="1"/>
        <v>0</v>
      </c>
      <c r="I354" s="18" t="str">
        <f>IFERROR(__xludf.DUMMYFUNCTION("IF(REGEXMATCH(T354,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IF(REGEXMATCH(T354, ""(?i)\bBrasília\b""), ""Distrito Federal, Brasil"",
REGEXEXTRACT(T354,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54" s="30"/>
      <c r="K354" s="24"/>
      <c r="L354" s="24"/>
      <c r="M354" s="25"/>
      <c r="N354" s="18" t="str">
        <f t="shared" si="8"/>
        <v/>
      </c>
      <c r="O354" s="17" t="s">
        <v>28</v>
      </c>
      <c r="P354" s="17" t="s">
        <v>251</v>
      </c>
      <c r="Q354" s="26">
        <v>45973.0</v>
      </c>
      <c r="R354" s="17"/>
      <c r="S354" s="36" t="str">
        <f t="shared" si="3"/>
        <v>#VALUE!</v>
      </c>
      <c r="T354" s="29"/>
      <c r="U354" s="29"/>
    </row>
    <row r="355">
      <c r="A355" s="16">
        <v>353.0</v>
      </c>
      <c r="B355" s="17"/>
      <c r="C355" s="18" t="str">
        <f>IFERROR(__xludf.DUMMYFUNCTION("IF(B355="""","""",IF(OR(
  REGEXMATCH(B355,""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REGEXMATCH(B355,""Notícia|Reportagem|Artigo de opinião|Verbete"")
),""Difusão"","""")))
"),"")</f>
        <v/>
      </c>
      <c r="D355" s="19" t="str">
        <f>IFERROR(__xludf.DUMMYFUNCTION("IF(B355="""","""",IF(OR(
  REGEXMATCH(B355,""Performance|Instalação|Álbum|Música|Poema|Livro|Filme|Documentário|Recitação|Espetáculo|Peça|Intervenção|Desfile|Fotografia|Exposição|Charge|Grafite|Leitura pública|Fabricação de cachaça artesanal""),
  REGEXMA"&amp;"TCH(B355,""dança|teatral|artístico|musical|artística"")
),""Manifestação artístico-cultural"",
IF(OR(
  REGEXMATCH(B355,""Crônica|Série|Reportagem|Podcast|Audiotour|Entrevista|Vídeo|Rádio|Notícia|Artigo de opinião|Coletiva de imprensa""),
  REGEXMATCH(B35"&amp;"5,""midiática"")
),""Produção midiática"","""")))
"),"")</f>
        <v/>
      </c>
      <c r="E355" s="20" t="str">
        <f>IFERROR(__xludf.DUMMYFUNCTION("IF(B355="""","""",IF(OR(
  REGEXMATCH(B355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REGEXMATCH(B355,""público|Imediato|artística|teatral|memória|Ação popular"")
),""Público Imediato"",
IF(REGEXMATCH(B355,""Música|Álbum|Filme|Documentár"&amp;"io|Série|Podcast|Rádio|Audiotour|Entrevista|Reportagem|Crônica|Relatório|Abaixo-assinado|Manifesto|Petição|Poema|Livro|Fotografia|Curta|Live|Webinário|Charge|Leitura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55" s="20" t="str">
        <f>IFERROR(__xludf.DUMMYFUNCTION("IF(B355="""","""",IF(OR(
  REGEXMATCH(B355,""Live|Webinário|Virtual|Verbete""),
  REGEXMATCH(B355,""online"")
),""Virtual"",
IF(REGEXMATCH(B355,""Música|Álbum|Filme|Documentário|Série|Podcast|Rádio|Audiotour|Episódio|Reportagem|Curta|Charge|Vídeo|Entrevis"&amp;"ta|Notícia|Artigo de opinião""),
""Midiático"",
IF(REGEXMATCH(B355,""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55" s="21" t="str">
        <f>IFERROR(__xludf.DUMMYFUNCTION("IF(C355=""rememoração"", ""Insira a data manualmente"", IF(C355=""difusão"", 
 IF(NOT(ISERROR(REGEXEXTRACT(T355, ""(\d{1,2}) jan\. 2025""))), 
  TEXT(DATE(2025,1,REGEXEXTRACT(T355, ""(\d{1,2}) jan\. 2025"")), ""dd/mm/yyyy""),
 IF(NOT(ISERROR(REGEXEXTRACT("&amp;"T355, ""(\d{1,2}) fev\. 2025""))), 
  TEXT(DATE(2025,2,REGEXEXTRACT(T355, ""(\d{1,2}) fev\. 2025"")), ""dd/mm/yyyy""),
 IF(NOT(ISERROR(REGEXEXTRACT(T355, ""(\d{1,2}) mar\. 2025""))), 
  TEXT(DATE(2025,3,REGEXEXTRACT(T355, ""(\d{1,2}) mar\. 2025"")), ""dd/"&amp;"mm/yyyy""),
 IF(NOT(ISERROR(REGEXEXTRACT(T355, ""(\d{1,2}) abr\. 2025""))), 
  TEXT(DATE(2025,4,REGEXEXTRACT(T355, ""(\d{1,2}) abr\. 2025"")), ""dd/mm/yyyy""),
 IF(NOT(ISERROR(REGEXEXTRACT(T355, ""(\d{1,2}) (mai|maio)\. 2025""))), 
  TEXT(DATE(2025,5,REGE"&amp;"XEXTRACT(T355, ""(\d{1,2}) (mai|maio)\. 2025"")), ""dd/mm/yyyy""),
 IF(NOT(ISERROR(REGEXEXTRACT(T355, ""(\d{1,2}) jun\. 2025""))), 
  TEXT(DATE(2025,6,REGEXEXTRACT(T355, ""(\d{1,2}) jun\. 2025"")), ""dd/mm/yyyy""),
 IF(NOT(ISERROR(REGEXEXTRACT(T355, ""(\d"&amp;"{1,2}) jul\. 2025""))), 
  TEXT(DATE(2025,7,REGEXEXTRACT(T355, ""(\d{1,2}) jul\. 2025"")), ""dd/mm/yyyy""),
 IF(NOT(ISERROR(REGEXEXTRACT(T355, ""(\d{1,2}) ago\. 2025""))), 
  TEXT(DATE(2025,8,REGEXEXTRACT(T355, ""(\d{1,2}) ago\. 2025"")), ""dd/mm/yyyy""),"&amp;"
 IF(NOT(ISERROR(REGEXEXTRACT(T355, ""(\d{1,2}) set\. 2025""))), 
  TEXT(DATE(2025,9,REGEXEXTRACT(T355, ""(\d{1,2}) set\. 2025"")), ""dd/mm/yyyy""),
 IF(NOT(ISERROR(REGEXEXTRACT(T355, ""(\d{1,2}) out\. 2025""))), 
  TEXT(DATE(2025,10,REGEXEXTRACT(T355, """&amp;"(\d{1,2}) out\. 2025"")), ""dd/mm/yyyy""),
 IF(NOT(ISERROR(REGEXEXTRACT(T355, ""(\d{1,2}) nov\. 2025""))), 
  TEXT(DATE(2025,11,REGEXEXTRACT(T355, ""(\d{1,2}) nov\. 2025"")), ""dd/mm/yyyy""),
 IF(NOT(ISERROR(REGEXEXTRACT(T355, ""(\d{1,2}) dez\. 2025""))),"&amp;" 
  TEXT(DATE(2025,12,REGEXEXTRACT(T355, ""(\d{1,2}) dez\. 2025"")), ""dd/mm/yyyy""),
 ""Insira a data manualmente"")))))))))))), """"))"),"")</f>
        <v/>
      </c>
      <c r="H355" s="22">
        <f t="shared" si="1"/>
        <v>0</v>
      </c>
      <c r="I355" s="18" t="str">
        <f>IFERROR(__xludf.DUMMYFUNCTION("IF(REGEXMATCH(T355,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IF(REGEXMATCH(T355, ""(?i)\bBrasília\b""), ""Distrito Federal, Brasil"",
REGEXEXTRACT(T355,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55" s="30"/>
      <c r="K355" s="24"/>
      <c r="L355" s="24"/>
      <c r="M355" s="25"/>
      <c r="N355" s="18" t="str">
        <f t="shared" si="8"/>
        <v/>
      </c>
      <c r="O355" s="17" t="s">
        <v>28</v>
      </c>
      <c r="P355" s="17" t="s">
        <v>251</v>
      </c>
      <c r="Q355" s="26">
        <v>45973.0</v>
      </c>
      <c r="R355" s="17"/>
      <c r="S355" s="36" t="str">
        <f t="shared" si="3"/>
        <v>#VALUE!</v>
      </c>
      <c r="T355" s="29"/>
      <c r="U355" s="29"/>
    </row>
    <row r="356">
      <c r="A356" s="16">
        <v>354.0</v>
      </c>
      <c r="B356" s="17"/>
      <c r="C356" s="18" t="str">
        <f>IFERROR(__xludf.DUMMYFUNCTION("IF(B356="""","""",IF(OR(
  REGEXMATCH(B356,""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REGEXMATCH(B356,""Notícia|Reportagem|Artigo de opinião|Verbete"")
),""Difusão"","""")))
"),"")</f>
        <v/>
      </c>
      <c r="D356" s="19" t="str">
        <f>IFERROR(__xludf.DUMMYFUNCTION("IF(B356="""","""",IF(OR(
  REGEXMATCH(B356,""Performance|Instalação|Álbum|Música|Poema|Livro|Filme|Documentário|Recitação|Espetáculo|Peça|Intervenção|Desfile|Fotografia|Exposição|Charge|Grafite|Leitura pública|Fabricação de cachaça artesanal""),
  REGEXMA"&amp;"TCH(B356,""dança|teatral|artístico|musical|artística"")
),""Manifestação artístico-cultural"",
IF(OR(
  REGEXMATCH(B356,""Crônica|Série|Reportagem|Podcast|Audiotour|Entrevista|Vídeo|Rádio|Notícia|Artigo de opinião|Coletiva de imprensa""),
  REGEXMATCH(B35"&amp;"6,""midiática"")
),""Produção midiática"","""")))
"),"")</f>
        <v/>
      </c>
      <c r="E356" s="20" t="str">
        <f>IFERROR(__xludf.DUMMYFUNCTION("IF(B356="""","""",IF(OR(
  REGEXMATCH(B356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REGEXMATCH(B356,""público|Imediato|artística|teatral|memória|Ação popular"")
),""Público Imediato"",
IF(REGEXMATCH(B356,""Música|Álbum|Filme|Documentár"&amp;"io|Série|Podcast|Rádio|Audiotour|Entrevista|Reportagem|Crônica|Relatório|Abaixo-assinado|Manifesto|Petição|Poema|Livro|Fotografia|Curta|Live|Webinário|Charge|Leitura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56" s="20" t="str">
        <f>IFERROR(__xludf.DUMMYFUNCTION("IF(B356="""","""",IF(OR(
  REGEXMATCH(B356,""Live|Webinário|Virtual|Verbete""),
  REGEXMATCH(B356,""online"")
),""Virtual"",
IF(REGEXMATCH(B356,""Música|Álbum|Filme|Documentário|Série|Podcast|Rádio|Audiotour|Episódio|Reportagem|Curta|Charge|Vídeo|Entrevis"&amp;"ta|Notícia|Artigo de opinião""),
""Midiático"",
IF(REGEXMATCH(B356,""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56" s="21" t="str">
        <f>IFERROR(__xludf.DUMMYFUNCTION("IF(C356=""rememoração"", ""Insira a data manualmente"", IF(C356=""difusão"", 
 IF(NOT(ISERROR(REGEXEXTRACT(T356, ""(\d{1,2}) jan\. 2025""))), 
  TEXT(DATE(2025,1,REGEXEXTRACT(T356, ""(\d{1,2}) jan\. 2025"")), ""dd/mm/yyyy""),
 IF(NOT(ISERROR(REGEXEXTRACT("&amp;"T356, ""(\d{1,2}) fev\. 2025""))), 
  TEXT(DATE(2025,2,REGEXEXTRACT(T356, ""(\d{1,2}) fev\. 2025"")), ""dd/mm/yyyy""),
 IF(NOT(ISERROR(REGEXEXTRACT(T356, ""(\d{1,2}) mar\. 2025""))), 
  TEXT(DATE(2025,3,REGEXEXTRACT(T356, ""(\d{1,2}) mar\. 2025"")), ""dd/"&amp;"mm/yyyy""),
 IF(NOT(ISERROR(REGEXEXTRACT(T356, ""(\d{1,2}) abr\. 2025""))), 
  TEXT(DATE(2025,4,REGEXEXTRACT(T356, ""(\d{1,2}) abr\. 2025"")), ""dd/mm/yyyy""),
 IF(NOT(ISERROR(REGEXEXTRACT(T356, ""(\d{1,2}) (mai|maio)\. 2025""))), 
  TEXT(DATE(2025,5,REGE"&amp;"XEXTRACT(T356, ""(\d{1,2}) (mai|maio)\. 2025"")), ""dd/mm/yyyy""),
 IF(NOT(ISERROR(REGEXEXTRACT(T356, ""(\d{1,2}) jun\. 2025""))), 
  TEXT(DATE(2025,6,REGEXEXTRACT(T356, ""(\d{1,2}) jun\. 2025"")), ""dd/mm/yyyy""),
 IF(NOT(ISERROR(REGEXEXTRACT(T356, ""(\d"&amp;"{1,2}) jul\. 2025""))), 
  TEXT(DATE(2025,7,REGEXEXTRACT(T356, ""(\d{1,2}) jul\. 2025"")), ""dd/mm/yyyy""),
 IF(NOT(ISERROR(REGEXEXTRACT(T356, ""(\d{1,2}) ago\. 2025""))), 
  TEXT(DATE(2025,8,REGEXEXTRACT(T356, ""(\d{1,2}) ago\. 2025"")), ""dd/mm/yyyy""),"&amp;"
 IF(NOT(ISERROR(REGEXEXTRACT(T356, ""(\d{1,2}) set\. 2025""))), 
  TEXT(DATE(2025,9,REGEXEXTRACT(T356, ""(\d{1,2}) set\. 2025"")), ""dd/mm/yyyy""),
 IF(NOT(ISERROR(REGEXEXTRACT(T356, ""(\d{1,2}) out\. 2025""))), 
  TEXT(DATE(2025,10,REGEXEXTRACT(T356, """&amp;"(\d{1,2}) out\. 2025"")), ""dd/mm/yyyy""),
 IF(NOT(ISERROR(REGEXEXTRACT(T356, ""(\d{1,2}) nov\. 2025""))), 
  TEXT(DATE(2025,11,REGEXEXTRACT(T356, ""(\d{1,2}) nov\. 2025"")), ""dd/mm/yyyy""),
 IF(NOT(ISERROR(REGEXEXTRACT(T356, ""(\d{1,2}) dez\. 2025""))),"&amp;" 
  TEXT(DATE(2025,12,REGEXEXTRACT(T356, ""(\d{1,2}) dez\. 2025"")), ""dd/mm/yyyy""),
 ""Insira a data manualmente"")))))))))))), """"))"),"")</f>
        <v/>
      </c>
      <c r="H356" s="22">
        <f t="shared" si="1"/>
        <v>0</v>
      </c>
      <c r="I356" s="18" t="str">
        <f>IFERROR(__xludf.DUMMYFUNCTION("IF(REGEXMATCH(T356,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IF(REGEXMATCH(T356, ""(?i)\bBrasília\b""), ""Distrito Federal, Brasil"",
REGEXEXTRACT(T356,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56" s="30"/>
      <c r="K356" s="24"/>
      <c r="L356" s="24"/>
      <c r="M356" s="25"/>
      <c r="N356" s="18" t="str">
        <f t="shared" si="8"/>
        <v/>
      </c>
      <c r="O356" s="17" t="s">
        <v>28</v>
      </c>
      <c r="P356" s="17" t="s">
        <v>251</v>
      </c>
      <c r="Q356" s="26">
        <v>45973.0</v>
      </c>
      <c r="R356" s="17"/>
      <c r="S356" s="36" t="str">
        <f t="shared" si="3"/>
        <v>#VALUE!</v>
      </c>
      <c r="T356" s="29"/>
      <c r="U356" s="29"/>
    </row>
    <row r="357">
      <c r="A357" s="16">
        <v>355.0</v>
      </c>
      <c r="B357" s="17"/>
      <c r="C357" s="18" t="str">
        <f>IFERROR(__xludf.DUMMYFUNCTION("IF(B357="""","""",IF(OR(
  REGEXMATCH(B357,""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REGEXMATCH(B357,""Notícia|Reportagem|Artigo de opinião|Verbete"")
),""Difusão"","""")))
"),"")</f>
        <v/>
      </c>
      <c r="D357" s="19" t="str">
        <f>IFERROR(__xludf.DUMMYFUNCTION("IF(B357="""","""",IF(OR(
  REGEXMATCH(B357,""Performance|Instalação|Álbum|Música|Poema|Livro|Filme|Documentário|Recitação|Espetáculo|Peça|Intervenção|Desfile|Fotografia|Exposição|Charge|Grafite|Leitura pública|Fabricação de cachaça artesanal""),
  REGEXMA"&amp;"TCH(B357,""dança|teatral|artístico|musical|artística"")
),""Manifestação artístico-cultural"",
IF(OR(
  REGEXMATCH(B357,""Crônica|Série|Reportagem|Podcast|Audiotour|Entrevista|Vídeo|Rádio|Notícia|Artigo de opinião|Coletiva de imprensa""),
  REGEXMATCH(B35"&amp;"7,""midiática"")
),""Produção midiática"","""")))
"),"")</f>
        <v/>
      </c>
      <c r="E357" s="20" t="str">
        <f>IFERROR(__xludf.DUMMYFUNCTION("IF(B357="""","""",IF(OR(
  REGEXMATCH(B357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REGEXMATCH(B357,""público|Imediato|artística|teatral|memória|Ação popular"")
),""Público Imediato"",
IF(REGEXMATCH(B357,""Música|Álbum|Filme|Documentár"&amp;"io|Série|Podcast|Rádio|Audiotour|Entrevista|Reportagem|Crônica|Relatório|Abaixo-assinado|Manifesto|Petição|Poema|Livro|Fotografia|Curta|Live|Webinário|Charge|Leitura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57" s="20" t="str">
        <f>IFERROR(__xludf.DUMMYFUNCTION("IF(B357="""","""",IF(OR(
  REGEXMATCH(B357,""Live|Webinário|Virtual|Verbete""),
  REGEXMATCH(B357,""online"")
),""Virtual"",
IF(REGEXMATCH(B357,""Música|Álbum|Filme|Documentário|Série|Podcast|Rádio|Audiotour|Episódio|Reportagem|Curta|Charge|Vídeo|Entrevis"&amp;"ta|Notícia|Artigo de opinião""),
""Midiático"",
IF(REGEXMATCH(B357,""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57" s="21" t="str">
        <f>IFERROR(__xludf.DUMMYFUNCTION("IF(C357=""rememoração"", ""Insira a data manualmente"", IF(C357=""difusão"", 
 IF(NOT(ISERROR(REGEXEXTRACT(T357, ""(\d{1,2}) jan\. 2025""))), 
  TEXT(DATE(2025,1,REGEXEXTRACT(T357, ""(\d{1,2}) jan\. 2025"")), ""dd/mm/yyyy""),
 IF(NOT(ISERROR(REGEXEXTRACT("&amp;"T357, ""(\d{1,2}) fev\. 2025""))), 
  TEXT(DATE(2025,2,REGEXEXTRACT(T357, ""(\d{1,2}) fev\. 2025"")), ""dd/mm/yyyy""),
 IF(NOT(ISERROR(REGEXEXTRACT(T357, ""(\d{1,2}) mar\. 2025""))), 
  TEXT(DATE(2025,3,REGEXEXTRACT(T357, ""(\d{1,2}) mar\. 2025"")), ""dd/"&amp;"mm/yyyy""),
 IF(NOT(ISERROR(REGEXEXTRACT(T357, ""(\d{1,2}) abr\. 2025""))), 
  TEXT(DATE(2025,4,REGEXEXTRACT(T357, ""(\d{1,2}) abr\. 2025"")), ""dd/mm/yyyy""),
 IF(NOT(ISERROR(REGEXEXTRACT(T357, ""(\d{1,2}) (mai|maio)\. 2025""))), 
  TEXT(DATE(2025,5,REGE"&amp;"XEXTRACT(T357, ""(\d{1,2}) (mai|maio)\. 2025"")), ""dd/mm/yyyy""),
 IF(NOT(ISERROR(REGEXEXTRACT(T357, ""(\d{1,2}) jun\. 2025""))), 
  TEXT(DATE(2025,6,REGEXEXTRACT(T357, ""(\d{1,2}) jun\. 2025"")), ""dd/mm/yyyy""),
 IF(NOT(ISERROR(REGEXEXTRACT(T357, ""(\d"&amp;"{1,2}) jul\. 2025""))), 
  TEXT(DATE(2025,7,REGEXEXTRACT(T357, ""(\d{1,2}) jul\. 2025"")), ""dd/mm/yyyy""),
 IF(NOT(ISERROR(REGEXEXTRACT(T357, ""(\d{1,2}) ago\. 2025""))), 
  TEXT(DATE(2025,8,REGEXEXTRACT(T357, ""(\d{1,2}) ago\. 2025"")), ""dd/mm/yyyy""),"&amp;"
 IF(NOT(ISERROR(REGEXEXTRACT(T357, ""(\d{1,2}) set\. 2025""))), 
  TEXT(DATE(2025,9,REGEXEXTRACT(T357, ""(\d{1,2}) set\. 2025"")), ""dd/mm/yyyy""),
 IF(NOT(ISERROR(REGEXEXTRACT(T357, ""(\d{1,2}) out\. 2025""))), 
  TEXT(DATE(2025,10,REGEXEXTRACT(T357, """&amp;"(\d{1,2}) out\. 2025"")), ""dd/mm/yyyy""),
 IF(NOT(ISERROR(REGEXEXTRACT(T357, ""(\d{1,2}) nov\. 2025""))), 
  TEXT(DATE(2025,11,REGEXEXTRACT(T357, ""(\d{1,2}) nov\. 2025"")), ""dd/mm/yyyy""),
 IF(NOT(ISERROR(REGEXEXTRACT(T357, ""(\d{1,2}) dez\. 2025""))),"&amp;" 
  TEXT(DATE(2025,12,REGEXEXTRACT(T357, ""(\d{1,2}) dez\. 2025"")), ""dd/mm/yyyy""),
 ""Insira a data manualmente"")))))))))))), """"))"),"")</f>
        <v/>
      </c>
      <c r="H357" s="22">
        <f t="shared" si="1"/>
        <v>0</v>
      </c>
      <c r="I357" s="18" t="str">
        <f>IFERROR(__xludf.DUMMYFUNCTION("IF(REGEXMATCH(T357,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IF(REGEXMATCH(T357, ""(?i)\bBrasília\b""), ""Distrito Federal, Brasil"",
REGEXEXTRACT(T357,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57" s="30"/>
      <c r="K357" s="24"/>
      <c r="L357" s="24"/>
      <c r="M357" s="25"/>
      <c r="N357" s="18" t="str">
        <f t="shared" si="8"/>
        <v/>
      </c>
      <c r="O357" s="17" t="s">
        <v>28</v>
      </c>
      <c r="P357" s="17" t="s">
        <v>251</v>
      </c>
      <c r="Q357" s="26">
        <v>45973.0</v>
      </c>
      <c r="R357" s="17"/>
      <c r="S357" s="36" t="str">
        <f t="shared" si="3"/>
        <v>#VALUE!</v>
      </c>
      <c r="T357" s="29"/>
      <c r="U357" s="29"/>
    </row>
    <row r="358">
      <c r="A358" s="16">
        <v>356.0</v>
      </c>
      <c r="B358" s="17"/>
      <c r="C358" s="18" t="str">
        <f>IFERROR(__xludf.DUMMYFUNCTION("IF(B358="""","""",IF(OR(
  REGEXMATCH(B358,""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REGEXMATCH(B358,""Notícia|Reportagem|Artigo de opinião|Verbete"")
),""Difusão"","""")))
"),"")</f>
        <v/>
      </c>
      <c r="D358" s="19" t="str">
        <f>IFERROR(__xludf.DUMMYFUNCTION("IF(B358="""","""",IF(OR(
  REGEXMATCH(B358,""Performance|Instalação|Álbum|Música|Poema|Livro|Filme|Documentário|Recitação|Espetáculo|Peça|Intervenção|Desfile|Fotografia|Exposição|Charge|Grafite|Leitura pública|Fabricação de cachaça artesanal""),
  REGEXMA"&amp;"TCH(B358,""dança|teatral|artístico|musical|artística"")
),""Manifestação artístico-cultural"",
IF(OR(
  REGEXMATCH(B358,""Crônica|Série|Reportagem|Podcast|Audiotour|Entrevista|Vídeo|Rádio|Notícia|Artigo de opinião|Coletiva de imprensa""),
  REGEXMATCH(B35"&amp;"8,""midiática"")
),""Produção midiática"","""")))
"),"")</f>
        <v/>
      </c>
      <c r="E358" s="20" t="str">
        <f>IFERROR(__xludf.DUMMYFUNCTION("IF(B358="""","""",IF(OR(
  REGEXMATCH(B358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REGEXMATCH(B358,""público|Imediato|artística|teatral|memória|Ação popular"")
),""Público Imediato"",
IF(REGEXMATCH(B358,""Música|Álbum|Filme|Documentár"&amp;"io|Série|Podcast|Rádio|Audiotour|Entrevista|Reportagem|Crônica|Relatório|Abaixo-assinado|Manifesto|Petição|Poema|Livro|Fotografia|Curta|Live|Webinário|Charge|Leitura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58" s="20" t="str">
        <f>IFERROR(__xludf.DUMMYFUNCTION("IF(B358="""","""",IF(OR(
  REGEXMATCH(B358,""Live|Webinário|Virtual|Verbete""),
  REGEXMATCH(B358,""online"")
),""Virtual"",
IF(REGEXMATCH(B358,""Música|Álbum|Filme|Documentário|Série|Podcast|Rádio|Audiotour|Episódio|Reportagem|Curta|Charge|Vídeo|Entrevis"&amp;"ta|Notícia|Artigo de opinião""),
""Midiático"",
IF(REGEXMATCH(B358,""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58" s="21" t="str">
        <f>IFERROR(__xludf.DUMMYFUNCTION("IF(C358=""rememoração"", ""Insira a data manualmente"", IF(C358=""difusão"", 
 IF(NOT(ISERROR(REGEXEXTRACT(T358, ""(\d{1,2}) jan\. 2025""))), 
  TEXT(DATE(2025,1,REGEXEXTRACT(T358, ""(\d{1,2}) jan\. 2025"")), ""dd/mm/yyyy""),
 IF(NOT(ISERROR(REGEXEXTRACT("&amp;"T358, ""(\d{1,2}) fev\. 2025""))), 
  TEXT(DATE(2025,2,REGEXEXTRACT(T358, ""(\d{1,2}) fev\. 2025"")), ""dd/mm/yyyy""),
 IF(NOT(ISERROR(REGEXEXTRACT(T358, ""(\d{1,2}) mar\. 2025""))), 
  TEXT(DATE(2025,3,REGEXEXTRACT(T358, ""(\d{1,2}) mar\. 2025"")), ""dd/"&amp;"mm/yyyy""),
 IF(NOT(ISERROR(REGEXEXTRACT(T358, ""(\d{1,2}) abr\. 2025""))), 
  TEXT(DATE(2025,4,REGEXEXTRACT(T358, ""(\d{1,2}) abr\. 2025"")), ""dd/mm/yyyy""),
 IF(NOT(ISERROR(REGEXEXTRACT(T358, ""(\d{1,2}) (mai|maio)\. 2025""))), 
  TEXT(DATE(2025,5,REGE"&amp;"XEXTRACT(T358, ""(\d{1,2}) (mai|maio)\. 2025"")), ""dd/mm/yyyy""),
 IF(NOT(ISERROR(REGEXEXTRACT(T358, ""(\d{1,2}) jun\. 2025""))), 
  TEXT(DATE(2025,6,REGEXEXTRACT(T358, ""(\d{1,2}) jun\. 2025"")), ""dd/mm/yyyy""),
 IF(NOT(ISERROR(REGEXEXTRACT(T358, ""(\d"&amp;"{1,2}) jul\. 2025""))), 
  TEXT(DATE(2025,7,REGEXEXTRACT(T358, ""(\d{1,2}) jul\. 2025"")), ""dd/mm/yyyy""),
 IF(NOT(ISERROR(REGEXEXTRACT(T358, ""(\d{1,2}) ago\. 2025""))), 
  TEXT(DATE(2025,8,REGEXEXTRACT(T358, ""(\d{1,2}) ago\. 2025"")), ""dd/mm/yyyy""),"&amp;"
 IF(NOT(ISERROR(REGEXEXTRACT(T358, ""(\d{1,2}) set\. 2025""))), 
  TEXT(DATE(2025,9,REGEXEXTRACT(T358, ""(\d{1,2}) set\. 2025"")), ""dd/mm/yyyy""),
 IF(NOT(ISERROR(REGEXEXTRACT(T358, ""(\d{1,2}) out\. 2025""))), 
  TEXT(DATE(2025,10,REGEXEXTRACT(T358, """&amp;"(\d{1,2}) out\. 2025"")), ""dd/mm/yyyy""),
 IF(NOT(ISERROR(REGEXEXTRACT(T358, ""(\d{1,2}) nov\. 2025""))), 
  TEXT(DATE(2025,11,REGEXEXTRACT(T358, ""(\d{1,2}) nov\. 2025"")), ""dd/mm/yyyy""),
 IF(NOT(ISERROR(REGEXEXTRACT(T358, ""(\d{1,2}) dez\. 2025""))),"&amp;" 
  TEXT(DATE(2025,12,REGEXEXTRACT(T358, ""(\d{1,2}) dez\. 2025"")), ""dd/mm/yyyy""),
 ""Insira a data manualmente"")))))))))))), """"))"),"")</f>
        <v/>
      </c>
      <c r="H358" s="22">
        <f t="shared" si="1"/>
        <v>0</v>
      </c>
      <c r="I358" s="18" t="str">
        <f>IFERROR(__xludf.DUMMYFUNCTION("IF(REGEXMATCH(T358,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IF(REGEXMATCH(T358, ""(?i)\bBrasília\b""), ""Distrito Federal, Brasil"",
REGEXEXTRACT(T358,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58" s="30"/>
      <c r="K358" s="24"/>
      <c r="L358" s="24"/>
      <c r="M358" s="25"/>
      <c r="N358" s="18" t="str">
        <f t="shared" si="8"/>
        <v/>
      </c>
      <c r="O358" s="17" t="s">
        <v>28</v>
      </c>
      <c r="P358" s="17" t="s">
        <v>251</v>
      </c>
      <c r="Q358" s="26">
        <v>45973.0</v>
      </c>
      <c r="R358" s="17"/>
      <c r="S358" s="36" t="str">
        <f t="shared" si="3"/>
        <v>#VALUE!</v>
      </c>
      <c r="T358" s="29"/>
      <c r="U358" s="29"/>
    </row>
    <row r="359">
      <c r="A359" s="16">
        <v>357.0</v>
      </c>
      <c r="B359" s="17"/>
      <c r="C359" s="18" t="str">
        <f>IFERROR(__xludf.DUMMYFUNCTION("IF(B359="""","""",IF(OR(
  REGEXMATCH(B359,""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REGEXMATCH(B359,""Notícia|Reportagem|Artigo de opinião|Verbete"")
),""Difusão"","""")))
"),"")</f>
        <v/>
      </c>
      <c r="D359" s="19" t="str">
        <f>IFERROR(__xludf.DUMMYFUNCTION("IF(B359="""","""",IF(OR(
  REGEXMATCH(B359,""Performance|Instalação|Álbum|Música|Poema|Livro|Filme|Documentário|Recitação|Espetáculo|Peça|Intervenção|Desfile|Fotografia|Exposição|Charge|Grafite|Leitura pública|Fabricação de cachaça artesanal""),
  REGEXMA"&amp;"TCH(B359,""dança|teatral|artístico|musical|artística"")
),""Manifestação artístico-cultural"",
IF(OR(
  REGEXMATCH(B359,""Crônica|Série|Reportagem|Podcast|Audiotour|Entrevista|Vídeo|Rádio|Notícia|Artigo de opinião|Coletiva de imprensa""),
  REGEXMATCH(B35"&amp;"9,""midiática"")
),""Produção midiática"","""")))
"),"")</f>
        <v/>
      </c>
      <c r="E359" s="20" t="str">
        <f>IFERROR(__xludf.DUMMYFUNCTION("IF(B359="""","""",IF(OR(
  REGEXMATCH(B359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REGEXMATCH(B359,""público|Imediato|artística|teatral|memória|Ação popular"")
),""Público Imediato"",
IF(REGEXMATCH(B359,""Música|Álbum|Filme|Documentár"&amp;"io|Série|Podcast|Rádio|Audiotour|Entrevista|Reportagem|Crônica|Relatório|Abaixo-assinado|Manifesto|Petição|Poema|Livro|Fotografia|Curta|Live|Webinário|Charge|Leitura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59" s="20" t="str">
        <f>IFERROR(__xludf.DUMMYFUNCTION("IF(B359="""","""",IF(OR(
  REGEXMATCH(B359,""Live|Webinário|Virtual|Verbete""),
  REGEXMATCH(B359,""online"")
),""Virtual"",
IF(REGEXMATCH(B359,""Música|Álbum|Filme|Documentário|Série|Podcast|Rádio|Audiotour|Episódio|Reportagem|Curta|Charge|Vídeo|Entrevis"&amp;"ta|Notícia|Artigo de opinião""),
""Midiático"",
IF(REGEXMATCH(B359,""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59" s="21" t="str">
        <f>IFERROR(__xludf.DUMMYFUNCTION("IF(C359=""rememoração"", ""Insira a data manualmente"", IF(C359=""difusão"", 
 IF(NOT(ISERROR(REGEXEXTRACT(T359, ""(\d{1,2}) jan\. 2025""))), 
  TEXT(DATE(2025,1,REGEXEXTRACT(T359, ""(\d{1,2}) jan\. 2025"")), ""dd/mm/yyyy""),
 IF(NOT(ISERROR(REGEXEXTRACT("&amp;"T359, ""(\d{1,2}) fev\. 2025""))), 
  TEXT(DATE(2025,2,REGEXEXTRACT(T359, ""(\d{1,2}) fev\. 2025"")), ""dd/mm/yyyy""),
 IF(NOT(ISERROR(REGEXEXTRACT(T359, ""(\d{1,2}) mar\. 2025""))), 
  TEXT(DATE(2025,3,REGEXEXTRACT(T359, ""(\d{1,2}) mar\. 2025"")), ""dd/"&amp;"mm/yyyy""),
 IF(NOT(ISERROR(REGEXEXTRACT(T359, ""(\d{1,2}) abr\. 2025""))), 
  TEXT(DATE(2025,4,REGEXEXTRACT(T359, ""(\d{1,2}) abr\. 2025"")), ""dd/mm/yyyy""),
 IF(NOT(ISERROR(REGEXEXTRACT(T359, ""(\d{1,2}) (mai|maio)\. 2025""))), 
  TEXT(DATE(2025,5,REGE"&amp;"XEXTRACT(T359, ""(\d{1,2}) (mai|maio)\. 2025"")), ""dd/mm/yyyy""),
 IF(NOT(ISERROR(REGEXEXTRACT(T359, ""(\d{1,2}) jun\. 2025""))), 
  TEXT(DATE(2025,6,REGEXEXTRACT(T359, ""(\d{1,2}) jun\. 2025"")), ""dd/mm/yyyy""),
 IF(NOT(ISERROR(REGEXEXTRACT(T359, ""(\d"&amp;"{1,2}) jul\. 2025""))), 
  TEXT(DATE(2025,7,REGEXEXTRACT(T359, ""(\d{1,2}) jul\. 2025"")), ""dd/mm/yyyy""),
 IF(NOT(ISERROR(REGEXEXTRACT(T359, ""(\d{1,2}) ago\. 2025""))), 
  TEXT(DATE(2025,8,REGEXEXTRACT(T359, ""(\d{1,2}) ago\. 2025"")), ""dd/mm/yyyy""),"&amp;"
 IF(NOT(ISERROR(REGEXEXTRACT(T359, ""(\d{1,2}) set\. 2025""))), 
  TEXT(DATE(2025,9,REGEXEXTRACT(T359, ""(\d{1,2}) set\. 2025"")), ""dd/mm/yyyy""),
 IF(NOT(ISERROR(REGEXEXTRACT(T359, ""(\d{1,2}) out\. 2025""))), 
  TEXT(DATE(2025,10,REGEXEXTRACT(T359, """&amp;"(\d{1,2}) out\. 2025"")), ""dd/mm/yyyy""),
 IF(NOT(ISERROR(REGEXEXTRACT(T359, ""(\d{1,2}) nov\. 2025""))), 
  TEXT(DATE(2025,11,REGEXEXTRACT(T359, ""(\d{1,2}) nov\. 2025"")), ""dd/mm/yyyy""),
 IF(NOT(ISERROR(REGEXEXTRACT(T359, ""(\d{1,2}) dez\. 2025""))),"&amp;" 
  TEXT(DATE(2025,12,REGEXEXTRACT(T359, ""(\d{1,2}) dez\. 2025"")), ""dd/mm/yyyy""),
 ""Insira a data manualmente"")))))))))))), """"))"),"")</f>
        <v/>
      </c>
      <c r="H359" s="22">
        <f t="shared" si="1"/>
        <v>0</v>
      </c>
      <c r="I359" s="18" t="str">
        <f>IFERROR(__xludf.DUMMYFUNCTION("IF(REGEXMATCH(T359,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IF(REGEXMATCH(T359, ""(?i)\bBrasília\b""), ""Distrito Federal, Brasil"",
REGEXEXTRACT(T359,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59" s="30"/>
      <c r="K359" s="24"/>
      <c r="L359" s="24"/>
      <c r="M359" s="25"/>
      <c r="N359" s="18" t="str">
        <f t="shared" si="8"/>
        <v/>
      </c>
      <c r="O359" s="17" t="s">
        <v>28</v>
      </c>
      <c r="P359" s="17" t="s">
        <v>251</v>
      </c>
      <c r="Q359" s="26">
        <v>45973.0</v>
      </c>
      <c r="R359" s="17"/>
      <c r="S359" s="36" t="str">
        <f t="shared" si="3"/>
        <v>#VALUE!</v>
      </c>
      <c r="T359" s="29"/>
      <c r="U359" s="29"/>
    </row>
    <row r="360">
      <c r="A360" s="16">
        <v>358.0</v>
      </c>
      <c r="B360" s="17"/>
      <c r="C360" s="18" t="str">
        <f>IFERROR(__xludf.DUMMYFUNCTION("IF(B360="""","""",IF(OR(
  REGEXMATCH(B360,""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REGEXMATCH(B360,""Notícia|Reportagem|Artigo de opinião|Verbete"")
),""Difusão"","""")))
"),"")</f>
        <v/>
      </c>
      <c r="D360" s="19" t="str">
        <f>IFERROR(__xludf.DUMMYFUNCTION("IF(B360="""","""",IF(OR(
  REGEXMATCH(B360,""Performance|Instalação|Álbum|Música|Poema|Livro|Filme|Documentário|Recitação|Espetáculo|Peça|Intervenção|Desfile|Fotografia|Exposição|Charge|Grafite|Leitura pública|Fabricação de cachaça artesanal""),
  REGEXMA"&amp;"TCH(B360,""dança|teatral|artístico|musical|artística"")
),""Manifestação artístico-cultural"",
IF(OR(
  REGEXMATCH(B360,""Crônica|Série|Reportagem|Podcast|Audiotour|Entrevista|Vídeo|Rádio|Notícia|Artigo de opinião|Coletiva de imprensa""),
  REGEXMATCH(B36"&amp;"0,""midiática"")
),""Produção midiática"","""")))
"),"")</f>
        <v/>
      </c>
      <c r="E360" s="20" t="str">
        <f>IFERROR(__xludf.DUMMYFUNCTION("IF(B360="""","""",IF(OR(
  REGEXMATCH(B360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REGEXMATCH(B360,""público|Imediato|artística|teatral|memória|Ação popular"")
),""Público Imediato"",
IF(REGEXMATCH(B360,""Música|Álbum|Filme|Documentár"&amp;"io|Série|Podcast|Rádio|Audiotour|Entrevista|Reportagem|Crônica|Relatório|Abaixo-assinado|Manifesto|Petição|Poema|Livro|Fotografia|Curta|Live|Webinário|Charge|Leitura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60" s="20" t="str">
        <f>IFERROR(__xludf.DUMMYFUNCTION("IF(B360="""","""",IF(OR(
  REGEXMATCH(B360,""Live|Webinário|Virtual|Verbete""),
  REGEXMATCH(B360,""online"")
),""Virtual"",
IF(REGEXMATCH(B360,""Música|Álbum|Filme|Documentário|Série|Podcast|Rádio|Audiotour|Episódio|Reportagem|Curta|Charge|Vídeo|Entrevis"&amp;"ta|Notícia|Artigo de opinião""),
""Midiático"",
IF(REGEXMATCH(B360,""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60" s="21" t="str">
        <f>IFERROR(__xludf.DUMMYFUNCTION("IF(C360=""rememoração"", ""Insira a data manualmente"", IF(C360=""difusão"", 
 IF(NOT(ISERROR(REGEXEXTRACT(T360, ""(\d{1,2}) jan\. 2025""))), 
  TEXT(DATE(2025,1,REGEXEXTRACT(T360, ""(\d{1,2}) jan\. 2025"")), ""dd/mm/yyyy""),
 IF(NOT(ISERROR(REGEXEXTRACT("&amp;"T360, ""(\d{1,2}) fev\. 2025""))), 
  TEXT(DATE(2025,2,REGEXEXTRACT(T360, ""(\d{1,2}) fev\. 2025"")), ""dd/mm/yyyy""),
 IF(NOT(ISERROR(REGEXEXTRACT(T360, ""(\d{1,2}) mar\. 2025""))), 
  TEXT(DATE(2025,3,REGEXEXTRACT(T360, ""(\d{1,2}) mar\. 2025"")), ""dd/"&amp;"mm/yyyy""),
 IF(NOT(ISERROR(REGEXEXTRACT(T360, ""(\d{1,2}) abr\. 2025""))), 
  TEXT(DATE(2025,4,REGEXEXTRACT(T360, ""(\d{1,2}) abr\. 2025"")), ""dd/mm/yyyy""),
 IF(NOT(ISERROR(REGEXEXTRACT(T360, ""(\d{1,2}) (mai|maio)\. 2025""))), 
  TEXT(DATE(2025,5,REGE"&amp;"XEXTRACT(T360, ""(\d{1,2}) (mai|maio)\. 2025"")), ""dd/mm/yyyy""),
 IF(NOT(ISERROR(REGEXEXTRACT(T360, ""(\d{1,2}) jun\. 2025""))), 
  TEXT(DATE(2025,6,REGEXEXTRACT(T360, ""(\d{1,2}) jun\. 2025"")), ""dd/mm/yyyy""),
 IF(NOT(ISERROR(REGEXEXTRACT(T360, ""(\d"&amp;"{1,2}) jul\. 2025""))), 
  TEXT(DATE(2025,7,REGEXEXTRACT(T360, ""(\d{1,2}) jul\. 2025"")), ""dd/mm/yyyy""),
 IF(NOT(ISERROR(REGEXEXTRACT(T360, ""(\d{1,2}) ago\. 2025""))), 
  TEXT(DATE(2025,8,REGEXEXTRACT(T360, ""(\d{1,2}) ago\. 2025"")), ""dd/mm/yyyy""),"&amp;"
 IF(NOT(ISERROR(REGEXEXTRACT(T360, ""(\d{1,2}) set\. 2025""))), 
  TEXT(DATE(2025,9,REGEXEXTRACT(T360, ""(\d{1,2}) set\. 2025"")), ""dd/mm/yyyy""),
 IF(NOT(ISERROR(REGEXEXTRACT(T360, ""(\d{1,2}) out\. 2025""))), 
  TEXT(DATE(2025,10,REGEXEXTRACT(T360, """&amp;"(\d{1,2}) out\. 2025"")), ""dd/mm/yyyy""),
 IF(NOT(ISERROR(REGEXEXTRACT(T360, ""(\d{1,2}) nov\. 2025""))), 
  TEXT(DATE(2025,11,REGEXEXTRACT(T360, ""(\d{1,2}) nov\. 2025"")), ""dd/mm/yyyy""),
 IF(NOT(ISERROR(REGEXEXTRACT(T360, ""(\d{1,2}) dez\. 2025""))),"&amp;" 
  TEXT(DATE(2025,12,REGEXEXTRACT(T360, ""(\d{1,2}) dez\. 2025"")), ""dd/mm/yyyy""),
 ""Insira a data manualmente"")))))))))))), """"))"),"")</f>
        <v/>
      </c>
      <c r="H360" s="22">
        <f t="shared" si="1"/>
        <v>0</v>
      </c>
      <c r="I360" s="18" t="str">
        <f>IFERROR(__xludf.DUMMYFUNCTION("IF(REGEXMATCH(T360,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IF(REGEXMATCH(T360, ""(?i)\bBrasília\b""), ""Distrito Federal, Brasil"",
REGEXEXTRACT(T360,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60" s="30"/>
      <c r="K360" s="24"/>
      <c r="L360" s="24"/>
      <c r="M360" s="25"/>
      <c r="N360" s="18" t="str">
        <f t="shared" si="8"/>
        <v/>
      </c>
      <c r="O360" s="17" t="s">
        <v>28</v>
      </c>
      <c r="P360" s="17" t="s">
        <v>251</v>
      </c>
      <c r="Q360" s="26">
        <v>45973.0</v>
      </c>
      <c r="R360" s="17"/>
      <c r="S360" s="36" t="str">
        <f t="shared" si="3"/>
        <v>#VALUE!</v>
      </c>
      <c r="T360" s="29"/>
      <c r="U360" s="29"/>
    </row>
    <row r="361">
      <c r="A361" s="16">
        <v>359.0</v>
      </c>
      <c r="B361" s="17"/>
      <c r="C361" s="18" t="str">
        <f>IFERROR(__xludf.DUMMYFUNCTION("IF(B361="""","""",IF(OR(
  REGEXMATCH(B361,""Performance|\bInstalação|\bFaixa|\bProtesto|\bÁlbum|\bMúsica|\bRelatório|\bCrônica|\bAbaixo-assinado|\bManifesto|\bLivro|\bPetição|\bExposição|\bParalisação|\bAto|\bPoema|\bManifestação|\bRebelião|\bFilme|\bDoc"&amp;"umentário|\bSérie|\bFotografia|\bEntrevista|\bMobilização|\bRecitação|\bEspetáculo|\bLeitura pública|\bPeça|\bCurta-metragem|\bEscracho|\bDocumento|\bColetiva de imprensa|\bVídeo|\bSeminário|\bCharge|\bLançamento|\bGrafite|\bMarcha|\bRoda de conversa|\bVi"&amp;"sita mediada|\bLive|\bWebinário|\bJornada|\bDebate|\bIntervenção artística|\bFabricação de cachaça artesanal|\bRoteiro de memória|\bRoteiro de Memória|\bPalestra|\bAto parlamentar|\bFestival|\bDesfile de samba|\bPodcast|\bMesa|\bAudiotour|\bAula|\bRádio|\"&amp;"bCarta pública|\bNota de pesar|\bNota de repúdio|Ação popular|\bNota técnica"")
),""Rememoração"",
IF(OR(
  REGEXMATCH(B361,""Notícia|Reportagem|Artigo de opinião|Verbete"")
),""Difusão"","""")))
"),"")</f>
        <v/>
      </c>
      <c r="D361" s="19" t="str">
        <f>IFERROR(__xludf.DUMMYFUNCTION("IF(B361="""","""",IF(OR(
  REGEXMATCH(B361,""Performance|Instalação|Álbum|Música|Poema|Livro|Filme|Documentário|Recitação|Espetáculo|Peça|Intervenção|Desfile|Fotografia|Exposição|Charge|Grafite|Leitura pública|Fabricação de cachaça artesanal""),
  REGEXMA"&amp;"TCH(B361,""dança|teatral|artístico|musical|artística"")
),""Manifestação artístico-cultural"",
IF(OR(
  REGEXMATCH(B361,""Crônica|Série|Reportagem|Podcast|Audiotour|Entrevista|Vídeo|Rádio|Notícia|Artigo de opinião|Coletiva de imprensa""),
  REGEXMATCH(B36"&amp;"1,""midiática"")
),""Produção midiática"","""")))
"),"")</f>
        <v/>
      </c>
      <c r="E361" s="20" t="str">
        <f>IFERROR(__xludf.DUMMYFUNCTION("IF(B361="""","""",IF(OR(
  REGEXMATCH(B361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REGEXMATCH(B361,""público|Imediato|artística|teatral|memória|Ação popular"")
),""Público Imediato"",
IF(REGEXMATCH(B361,""Música|Álbum|Filme|Documentár"&amp;"io|Série|Podcast|Rádio|Audiotour|Entrevista|Reportagem|Crônica|Relatório|Abaixo-assinado|Manifesto|Petição|Poema|Livro|Fotografia|Curta|Live|Webinário|Charge|Leitura pública|Vídeo|Notícia|Nota de pesar|Carta pública|Artigo de opinião|Nota de repúdio|Verbe"&amp;"te|Nota técnica""),
""Público Mediado"","""")))
"),"")</f>
        <v/>
      </c>
      <c r="F361" s="20" t="str">
        <f>IFERROR(__xludf.DUMMYFUNCTION("IF(B361="""","""",IF(OR(
  REGEXMATCH(B361,""Live|Webinário|Virtual|Verbete""),
  REGEXMATCH(B361,""online"")
),""Virtual"",
IF(REGEXMATCH(B361,""Música|Álbum|Filme|Documentário|Série|Podcast|Rádio|Audiotour|Episódio|Reportagem|Curta|Charge|Vídeo|Entrevis"&amp;"ta|Notícia|Artigo de opinião""),
""Midiático"",
IF(REGEXMATCH(B361,""Performance|Instalação|Protesto|Manifestação|Ato|Paralisação|Marcha|Exposição|Mobilização|Recitação|Espetáculo|Coletiva|Visita|Roda|Debate|Seminário|Palestra|Aula|Mesa|Jornada|Festival|E"&amp;"scracho|Peça|Intervenção|Desfile|Livro|Poema|Fotografia|Relatório|Abaixo-assinado|Manifesto|Petição|Crônica|Roteiro|Grafite|Cartaz|Cartaz/Faixa|Faixa|Rebelião|Fabricação de cachaça artesanal|Leitura pública|Ação popular""),
""Presencial/Físico"",""""))))
"),"")</f>
        <v/>
      </c>
      <c r="G361" s="21" t="str">
        <f>IFERROR(__xludf.DUMMYFUNCTION("IF(C361=""rememoração"", ""Insira a data manualmente"", IF(C361=""difusão"", 
 IF(NOT(ISERROR(REGEXEXTRACT(T361, ""(\d{1,2}) jan\. 2025""))), 
  TEXT(DATE(2025,1,REGEXEXTRACT(T361, ""(\d{1,2}) jan\. 2025"")), ""dd/mm/yyyy""),
 IF(NOT(ISERROR(REGEXEXTRACT("&amp;"T361, ""(\d{1,2}) fev\. 2025""))), 
  TEXT(DATE(2025,2,REGEXEXTRACT(T361, ""(\d{1,2}) fev\. 2025"")), ""dd/mm/yyyy""),
 IF(NOT(ISERROR(REGEXEXTRACT(T361, ""(\d{1,2}) mar\. 2025""))), 
  TEXT(DATE(2025,3,REGEXEXTRACT(T361, ""(\d{1,2}) mar\. 2025"")), ""dd/"&amp;"mm/yyyy""),
 IF(NOT(ISERROR(REGEXEXTRACT(T361, ""(\d{1,2}) abr\. 2025""))), 
  TEXT(DATE(2025,4,REGEXEXTRACT(T361, ""(\d{1,2}) abr\. 2025"")), ""dd/mm/yyyy""),
 IF(NOT(ISERROR(REGEXEXTRACT(T361, ""(\d{1,2}) (mai|maio)\. 2025""))), 
  TEXT(DATE(2025,5,REGE"&amp;"XEXTRACT(T361, ""(\d{1,2}) (mai|maio)\. 2025"")), ""dd/mm/yyyy""),
 IF(NOT(ISERROR(REGEXEXTRACT(T361, ""(\d{1,2}) jun\. 2025""))), 
  TEXT(DATE(2025,6,REGEXEXTRACT(T361, ""(\d{1,2}) jun\. 2025"")), ""dd/mm/yyyy""),
 IF(NOT(ISERROR(REGEXEXTRACT(T361, ""(\d"&amp;"{1,2}) jul\. 2025""))), 
  TEXT(DATE(2025,7,REGEXEXTRACT(T361, ""(\d{1,2}) jul\. 2025"")), ""dd/mm/yyyy""),
 IF(NOT(ISERROR(REGEXEXTRACT(T361, ""(\d{1,2}) ago\. 2025""))), 
  TEXT(DATE(2025,8,REGEXEXTRACT(T361, ""(\d{1,2}) ago\. 2025"")), ""dd/mm/yyyy""),"&amp;"
 IF(NOT(ISERROR(REGEXEXTRACT(T361, ""(\d{1,2}) set\. 2025""))), 
  TEXT(DATE(2025,9,REGEXEXTRACT(T361, ""(\d{1,2}) set\. 2025"")), ""dd/mm/yyyy""),
 IF(NOT(ISERROR(REGEXEXTRACT(T361, ""(\d{1,2}) out\. 2025""))), 
  TEXT(DATE(2025,10,REGEXEXTRACT(T361, """&amp;"(\d{1,2}) out\. 2025"")), ""dd/mm/yyyy""),
 IF(NOT(ISERROR(REGEXEXTRACT(T361, ""(\d{1,2}) nov\. 2025""))), 
  TEXT(DATE(2025,11,REGEXEXTRACT(T361, ""(\d{1,2}) nov\. 2025"")), ""dd/mm/yyyy""),
 IF(NOT(ISERROR(REGEXEXTRACT(T361, ""(\d{1,2}) dez\. 2025""))),"&amp;" 
  TEXT(DATE(2025,12,REGEXEXTRACT(T361, ""(\d{1,2}) dez\. 2025"")), ""dd/mm/yyyy""),
 ""Insira a data manualmente"")))))))))))), """"))"),"")</f>
        <v/>
      </c>
      <c r="H361" s="22">
        <f t="shared" si="1"/>
        <v>0</v>
      </c>
      <c r="I361" s="18" t="str">
        <f>IFERROR(__xludf.DUMMYFUNCTION("IF(REGEXMATCH(T361, ""(?i)\b(Brasília|Acre|Alagoas|Amapá|Amazonas|Bahia|Ceará|Distrito Federal|Espírito Santo|Goiás|Maranhão|Mato Grosso|Mato Grosso do Sul|Minas Gerais|Pará|Paraíba|Paraná|Pernambuco|Piauí|Rio de Janeiro|Rio Grande do Norte|Rio Grande do "&amp;"Sul|Rondônia|Roraima|Santa Catarina|São Paulo|Sergipe|Tocantins)\b""),
IF(REGEXMATCH(T361, ""(?i)\bBrasília\b""), ""Distrito Federal, Brasil"",
REGEXEXTRACT(T361, ""(?i)\b(Acre|Alagoas|Amapá|Amazonas|Bahia|Ceará|Distrito Federal|Espírito Santo|Goiás|Maran"&amp;"hão|Mato Grosso|Mato Grosso do Sul|Minas Gerais|Pará|Paraíba|Paraná|Pernambuco|Piauí|Rio de Janeiro|Rio Grande do Norte|Rio Grande do Sul|Rondônia|Roraima|Santa Catarina|São Paulo|Sergipe|Tocantins)\b"")&amp; "", Brasil""),
""Inserir local manualmente"")"),"Inserir local manualmente")</f>
        <v>Inserir local manualmente</v>
      </c>
      <c r="J361" s="30"/>
      <c r="K361" s="24"/>
      <c r="L361" s="24"/>
      <c r="M361" s="25"/>
      <c r="N361" s="18" t="str">
        <f t="shared" si="8"/>
        <v/>
      </c>
      <c r="O361" s="17" t="s">
        <v>28</v>
      </c>
      <c r="P361" s="17" t="s">
        <v>251</v>
      </c>
      <c r="Q361" s="26">
        <v>45973.0</v>
      </c>
      <c r="R361" s="17"/>
      <c r="S361" s="36" t="str">
        <f t="shared" si="3"/>
        <v>#VALUE!</v>
      </c>
      <c r="T361" s="29"/>
      <c r="U361" s="29"/>
    </row>
  </sheetData>
  <mergeCells count="3">
    <mergeCell ref="B1:J1"/>
    <mergeCell ref="K1:M1"/>
    <mergeCell ref="N1:S1"/>
  </mergeCells>
  <conditionalFormatting sqref="B2:U361">
    <cfRule type="expression" dxfId="0" priority="1">
      <formula>COUNTIFS($B$2:$B$491, $B2, $K$2:$K$491, $K2) &gt; 1</formula>
    </cfRule>
  </conditionalFormatting>
  <conditionalFormatting sqref="G1:G361">
    <cfRule type="cellIs" dxfId="1" priority="2" operator="equal">
      <formula>"Insira a data manualmente"</formula>
    </cfRule>
  </conditionalFormatting>
  <conditionalFormatting sqref="I1:I361">
    <cfRule type="cellIs" dxfId="1" priority="3" operator="equal">
      <formula>"Inserir local manualmente"</formula>
    </cfRule>
  </conditionalFormatting>
  <conditionalFormatting sqref="N1:N361">
    <cfRule type="cellIs" dxfId="1" priority="4" operator="equal">
      <formula>"Inserir fonte manualmente"</formula>
    </cfRule>
  </conditionalFormatting>
  <dataValidations>
    <dataValidation type="list" allowBlank="1" showErrorMessage="1" sqref="M3:M361">
      <formula1>"Ampliação (fotográfica),Apresentação (digital) ,Áudio (digital),Contato (fotográfico),Dados (digital) ,Datilografado,Desenho à mão,Digital,Digitalizado,Exposição fotográfica,Filmagem (analógico),Filmagem (convencional) ,Filmagem (geral) ,Fotografia (expos"&amp;"ição fotográfica) ,Gravação (analógico),Gravação (convencional) ,Gravação (geral) ,Imagem (digital) ,Imagem matricial (digital) ,Imagem vetorial (digital),Impresso ,Manuscrito ,Microfilmagem ,Nato-digital,Negativo (fotográfico) ,Técnica não determinada,Té"&amp;"cnica varia,Texto (digital),Vídeo (digital)"</formula1>
    </dataValidation>
    <dataValidation type="list" allowBlank="1" showErrorMessage="1" sqref="L3:L361">
      <formula1>"Arquitetônico,Audiovisual,Bibliográfico,Cartográfico,Cinematográfico,Eletrônico,Filmográfico,Fonográfico,Hemerográfico,Iconográfico,Sonoro,Táctil*,Textual,Tridimensional "</formula1>
    </dataValidation>
    <dataValidation type="list" allowBlank="1" showErrorMessage="1" sqref="R3:R361">
      <formula1>"Aberto,Indisponível,Acesso restrito"</formula1>
    </dataValidation>
  </dataValidations>
  <printOptions gridLines="1" horizontalCentered="1"/>
  <pageMargins bottom="0.75" footer="0.0" header="0.0" left="0.25" right="0.25"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s>
  <sheetData>
    <row r="1">
      <c r="A1" s="38" t="s">
        <v>778</v>
      </c>
      <c r="B1" s="39"/>
      <c r="C1" s="40"/>
      <c r="D1" s="41"/>
    </row>
    <row r="2">
      <c r="A2" s="42" t="s">
        <v>779</v>
      </c>
      <c r="B2" s="43"/>
      <c r="C2" s="44"/>
      <c r="D2" s="24"/>
    </row>
    <row r="4">
      <c r="A4" s="45" t="s">
        <v>780</v>
      </c>
      <c r="B4" s="46"/>
      <c r="C4" s="47"/>
      <c r="D4" s="41"/>
    </row>
    <row r="5">
      <c r="A5" s="48" t="s">
        <v>781</v>
      </c>
      <c r="B5" s="49"/>
      <c r="C5" s="50"/>
      <c r="D5" s="24"/>
    </row>
    <row r="6">
      <c r="A6" s="48" t="s">
        <v>782</v>
      </c>
      <c r="B6" s="49"/>
      <c r="C6" s="50"/>
      <c r="D6" s="24"/>
    </row>
    <row r="7">
      <c r="A7" s="51" t="s">
        <v>783</v>
      </c>
      <c r="B7" s="52"/>
      <c r="C7" s="53"/>
      <c r="D7" s="24"/>
    </row>
  </sheetData>
  <mergeCells count="6">
    <mergeCell ref="A1:C1"/>
    <mergeCell ref="A2:C2"/>
    <mergeCell ref="A4:C4"/>
    <mergeCell ref="A5:C5"/>
    <mergeCell ref="A6:C6"/>
    <mergeCell ref="A7:C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23.38"/>
    <col customWidth="1" min="3" max="4" width="68.25"/>
  </cols>
  <sheetData>
    <row r="1">
      <c r="A1" s="54" t="s">
        <v>784</v>
      </c>
      <c r="B1" s="55"/>
      <c r="C1" s="55"/>
      <c r="D1" s="56"/>
    </row>
    <row r="2">
      <c r="A2" s="57"/>
      <c r="B2" s="58" t="s">
        <v>785</v>
      </c>
      <c r="C2" s="58" t="s">
        <v>786</v>
      </c>
      <c r="D2" s="59" t="s">
        <v>787</v>
      </c>
    </row>
    <row r="3">
      <c r="A3" s="60" t="s">
        <v>5</v>
      </c>
      <c r="B3" s="61" t="s">
        <v>788</v>
      </c>
      <c r="C3" s="62" t="s">
        <v>789</v>
      </c>
      <c r="D3" s="63" t="s">
        <v>790</v>
      </c>
    </row>
    <row r="4">
      <c r="A4" s="64"/>
      <c r="B4" s="65" t="s">
        <v>791</v>
      </c>
      <c r="C4" s="66" t="s">
        <v>792</v>
      </c>
      <c r="D4" s="67" t="s">
        <v>793</v>
      </c>
    </row>
    <row r="5">
      <c r="A5" s="68" t="s">
        <v>6</v>
      </c>
      <c r="B5" s="69" t="s">
        <v>794</v>
      </c>
      <c r="C5" s="70" t="s">
        <v>795</v>
      </c>
      <c r="D5" s="71" t="s">
        <v>796</v>
      </c>
    </row>
    <row r="6">
      <c r="A6" s="64"/>
      <c r="B6" s="65" t="s">
        <v>797</v>
      </c>
      <c r="C6" s="66" t="s">
        <v>798</v>
      </c>
      <c r="D6" s="67" t="s">
        <v>799</v>
      </c>
    </row>
    <row r="7">
      <c r="A7" s="72" t="s">
        <v>7</v>
      </c>
      <c r="B7" s="69" t="s">
        <v>800</v>
      </c>
      <c r="C7" s="70" t="s">
        <v>801</v>
      </c>
      <c r="D7" s="71" t="s">
        <v>802</v>
      </c>
    </row>
    <row r="8">
      <c r="A8" s="64"/>
      <c r="B8" s="65" t="s">
        <v>803</v>
      </c>
      <c r="C8" s="66" t="s">
        <v>804</v>
      </c>
      <c r="D8" s="67" t="s">
        <v>805</v>
      </c>
    </row>
    <row r="9">
      <c r="A9" s="68" t="s">
        <v>8</v>
      </c>
      <c r="B9" s="69" t="s">
        <v>806</v>
      </c>
      <c r="C9" s="70" t="s">
        <v>807</v>
      </c>
      <c r="D9" s="71" t="s">
        <v>808</v>
      </c>
    </row>
    <row r="10">
      <c r="A10" s="73"/>
      <c r="B10" s="74" t="s">
        <v>809</v>
      </c>
      <c r="C10" s="75" t="s">
        <v>810</v>
      </c>
      <c r="D10" s="76" t="s">
        <v>811</v>
      </c>
    </row>
    <row r="11">
      <c r="A11" s="77"/>
      <c r="B11" s="78" t="s">
        <v>812</v>
      </c>
      <c r="C11" s="79" t="s">
        <v>813</v>
      </c>
      <c r="D11" s="80" t="s">
        <v>814</v>
      </c>
    </row>
    <row r="12">
      <c r="A12" s="81"/>
      <c r="B12" s="81"/>
      <c r="C12" s="81"/>
      <c r="D12" s="81"/>
    </row>
  </sheetData>
  <mergeCells count="5">
    <mergeCell ref="A1:D1"/>
    <mergeCell ref="A3:A4"/>
    <mergeCell ref="A5:A6"/>
    <mergeCell ref="A7:A8"/>
    <mergeCell ref="A9:A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22.0"/>
    <col customWidth="1" min="3" max="3" width="20.5"/>
    <col customWidth="1" min="4" max="4" width="26.5"/>
    <col customWidth="1" min="5" max="5" width="34.75"/>
    <col customWidth="1" min="6" max="6" width="21.25"/>
    <col customWidth="1" min="7" max="7" width="32.13"/>
    <col customWidth="1" min="8" max="8" width="53.5"/>
  </cols>
  <sheetData>
    <row r="1">
      <c r="A1" s="82" t="s">
        <v>815</v>
      </c>
      <c r="B1" s="83" t="s">
        <v>14</v>
      </c>
      <c r="C1" s="84" t="s">
        <v>816</v>
      </c>
      <c r="D1" s="85" t="s">
        <v>817</v>
      </c>
      <c r="E1" s="86" t="s">
        <v>818</v>
      </c>
      <c r="F1" s="87" t="s">
        <v>819</v>
      </c>
      <c r="G1" s="88"/>
      <c r="H1" s="89" t="s">
        <v>820</v>
      </c>
      <c r="I1" s="90"/>
      <c r="J1" s="90"/>
      <c r="K1" s="91"/>
      <c r="L1" s="88"/>
      <c r="M1" s="88"/>
      <c r="N1" s="92"/>
      <c r="O1" s="88"/>
      <c r="P1" s="88"/>
      <c r="Q1" s="88"/>
      <c r="R1" s="88"/>
      <c r="S1" s="88"/>
      <c r="T1" s="88"/>
      <c r="U1" s="88"/>
      <c r="V1" s="88"/>
      <c r="W1" s="88"/>
      <c r="X1" s="88"/>
    </row>
    <row r="2">
      <c r="A2" s="93" t="s">
        <v>794</v>
      </c>
      <c r="B2" s="94" t="s">
        <v>821</v>
      </c>
      <c r="C2" s="94" t="s">
        <v>822</v>
      </c>
      <c r="D2" s="94" t="s">
        <v>823</v>
      </c>
      <c r="E2" s="94" t="s">
        <v>824</v>
      </c>
      <c r="F2" s="95" t="s">
        <v>825</v>
      </c>
      <c r="G2" s="88"/>
      <c r="H2" s="96" t="s">
        <v>826</v>
      </c>
      <c r="I2" s="97">
        <v>66.0</v>
      </c>
      <c r="J2" s="98" t="b">
        <v>1</v>
      </c>
      <c r="K2" s="99" t="b">
        <v>1</v>
      </c>
      <c r="L2" s="100"/>
      <c r="M2" s="100"/>
      <c r="N2" s="101"/>
      <c r="O2" s="100"/>
      <c r="P2" s="88"/>
      <c r="Q2" s="88"/>
      <c r="R2" s="88"/>
      <c r="S2" s="88"/>
      <c r="T2" s="88"/>
      <c r="U2" s="88"/>
      <c r="V2" s="88"/>
      <c r="W2" s="88"/>
      <c r="X2" s="88"/>
    </row>
    <row r="3">
      <c r="A3" s="102" t="s">
        <v>827</v>
      </c>
      <c r="B3" s="103" t="s">
        <v>194</v>
      </c>
      <c r="C3" s="103" t="s">
        <v>828</v>
      </c>
      <c r="D3" s="103" t="s">
        <v>829</v>
      </c>
      <c r="E3" s="103" t="s">
        <v>830</v>
      </c>
      <c r="F3" s="104" t="s">
        <v>831</v>
      </c>
      <c r="G3" s="88"/>
      <c r="H3" s="96" t="s">
        <v>832</v>
      </c>
      <c r="I3" s="97">
        <v>14.0</v>
      </c>
      <c r="J3" s="98" t="b">
        <v>1</v>
      </c>
      <c r="K3" s="99" t="b">
        <v>1</v>
      </c>
      <c r="L3" s="88"/>
      <c r="M3" s="88"/>
      <c r="N3" s="88"/>
      <c r="O3" s="88"/>
      <c r="P3" s="88"/>
      <c r="Q3" s="88"/>
      <c r="R3" s="88"/>
      <c r="S3" s="88"/>
      <c r="T3" s="88"/>
      <c r="U3" s="88"/>
      <c r="V3" s="88"/>
      <c r="W3" s="88"/>
      <c r="X3" s="88"/>
    </row>
    <row r="4">
      <c r="A4" s="102" t="s">
        <v>833</v>
      </c>
      <c r="B4" s="103" t="s">
        <v>834</v>
      </c>
      <c r="C4" s="103" t="s">
        <v>835</v>
      </c>
      <c r="D4" s="103" t="s">
        <v>836</v>
      </c>
      <c r="E4" s="103" t="s">
        <v>837</v>
      </c>
      <c r="F4" s="105" t="s">
        <v>838</v>
      </c>
      <c r="G4" s="88"/>
      <c r="H4" s="106" t="s">
        <v>839</v>
      </c>
      <c r="I4" s="107">
        <v>153.0</v>
      </c>
      <c r="J4" s="98" t="b">
        <v>1</v>
      </c>
      <c r="K4" s="108" t="b">
        <v>0</v>
      </c>
      <c r="L4" s="88"/>
      <c r="M4" s="88"/>
      <c r="N4" s="88"/>
      <c r="O4" s="88"/>
      <c r="P4" s="88"/>
      <c r="Q4" s="88"/>
      <c r="R4" s="88"/>
      <c r="S4" s="88"/>
      <c r="T4" s="88"/>
      <c r="U4" s="88"/>
      <c r="V4" s="88"/>
      <c r="W4" s="88"/>
      <c r="X4" s="88"/>
    </row>
    <row r="5">
      <c r="A5" s="102" t="s">
        <v>840</v>
      </c>
      <c r="B5" s="103" t="s">
        <v>841</v>
      </c>
      <c r="C5" s="103" t="s">
        <v>842</v>
      </c>
      <c r="D5" s="103" t="s">
        <v>843</v>
      </c>
      <c r="E5" s="103" t="s">
        <v>844</v>
      </c>
      <c r="F5" s="104" t="s">
        <v>845</v>
      </c>
      <c r="G5" s="88"/>
      <c r="H5" s="96" t="s">
        <v>846</v>
      </c>
      <c r="I5" s="97">
        <v>25.0</v>
      </c>
      <c r="J5" s="98" t="b">
        <v>1</v>
      </c>
      <c r="K5" s="108" t="b">
        <v>0</v>
      </c>
      <c r="L5" s="88"/>
      <c r="M5" s="88"/>
      <c r="N5" s="88"/>
      <c r="O5" s="88"/>
      <c r="P5" s="88"/>
      <c r="Q5" s="88"/>
      <c r="R5" s="88"/>
      <c r="S5" s="88"/>
      <c r="T5" s="88"/>
      <c r="U5" s="88"/>
      <c r="V5" s="88"/>
      <c r="W5" s="88"/>
      <c r="X5" s="88"/>
    </row>
    <row r="6">
      <c r="A6" s="102" t="s">
        <v>847</v>
      </c>
      <c r="B6" s="103" t="s">
        <v>848</v>
      </c>
      <c r="C6" s="103" t="s">
        <v>156</v>
      </c>
      <c r="D6" s="103" t="s">
        <v>849</v>
      </c>
      <c r="E6" s="103" t="s">
        <v>850</v>
      </c>
      <c r="F6" s="104" t="s">
        <v>851</v>
      </c>
      <c r="G6" s="88"/>
      <c r="H6" s="96" t="s">
        <v>852</v>
      </c>
      <c r="I6" s="97">
        <v>48.0</v>
      </c>
      <c r="J6" s="98" t="b">
        <v>0</v>
      </c>
      <c r="K6" s="99" t="b">
        <v>1</v>
      </c>
      <c r="L6" s="88"/>
      <c r="M6" s="88"/>
      <c r="N6" s="88"/>
      <c r="O6" s="88"/>
      <c r="P6" s="88"/>
      <c r="Q6" s="88"/>
      <c r="R6" s="88"/>
      <c r="S6" s="88"/>
      <c r="T6" s="88"/>
      <c r="U6" s="88"/>
      <c r="V6" s="88"/>
      <c r="W6" s="88"/>
      <c r="X6" s="88"/>
    </row>
    <row r="7">
      <c r="A7" s="102" t="s">
        <v>797</v>
      </c>
      <c r="B7" s="103" t="s">
        <v>853</v>
      </c>
      <c r="C7" s="103" t="s">
        <v>854</v>
      </c>
      <c r="D7" s="103" t="s">
        <v>855</v>
      </c>
      <c r="E7" s="103" t="s">
        <v>856</v>
      </c>
      <c r="F7" s="104" t="s">
        <v>857</v>
      </c>
      <c r="G7" s="88"/>
      <c r="H7" s="109" t="s">
        <v>858</v>
      </c>
      <c r="I7" s="55"/>
      <c r="J7" s="55"/>
      <c r="K7" s="110" t="b">
        <v>1</v>
      </c>
      <c r="L7" s="88"/>
      <c r="M7" s="88"/>
      <c r="N7" s="88"/>
      <c r="O7" s="88"/>
      <c r="P7" s="88"/>
      <c r="Q7" s="88"/>
      <c r="R7" s="88"/>
      <c r="S7" s="88"/>
      <c r="T7" s="88"/>
      <c r="U7" s="88"/>
      <c r="V7" s="88"/>
      <c r="W7" s="88"/>
      <c r="X7" s="88"/>
    </row>
    <row r="8">
      <c r="A8" s="102" t="s">
        <v>859</v>
      </c>
      <c r="B8" s="103" t="s">
        <v>860</v>
      </c>
      <c r="C8" s="103" t="s">
        <v>861</v>
      </c>
      <c r="D8" s="103" t="s">
        <v>862</v>
      </c>
      <c r="E8" s="103" t="s">
        <v>863</v>
      </c>
      <c r="F8" s="104" t="s">
        <v>864</v>
      </c>
      <c r="G8" s="88"/>
      <c r="H8" s="111" t="s">
        <v>865</v>
      </c>
      <c r="K8" s="112" t="b">
        <v>1</v>
      </c>
      <c r="L8" s="88"/>
      <c r="M8" s="88"/>
      <c r="N8" s="88"/>
      <c r="O8" s="88"/>
      <c r="P8" s="88"/>
      <c r="Q8" s="88"/>
      <c r="R8" s="88"/>
      <c r="S8" s="88"/>
      <c r="T8" s="88"/>
      <c r="U8" s="88"/>
      <c r="V8" s="88"/>
      <c r="W8" s="88"/>
      <c r="X8" s="88"/>
    </row>
    <row r="9">
      <c r="A9" s="113"/>
      <c r="B9" s="103" t="s">
        <v>866</v>
      </c>
      <c r="C9" s="103" t="s">
        <v>867</v>
      </c>
      <c r="D9" s="103" t="s">
        <v>868</v>
      </c>
      <c r="E9" s="103" t="s">
        <v>869</v>
      </c>
      <c r="F9" s="104" t="s">
        <v>870</v>
      </c>
      <c r="G9" s="88"/>
      <c r="H9" s="114" t="s">
        <v>871</v>
      </c>
      <c r="I9" s="115"/>
      <c r="J9" s="115"/>
      <c r="K9" s="116" t="b">
        <v>1</v>
      </c>
      <c r="L9" s="88"/>
      <c r="M9" s="88"/>
      <c r="N9" s="88"/>
      <c r="O9" s="88"/>
      <c r="P9" s="88"/>
      <c r="Q9" s="88"/>
      <c r="R9" s="88"/>
      <c r="S9" s="88"/>
      <c r="T9" s="88"/>
      <c r="U9" s="88"/>
      <c r="V9" s="88"/>
      <c r="W9" s="88"/>
      <c r="X9" s="88"/>
    </row>
    <row r="10">
      <c r="A10" s="113"/>
      <c r="B10" s="103" t="s">
        <v>26</v>
      </c>
      <c r="C10" s="103" t="s">
        <v>872</v>
      </c>
      <c r="D10" s="103" t="s">
        <v>873</v>
      </c>
      <c r="E10" s="117"/>
      <c r="F10" s="104" t="s">
        <v>874</v>
      </c>
      <c r="G10" s="88"/>
      <c r="H10" s="118" t="s">
        <v>875</v>
      </c>
      <c r="K10" s="119" t="b">
        <v>1</v>
      </c>
      <c r="L10" s="88"/>
      <c r="M10" s="88"/>
      <c r="N10" s="88"/>
      <c r="O10" s="88"/>
      <c r="P10" s="88"/>
      <c r="Q10" s="88"/>
      <c r="R10" s="88"/>
      <c r="S10" s="88"/>
      <c r="T10" s="88"/>
      <c r="U10" s="88"/>
      <c r="V10" s="88"/>
      <c r="W10" s="88"/>
      <c r="X10" s="88"/>
    </row>
    <row r="11">
      <c r="A11" s="113"/>
      <c r="B11" s="103" t="s">
        <v>76</v>
      </c>
      <c r="C11" s="103" t="s">
        <v>23</v>
      </c>
      <c r="D11" s="103" t="s">
        <v>876</v>
      </c>
      <c r="E11" s="117"/>
      <c r="F11" s="104" t="s">
        <v>877</v>
      </c>
      <c r="G11" s="88"/>
      <c r="H11" s="118" t="s">
        <v>878</v>
      </c>
      <c r="K11" s="119" t="b">
        <v>1</v>
      </c>
      <c r="L11" s="88"/>
      <c r="M11" s="88"/>
      <c r="N11" s="88"/>
      <c r="O11" s="88"/>
      <c r="P11" s="88"/>
      <c r="Q11" s="88"/>
      <c r="R11" s="88"/>
      <c r="S11" s="88"/>
      <c r="T11" s="88"/>
      <c r="U11" s="88"/>
      <c r="V11" s="88"/>
      <c r="W11" s="88"/>
      <c r="X11" s="88"/>
    </row>
    <row r="12">
      <c r="A12" s="113"/>
      <c r="B12" s="103" t="s">
        <v>879</v>
      </c>
      <c r="C12" s="103" t="s">
        <v>880</v>
      </c>
      <c r="D12" s="103" t="s">
        <v>881</v>
      </c>
      <c r="E12" s="117"/>
      <c r="F12" s="104" t="s">
        <v>882</v>
      </c>
      <c r="G12" s="88"/>
      <c r="H12" s="120" t="s">
        <v>883</v>
      </c>
      <c r="I12" s="121"/>
      <c r="J12" s="121"/>
      <c r="K12" s="122" t="b">
        <v>0</v>
      </c>
      <c r="L12" s="88"/>
      <c r="M12" s="88"/>
      <c r="N12" s="88"/>
      <c r="O12" s="88"/>
      <c r="P12" s="88"/>
      <c r="Q12" s="88"/>
      <c r="R12" s="88"/>
      <c r="S12" s="88"/>
      <c r="T12" s="88"/>
      <c r="U12" s="88"/>
      <c r="V12" s="88"/>
      <c r="W12" s="88"/>
      <c r="X12" s="88"/>
    </row>
    <row r="13">
      <c r="A13" s="113"/>
      <c r="B13" s="103" t="s">
        <v>884</v>
      </c>
      <c r="C13" s="103" t="s">
        <v>885</v>
      </c>
      <c r="D13" s="103" t="s">
        <v>886</v>
      </c>
      <c r="E13" s="117"/>
      <c r="F13" s="104" t="s">
        <v>887</v>
      </c>
      <c r="G13" s="88"/>
      <c r="L13" s="88"/>
      <c r="M13" s="88"/>
      <c r="N13" s="88"/>
      <c r="O13" s="88"/>
      <c r="P13" s="88"/>
      <c r="Q13" s="88"/>
      <c r="R13" s="88"/>
      <c r="S13" s="88"/>
      <c r="T13" s="88"/>
      <c r="U13" s="88"/>
      <c r="V13" s="88"/>
      <c r="W13" s="88"/>
      <c r="X13" s="88"/>
    </row>
    <row r="14">
      <c r="A14" s="113"/>
      <c r="B14" s="103" t="s">
        <v>189</v>
      </c>
      <c r="C14" s="103" t="s">
        <v>888</v>
      </c>
      <c r="D14" s="103" t="s">
        <v>889</v>
      </c>
      <c r="E14" s="117"/>
      <c r="F14" s="123" t="s">
        <v>890</v>
      </c>
      <c r="G14" s="88"/>
      <c r="H14" s="124"/>
      <c r="I14" s="125"/>
      <c r="J14" s="126"/>
      <c r="K14" s="126"/>
      <c r="L14" s="88"/>
      <c r="M14" s="88"/>
      <c r="N14" s="88"/>
      <c r="O14" s="88"/>
      <c r="P14" s="88"/>
      <c r="Q14" s="88"/>
      <c r="R14" s="88"/>
      <c r="S14" s="88"/>
      <c r="T14" s="88"/>
      <c r="U14" s="88"/>
      <c r="V14" s="88"/>
      <c r="W14" s="88"/>
      <c r="X14" s="88"/>
    </row>
    <row r="15">
      <c r="A15" s="113"/>
      <c r="B15" s="103" t="s">
        <v>891</v>
      </c>
      <c r="C15" s="103" t="s">
        <v>892</v>
      </c>
      <c r="D15" s="103" t="s">
        <v>893</v>
      </c>
      <c r="E15" s="117"/>
      <c r="F15" s="127"/>
      <c r="G15" s="88"/>
      <c r="H15" s="124"/>
      <c r="I15" s="125"/>
      <c r="J15" s="126"/>
      <c r="K15" s="126"/>
      <c r="L15" s="88"/>
      <c r="M15" s="88"/>
      <c r="N15" s="88"/>
      <c r="O15" s="88"/>
      <c r="P15" s="88"/>
      <c r="Q15" s="88"/>
      <c r="R15" s="88"/>
      <c r="S15" s="88"/>
      <c r="T15" s="88"/>
      <c r="U15" s="88"/>
      <c r="V15" s="88"/>
      <c r="W15" s="88"/>
      <c r="X15" s="88"/>
    </row>
    <row r="16">
      <c r="A16" s="113"/>
      <c r="B16" s="117"/>
      <c r="C16" s="103" t="s">
        <v>894</v>
      </c>
      <c r="D16" s="103" t="s">
        <v>895</v>
      </c>
      <c r="E16" s="117"/>
      <c r="F16" s="127"/>
      <c r="G16" s="88"/>
      <c r="H16" s="124"/>
      <c r="I16" s="125"/>
      <c r="J16" s="126"/>
      <c r="K16" s="126"/>
      <c r="L16" s="88"/>
      <c r="M16" s="88"/>
      <c r="N16" s="88"/>
      <c r="O16" s="88"/>
      <c r="P16" s="88"/>
      <c r="Q16" s="88"/>
      <c r="R16" s="88"/>
      <c r="S16" s="88"/>
      <c r="T16" s="88"/>
      <c r="U16" s="88"/>
      <c r="V16" s="88"/>
      <c r="W16" s="88"/>
      <c r="X16" s="88"/>
    </row>
    <row r="17">
      <c r="A17" s="113"/>
      <c r="B17" s="117"/>
      <c r="C17" s="103" t="s">
        <v>896</v>
      </c>
      <c r="D17" s="103" t="s">
        <v>897</v>
      </c>
      <c r="E17" s="117"/>
      <c r="F17" s="127"/>
      <c r="G17" s="88"/>
      <c r="H17" s="124"/>
      <c r="I17" s="125"/>
      <c r="J17" s="126"/>
      <c r="K17" s="126"/>
      <c r="L17" s="88"/>
      <c r="M17" s="88"/>
      <c r="N17" s="88"/>
      <c r="O17" s="88"/>
      <c r="P17" s="88"/>
      <c r="Q17" s="88"/>
      <c r="R17" s="88"/>
      <c r="S17" s="88"/>
      <c r="T17" s="88"/>
      <c r="U17" s="88"/>
      <c r="V17" s="88"/>
      <c r="W17" s="88"/>
      <c r="X17" s="88"/>
    </row>
    <row r="18">
      <c r="A18" s="113"/>
      <c r="B18" s="117"/>
      <c r="C18" s="103" t="s">
        <v>898</v>
      </c>
      <c r="D18" s="103" t="s">
        <v>899</v>
      </c>
      <c r="E18" s="117"/>
      <c r="F18" s="127"/>
      <c r="G18" s="88"/>
      <c r="L18" s="88"/>
      <c r="M18" s="88"/>
      <c r="N18" s="88"/>
      <c r="O18" s="88"/>
      <c r="P18" s="88"/>
      <c r="Q18" s="88"/>
      <c r="R18" s="88"/>
      <c r="S18" s="88"/>
      <c r="T18" s="88"/>
      <c r="U18" s="88"/>
      <c r="V18" s="88"/>
      <c r="W18" s="88"/>
      <c r="X18" s="88"/>
    </row>
    <row r="19">
      <c r="A19" s="113"/>
      <c r="B19" s="117"/>
      <c r="C19" s="117"/>
      <c r="D19" s="103" t="s">
        <v>200</v>
      </c>
      <c r="E19" s="117"/>
      <c r="F19" s="127"/>
      <c r="G19" s="88"/>
      <c r="H19" s="128"/>
      <c r="I19" s="88"/>
      <c r="J19" s="88"/>
      <c r="K19" s="88"/>
      <c r="L19" s="88"/>
      <c r="M19" s="88"/>
      <c r="N19" s="88"/>
      <c r="O19" s="88"/>
      <c r="P19" s="88"/>
      <c r="Q19" s="88"/>
      <c r="R19" s="88"/>
      <c r="S19" s="88"/>
      <c r="T19" s="88"/>
      <c r="U19" s="88"/>
      <c r="V19" s="88"/>
      <c r="W19" s="88"/>
      <c r="X19" s="88"/>
    </row>
    <row r="20">
      <c r="A20" s="113"/>
      <c r="B20" s="117"/>
      <c r="C20" s="117"/>
      <c r="D20" s="103" t="s">
        <v>900</v>
      </c>
      <c r="E20" s="117"/>
      <c r="F20" s="127"/>
      <c r="G20" s="88"/>
      <c r="H20" s="88"/>
      <c r="I20" s="88"/>
      <c r="J20" s="88"/>
      <c r="K20" s="88"/>
      <c r="L20" s="88"/>
      <c r="M20" s="88"/>
      <c r="N20" s="88"/>
      <c r="O20" s="88"/>
      <c r="P20" s="88"/>
      <c r="Q20" s="88"/>
      <c r="R20" s="88"/>
      <c r="S20" s="88"/>
      <c r="T20" s="88"/>
      <c r="U20" s="88"/>
      <c r="V20" s="88"/>
      <c r="W20" s="88"/>
      <c r="X20" s="88"/>
    </row>
    <row r="21">
      <c r="A21" s="113"/>
      <c r="B21" s="117"/>
      <c r="C21" s="117"/>
      <c r="D21" s="103" t="s">
        <v>901</v>
      </c>
      <c r="E21" s="117"/>
      <c r="F21" s="127"/>
      <c r="G21" s="88"/>
      <c r="H21" s="88"/>
      <c r="I21" s="88"/>
      <c r="J21" s="88"/>
      <c r="K21" s="88"/>
      <c r="L21" s="88"/>
      <c r="M21" s="88"/>
      <c r="N21" s="88"/>
      <c r="O21" s="88"/>
      <c r="P21" s="88"/>
      <c r="Q21" s="88"/>
      <c r="R21" s="88"/>
      <c r="S21" s="88"/>
      <c r="T21" s="88"/>
      <c r="U21" s="88"/>
      <c r="V21" s="88"/>
      <c r="W21" s="88"/>
      <c r="X21" s="88"/>
    </row>
    <row r="22">
      <c r="A22" s="113"/>
      <c r="B22" s="117"/>
      <c r="C22" s="117"/>
      <c r="D22" s="103" t="s">
        <v>902</v>
      </c>
      <c r="E22" s="117"/>
      <c r="F22" s="127"/>
      <c r="G22" s="88"/>
      <c r="H22" s="88"/>
      <c r="I22" s="88"/>
      <c r="J22" s="88"/>
      <c r="K22" s="88"/>
      <c r="L22" s="88"/>
      <c r="M22" s="88"/>
      <c r="N22" s="88"/>
      <c r="O22" s="88"/>
      <c r="P22" s="88"/>
      <c r="Q22" s="88"/>
      <c r="R22" s="88"/>
      <c r="S22" s="88"/>
      <c r="T22" s="88"/>
      <c r="U22" s="88"/>
      <c r="V22" s="88"/>
      <c r="W22" s="88"/>
      <c r="X22" s="88"/>
    </row>
    <row r="23">
      <c r="A23" s="113"/>
      <c r="B23" s="117"/>
      <c r="C23" s="117"/>
      <c r="D23" s="103" t="s">
        <v>240</v>
      </c>
      <c r="E23" s="117"/>
      <c r="F23" s="127"/>
      <c r="G23" s="88"/>
      <c r="H23" s="88"/>
      <c r="I23" s="88"/>
      <c r="J23" s="88"/>
      <c r="K23" s="88"/>
      <c r="L23" s="88"/>
      <c r="M23" s="88"/>
      <c r="N23" s="88"/>
      <c r="O23" s="88"/>
      <c r="P23" s="88"/>
      <c r="Q23" s="88"/>
      <c r="R23" s="88"/>
      <c r="S23" s="88"/>
      <c r="T23" s="88"/>
      <c r="U23" s="88"/>
      <c r="V23" s="88"/>
      <c r="W23" s="88"/>
      <c r="X23" s="88"/>
    </row>
    <row r="24">
      <c r="A24" s="113"/>
      <c r="B24" s="117"/>
      <c r="C24" s="117"/>
      <c r="D24" s="103" t="s">
        <v>903</v>
      </c>
      <c r="E24" s="117"/>
      <c r="F24" s="127"/>
      <c r="G24" s="88"/>
      <c r="H24" s="88"/>
      <c r="I24" s="88"/>
      <c r="J24" s="88"/>
      <c r="K24" s="88"/>
      <c r="L24" s="88"/>
      <c r="M24" s="88"/>
      <c r="N24" s="88"/>
      <c r="O24" s="88"/>
      <c r="P24" s="88"/>
      <c r="Q24" s="88"/>
      <c r="R24" s="88"/>
      <c r="S24" s="88"/>
      <c r="T24" s="88"/>
      <c r="U24" s="88"/>
      <c r="V24" s="88"/>
      <c r="W24" s="88"/>
      <c r="X24" s="88"/>
    </row>
    <row r="25">
      <c r="A25" s="113"/>
      <c r="B25" s="117"/>
      <c r="C25" s="117"/>
      <c r="D25" s="103" t="s">
        <v>904</v>
      </c>
      <c r="E25" s="117"/>
      <c r="F25" s="127"/>
      <c r="G25" s="88"/>
      <c r="H25" s="88"/>
      <c r="I25" s="88"/>
      <c r="J25" s="88"/>
      <c r="K25" s="88"/>
      <c r="L25" s="88"/>
      <c r="M25" s="88"/>
      <c r="N25" s="88"/>
      <c r="O25" s="88"/>
      <c r="P25" s="88"/>
      <c r="Q25" s="88"/>
      <c r="R25" s="88"/>
      <c r="S25" s="88"/>
      <c r="T25" s="88"/>
      <c r="U25" s="88"/>
      <c r="V25" s="88"/>
      <c r="W25" s="88"/>
      <c r="X25" s="88"/>
    </row>
    <row r="26">
      <c r="A26" s="113"/>
      <c r="B26" s="117"/>
      <c r="C26" s="117"/>
      <c r="D26" s="103" t="s">
        <v>905</v>
      </c>
      <c r="E26" s="117"/>
      <c r="F26" s="127"/>
      <c r="G26" s="88"/>
      <c r="H26" s="88"/>
      <c r="I26" s="88"/>
      <c r="J26" s="88"/>
      <c r="K26" s="88"/>
      <c r="L26" s="88"/>
      <c r="M26" s="88"/>
      <c r="N26" s="88"/>
      <c r="O26" s="88"/>
      <c r="P26" s="88"/>
      <c r="Q26" s="88"/>
      <c r="R26" s="88"/>
      <c r="S26" s="88"/>
      <c r="T26" s="88"/>
      <c r="U26" s="88"/>
      <c r="V26" s="88"/>
      <c r="W26" s="88"/>
      <c r="X26" s="88"/>
    </row>
    <row r="27">
      <c r="A27" s="113"/>
      <c r="B27" s="117"/>
      <c r="C27" s="117"/>
      <c r="D27" s="103" t="s">
        <v>906</v>
      </c>
      <c r="E27" s="117"/>
      <c r="F27" s="127"/>
      <c r="G27" s="88"/>
      <c r="H27" s="88"/>
      <c r="I27" s="88"/>
      <c r="J27" s="88"/>
      <c r="K27" s="88"/>
      <c r="L27" s="88"/>
      <c r="M27" s="88"/>
      <c r="N27" s="88"/>
      <c r="O27" s="88"/>
      <c r="P27" s="88"/>
      <c r="Q27" s="88"/>
      <c r="R27" s="88"/>
      <c r="S27" s="88"/>
      <c r="T27" s="88"/>
      <c r="U27" s="88"/>
      <c r="V27" s="88"/>
      <c r="W27" s="88"/>
      <c r="X27" s="88"/>
    </row>
    <row r="28">
      <c r="A28" s="113"/>
      <c r="B28" s="117"/>
      <c r="C28" s="117"/>
      <c r="D28" s="103" t="s">
        <v>907</v>
      </c>
      <c r="E28" s="117"/>
      <c r="F28" s="127"/>
      <c r="G28" s="88"/>
      <c r="H28" s="88"/>
      <c r="I28" s="88"/>
      <c r="J28" s="88"/>
      <c r="K28" s="88"/>
      <c r="L28" s="88"/>
      <c r="M28" s="88"/>
      <c r="N28" s="88"/>
      <c r="O28" s="88"/>
      <c r="P28" s="88"/>
      <c r="Q28" s="88"/>
      <c r="R28" s="88"/>
      <c r="S28" s="88"/>
      <c r="T28" s="88"/>
      <c r="U28" s="88"/>
      <c r="V28" s="88"/>
      <c r="W28" s="88"/>
      <c r="X28" s="88"/>
    </row>
    <row r="29">
      <c r="A29" s="113"/>
      <c r="B29" s="117"/>
      <c r="C29" s="117"/>
      <c r="D29" s="103" t="s">
        <v>27</v>
      </c>
      <c r="E29" s="117"/>
      <c r="F29" s="127"/>
      <c r="G29" s="88"/>
      <c r="H29" s="88"/>
      <c r="I29" s="88"/>
      <c r="J29" s="88"/>
      <c r="K29" s="88"/>
      <c r="L29" s="88"/>
      <c r="M29" s="88"/>
      <c r="N29" s="88"/>
      <c r="O29" s="88"/>
      <c r="P29" s="88"/>
      <c r="Q29" s="88"/>
      <c r="R29" s="88"/>
      <c r="S29" s="88"/>
      <c r="T29" s="88"/>
      <c r="U29" s="88"/>
      <c r="V29" s="88"/>
      <c r="W29" s="88"/>
      <c r="X29" s="88"/>
    </row>
    <row r="30">
      <c r="A30" s="129"/>
      <c r="B30" s="130"/>
      <c r="C30" s="130"/>
      <c r="D30" s="131" t="s">
        <v>143</v>
      </c>
      <c r="E30" s="130"/>
      <c r="F30" s="132"/>
      <c r="G30" s="88"/>
      <c r="H30" s="88"/>
      <c r="I30" s="88"/>
      <c r="J30" s="88"/>
      <c r="K30" s="88"/>
      <c r="L30" s="88"/>
      <c r="M30" s="88"/>
      <c r="N30" s="88"/>
      <c r="O30" s="88"/>
      <c r="P30" s="88"/>
      <c r="Q30" s="88"/>
      <c r="R30" s="88"/>
      <c r="S30" s="88"/>
      <c r="T30" s="88"/>
      <c r="U30" s="88"/>
      <c r="V30" s="88"/>
      <c r="W30" s="88"/>
      <c r="X30" s="88"/>
    </row>
    <row r="31">
      <c r="A31" s="88"/>
      <c r="B31" s="88"/>
      <c r="C31" s="88"/>
      <c r="D31" s="88"/>
      <c r="E31" s="88"/>
      <c r="F31" s="88"/>
      <c r="G31" s="88"/>
      <c r="H31" s="88"/>
      <c r="I31" s="88"/>
      <c r="J31" s="88"/>
      <c r="K31" s="88"/>
      <c r="L31" s="88"/>
      <c r="M31" s="88"/>
      <c r="N31" s="88"/>
      <c r="O31" s="88"/>
      <c r="P31" s="88"/>
      <c r="Q31" s="88"/>
      <c r="R31" s="88"/>
      <c r="S31" s="88"/>
      <c r="T31" s="88"/>
      <c r="U31" s="88"/>
      <c r="V31" s="88"/>
      <c r="W31" s="88"/>
      <c r="X31" s="88"/>
    </row>
    <row r="32">
      <c r="A32" s="88"/>
      <c r="B32" s="88"/>
      <c r="C32" s="88"/>
      <c r="D32" s="88"/>
      <c r="E32" s="88"/>
      <c r="F32" s="88"/>
      <c r="G32" s="88"/>
      <c r="H32" s="88"/>
      <c r="I32" s="88"/>
      <c r="J32" s="88"/>
      <c r="K32" s="88"/>
      <c r="L32" s="88"/>
      <c r="M32" s="88"/>
      <c r="N32" s="88"/>
      <c r="O32" s="88"/>
      <c r="P32" s="88"/>
      <c r="Q32" s="88"/>
      <c r="R32" s="88"/>
      <c r="S32" s="88"/>
      <c r="T32" s="88"/>
      <c r="U32" s="88"/>
      <c r="V32" s="88"/>
      <c r="W32" s="88"/>
      <c r="X32" s="88"/>
    </row>
    <row r="33">
      <c r="A33" s="88"/>
      <c r="B33" s="88"/>
      <c r="C33" s="88"/>
      <c r="D33" s="88"/>
      <c r="E33" s="88"/>
      <c r="F33" s="88"/>
      <c r="G33" s="88"/>
      <c r="H33" s="88"/>
      <c r="I33" s="88"/>
      <c r="J33" s="88"/>
      <c r="K33" s="88"/>
      <c r="L33" s="88"/>
      <c r="M33" s="88"/>
      <c r="N33" s="88"/>
      <c r="O33" s="88"/>
      <c r="P33" s="88"/>
      <c r="Q33" s="88"/>
      <c r="R33" s="88"/>
      <c r="S33" s="88"/>
      <c r="T33" s="88"/>
      <c r="U33" s="88"/>
      <c r="V33" s="88"/>
      <c r="W33" s="88"/>
      <c r="X33" s="88"/>
    </row>
    <row r="34">
      <c r="A34" s="88"/>
      <c r="B34" s="88"/>
      <c r="C34" s="88"/>
      <c r="D34" s="88"/>
      <c r="E34" s="88"/>
      <c r="F34" s="88"/>
      <c r="G34" s="88"/>
      <c r="H34" s="88"/>
      <c r="I34" s="88"/>
      <c r="J34" s="88"/>
      <c r="K34" s="88"/>
      <c r="L34" s="88"/>
      <c r="M34" s="88"/>
      <c r="N34" s="88"/>
      <c r="O34" s="88"/>
      <c r="P34" s="88"/>
      <c r="Q34" s="88"/>
      <c r="R34" s="88"/>
      <c r="S34" s="88"/>
      <c r="T34" s="88"/>
      <c r="U34" s="88"/>
      <c r="V34" s="88"/>
      <c r="W34" s="88"/>
      <c r="X34" s="88"/>
    </row>
    <row r="35">
      <c r="A35" s="88"/>
      <c r="B35" s="88"/>
      <c r="C35" s="88"/>
      <c r="D35" s="88"/>
      <c r="E35" s="88"/>
      <c r="F35" s="88"/>
      <c r="G35" s="88"/>
      <c r="H35" s="88"/>
      <c r="I35" s="88"/>
      <c r="J35" s="88"/>
      <c r="K35" s="88"/>
      <c r="L35" s="88"/>
      <c r="M35" s="88"/>
      <c r="N35" s="88"/>
      <c r="O35" s="88"/>
      <c r="P35" s="88"/>
      <c r="Q35" s="88"/>
      <c r="R35" s="88"/>
      <c r="S35" s="88"/>
      <c r="T35" s="88"/>
      <c r="U35" s="88"/>
      <c r="V35" s="88"/>
      <c r="W35" s="88"/>
      <c r="X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row>
    <row r="54">
      <c r="H54" s="88"/>
      <c r="I54" s="88"/>
      <c r="J54" s="88"/>
      <c r="K54" s="88"/>
      <c r="L54" s="88"/>
      <c r="M54" s="88"/>
      <c r="N54" s="88"/>
      <c r="O54" s="88"/>
      <c r="P54" s="88"/>
      <c r="Q54" s="88"/>
      <c r="R54" s="88"/>
      <c r="S54" s="88"/>
      <c r="T54" s="88"/>
      <c r="U54" s="88"/>
      <c r="V54" s="88"/>
      <c r="W54" s="88"/>
      <c r="X54" s="88"/>
    </row>
    <row r="55">
      <c r="H55" s="88"/>
      <c r="I55" s="88"/>
      <c r="J55" s="88"/>
      <c r="K55" s="88"/>
      <c r="L55" s="88"/>
      <c r="M55" s="88"/>
      <c r="N55" s="88"/>
      <c r="O55" s="88"/>
      <c r="P55" s="88"/>
      <c r="Q55" s="88"/>
      <c r="R55" s="88"/>
      <c r="S55" s="88"/>
      <c r="T55" s="88"/>
      <c r="U55" s="88"/>
      <c r="V55" s="88"/>
      <c r="W55" s="88"/>
      <c r="X55" s="88"/>
    </row>
    <row r="56">
      <c r="H56" s="88"/>
      <c r="I56" s="88"/>
      <c r="J56" s="88"/>
      <c r="K56" s="88"/>
      <c r="L56" s="88"/>
      <c r="M56" s="88"/>
      <c r="N56" s="88"/>
      <c r="O56" s="88"/>
      <c r="P56" s="88"/>
      <c r="Q56" s="88"/>
      <c r="R56" s="88"/>
      <c r="S56" s="88"/>
      <c r="T56" s="88"/>
      <c r="U56" s="88"/>
      <c r="V56" s="88"/>
      <c r="W56" s="88"/>
      <c r="X56" s="88"/>
    </row>
    <row r="57">
      <c r="H57" s="88"/>
      <c r="I57" s="88"/>
      <c r="J57" s="88"/>
      <c r="K57" s="88"/>
      <c r="L57" s="88"/>
      <c r="M57" s="88"/>
      <c r="N57" s="88"/>
      <c r="O57" s="88"/>
      <c r="P57" s="88"/>
      <c r="Q57" s="88"/>
      <c r="R57" s="88"/>
      <c r="S57" s="88"/>
      <c r="T57" s="88"/>
      <c r="U57" s="88"/>
      <c r="V57" s="88"/>
      <c r="W57" s="88"/>
      <c r="X57" s="88"/>
    </row>
    <row r="58">
      <c r="I58" s="88"/>
      <c r="J58" s="88"/>
      <c r="K58" s="88"/>
      <c r="L58" s="88"/>
      <c r="M58" s="88"/>
      <c r="N58" s="88"/>
      <c r="O58" s="88"/>
      <c r="P58" s="88"/>
      <c r="Q58" s="88"/>
      <c r="R58" s="88"/>
      <c r="S58" s="88"/>
      <c r="T58" s="88"/>
      <c r="U58" s="88"/>
      <c r="V58" s="88"/>
      <c r="W58" s="88"/>
      <c r="X58" s="88"/>
    </row>
    <row r="59">
      <c r="H59" s="88"/>
      <c r="I59" s="88"/>
      <c r="J59" s="88"/>
      <c r="K59" s="88"/>
      <c r="L59" s="88"/>
      <c r="M59" s="88"/>
      <c r="N59" s="88"/>
      <c r="O59" s="88"/>
      <c r="P59" s="88"/>
      <c r="Q59" s="88"/>
      <c r="R59" s="88"/>
      <c r="S59" s="88"/>
      <c r="T59" s="88"/>
      <c r="U59" s="88"/>
      <c r="V59" s="88"/>
      <c r="W59" s="88"/>
      <c r="X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row>
    <row r="1001">
      <c r="A1001" s="88"/>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row>
    <row r="1002">
      <c r="A1002" s="88"/>
      <c r="B1002" s="88"/>
      <c r="C1002" s="88"/>
      <c r="D1002" s="88"/>
      <c r="E1002" s="88"/>
      <c r="F1002" s="88"/>
      <c r="G1002" s="88"/>
      <c r="H1002" s="88"/>
      <c r="I1002" s="88"/>
      <c r="J1002" s="88"/>
      <c r="K1002" s="88"/>
      <c r="L1002" s="88"/>
      <c r="M1002" s="88"/>
      <c r="N1002" s="88"/>
      <c r="O1002" s="88"/>
      <c r="P1002" s="88"/>
      <c r="Q1002" s="88"/>
      <c r="R1002" s="88"/>
      <c r="S1002" s="88"/>
      <c r="T1002" s="88"/>
      <c r="U1002" s="88"/>
      <c r="V1002" s="88"/>
      <c r="W1002" s="88"/>
      <c r="X1002" s="88"/>
    </row>
  </sheetData>
  <mergeCells count="7">
    <mergeCell ref="H1:K1"/>
    <mergeCell ref="H7:J7"/>
    <mergeCell ref="H8:J8"/>
    <mergeCell ref="H9:J9"/>
    <mergeCell ref="H10:J10"/>
    <mergeCell ref="H11:J11"/>
    <mergeCell ref="H12:J12"/>
  </mergeCells>
  <dataValidations>
    <dataValidation type="list" allowBlank="1" showErrorMessage="1" sqref="C2:C18">
      <formula1>"Entrevista,Exposição (instalação) ,Filme,Folheto ,Fotografia,Jornal ,Laudo,Livro,Música,Notícia,Periódico,Petição,Poema,Programa (rádio e TV) ,Prontuário,Relato,Relatório"</formula1>
    </dataValidation>
    <dataValidation type="list" allowBlank="1" showErrorMessage="1" sqref="B2:B15">
      <formula1>"Arquitetônico,Audiovisual,Bibliográfico,Cartográfico,Cinematográfico,Eletrônico,Filmográfico,Fonográfico,Hemerográfico,Iconográfico,Sonoro,Táctil*,Textual,Tridimensional "</formula1>
    </dataValidation>
    <dataValidation type="list" allowBlank="1" showErrorMessage="1" sqref="E2:E9">
      <formula1>"Derivada bruta (produção automática),Derivada bruta (produção manual),Derivada tratada (tratamento conhecido),Derivada tratada (tratamento desconhecido),Matriz bruta (produção automática),Matriz bruta (produção manual),Matriz tratada (tratamento conhecido"&amp;"),Matriz tratada (tratamento desconhecido) "</formula1>
    </dataValidation>
    <dataValidation type="list" allowBlank="1" showErrorMessage="1" sqref="D2:D30">
      <formula1>"Ampliação (fotográfica),Apresentação (digital) ,Áudio (digital),Contato (fotográfico),Dados (digital) ,Datilografado,Desenho à mão,Digital,Digitalizado,Exposição fotográfica,Filmagem (analógico),Filmagem (convencional) ,Filmagem (geral) ,Fotografia (expos"&amp;"ição fotográfica) ,Gravação (analógico),Gravação (convencional) ,Gravação (geral) ,Imagem (digital) ,Imagem matricial (digital) ,Imagem vetorial (digital),Impresso ,Manuscrito ,Microfilmagem ,Nato-digital,Negativo (fotográfico) ,Técnica não determinada,Té"&amp;"cnica varia,Texto (digital),Vídeo (digital)"</formula1>
    </dataValidation>
    <dataValidation type="list" allowBlank="1" showErrorMessage="1" sqref="A2:A8">
      <formula1>"Atividade de Cultura e Extensão,Atividade de Cultura e Extensão Universitária,Atuação política,Documentação institucional,Manifestação artístico-cultural,Produção midiática,Roteiro histórico"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3" width="51.38"/>
  </cols>
  <sheetData>
    <row r="1">
      <c r="A1" s="133"/>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row>
    <row r="2">
      <c r="A2" s="134" t="s">
        <v>908</v>
      </c>
      <c r="B2" s="135" t="s">
        <v>909</v>
      </c>
      <c r="C2" s="135"/>
      <c r="D2" s="133"/>
      <c r="E2" s="136" t="s">
        <v>910</v>
      </c>
      <c r="F2" s="133"/>
      <c r="G2" s="136" t="s">
        <v>911</v>
      </c>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row>
    <row r="3">
      <c r="A3" s="137" t="s">
        <v>912</v>
      </c>
      <c r="B3" s="138" t="s">
        <v>913</v>
      </c>
      <c r="C3" s="138"/>
      <c r="D3" s="136" t="s">
        <v>914</v>
      </c>
      <c r="E3" s="139" t="s">
        <v>915</v>
      </c>
      <c r="F3" s="133"/>
      <c r="G3" s="140" t="s">
        <v>916</v>
      </c>
      <c r="H3" s="133"/>
      <c r="I3" s="133"/>
      <c r="J3" s="141" t="s">
        <v>917</v>
      </c>
      <c r="K3" s="133"/>
      <c r="L3" s="133"/>
      <c r="M3" s="133"/>
      <c r="N3" s="133"/>
      <c r="O3" s="133"/>
      <c r="P3" s="133"/>
      <c r="Q3" s="133"/>
      <c r="R3" s="133"/>
      <c r="S3" s="133"/>
      <c r="T3" s="133"/>
      <c r="U3" s="133"/>
      <c r="V3" s="133"/>
      <c r="W3" s="133"/>
      <c r="X3" s="133"/>
      <c r="Y3" s="133"/>
      <c r="Z3" s="133"/>
      <c r="AA3" s="133"/>
      <c r="AB3" s="133"/>
      <c r="AC3" s="133"/>
      <c r="AD3" s="133"/>
      <c r="AE3" s="133"/>
      <c r="AF3" s="133"/>
      <c r="AG3" s="133"/>
      <c r="AH3" s="133"/>
    </row>
    <row r="4">
      <c r="A4" s="140" t="s">
        <v>918</v>
      </c>
      <c r="B4" s="142" t="s">
        <v>919</v>
      </c>
      <c r="C4" s="142"/>
      <c r="D4" s="136" t="s">
        <v>920</v>
      </c>
      <c r="E4" s="133"/>
      <c r="F4" s="133"/>
      <c r="G4" s="137" t="s">
        <v>921</v>
      </c>
      <c r="H4" s="133"/>
      <c r="I4" s="133"/>
      <c r="J4" s="136" t="s">
        <v>922</v>
      </c>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c r="A5" s="140" t="s">
        <v>923</v>
      </c>
      <c r="B5" s="143" t="s">
        <v>924</v>
      </c>
      <c r="C5" s="144" t="s">
        <v>925</v>
      </c>
      <c r="D5" s="133"/>
      <c r="E5" s="133"/>
      <c r="F5" s="133"/>
      <c r="G5" s="140" t="s">
        <v>926</v>
      </c>
      <c r="H5" s="133"/>
      <c r="I5" s="133"/>
      <c r="J5" s="141"/>
      <c r="K5" s="133"/>
      <c r="L5" s="133"/>
      <c r="M5" s="133"/>
      <c r="N5" s="133"/>
      <c r="O5" s="133"/>
      <c r="P5" s="133"/>
      <c r="Q5" s="133"/>
      <c r="R5" s="133"/>
      <c r="S5" s="133"/>
      <c r="T5" s="133"/>
      <c r="U5" s="133"/>
      <c r="V5" s="133"/>
      <c r="W5" s="133"/>
      <c r="X5" s="133"/>
      <c r="Y5" s="133"/>
      <c r="Z5" s="133"/>
      <c r="AA5" s="133"/>
      <c r="AB5" s="133"/>
      <c r="AC5" s="133"/>
      <c r="AD5" s="133"/>
      <c r="AE5" s="133"/>
      <c r="AF5" s="133"/>
      <c r="AG5" s="133"/>
      <c r="AH5" s="133"/>
    </row>
    <row r="6">
      <c r="A6" s="140" t="s">
        <v>927</v>
      </c>
      <c r="B6" s="143" t="s">
        <v>928</v>
      </c>
      <c r="C6" s="144" t="s">
        <v>929</v>
      </c>
      <c r="D6" s="133"/>
      <c r="E6" s="133"/>
      <c r="F6" s="133"/>
      <c r="G6" s="133"/>
      <c r="H6" s="133"/>
      <c r="I6" s="133"/>
      <c r="J6" s="142"/>
      <c r="K6" s="133"/>
      <c r="L6" s="133"/>
      <c r="M6" s="133"/>
      <c r="N6" s="133"/>
      <c r="O6" s="133"/>
      <c r="P6" s="133"/>
      <c r="Q6" s="133"/>
      <c r="R6" s="133"/>
      <c r="S6" s="133"/>
      <c r="T6" s="133"/>
      <c r="U6" s="133"/>
      <c r="V6" s="133"/>
      <c r="W6" s="133"/>
      <c r="X6" s="133"/>
      <c r="Y6" s="133"/>
      <c r="Z6" s="133"/>
      <c r="AA6" s="133"/>
      <c r="AB6" s="133"/>
      <c r="AC6" s="133"/>
      <c r="AD6" s="133"/>
      <c r="AE6" s="133"/>
      <c r="AF6" s="133"/>
      <c r="AG6" s="133"/>
      <c r="AH6" s="133"/>
    </row>
    <row r="7">
      <c r="A7" s="140" t="s">
        <v>930</v>
      </c>
      <c r="B7" s="143" t="s">
        <v>931</v>
      </c>
      <c r="C7" s="144" t="s">
        <v>932</v>
      </c>
      <c r="D7" s="133"/>
      <c r="E7" s="133"/>
      <c r="F7" s="133"/>
      <c r="G7" s="133"/>
      <c r="H7" s="133"/>
      <c r="I7" s="133"/>
      <c r="J7" s="142"/>
      <c r="K7" s="133"/>
      <c r="L7" s="133"/>
      <c r="M7" s="133"/>
      <c r="N7" s="133"/>
      <c r="O7" s="133"/>
      <c r="P7" s="133"/>
      <c r="Q7" s="133"/>
      <c r="R7" s="133"/>
      <c r="S7" s="133"/>
      <c r="T7" s="133"/>
      <c r="U7" s="133"/>
      <c r="V7" s="133"/>
      <c r="W7" s="133"/>
      <c r="X7" s="133"/>
      <c r="Y7" s="133"/>
      <c r="Z7" s="133"/>
      <c r="AA7" s="133"/>
      <c r="AB7" s="133"/>
      <c r="AC7" s="133"/>
      <c r="AD7" s="133"/>
      <c r="AE7" s="133"/>
      <c r="AF7" s="133"/>
      <c r="AG7" s="133"/>
      <c r="AH7" s="133"/>
    </row>
    <row r="8">
      <c r="A8" s="140" t="s">
        <v>933</v>
      </c>
      <c r="B8" s="142" t="s">
        <v>934</v>
      </c>
      <c r="C8" s="144" t="s">
        <v>935</v>
      </c>
      <c r="D8" s="133"/>
      <c r="E8" s="133"/>
      <c r="F8" s="133"/>
      <c r="G8" s="133"/>
      <c r="H8" s="133"/>
      <c r="I8" s="133"/>
      <c r="J8" s="142"/>
      <c r="K8" s="133"/>
      <c r="L8" s="133"/>
      <c r="M8" s="133"/>
      <c r="N8" s="133"/>
      <c r="O8" s="133"/>
      <c r="P8" s="133"/>
      <c r="Q8" s="133"/>
      <c r="R8" s="133"/>
      <c r="S8" s="133"/>
      <c r="T8" s="133"/>
      <c r="U8" s="133"/>
      <c r="V8" s="133"/>
      <c r="W8" s="133"/>
      <c r="X8" s="133"/>
      <c r="Y8" s="133"/>
      <c r="Z8" s="133"/>
      <c r="AA8" s="133"/>
      <c r="AB8" s="133"/>
      <c r="AC8" s="133"/>
      <c r="AD8" s="133"/>
      <c r="AE8" s="133"/>
      <c r="AF8" s="133"/>
      <c r="AG8" s="133"/>
      <c r="AH8" s="133"/>
    </row>
    <row r="9">
      <c r="A9" s="145" t="s">
        <v>936</v>
      </c>
      <c r="B9" s="145" t="s">
        <v>937</v>
      </c>
      <c r="C9" s="145" t="s">
        <v>938</v>
      </c>
      <c r="D9" s="133"/>
      <c r="E9" s="133"/>
      <c r="F9" s="133"/>
      <c r="G9" s="133"/>
      <c r="H9" s="133"/>
      <c r="I9" s="133"/>
      <c r="J9" s="138"/>
      <c r="K9" s="133"/>
      <c r="L9" s="133"/>
      <c r="M9" s="133"/>
      <c r="N9" s="133"/>
      <c r="O9" s="133"/>
      <c r="P9" s="133"/>
      <c r="Q9" s="133"/>
      <c r="R9" s="133"/>
      <c r="S9" s="133"/>
      <c r="T9" s="133"/>
      <c r="U9" s="133"/>
      <c r="V9" s="133"/>
      <c r="W9" s="133"/>
      <c r="X9" s="133"/>
      <c r="Y9" s="133"/>
      <c r="Z9" s="133"/>
      <c r="AA9" s="133"/>
      <c r="AB9" s="133"/>
      <c r="AC9" s="133"/>
      <c r="AD9" s="133"/>
      <c r="AE9" s="133"/>
      <c r="AF9" s="133"/>
      <c r="AG9" s="133"/>
      <c r="AH9" s="133"/>
    </row>
    <row r="10">
      <c r="A10" s="140" t="s">
        <v>939</v>
      </c>
      <c r="B10" s="142" t="s">
        <v>940</v>
      </c>
      <c r="C10" s="144" t="s">
        <v>941</v>
      </c>
      <c r="D10" s="133"/>
      <c r="E10" s="133"/>
      <c r="F10" s="133"/>
      <c r="G10" s="133"/>
      <c r="H10" s="133"/>
      <c r="I10" s="133"/>
      <c r="J10" s="136"/>
      <c r="K10" s="133"/>
      <c r="L10" s="133"/>
      <c r="M10" s="133"/>
      <c r="N10" s="133"/>
      <c r="O10" s="133"/>
      <c r="P10" s="133"/>
      <c r="Q10" s="133"/>
      <c r="R10" s="133"/>
      <c r="S10" s="133"/>
      <c r="T10" s="133"/>
      <c r="U10" s="133"/>
      <c r="V10" s="133"/>
      <c r="W10" s="133"/>
      <c r="X10" s="133"/>
      <c r="Y10" s="133"/>
      <c r="Z10" s="133"/>
      <c r="AA10" s="133"/>
      <c r="AB10" s="133"/>
      <c r="AC10" s="133"/>
      <c r="AD10" s="133"/>
      <c r="AE10" s="133"/>
      <c r="AF10" s="133"/>
      <c r="AG10" s="133"/>
      <c r="AH10" s="133"/>
    </row>
    <row r="11">
      <c r="A11" s="137" t="s">
        <v>942</v>
      </c>
      <c r="B11" s="138" t="s">
        <v>937</v>
      </c>
      <c r="C11" s="146" t="s">
        <v>943</v>
      </c>
      <c r="D11" s="133"/>
      <c r="E11" s="133"/>
      <c r="F11" s="133"/>
      <c r="G11" s="133"/>
      <c r="H11" s="133"/>
      <c r="I11" s="133"/>
      <c r="J11" s="142"/>
      <c r="K11" s="133"/>
      <c r="L11" s="133"/>
      <c r="M11" s="133"/>
      <c r="N11" s="133"/>
      <c r="O11" s="133"/>
      <c r="P11" s="133"/>
      <c r="Q11" s="133"/>
      <c r="R11" s="133"/>
      <c r="S11" s="133"/>
      <c r="T11" s="133"/>
      <c r="U11" s="133"/>
      <c r="V11" s="133"/>
      <c r="W11" s="133"/>
      <c r="X11" s="133"/>
      <c r="Y11" s="133"/>
      <c r="Z11" s="133"/>
      <c r="AA11" s="133"/>
      <c r="AB11" s="133"/>
      <c r="AC11" s="133"/>
      <c r="AD11" s="133"/>
      <c r="AE11" s="133"/>
      <c r="AF11" s="133"/>
      <c r="AG11" s="133"/>
      <c r="AH11" s="133"/>
    </row>
    <row r="12">
      <c r="A12" s="142" t="s">
        <v>944</v>
      </c>
      <c r="B12" s="142" t="s">
        <v>945</v>
      </c>
      <c r="C12" s="142"/>
      <c r="D12" s="133"/>
      <c r="E12" s="133"/>
      <c r="F12" s="133"/>
      <c r="G12" s="133"/>
      <c r="H12" s="133"/>
      <c r="I12" s="136" t="s">
        <v>315</v>
      </c>
      <c r="J12" s="142"/>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3"/>
    </row>
    <row r="13">
      <c r="A13" s="142" t="s">
        <v>946</v>
      </c>
      <c r="B13" s="143" t="s">
        <v>947</v>
      </c>
      <c r="C13" s="144" t="s">
        <v>948</v>
      </c>
      <c r="D13" s="142"/>
      <c r="E13" s="136"/>
      <c r="F13" s="133"/>
      <c r="G13" s="133"/>
      <c r="H13" s="133"/>
      <c r="I13" s="137" t="s">
        <v>949</v>
      </c>
      <c r="J13" s="142"/>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3"/>
    </row>
    <row r="14">
      <c r="A14" s="140" t="s">
        <v>950</v>
      </c>
      <c r="B14" s="143" t="s">
        <v>928</v>
      </c>
      <c r="C14" s="144" t="s">
        <v>951</v>
      </c>
      <c r="D14" s="133"/>
      <c r="E14" s="133"/>
      <c r="F14" s="133"/>
      <c r="G14" s="133"/>
      <c r="H14" s="133"/>
      <c r="I14" s="133"/>
      <c r="J14" s="142"/>
      <c r="K14" s="133"/>
      <c r="L14" s="133"/>
      <c r="M14" s="133"/>
      <c r="N14" s="133"/>
      <c r="O14" s="133"/>
      <c r="P14" s="133"/>
      <c r="Q14" s="133"/>
      <c r="R14" s="133"/>
      <c r="S14" s="133"/>
      <c r="T14" s="133"/>
      <c r="U14" s="133"/>
      <c r="V14" s="133"/>
      <c r="W14" s="133"/>
      <c r="X14" s="133"/>
      <c r="Y14" s="133"/>
      <c r="Z14" s="133"/>
      <c r="AA14" s="133"/>
      <c r="AB14" s="133"/>
      <c r="AC14" s="133"/>
      <c r="AD14" s="133"/>
      <c r="AE14" s="133"/>
      <c r="AF14" s="133"/>
      <c r="AG14" s="133"/>
      <c r="AH14" s="133"/>
    </row>
    <row r="15">
      <c r="A15" s="140" t="s">
        <v>952</v>
      </c>
      <c r="B15" s="143" t="s">
        <v>928</v>
      </c>
      <c r="C15" s="144" t="s">
        <v>953</v>
      </c>
      <c r="D15" s="133"/>
      <c r="E15" s="133"/>
      <c r="F15" s="133"/>
      <c r="G15" s="133"/>
      <c r="H15" s="133"/>
      <c r="I15" s="133"/>
      <c r="J15" s="138"/>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row>
    <row r="16">
      <c r="A16" s="142" t="s">
        <v>954</v>
      </c>
      <c r="B16" s="142" t="s">
        <v>928</v>
      </c>
      <c r="C16" s="147" t="s">
        <v>955</v>
      </c>
      <c r="D16" s="133"/>
      <c r="E16" s="133"/>
      <c r="F16" s="133"/>
      <c r="G16" s="133"/>
      <c r="H16" s="133"/>
      <c r="I16" s="133"/>
      <c r="J16" s="142"/>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row>
    <row r="17">
      <c r="A17" s="140" t="s">
        <v>956</v>
      </c>
      <c r="B17" s="142" t="s">
        <v>957</v>
      </c>
      <c r="C17" s="147" t="s">
        <v>958</v>
      </c>
      <c r="D17" s="133"/>
      <c r="E17" s="133"/>
      <c r="F17" s="133"/>
      <c r="G17" s="133"/>
      <c r="H17" s="133"/>
      <c r="I17" s="133"/>
      <c r="J17" s="136"/>
      <c r="K17" s="133"/>
      <c r="L17" s="133"/>
      <c r="M17" s="133"/>
      <c r="N17" s="133"/>
      <c r="O17" s="133"/>
      <c r="P17" s="133"/>
      <c r="Q17" s="133"/>
      <c r="R17" s="133"/>
      <c r="S17" s="133"/>
      <c r="T17" s="133"/>
      <c r="U17" s="133"/>
      <c r="V17" s="133"/>
      <c r="W17" s="133"/>
      <c r="X17" s="133"/>
      <c r="Y17" s="133"/>
      <c r="Z17" s="133"/>
      <c r="AA17" s="133"/>
      <c r="AB17" s="133"/>
      <c r="AC17" s="133"/>
      <c r="AD17" s="133"/>
      <c r="AE17" s="133"/>
      <c r="AF17" s="133"/>
      <c r="AG17" s="133"/>
      <c r="AH17" s="133"/>
    </row>
    <row r="18">
      <c r="A18" s="142" t="s">
        <v>959</v>
      </c>
      <c r="B18" s="142" t="s">
        <v>960</v>
      </c>
      <c r="C18" s="144" t="s">
        <v>961</v>
      </c>
      <c r="J18" s="142"/>
      <c r="AC18" s="133"/>
      <c r="AD18" s="133"/>
      <c r="AE18" s="133"/>
      <c r="AF18" s="133"/>
      <c r="AG18" s="133"/>
      <c r="AH18" s="133"/>
    </row>
    <row r="19">
      <c r="A19" s="140" t="s">
        <v>962</v>
      </c>
      <c r="B19" s="142" t="s">
        <v>963</v>
      </c>
      <c r="C19" s="147" t="s">
        <v>964</v>
      </c>
      <c r="D19" s="133"/>
      <c r="E19" s="133"/>
      <c r="F19" s="133"/>
      <c r="G19" s="133"/>
      <c r="H19" s="133"/>
      <c r="I19" s="133"/>
      <c r="J19" s="142"/>
      <c r="K19" s="133"/>
      <c r="L19" s="133"/>
      <c r="M19" s="133"/>
      <c r="N19" s="133"/>
      <c r="O19" s="133"/>
      <c r="P19" s="133"/>
      <c r="Q19" s="133"/>
      <c r="R19" s="133"/>
      <c r="S19" s="133"/>
      <c r="T19" s="133"/>
      <c r="U19" s="133"/>
      <c r="V19" s="133"/>
      <c r="W19" s="133"/>
      <c r="X19" s="133"/>
      <c r="Y19" s="133"/>
      <c r="Z19" s="133"/>
      <c r="AA19" s="133"/>
      <c r="AB19" s="133"/>
      <c r="AC19" s="133"/>
      <c r="AD19" s="133"/>
      <c r="AE19" s="133"/>
      <c r="AF19" s="133"/>
      <c r="AG19" s="133"/>
      <c r="AH19" s="133"/>
    </row>
    <row r="20">
      <c r="A20" s="137" t="s">
        <v>965</v>
      </c>
      <c r="B20" s="138" t="s">
        <v>966</v>
      </c>
      <c r="C20" s="146" t="s">
        <v>967</v>
      </c>
      <c r="D20" s="133"/>
      <c r="E20" s="133"/>
      <c r="F20" s="133"/>
      <c r="G20" s="133"/>
      <c r="H20" s="133"/>
      <c r="I20" s="133"/>
      <c r="J20" s="136"/>
      <c r="K20" s="133"/>
      <c r="L20" s="133"/>
      <c r="M20" s="133"/>
      <c r="N20" s="133"/>
      <c r="O20" s="133"/>
      <c r="P20" s="133"/>
      <c r="Q20" s="133"/>
      <c r="R20" s="133"/>
      <c r="S20" s="133"/>
      <c r="T20" s="133"/>
      <c r="U20" s="133"/>
      <c r="V20" s="133"/>
      <c r="W20" s="133"/>
      <c r="X20" s="133"/>
      <c r="Y20" s="133"/>
      <c r="Z20" s="133"/>
      <c r="AA20" s="133"/>
      <c r="AB20" s="133"/>
      <c r="AC20" s="133"/>
      <c r="AD20" s="133"/>
      <c r="AE20" s="133"/>
      <c r="AF20" s="133"/>
      <c r="AG20" s="133"/>
      <c r="AH20" s="133"/>
    </row>
    <row r="21">
      <c r="A21" s="137" t="s">
        <v>968</v>
      </c>
      <c r="B21" s="138" t="s">
        <v>969</v>
      </c>
      <c r="C21" s="146" t="s">
        <v>970</v>
      </c>
      <c r="D21" s="133"/>
      <c r="E21" s="133"/>
      <c r="F21" s="133"/>
      <c r="G21" s="133"/>
      <c r="H21" s="133"/>
      <c r="I21" s="133"/>
      <c r="J21" s="142"/>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row>
    <row r="22">
      <c r="A22" s="140" t="s">
        <v>971</v>
      </c>
      <c r="B22" s="138" t="s">
        <v>913</v>
      </c>
      <c r="C22" s="147" t="s">
        <v>972</v>
      </c>
      <c r="D22" s="133"/>
      <c r="E22" s="133"/>
      <c r="F22" s="133"/>
      <c r="G22" s="133"/>
      <c r="H22" s="133"/>
      <c r="I22" s="133"/>
      <c r="J22" s="138"/>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row>
    <row r="23">
      <c r="A23" s="140" t="s">
        <v>973</v>
      </c>
      <c r="B23" s="142" t="s">
        <v>969</v>
      </c>
      <c r="C23" s="142"/>
      <c r="D23" s="133"/>
      <c r="E23" s="133"/>
      <c r="F23" s="133"/>
      <c r="G23" s="133"/>
      <c r="H23" s="133"/>
      <c r="I23" s="133"/>
      <c r="J23" s="138"/>
      <c r="K23" s="133"/>
      <c r="L23" s="133"/>
      <c r="M23" s="133"/>
      <c r="N23" s="133"/>
      <c r="O23" s="133"/>
      <c r="P23" s="133"/>
      <c r="Q23" s="133"/>
      <c r="R23" s="133"/>
      <c r="S23" s="133"/>
      <c r="T23" s="133"/>
      <c r="U23" s="133"/>
      <c r="V23" s="133"/>
      <c r="W23" s="133"/>
      <c r="X23" s="133"/>
      <c r="Y23" s="133"/>
      <c r="Z23" s="133"/>
      <c r="AA23" s="133"/>
      <c r="AB23" s="133"/>
      <c r="AC23" s="133"/>
      <c r="AD23" s="133"/>
      <c r="AE23" s="133"/>
      <c r="AF23" s="133"/>
      <c r="AG23" s="133"/>
      <c r="AH23" s="133"/>
    </row>
    <row r="24">
      <c r="A24" s="140" t="s">
        <v>974</v>
      </c>
      <c r="B24" s="142" t="s">
        <v>969</v>
      </c>
      <c r="C24" s="142"/>
      <c r="D24" s="133"/>
      <c r="E24" s="133"/>
      <c r="F24" s="133"/>
      <c r="G24" s="133"/>
      <c r="H24" s="133"/>
      <c r="I24" s="133"/>
      <c r="J24" s="138"/>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row>
    <row r="25">
      <c r="A25" s="139" t="s">
        <v>975</v>
      </c>
      <c r="B25" s="142" t="s">
        <v>969</v>
      </c>
      <c r="C25" s="136"/>
      <c r="D25" s="133"/>
      <c r="E25" s="133"/>
      <c r="F25" s="133"/>
      <c r="G25" s="133"/>
      <c r="H25" s="133"/>
      <c r="I25" s="133"/>
      <c r="J25" s="142"/>
      <c r="K25" s="133"/>
      <c r="L25" s="133"/>
      <c r="M25" s="133"/>
      <c r="N25" s="133"/>
      <c r="O25" s="133"/>
      <c r="P25" s="133"/>
      <c r="Q25" s="133"/>
      <c r="R25" s="133"/>
      <c r="S25" s="133"/>
      <c r="T25" s="133"/>
      <c r="U25" s="133"/>
      <c r="V25" s="133"/>
      <c r="W25" s="133"/>
      <c r="X25" s="133"/>
      <c r="Y25" s="133"/>
      <c r="Z25" s="133"/>
      <c r="AA25" s="133"/>
      <c r="AB25" s="133"/>
      <c r="AC25" s="133"/>
      <c r="AD25" s="133"/>
      <c r="AE25" s="133"/>
      <c r="AF25" s="133"/>
      <c r="AG25" s="133"/>
      <c r="AH25" s="133"/>
    </row>
    <row r="26">
      <c r="A26" s="139"/>
      <c r="B26" s="136"/>
      <c r="C26" s="136"/>
      <c r="D26" s="142"/>
      <c r="E26" s="142"/>
      <c r="F26" s="142"/>
      <c r="G26" s="136"/>
      <c r="H26" s="142"/>
      <c r="I26" s="133"/>
      <c r="J26" s="142"/>
      <c r="K26" s="133"/>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row>
    <row r="27">
      <c r="A27" s="140" t="s">
        <v>976</v>
      </c>
      <c r="B27" s="142" t="s">
        <v>977</v>
      </c>
      <c r="C27" s="142"/>
      <c r="D27" s="142"/>
      <c r="E27" s="142"/>
      <c r="F27" s="142"/>
      <c r="G27" s="136"/>
      <c r="H27" s="142"/>
      <c r="I27" s="133"/>
      <c r="J27" s="140" t="s">
        <v>978</v>
      </c>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row>
    <row r="28">
      <c r="A28" s="139" t="s">
        <v>979</v>
      </c>
      <c r="B28" s="142" t="s">
        <v>977</v>
      </c>
      <c r="C28" s="136"/>
      <c r="D28" s="142"/>
      <c r="E28" s="142"/>
      <c r="F28" s="142"/>
      <c r="G28" s="136"/>
      <c r="H28" s="142"/>
      <c r="I28" s="133"/>
      <c r="J28" s="142"/>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row>
    <row r="29">
      <c r="A29" s="136" t="s">
        <v>980</v>
      </c>
      <c r="B29" s="136"/>
      <c r="C29" s="136"/>
      <c r="D29" s="142"/>
      <c r="E29" s="142"/>
      <c r="F29" s="142"/>
      <c r="G29" s="136"/>
      <c r="H29" s="142"/>
      <c r="I29" s="133"/>
      <c r="J29" s="142"/>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row>
    <row r="30">
      <c r="A30" s="140" t="s">
        <v>981</v>
      </c>
      <c r="B30" s="142" t="s">
        <v>982</v>
      </c>
      <c r="C30" s="142"/>
      <c r="D30" s="133"/>
      <c r="E30" s="133"/>
      <c r="F30" s="133"/>
      <c r="G30" s="133"/>
      <c r="H30" s="133"/>
      <c r="I30" s="133"/>
      <c r="J30" s="140" t="s">
        <v>983</v>
      </c>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row>
    <row r="31">
      <c r="A31" s="140" t="s">
        <v>984</v>
      </c>
      <c r="B31" s="142"/>
      <c r="C31" s="144" t="s">
        <v>985</v>
      </c>
      <c r="D31" s="133"/>
      <c r="E31" s="133"/>
      <c r="F31" s="133"/>
      <c r="G31" s="133"/>
      <c r="H31" s="133"/>
      <c r="I31" s="133"/>
      <c r="J31" s="140" t="s">
        <v>986</v>
      </c>
      <c r="K31" s="133"/>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3"/>
    </row>
    <row r="32">
      <c r="A32" s="139" t="s">
        <v>987</v>
      </c>
      <c r="B32" s="136"/>
      <c r="C32" s="136"/>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row>
    <row r="33">
      <c r="A33" s="141" t="s">
        <v>988</v>
      </c>
      <c r="B33" s="142"/>
      <c r="C33" s="142"/>
      <c r="D33" s="142"/>
      <c r="E33" s="142"/>
      <c r="F33" s="142"/>
      <c r="G33" s="142"/>
      <c r="H33" s="142"/>
      <c r="I33" s="142"/>
      <c r="J33" s="142"/>
      <c r="K33" s="142"/>
      <c r="L33" s="136"/>
      <c r="M33" s="133"/>
      <c r="N33" s="133"/>
      <c r="O33" s="133"/>
      <c r="P33" s="133"/>
      <c r="Q33" s="133"/>
      <c r="R33" s="133"/>
      <c r="S33" s="133"/>
      <c r="T33" s="133"/>
      <c r="U33" s="133"/>
      <c r="V33" s="133"/>
      <c r="W33" s="133"/>
      <c r="X33" s="133"/>
      <c r="Y33" s="133"/>
      <c r="Z33" s="133"/>
      <c r="AA33" s="133"/>
      <c r="AB33" s="133"/>
      <c r="AC33" s="133"/>
      <c r="AD33" s="133"/>
      <c r="AE33" s="133"/>
      <c r="AF33" s="133"/>
      <c r="AG33" s="133"/>
      <c r="AH33" s="133"/>
    </row>
    <row r="34">
      <c r="A34" s="141" t="s">
        <v>989</v>
      </c>
      <c r="B34" s="142"/>
      <c r="C34" s="142"/>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row>
    <row r="35">
      <c r="A35" s="148" t="s">
        <v>990</v>
      </c>
      <c r="B35" s="136"/>
      <c r="C35" s="136"/>
      <c r="D35" s="133"/>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row>
    <row r="36">
      <c r="A36" s="148" t="s">
        <v>991</v>
      </c>
      <c r="B36" s="136"/>
      <c r="C36" s="136"/>
      <c r="D36" s="133"/>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row>
    <row r="37">
      <c r="A37" s="148" t="s">
        <v>992</v>
      </c>
      <c r="B37" s="136"/>
      <c r="C37" s="136"/>
      <c r="D37" s="133"/>
      <c r="E37" s="133"/>
      <c r="F37" s="133"/>
      <c r="G37" s="133"/>
      <c r="H37" s="133"/>
      <c r="I37" s="133"/>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row>
    <row r="38">
      <c r="A38" s="141" t="s">
        <v>993</v>
      </c>
      <c r="B38" s="142"/>
      <c r="C38" s="142"/>
      <c r="D38" s="133"/>
      <c r="E38" s="133"/>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row>
    <row r="39">
      <c r="A39" s="141" t="s">
        <v>994</v>
      </c>
      <c r="B39" s="142"/>
      <c r="C39" s="142"/>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row>
    <row r="40">
      <c r="A40" s="142" t="s">
        <v>995</v>
      </c>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row>
    <row r="41">
      <c r="A41" s="141" t="s">
        <v>996</v>
      </c>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row>
    <row r="42">
      <c r="A42" s="138" t="s">
        <v>997</v>
      </c>
      <c r="D42" s="142"/>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row>
    <row r="43">
      <c r="A43" s="149" t="s">
        <v>998</v>
      </c>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row>
    <row r="44">
      <c r="A44" s="148" t="s">
        <v>999</v>
      </c>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row>
    <row r="45">
      <c r="A45" s="141" t="s">
        <v>1000</v>
      </c>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row>
    <row r="46">
      <c r="A46" s="141" t="s">
        <v>1001</v>
      </c>
      <c r="D46" s="133"/>
      <c r="E46" s="149" t="s">
        <v>1002</v>
      </c>
      <c r="F46" s="133"/>
      <c r="G46" s="142" t="s">
        <v>1003</v>
      </c>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row>
    <row r="47">
      <c r="A47" s="142" t="s">
        <v>1004</v>
      </c>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row>
    <row r="48">
      <c r="A48" s="142" t="s">
        <v>1005</v>
      </c>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row>
    <row r="49">
      <c r="A49" s="138" t="s">
        <v>1006</v>
      </c>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row>
    <row r="50">
      <c r="A50" s="136" t="s">
        <v>1007</v>
      </c>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row>
    <row r="51">
      <c r="A51" s="142" t="s">
        <v>1008</v>
      </c>
      <c r="D51" s="142"/>
      <c r="E51" s="142"/>
      <c r="F51" s="142"/>
      <c r="G51" s="142"/>
      <c r="H51" s="142"/>
      <c r="I51" s="142"/>
      <c r="J51" s="142"/>
      <c r="K51" s="136"/>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row>
    <row r="52">
      <c r="A52" s="142" t="s">
        <v>1009</v>
      </c>
      <c r="D52" s="133"/>
      <c r="E52" s="138" t="s">
        <v>1010</v>
      </c>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row>
    <row r="53">
      <c r="A53" s="138" t="s">
        <v>1011</v>
      </c>
      <c r="E53" s="149" t="s">
        <v>1012</v>
      </c>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row>
    <row r="54">
      <c r="A54" s="138" t="s">
        <v>1013</v>
      </c>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row>
    <row r="55">
      <c r="A55" s="142" t="s">
        <v>1014</v>
      </c>
      <c r="D55" s="133"/>
      <c r="E55" s="150" t="s">
        <v>1015</v>
      </c>
      <c r="F55" s="133"/>
      <c r="G55" s="133"/>
      <c r="H55" s="142" t="s">
        <v>1016</v>
      </c>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row>
    <row r="56">
      <c r="A56" s="142" t="s">
        <v>1017</v>
      </c>
      <c r="D56" s="133"/>
      <c r="E56" s="142" t="s">
        <v>1018</v>
      </c>
      <c r="F56" s="133"/>
      <c r="G56" s="133"/>
      <c r="H56" s="140" t="s">
        <v>1019</v>
      </c>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c r="AG56" s="133"/>
      <c r="AH56" s="133"/>
    </row>
    <row r="57">
      <c r="A57" s="140" t="s">
        <v>1020</v>
      </c>
      <c r="D57" s="133"/>
      <c r="E57" s="133"/>
      <c r="F57" s="133"/>
      <c r="G57" s="140" t="s">
        <v>1021</v>
      </c>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row>
    <row r="58">
      <c r="A58" s="142" t="s">
        <v>1022</v>
      </c>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row>
    <row r="59">
      <c r="A59" s="140" t="s">
        <v>1023</v>
      </c>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c r="AE59" s="133"/>
      <c r="AF59" s="133"/>
      <c r="AG59" s="133"/>
      <c r="AH59" s="133"/>
    </row>
    <row r="60">
      <c r="A60" s="140" t="s">
        <v>1024</v>
      </c>
      <c r="E60" s="133"/>
      <c r="F60" s="133"/>
      <c r="G60" s="140" t="s">
        <v>1025</v>
      </c>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row>
    <row r="61">
      <c r="A61" s="142" t="s">
        <v>1026</v>
      </c>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row>
    <row r="62">
      <c r="A62" s="140" t="s">
        <v>1027</v>
      </c>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row>
    <row r="63">
      <c r="A63" s="137" t="s">
        <v>1028</v>
      </c>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row>
    <row r="64">
      <c r="A64" s="140" t="s">
        <v>1029</v>
      </c>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row>
    <row r="65">
      <c r="A65" s="142" t="s">
        <v>1030</v>
      </c>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row>
    <row r="66">
      <c r="A66" s="140" t="s">
        <v>1031</v>
      </c>
      <c r="D66" s="136"/>
      <c r="E66" s="136"/>
      <c r="F66" s="136"/>
      <c r="G66" s="136"/>
      <c r="H66" s="136"/>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row>
    <row r="67">
      <c r="A67" s="140" t="s">
        <v>1032</v>
      </c>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row>
    <row r="68">
      <c r="A68" s="142" t="s">
        <v>1033</v>
      </c>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row>
    <row r="69">
      <c r="A69" s="136" t="s">
        <v>1034</v>
      </c>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row>
    <row r="70">
      <c r="A70" s="139" t="s">
        <v>1035</v>
      </c>
      <c r="B70" s="142"/>
      <c r="C70" s="142"/>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row>
    <row r="71">
      <c r="A71" s="141" t="s">
        <v>1036</v>
      </c>
      <c r="B71" s="142"/>
      <c r="C71" s="142"/>
      <c r="T71" s="133"/>
      <c r="U71" s="133"/>
      <c r="V71" s="133"/>
      <c r="W71" s="133"/>
      <c r="X71" s="133"/>
      <c r="Y71" s="133"/>
      <c r="Z71" s="133"/>
      <c r="AA71" s="133"/>
      <c r="AB71" s="133"/>
      <c r="AC71" s="133"/>
      <c r="AD71" s="133"/>
      <c r="AE71" s="133"/>
      <c r="AF71" s="133"/>
      <c r="AG71" s="133"/>
      <c r="AH71" s="133"/>
    </row>
    <row r="72">
      <c r="A72" s="141" t="s">
        <v>1037</v>
      </c>
      <c r="B72" s="142"/>
      <c r="C72" s="142"/>
      <c r="D72" s="142"/>
      <c r="E72" s="142"/>
      <c r="F72" s="142"/>
      <c r="G72" s="142"/>
      <c r="H72" s="142"/>
      <c r="I72" s="142"/>
      <c r="J72" s="142"/>
      <c r="K72" s="142"/>
      <c r="L72" s="142"/>
      <c r="M72" s="142"/>
      <c r="N72" s="142"/>
      <c r="O72" s="142"/>
      <c r="P72" s="142"/>
      <c r="Q72" s="142"/>
      <c r="R72" s="133"/>
      <c r="S72" s="133"/>
      <c r="T72" s="133"/>
      <c r="U72" s="133"/>
      <c r="V72" s="133"/>
      <c r="W72" s="133"/>
      <c r="X72" s="133"/>
      <c r="Y72" s="133"/>
      <c r="Z72" s="133"/>
      <c r="AA72" s="133"/>
      <c r="AB72" s="133"/>
      <c r="AC72" s="133"/>
      <c r="AD72" s="133"/>
      <c r="AE72" s="133"/>
      <c r="AF72" s="133"/>
      <c r="AG72" s="133"/>
      <c r="AH72" s="133"/>
    </row>
    <row r="73">
      <c r="A73" s="148" t="s">
        <v>1038</v>
      </c>
      <c r="B73" s="142"/>
      <c r="C73" s="142"/>
      <c r="D73" s="138"/>
      <c r="E73" s="138"/>
      <c r="F73" s="138"/>
      <c r="G73" s="138"/>
      <c r="H73" s="138"/>
      <c r="I73" s="138"/>
      <c r="J73" s="136"/>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row>
    <row r="74">
      <c r="A74" s="142" t="s">
        <v>1039</v>
      </c>
      <c r="B74" s="144" t="s">
        <v>963</v>
      </c>
      <c r="C74" s="151"/>
      <c r="E74" s="149" t="s">
        <v>1040</v>
      </c>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row>
    <row r="75">
      <c r="B75" s="138"/>
      <c r="C75" s="138"/>
      <c r="D75" s="133"/>
      <c r="E75" s="133"/>
      <c r="F75" s="133"/>
      <c r="G75" s="141" t="s">
        <v>1041</v>
      </c>
      <c r="H75" s="149" t="s">
        <v>1042</v>
      </c>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row>
    <row r="76">
      <c r="B76" s="142"/>
      <c r="C76" s="142"/>
      <c r="D76" s="133"/>
      <c r="E76" s="133"/>
      <c r="F76" s="133"/>
      <c r="G76" s="142" t="s">
        <v>1043</v>
      </c>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row>
    <row r="77">
      <c r="A77" s="141"/>
      <c r="B77" s="142"/>
      <c r="C77" s="142"/>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row>
    <row r="78">
      <c r="A78" s="142"/>
      <c r="B78" s="142"/>
      <c r="C78" s="142"/>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row>
    <row r="79">
      <c r="A79" s="141"/>
      <c r="B79" s="142"/>
      <c r="C79" s="142"/>
      <c r="D79" s="133"/>
      <c r="E79" s="133"/>
      <c r="F79" s="133"/>
      <c r="G79" s="141" t="s">
        <v>1044</v>
      </c>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row>
    <row r="80">
      <c r="A80" s="152"/>
      <c r="B80" s="142"/>
      <c r="C80" s="142"/>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row>
    <row r="81">
      <c r="B81" s="136"/>
      <c r="C81" s="136"/>
      <c r="D81" s="138"/>
      <c r="E81" s="138"/>
      <c r="F81" s="138"/>
      <c r="G81" s="138"/>
      <c r="H81" s="138"/>
      <c r="I81" s="138"/>
      <c r="J81" s="138"/>
      <c r="K81" s="138"/>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row>
    <row r="82">
      <c r="B82" s="136"/>
      <c r="C82" s="136"/>
      <c r="D82" s="133"/>
      <c r="E82" s="141" t="s">
        <v>1045</v>
      </c>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row>
    <row r="83">
      <c r="A83" s="142"/>
      <c r="D83" s="133"/>
      <c r="E83" s="149" t="s">
        <v>1046</v>
      </c>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row>
    <row r="84">
      <c r="B84" s="142"/>
      <c r="C84" s="142"/>
      <c r="D84" s="133"/>
      <c r="E84" s="149" t="s">
        <v>1047</v>
      </c>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row>
    <row r="85">
      <c r="B85" s="136"/>
      <c r="C85" s="136"/>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row>
    <row r="86">
      <c r="B86" s="136"/>
      <c r="C86" s="136"/>
      <c r="D86" s="133"/>
      <c r="E86" s="141" t="s">
        <v>1048</v>
      </c>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row>
    <row r="87">
      <c r="B87" s="142"/>
      <c r="C87" s="142"/>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row>
    <row r="88">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row>
    <row r="89">
      <c r="D89" s="133"/>
      <c r="F89" s="133"/>
      <c r="G89" s="141" t="s">
        <v>1049</v>
      </c>
      <c r="H89" s="149" t="s">
        <v>1050</v>
      </c>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row>
    <row r="90">
      <c r="B90" s="142"/>
      <c r="C90" s="142"/>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row>
    <row r="91">
      <c r="B91" s="136"/>
      <c r="C91" s="136"/>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row>
    <row r="92">
      <c r="F92" s="133"/>
      <c r="G92" s="133"/>
      <c r="H92" s="149" t="s">
        <v>1051</v>
      </c>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row>
    <row r="93">
      <c r="E93" s="149" t="s">
        <v>1052</v>
      </c>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row>
    <row r="94">
      <c r="E94" s="141" t="s">
        <v>1053</v>
      </c>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row>
    <row r="95">
      <c r="D95" s="133"/>
      <c r="E95" s="149" t="s">
        <v>1054</v>
      </c>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row>
    <row r="96">
      <c r="D96" s="142"/>
      <c r="E96" s="142"/>
      <c r="F96" s="142"/>
      <c r="G96" s="142"/>
      <c r="H96" s="142"/>
      <c r="I96" s="142"/>
      <c r="J96" s="142"/>
      <c r="K96" s="142"/>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row>
    <row r="97">
      <c r="D97" s="142"/>
      <c r="E97" s="142"/>
      <c r="F97" s="142"/>
      <c r="G97" s="142"/>
      <c r="H97" s="142"/>
      <c r="I97" s="142"/>
      <c r="J97" s="142"/>
      <c r="K97" s="142"/>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row>
    <row r="98">
      <c r="B98" s="142"/>
      <c r="C98" s="142"/>
      <c r="D98" s="142"/>
      <c r="E98" s="142"/>
      <c r="F98" s="142"/>
      <c r="G98" s="142"/>
      <c r="H98" s="142"/>
      <c r="I98" s="142"/>
      <c r="J98" s="142"/>
      <c r="K98" s="142"/>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row>
    <row r="99">
      <c r="B99" s="142"/>
      <c r="C99" s="142"/>
      <c r="D99" s="142"/>
      <c r="E99" s="142"/>
      <c r="F99" s="142"/>
      <c r="G99" s="142"/>
      <c r="H99" s="142"/>
      <c r="I99" s="142"/>
      <c r="J99" s="142"/>
      <c r="K99" s="142"/>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row>
    <row r="100">
      <c r="D100" s="142"/>
      <c r="E100" s="142"/>
      <c r="F100" s="142"/>
      <c r="G100" s="142"/>
      <c r="H100" s="142"/>
      <c r="I100" s="142"/>
      <c r="J100" s="142"/>
      <c r="K100" s="142"/>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row>
    <row r="101">
      <c r="D101" s="142"/>
      <c r="E101" s="142"/>
      <c r="F101" s="142"/>
      <c r="G101" s="142"/>
      <c r="H101" s="142"/>
      <c r="I101" s="142"/>
      <c r="J101" s="142"/>
      <c r="K101" s="142"/>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row>
    <row r="102">
      <c r="D102" s="142"/>
      <c r="E102" s="142"/>
      <c r="F102" s="142"/>
      <c r="G102" s="142"/>
      <c r="H102" s="142"/>
      <c r="I102" s="142"/>
      <c r="J102" s="142"/>
      <c r="K102" s="142"/>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row>
    <row r="103">
      <c r="D103" s="142"/>
      <c r="E103" s="142"/>
      <c r="F103" s="142"/>
      <c r="G103" s="142"/>
      <c r="H103" s="141" t="s">
        <v>1055</v>
      </c>
      <c r="I103" s="142"/>
      <c r="J103" s="142"/>
      <c r="K103" s="142"/>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row>
    <row r="104">
      <c r="D104" s="138"/>
      <c r="E104" s="138"/>
      <c r="F104" s="138"/>
      <c r="G104" s="138"/>
      <c r="H104" s="138"/>
      <c r="I104" s="136"/>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row>
    <row r="105">
      <c r="D105" s="138"/>
      <c r="E105" s="138"/>
      <c r="F105" s="138"/>
      <c r="G105" s="138"/>
      <c r="H105" s="138"/>
      <c r="I105" s="138"/>
      <c r="J105" s="138"/>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row>
    <row r="106">
      <c r="B106" s="142"/>
      <c r="C106" s="142"/>
      <c r="D106" s="138"/>
      <c r="E106" s="141" t="s">
        <v>1056</v>
      </c>
      <c r="F106" s="138"/>
      <c r="G106" s="138"/>
      <c r="H106" s="138"/>
      <c r="I106" s="138"/>
      <c r="J106" s="138"/>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row>
    <row r="107">
      <c r="D107" s="138"/>
      <c r="E107" s="138"/>
      <c r="F107" s="138"/>
      <c r="G107" s="138"/>
      <c r="H107" s="138"/>
      <c r="I107" s="138"/>
      <c r="J107" s="138"/>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row>
    <row r="108">
      <c r="D108" s="138"/>
      <c r="E108" s="138"/>
      <c r="F108" s="138"/>
      <c r="G108" s="138"/>
      <c r="H108" s="138"/>
      <c r="I108" s="138"/>
      <c r="J108" s="138"/>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row>
    <row r="109">
      <c r="D109" s="138"/>
      <c r="E109" s="138"/>
      <c r="F109" s="138"/>
      <c r="G109" s="138"/>
      <c r="H109" s="138"/>
      <c r="I109" s="138"/>
      <c r="J109" s="138"/>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row>
    <row r="110">
      <c r="D110" s="138"/>
      <c r="E110" s="138"/>
      <c r="F110" s="138"/>
      <c r="G110" s="138"/>
      <c r="H110" s="138"/>
      <c r="I110" s="138"/>
      <c r="J110" s="138"/>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row>
    <row r="111">
      <c r="D111" s="136"/>
      <c r="E111" s="149" t="s">
        <v>1057</v>
      </c>
      <c r="F111" s="136"/>
      <c r="G111" s="136"/>
      <c r="H111" s="136"/>
      <c r="I111" s="136"/>
      <c r="J111" s="136"/>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row>
    <row r="112">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row>
    <row r="11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row>
    <row r="114">
      <c r="D114" s="133"/>
      <c r="E114" s="141" t="s">
        <v>1058</v>
      </c>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c r="AE114" s="133"/>
      <c r="AF114" s="133"/>
      <c r="AG114" s="133"/>
      <c r="AH114" s="133"/>
    </row>
    <row r="115">
      <c r="D115" s="133"/>
      <c r="E115" s="141" t="s">
        <v>1059</v>
      </c>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row>
    <row r="116">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c r="AC116" s="133"/>
      <c r="AD116" s="133"/>
      <c r="AE116" s="133"/>
      <c r="AF116" s="133"/>
      <c r="AG116" s="133"/>
      <c r="AH116" s="133"/>
    </row>
    <row r="117">
      <c r="D117" s="133"/>
      <c r="E117" s="148" t="s">
        <v>1060</v>
      </c>
      <c r="F117" s="133"/>
      <c r="G117" s="133"/>
      <c r="H117" s="133"/>
      <c r="I117" s="141" t="s">
        <v>1061</v>
      </c>
      <c r="J117" s="133"/>
      <c r="K117" s="133"/>
      <c r="L117" s="133"/>
      <c r="M117" s="133"/>
      <c r="N117" s="133"/>
      <c r="O117" s="133"/>
      <c r="P117" s="133"/>
      <c r="Q117" s="133"/>
      <c r="R117" s="133"/>
      <c r="S117" s="133"/>
      <c r="T117" s="133"/>
      <c r="U117" s="133"/>
      <c r="V117" s="133"/>
      <c r="W117" s="133"/>
      <c r="X117" s="133"/>
      <c r="Y117" s="133"/>
      <c r="Z117" s="133"/>
      <c r="AA117" s="133"/>
      <c r="AB117" s="133"/>
      <c r="AC117" s="133"/>
      <c r="AD117" s="133"/>
      <c r="AE117" s="133"/>
      <c r="AF117" s="133"/>
      <c r="AG117" s="133"/>
      <c r="AH117" s="133"/>
    </row>
    <row r="118">
      <c r="D118" s="133"/>
      <c r="E118" s="133"/>
      <c r="F118" s="133"/>
      <c r="G118" s="133"/>
      <c r="H118" s="133"/>
      <c r="I118" s="149" t="s">
        <v>1062</v>
      </c>
      <c r="J118" s="133"/>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c r="AG118" s="133"/>
      <c r="AH118" s="133"/>
    </row>
    <row r="119">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row>
    <row r="120">
      <c r="D120" s="133"/>
      <c r="E120" s="133"/>
      <c r="F120" s="133"/>
      <c r="G120" s="149" t="s">
        <v>1063</v>
      </c>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row>
    <row r="121">
      <c r="D121" s="133"/>
      <c r="E121" s="133"/>
      <c r="F121" s="133"/>
      <c r="G121" s="149" t="s">
        <v>1064</v>
      </c>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row>
    <row r="122">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row>
    <row r="123">
      <c r="B123" s="136"/>
      <c r="C123" s="136"/>
      <c r="D123" s="133"/>
      <c r="E123" s="133"/>
      <c r="F123" s="133"/>
      <c r="G123" s="141" t="s">
        <v>1065</v>
      </c>
      <c r="H123" s="133"/>
      <c r="I123" s="133"/>
      <c r="J123" s="133"/>
      <c r="K123" s="133"/>
      <c r="L123" s="133"/>
      <c r="M123" s="133"/>
      <c r="N123" s="133"/>
      <c r="O123" s="133"/>
      <c r="P123" s="133"/>
      <c r="Q123" s="133"/>
      <c r="R123" s="133"/>
      <c r="S123" s="133"/>
      <c r="T123" s="133"/>
      <c r="U123" s="133"/>
      <c r="V123" s="133"/>
      <c r="W123" s="133"/>
      <c r="X123" s="133"/>
      <c r="Y123" s="133"/>
      <c r="Z123" s="133"/>
      <c r="AA123" s="133"/>
      <c r="AB123" s="133"/>
      <c r="AC123" s="133"/>
      <c r="AD123" s="133"/>
      <c r="AE123" s="133"/>
      <c r="AF123" s="133"/>
      <c r="AG123" s="133"/>
      <c r="AH123" s="133"/>
    </row>
    <row r="124">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c r="AB124" s="133"/>
      <c r="AC124" s="133"/>
      <c r="AD124" s="133"/>
      <c r="AE124" s="133"/>
      <c r="AF124" s="133"/>
      <c r="AG124" s="133"/>
      <c r="AH124" s="133"/>
    </row>
    <row r="125">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c r="AB125" s="133"/>
      <c r="AC125" s="133"/>
      <c r="AD125" s="133"/>
      <c r="AE125" s="133"/>
      <c r="AF125" s="133"/>
      <c r="AG125" s="133"/>
      <c r="AH125" s="133"/>
    </row>
    <row r="126">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row>
    <row r="127">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c r="AA127" s="133"/>
      <c r="AB127" s="133"/>
      <c r="AC127" s="133"/>
      <c r="AD127" s="133"/>
      <c r="AE127" s="133"/>
      <c r="AF127" s="133"/>
      <c r="AG127" s="133"/>
      <c r="AH127" s="133"/>
    </row>
    <row r="128">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c r="AB128" s="133"/>
      <c r="AC128" s="133"/>
      <c r="AD128" s="133"/>
      <c r="AE128" s="133"/>
      <c r="AF128" s="133"/>
      <c r="AG128" s="133"/>
      <c r="AH128" s="133"/>
    </row>
    <row r="129">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c r="AA129" s="133"/>
      <c r="AB129" s="133"/>
      <c r="AC129" s="133"/>
      <c r="AD129" s="133"/>
      <c r="AE129" s="133"/>
      <c r="AF129" s="133"/>
      <c r="AG129" s="133"/>
      <c r="AH129" s="133"/>
    </row>
    <row r="130">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c r="AC130" s="133"/>
      <c r="AD130" s="133"/>
      <c r="AE130" s="133"/>
      <c r="AF130" s="133"/>
      <c r="AG130" s="133"/>
      <c r="AH130" s="133"/>
    </row>
    <row r="131">
      <c r="D131" s="133"/>
      <c r="E131" s="133"/>
      <c r="F131" s="133"/>
      <c r="G131" s="141" t="s">
        <v>1066</v>
      </c>
      <c r="H131" s="133"/>
      <c r="I131" s="133"/>
      <c r="J131" s="133"/>
      <c r="K131" s="133"/>
      <c r="L131" s="133"/>
      <c r="M131" s="133"/>
      <c r="N131" s="133"/>
      <c r="O131" s="133"/>
      <c r="P131" s="133"/>
      <c r="Q131" s="133"/>
      <c r="R131" s="133"/>
      <c r="S131" s="133"/>
      <c r="T131" s="133"/>
      <c r="U131" s="133"/>
      <c r="V131" s="133"/>
      <c r="W131" s="133"/>
      <c r="X131" s="133"/>
      <c r="Y131" s="133"/>
      <c r="Z131" s="133"/>
      <c r="AA131" s="133"/>
      <c r="AB131" s="133"/>
      <c r="AC131" s="133"/>
      <c r="AD131" s="133"/>
      <c r="AE131" s="133"/>
      <c r="AF131" s="133"/>
      <c r="AG131" s="133"/>
      <c r="AH131" s="133"/>
    </row>
    <row r="132">
      <c r="D132" s="133"/>
      <c r="E132" s="133"/>
      <c r="F132" s="133"/>
      <c r="G132" s="141" t="s">
        <v>1067</v>
      </c>
      <c r="H132" s="133"/>
      <c r="I132" s="133"/>
      <c r="J132" s="133"/>
      <c r="K132" s="133"/>
      <c r="L132" s="133"/>
      <c r="M132" s="133"/>
      <c r="N132" s="133"/>
      <c r="O132" s="133"/>
      <c r="P132" s="133"/>
      <c r="Q132" s="133"/>
      <c r="R132" s="133"/>
      <c r="S132" s="133"/>
      <c r="T132" s="133"/>
      <c r="U132" s="133"/>
      <c r="V132" s="133"/>
      <c r="W132" s="133"/>
      <c r="X132" s="133"/>
      <c r="Y132" s="133"/>
      <c r="Z132" s="133"/>
      <c r="AA132" s="133"/>
      <c r="AB132" s="133"/>
      <c r="AC132" s="133"/>
      <c r="AD132" s="133"/>
      <c r="AE132" s="133"/>
      <c r="AF132" s="133"/>
      <c r="AG132" s="133"/>
      <c r="AH132" s="133"/>
    </row>
    <row r="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c r="AA133" s="133"/>
      <c r="AB133" s="133"/>
      <c r="AC133" s="133"/>
      <c r="AD133" s="133"/>
      <c r="AE133" s="133"/>
      <c r="AF133" s="133"/>
      <c r="AG133" s="133"/>
      <c r="AH133" s="133"/>
    </row>
    <row r="134">
      <c r="AG134" s="133"/>
      <c r="AH134" s="133"/>
    </row>
    <row r="135">
      <c r="AG135" s="133"/>
      <c r="AH135" s="133"/>
    </row>
    <row r="136">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row>
    <row r="137">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c r="AG137" s="133"/>
      <c r="AH137" s="133"/>
    </row>
    <row r="138">
      <c r="D138" s="133"/>
      <c r="E138" s="141" t="s">
        <v>1068</v>
      </c>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row>
    <row r="139">
      <c r="D139" s="133"/>
      <c r="E139" s="149" t="s">
        <v>1069</v>
      </c>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row>
    <row r="140">
      <c r="D140" s="133"/>
      <c r="E140" s="149" t="s">
        <v>1070</v>
      </c>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row>
    <row r="141">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row>
    <row r="142">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c r="AC142" s="133"/>
      <c r="AD142" s="133"/>
      <c r="AE142" s="133"/>
      <c r="AF142" s="133"/>
      <c r="AG142" s="133"/>
      <c r="AH142" s="133"/>
    </row>
    <row r="14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row>
    <row r="144">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row>
    <row r="145">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row>
    <row r="146">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c r="AG146" s="133"/>
      <c r="AH146" s="133"/>
    </row>
    <row r="147">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row>
    <row r="148">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row>
    <row r="149">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row>
    <row r="150">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row>
    <row r="151">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33"/>
      <c r="AC151" s="133"/>
      <c r="AD151" s="133"/>
      <c r="AE151" s="133"/>
      <c r="AF151" s="133"/>
      <c r="AG151" s="133"/>
      <c r="AH151" s="133"/>
    </row>
    <row r="152">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c r="AC152" s="133"/>
      <c r="AD152" s="133"/>
      <c r="AE152" s="133"/>
      <c r="AF152" s="133"/>
      <c r="AG152" s="133"/>
      <c r="AH152" s="133"/>
    </row>
    <row r="153">
      <c r="H153" s="133"/>
      <c r="I153" s="133"/>
      <c r="J153" s="133"/>
      <c r="K153" s="133"/>
      <c r="L153" s="133"/>
      <c r="M153" s="133"/>
      <c r="N153" s="133"/>
      <c r="O153" s="133"/>
      <c r="P153" s="133"/>
      <c r="Q153" s="133"/>
      <c r="R153" s="133"/>
      <c r="S153" s="133"/>
      <c r="T153" s="133"/>
      <c r="U153" s="133"/>
      <c r="V153" s="133"/>
      <c r="W153" s="133"/>
      <c r="X153" s="133"/>
      <c r="Y153" s="133"/>
      <c r="Z153" s="133"/>
      <c r="AA153" s="133"/>
      <c r="AB153" s="133"/>
      <c r="AC153" s="133"/>
      <c r="AD153" s="133"/>
      <c r="AE153" s="133"/>
      <c r="AF153" s="133"/>
      <c r="AG153" s="133"/>
      <c r="AH153" s="133"/>
    </row>
    <row r="154">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c r="AC154" s="133"/>
      <c r="AD154" s="133"/>
      <c r="AE154" s="133"/>
      <c r="AF154" s="133"/>
      <c r="AG154" s="133"/>
      <c r="AH154" s="133"/>
    </row>
    <row r="155">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c r="AB155" s="133"/>
      <c r="AC155" s="133"/>
      <c r="AD155" s="133"/>
      <c r="AE155" s="133"/>
      <c r="AF155" s="133"/>
      <c r="AG155" s="133"/>
      <c r="AH155" s="133"/>
    </row>
    <row r="156">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c r="AE156" s="133"/>
      <c r="AF156" s="133"/>
      <c r="AG156" s="133"/>
      <c r="AH156" s="133"/>
    </row>
    <row r="157">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row>
    <row r="158">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c r="AB158" s="133"/>
      <c r="AC158" s="133"/>
      <c r="AD158" s="133"/>
      <c r="AE158" s="133"/>
      <c r="AF158" s="133"/>
      <c r="AG158" s="133"/>
      <c r="AH158" s="133"/>
    </row>
    <row r="159">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c r="AE159" s="133"/>
      <c r="AF159" s="133"/>
      <c r="AG159" s="133"/>
      <c r="AH159" s="133"/>
    </row>
    <row r="160">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c r="AB160" s="133"/>
      <c r="AC160" s="133"/>
      <c r="AD160" s="133"/>
      <c r="AE160" s="133"/>
      <c r="AF160" s="133"/>
      <c r="AG160" s="133"/>
      <c r="AH160" s="133"/>
    </row>
    <row r="161">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row>
    <row r="162">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row>
    <row r="16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c r="AA163" s="133"/>
      <c r="AB163" s="133"/>
      <c r="AC163" s="133"/>
      <c r="AD163" s="133"/>
      <c r="AE163" s="133"/>
      <c r="AF163" s="133"/>
      <c r="AG163" s="133"/>
      <c r="AH163" s="133"/>
    </row>
    <row r="164">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row>
    <row r="165">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c r="AB165" s="133"/>
      <c r="AC165" s="133"/>
      <c r="AD165" s="133"/>
      <c r="AE165" s="133"/>
      <c r="AF165" s="133"/>
      <c r="AG165" s="133"/>
      <c r="AH165" s="133"/>
    </row>
    <row r="166">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row>
    <row r="167">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c r="AB167" s="133"/>
      <c r="AC167" s="133"/>
      <c r="AD167" s="133"/>
      <c r="AE167" s="133"/>
      <c r="AF167" s="133"/>
      <c r="AG167" s="133"/>
      <c r="AH167" s="133"/>
    </row>
    <row r="168">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c r="AA168" s="133"/>
      <c r="AB168" s="133"/>
      <c r="AC168" s="133"/>
      <c r="AD168" s="133"/>
      <c r="AE168" s="133"/>
      <c r="AF168" s="133"/>
      <c r="AG168" s="133"/>
      <c r="AH168" s="133"/>
    </row>
    <row r="169">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row>
    <row r="170">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c r="AA170" s="133"/>
      <c r="AB170" s="133"/>
      <c r="AC170" s="133"/>
      <c r="AD170" s="133"/>
      <c r="AE170" s="133"/>
      <c r="AF170" s="133"/>
      <c r="AG170" s="133"/>
      <c r="AH170" s="133"/>
    </row>
    <row r="171">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c r="AB171" s="133"/>
      <c r="AC171" s="133"/>
      <c r="AD171" s="133"/>
      <c r="AE171" s="133"/>
      <c r="AF171" s="133"/>
      <c r="AG171" s="133"/>
      <c r="AH171" s="133"/>
    </row>
    <row r="172">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c r="AB172" s="133"/>
      <c r="AC172" s="133"/>
      <c r="AD172" s="133"/>
      <c r="AE172" s="133"/>
      <c r="AF172" s="133"/>
      <c r="AG172" s="133"/>
      <c r="AH172" s="133"/>
    </row>
    <row r="17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c r="AC173" s="133"/>
      <c r="AD173" s="133"/>
      <c r="AE173" s="133"/>
      <c r="AF173" s="133"/>
      <c r="AG173" s="133"/>
      <c r="AH173" s="133"/>
    </row>
    <row r="174">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row>
    <row r="175">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c r="AB175" s="133"/>
      <c r="AC175" s="133"/>
      <c r="AD175" s="133"/>
      <c r="AE175" s="133"/>
      <c r="AF175" s="133"/>
      <c r="AG175" s="133"/>
      <c r="AH175" s="133"/>
    </row>
    <row r="176">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c r="AE176" s="133"/>
      <c r="AF176" s="133"/>
      <c r="AG176" s="133"/>
      <c r="AH176" s="133"/>
    </row>
    <row r="177">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c r="AB177" s="133"/>
      <c r="AC177" s="133"/>
      <c r="AD177" s="133"/>
      <c r="AE177" s="133"/>
      <c r="AF177" s="133"/>
      <c r="AG177" s="133"/>
      <c r="AH177" s="133"/>
    </row>
    <row r="178">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c r="AB178" s="133"/>
      <c r="AC178" s="133"/>
      <c r="AD178" s="133"/>
      <c r="AE178" s="133"/>
      <c r="AF178" s="133"/>
      <c r="AG178" s="133"/>
      <c r="AH178" s="133"/>
    </row>
    <row r="179">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row>
    <row r="180">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c r="AB180" s="133"/>
      <c r="AC180" s="133"/>
      <c r="AD180" s="133"/>
      <c r="AE180" s="133"/>
      <c r="AF180" s="133"/>
      <c r="AG180" s="133"/>
      <c r="AH180" s="133"/>
    </row>
    <row r="181">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c r="AC181" s="133"/>
      <c r="AD181" s="133"/>
      <c r="AE181" s="133"/>
      <c r="AF181" s="133"/>
      <c r="AG181" s="133"/>
      <c r="AH181" s="133"/>
    </row>
    <row r="182">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c r="AC182" s="133"/>
      <c r="AD182" s="133"/>
      <c r="AE182" s="133"/>
      <c r="AF182" s="133"/>
      <c r="AG182" s="133"/>
      <c r="AH182" s="133"/>
    </row>
    <row r="18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c r="AB183" s="133"/>
      <c r="AC183" s="133"/>
      <c r="AD183" s="133"/>
      <c r="AE183" s="133"/>
      <c r="AF183" s="133"/>
      <c r="AG183" s="133"/>
      <c r="AH183" s="133"/>
    </row>
    <row r="184">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row>
    <row r="185">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c r="AB185" s="133"/>
      <c r="AC185" s="133"/>
      <c r="AD185" s="133"/>
      <c r="AE185" s="133"/>
      <c r="AF185" s="133"/>
      <c r="AG185" s="133"/>
      <c r="AH185" s="133"/>
    </row>
    <row r="186">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c r="AB186" s="133"/>
      <c r="AC186" s="133"/>
      <c r="AD186" s="133"/>
      <c r="AE186" s="133"/>
      <c r="AF186" s="133"/>
      <c r="AG186" s="133"/>
      <c r="AH186" s="133"/>
    </row>
    <row r="187">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c r="AB187" s="133"/>
      <c r="AC187" s="133"/>
      <c r="AD187" s="133"/>
      <c r="AE187" s="133"/>
      <c r="AF187" s="133"/>
      <c r="AG187" s="133"/>
      <c r="AH187" s="133"/>
    </row>
    <row r="188">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c r="AB188" s="133"/>
      <c r="AC188" s="133"/>
      <c r="AD188" s="133"/>
      <c r="AE188" s="133"/>
      <c r="AF188" s="133"/>
      <c r="AG188" s="133"/>
      <c r="AH188" s="133"/>
    </row>
    <row r="189">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c r="AB189" s="133"/>
      <c r="AC189" s="133"/>
      <c r="AD189" s="133"/>
      <c r="AE189" s="133"/>
      <c r="AF189" s="133"/>
      <c r="AG189" s="133"/>
      <c r="AH189" s="133"/>
    </row>
    <row r="190">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row>
    <row r="191">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c r="AB191" s="133"/>
      <c r="AC191" s="133"/>
      <c r="AD191" s="133"/>
      <c r="AE191" s="133"/>
      <c r="AF191" s="133"/>
      <c r="AG191" s="133"/>
      <c r="AH191" s="133"/>
    </row>
    <row r="192">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c r="AB192" s="133"/>
      <c r="AC192" s="133"/>
      <c r="AD192" s="133"/>
      <c r="AE192" s="133"/>
      <c r="AF192" s="133"/>
      <c r="AG192" s="133"/>
      <c r="AH192" s="133"/>
    </row>
    <row r="19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c r="AB193" s="133"/>
      <c r="AC193" s="133"/>
      <c r="AD193" s="133"/>
      <c r="AE193" s="133"/>
      <c r="AF193" s="133"/>
      <c r="AG193" s="133"/>
      <c r="AH193" s="133"/>
    </row>
    <row r="194">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c r="AB194" s="133"/>
      <c r="AC194" s="133"/>
      <c r="AD194" s="133"/>
      <c r="AE194" s="133"/>
      <c r="AF194" s="133"/>
      <c r="AG194" s="133"/>
      <c r="AH194" s="133"/>
    </row>
    <row r="195">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c r="AB195" s="133"/>
      <c r="AC195" s="133"/>
      <c r="AD195" s="133"/>
      <c r="AE195" s="133"/>
      <c r="AF195" s="133"/>
      <c r="AG195" s="133"/>
      <c r="AH195" s="133"/>
    </row>
    <row r="196">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c r="AB196" s="133"/>
      <c r="AC196" s="133"/>
      <c r="AD196" s="133"/>
      <c r="AE196" s="133"/>
      <c r="AF196" s="133"/>
      <c r="AG196" s="133"/>
      <c r="AH196" s="133"/>
    </row>
    <row r="197">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c r="AB197" s="133"/>
      <c r="AC197" s="133"/>
      <c r="AD197" s="133"/>
      <c r="AE197" s="133"/>
      <c r="AF197" s="133"/>
      <c r="AG197" s="133"/>
      <c r="AH197" s="133"/>
    </row>
    <row r="198">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c r="AB198" s="133"/>
      <c r="AC198" s="133"/>
      <c r="AD198" s="133"/>
      <c r="AE198" s="133"/>
      <c r="AF198" s="133"/>
      <c r="AG198" s="133"/>
      <c r="AH198" s="133"/>
    </row>
    <row r="199">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c r="AB199" s="133"/>
      <c r="AC199" s="133"/>
      <c r="AD199" s="133"/>
      <c r="AE199" s="133"/>
      <c r="AF199" s="133"/>
      <c r="AG199" s="133"/>
      <c r="AH199" s="133"/>
    </row>
    <row r="200">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c r="AB200" s="133"/>
      <c r="AC200" s="133"/>
      <c r="AD200" s="133"/>
      <c r="AE200" s="133"/>
      <c r="AF200" s="133"/>
      <c r="AG200" s="133"/>
      <c r="AH200" s="133"/>
    </row>
    <row r="201">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c r="AC201" s="133"/>
      <c r="AD201" s="133"/>
      <c r="AE201" s="133"/>
      <c r="AF201" s="133"/>
      <c r="AG201" s="133"/>
      <c r="AH201" s="133"/>
    </row>
    <row r="202">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row>
    <row r="20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c r="AC203" s="133"/>
      <c r="AD203" s="133"/>
      <c r="AE203" s="133"/>
      <c r="AF203" s="133"/>
      <c r="AG203" s="133"/>
      <c r="AH203" s="133"/>
    </row>
    <row r="204">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c r="AE204" s="133"/>
      <c r="AF204" s="133"/>
      <c r="AG204" s="133"/>
      <c r="AH204" s="133"/>
    </row>
    <row r="205">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c r="AC205" s="133"/>
      <c r="AD205" s="133"/>
      <c r="AE205" s="133"/>
      <c r="AF205" s="133"/>
      <c r="AG205" s="133"/>
      <c r="AH205" s="133"/>
    </row>
    <row r="206">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c r="AE206" s="133"/>
      <c r="AF206" s="133"/>
      <c r="AG206" s="133"/>
      <c r="AH206" s="133"/>
    </row>
    <row r="207">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3"/>
    </row>
    <row r="208">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row>
    <row r="209">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c r="AC209" s="133"/>
      <c r="AD209" s="133"/>
      <c r="AE209" s="133"/>
      <c r="AF209" s="133"/>
      <c r="AG209" s="133"/>
      <c r="AH209" s="133"/>
    </row>
    <row r="210">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c r="AE210" s="133"/>
      <c r="AF210" s="133"/>
      <c r="AG210" s="133"/>
      <c r="AH210" s="133"/>
    </row>
    <row r="211">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row>
    <row r="212">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row>
    <row r="21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row>
    <row r="214">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row>
    <row r="215">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row>
    <row r="216">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row>
    <row r="217">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row>
    <row r="218">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row>
    <row r="219">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row>
    <row r="220">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row>
    <row r="221">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row>
    <row r="222">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row>
    <row r="22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row>
    <row r="224">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row>
    <row r="225">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row>
    <row r="226">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row>
    <row r="227">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row>
    <row r="228">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row>
    <row r="229">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c r="AG229" s="133"/>
      <c r="AH229" s="133"/>
    </row>
    <row r="230">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c r="AG230" s="133"/>
      <c r="AH230" s="133"/>
    </row>
    <row r="231">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c r="AG231" s="133"/>
      <c r="AH231" s="133"/>
    </row>
    <row r="232">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c r="AG232" s="133"/>
      <c r="AH232" s="133"/>
    </row>
    <row r="2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row>
    <row r="234">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c r="AG234" s="133"/>
      <c r="AH234" s="133"/>
    </row>
    <row r="235">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c r="AG235" s="133"/>
      <c r="AH235" s="133"/>
    </row>
    <row r="236">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c r="AG236" s="133"/>
      <c r="AH236" s="133"/>
    </row>
    <row r="237">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c r="AG237" s="133"/>
      <c r="AH237" s="133"/>
    </row>
    <row r="238">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c r="AG238" s="133"/>
      <c r="AH238" s="133"/>
    </row>
    <row r="239">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row>
    <row r="240">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c r="AG240" s="133"/>
      <c r="AH240" s="133"/>
    </row>
    <row r="241">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c r="AG241" s="133"/>
      <c r="AH241" s="133"/>
    </row>
    <row r="242">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c r="AG242" s="133"/>
      <c r="AH242" s="133"/>
    </row>
    <row r="24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c r="AG243" s="133"/>
      <c r="AH243" s="133"/>
    </row>
    <row r="244">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c r="AG244" s="133"/>
      <c r="AH244" s="133"/>
    </row>
    <row r="245">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row>
    <row r="246">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row>
    <row r="247">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c r="AG247" s="133"/>
      <c r="AH247" s="133"/>
    </row>
    <row r="248">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c r="AG248" s="133"/>
      <c r="AH248" s="133"/>
    </row>
    <row r="249">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c r="AG249" s="133"/>
      <c r="AH249" s="133"/>
    </row>
    <row r="250">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c r="AE250" s="133"/>
      <c r="AF250" s="133"/>
      <c r="AG250" s="133"/>
      <c r="AH250" s="133"/>
    </row>
    <row r="251">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c r="AE251" s="133"/>
      <c r="AF251" s="133"/>
      <c r="AG251" s="133"/>
      <c r="AH251" s="133"/>
    </row>
    <row r="252">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c r="AG252" s="133"/>
      <c r="AH252" s="133"/>
    </row>
    <row r="25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c r="AG253" s="133"/>
      <c r="AH253" s="133"/>
    </row>
    <row r="254">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c r="AG254" s="133"/>
      <c r="AH254" s="133"/>
    </row>
    <row r="255">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133"/>
      <c r="AH255" s="133"/>
    </row>
    <row r="256">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133"/>
      <c r="AH256" s="133"/>
    </row>
    <row r="257">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133"/>
      <c r="AH257" s="133"/>
    </row>
    <row r="258">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133"/>
      <c r="AH258" s="133"/>
    </row>
    <row r="259">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133"/>
      <c r="AH259" s="133"/>
    </row>
    <row r="260">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c r="AG260" s="133"/>
      <c r="AH260" s="133"/>
    </row>
    <row r="261">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c r="AG261" s="133"/>
      <c r="AH261" s="133"/>
    </row>
    <row r="262">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c r="AG262" s="133"/>
      <c r="AH262" s="133"/>
    </row>
    <row r="26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133"/>
      <c r="AH263" s="133"/>
    </row>
    <row r="264">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c r="AG264" s="133"/>
      <c r="AH264" s="133"/>
    </row>
    <row r="265">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c r="AE265" s="133"/>
      <c r="AF265" s="133"/>
      <c r="AG265" s="133"/>
      <c r="AH265" s="133"/>
    </row>
    <row r="266">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c r="AE266" s="133"/>
      <c r="AF266" s="133"/>
      <c r="AG266" s="133"/>
      <c r="AH266" s="133"/>
    </row>
    <row r="267">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c r="AE267" s="133"/>
      <c r="AF267" s="133"/>
      <c r="AG267" s="133"/>
      <c r="AH267" s="133"/>
    </row>
    <row r="268">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c r="AE268" s="133"/>
      <c r="AF268" s="133"/>
      <c r="AG268" s="133"/>
      <c r="AH268" s="133"/>
    </row>
    <row r="269">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c r="AE269" s="133"/>
      <c r="AF269" s="133"/>
      <c r="AG269" s="133"/>
      <c r="AH269" s="133"/>
    </row>
    <row r="270">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c r="AE270" s="133"/>
      <c r="AF270" s="133"/>
      <c r="AG270" s="133"/>
      <c r="AH270" s="133"/>
    </row>
    <row r="271">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c r="AG271" s="133"/>
      <c r="AH271" s="133"/>
    </row>
    <row r="272">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c r="AG272" s="133"/>
      <c r="AH272" s="133"/>
    </row>
    <row r="27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c r="AG273" s="133"/>
      <c r="AH273" s="133"/>
    </row>
    <row r="274">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c r="AG274" s="133"/>
      <c r="AH274" s="133"/>
    </row>
    <row r="275">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c r="AG275" s="133"/>
      <c r="AH275" s="133"/>
    </row>
    <row r="276">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c r="AG276" s="133"/>
      <c r="AH276" s="133"/>
    </row>
    <row r="277">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row>
    <row r="278">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c r="AE278" s="133"/>
      <c r="AF278" s="133"/>
      <c r="AG278" s="133"/>
      <c r="AH278" s="133"/>
    </row>
    <row r="279">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c r="AE279" s="133"/>
      <c r="AF279" s="133"/>
      <c r="AG279" s="133"/>
      <c r="AH279" s="133"/>
    </row>
    <row r="280">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c r="AG280" s="133"/>
      <c r="AH280" s="133"/>
    </row>
    <row r="281">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c r="AE281" s="133"/>
      <c r="AF281" s="133"/>
      <c r="AG281" s="133"/>
      <c r="AH281" s="133"/>
    </row>
    <row r="282">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c r="AG282" s="133"/>
      <c r="AH282" s="133"/>
    </row>
    <row r="28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133"/>
      <c r="AH283" s="133"/>
    </row>
    <row r="284">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row>
    <row r="285">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133"/>
      <c r="AH285" s="133"/>
    </row>
    <row r="286">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133"/>
      <c r="AH286" s="133"/>
    </row>
    <row r="287">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c r="AG287" s="133"/>
      <c r="AH287" s="133"/>
    </row>
    <row r="288">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c r="AG288" s="133"/>
      <c r="AH288" s="133"/>
    </row>
    <row r="289">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c r="AG289" s="133"/>
      <c r="AH289" s="133"/>
    </row>
    <row r="290">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row>
    <row r="291">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c r="AG291" s="133"/>
      <c r="AH291" s="133"/>
    </row>
    <row r="292">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c r="AG292" s="133"/>
      <c r="AH292" s="133"/>
    </row>
    <row r="29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c r="AG293" s="133"/>
      <c r="AH293" s="133"/>
    </row>
    <row r="294">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c r="AE294" s="133"/>
      <c r="AF294" s="133"/>
      <c r="AG294" s="133"/>
      <c r="AH294" s="133"/>
    </row>
    <row r="295">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c r="AG295" s="133"/>
      <c r="AH295" s="133"/>
    </row>
    <row r="296">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row>
    <row r="297">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c r="AG297" s="133"/>
      <c r="AH297" s="133"/>
    </row>
    <row r="298">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c r="AG298" s="133"/>
      <c r="AH298" s="133"/>
    </row>
    <row r="299">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133"/>
      <c r="AH299" s="133"/>
    </row>
    <row r="300">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c r="AG300" s="133"/>
      <c r="AH300" s="133"/>
    </row>
    <row r="301">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c r="AG301" s="133"/>
      <c r="AH301" s="133"/>
    </row>
    <row r="302">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row>
    <row r="30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c r="AG303" s="133"/>
      <c r="AH303" s="133"/>
    </row>
    <row r="304">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c r="AE304" s="133"/>
      <c r="AF304" s="133"/>
      <c r="AG304" s="133"/>
      <c r="AH304" s="133"/>
    </row>
    <row r="305">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c r="AE305" s="133"/>
      <c r="AF305" s="133"/>
      <c r="AG305" s="133"/>
      <c r="AH305" s="133"/>
    </row>
    <row r="306">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c r="AG306" s="133"/>
      <c r="AH306" s="133"/>
    </row>
    <row r="307">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c r="AG307" s="133"/>
      <c r="AH307" s="133"/>
    </row>
    <row r="308">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row>
    <row r="309">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c r="AE309" s="133"/>
      <c r="AF309" s="133"/>
      <c r="AG309" s="133"/>
      <c r="AH309" s="133"/>
    </row>
    <row r="310">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c r="AE310" s="133"/>
      <c r="AF310" s="133"/>
      <c r="AG310" s="133"/>
      <c r="AH310" s="133"/>
    </row>
    <row r="311">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c r="AE311" s="133"/>
      <c r="AF311" s="133"/>
      <c r="AG311" s="133"/>
      <c r="AH311" s="133"/>
    </row>
    <row r="312">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c r="AE312" s="133"/>
      <c r="AF312" s="133"/>
      <c r="AG312" s="133"/>
      <c r="AH312" s="133"/>
    </row>
    <row r="31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c r="AG313" s="133"/>
      <c r="AH313" s="133"/>
    </row>
    <row r="314">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row>
    <row r="315">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133"/>
      <c r="AH315" s="133"/>
    </row>
    <row r="316">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c r="AG316" s="133"/>
      <c r="AH316" s="133"/>
    </row>
    <row r="317">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c r="AG317" s="133"/>
      <c r="AH317" s="133"/>
    </row>
    <row r="318">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c r="AE318" s="133"/>
      <c r="AF318" s="133"/>
      <c r="AG318" s="133"/>
      <c r="AH318" s="133"/>
    </row>
    <row r="319">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c r="AE319" s="133"/>
      <c r="AF319" s="133"/>
      <c r="AG319" s="133"/>
      <c r="AH319" s="133"/>
    </row>
    <row r="320">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row>
    <row r="321">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c r="AG321" s="133"/>
      <c r="AH321" s="133"/>
    </row>
    <row r="322">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c r="AG322" s="133"/>
      <c r="AH322" s="133"/>
    </row>
    <row r="32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c r="AG323" s="133"/>
      <c r="AH323" s="133"/>
    </row>
    <row r="324">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c r="AG324" s="133"/>
      <c r="AH324" s="133"/>
    </row>
    <row r="325">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c r="AG325" s="133"/>
      <c r="AH325" s="133"/>
    </row>
    <row r="326">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row>
    <row r="327">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3"/>
    </row>
    <row r="328">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3"/>
    </row>
    <row r="329">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3"/>
    </row>
    <row r="330">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c r="AG330" s="133"/>
      <c r="AH330" s="133"/>
    </row>
    <row r="331">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c r="AG331" s="133"/>
      <c r="AH331" s="133"/>
    </row>
    <row r="332">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row>
    <row r="3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3"/>
    </row>
    <row r="334">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3"/>
    </row>
    <row r="335">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c r="AG335" s="133"/>
      <c r="AH335" s="133"/>
    </row>
    <row r="336">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c r="AG336" s="133"/>
      <c r="AH336" s="133"/>
    </row>
    <row r="337">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row>
    <row r="338">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row>
    <row r="339">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row>
    <row r="340">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c r="AG340" s="133"/>
      <c r="AH340" s="133"/>
    </row>
    <row r="341">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133"/>
      <c r="AH341" s="133"/>
    </row>
    <row r="342">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133"/>
      <c r="AH342" s="133"/>
    </row>
    <row r="34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133"/>
      <c r="AH343" s="133"/>
    </row>
    <row r="344">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133"/>
      <c r="AH344" s="133"/>
    </row>
    <row r="345">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row>
    <row r="346">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row>
    <row r="347">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row>
    <row r="348">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row>
    <row r="349">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row>
    <row r="350">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row>
    <row r="351">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row>
    <row r="352">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row>
    <row r="35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row>
    <row r="354">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row>
    <row r="355">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row>
    <row r="356">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row>
    <row r="357">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row>
    <row r="358">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row>
    <row r="359">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row>
    <row r="360">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row>
    <row r="361">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row>
    <row r="362">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row>
    <row r="36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row>
    <row r="364">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row>
    <row r="365">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row>
    <row r="366">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row>
    <row r="367">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row>
    <row r="368">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row>
    <row r="369">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row>
    <row r="370">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row>
    <row r="371">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row>
    <row r="372">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row>
    <row r="37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row>
    <row r="374">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row>
    <row r="375">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row>
    <row r="376">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row>
    <row r="377">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row>
    <row r="378">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row>
    <row r="379">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row>
    <row r="380">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row>
    <row r="381">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c r="AG381" s="133"/>
      <c r="AH381" s="133"/>
    </row>
    <row r="382">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c r="AG382" s="133"/>
      <c r="AH382" s="133"/>
    </row>
    <row r="38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row>
    <row r="384">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row>
    <row r="385">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3"/>
    </row>
    <row r="386">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3"/>
    </row>
    <row r="387">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c r="AG387" s="133"/>
      <c r="AH387" s="133"/>
    </row>
    <row r="388">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row>
    <row r="389">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c r="AG389" s="133"/>
      <c r="AH389" s="133"/>
    </row>
    <row r="390">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row>
    <row r="391">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c r="AG391" s="133"/>
      <c r="AH391" s="133"/>
    </row>
    <row r="392">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c r="AG392" s="133"/>
      <c r="AH392" s="133"/>
    </row>
    <row r="39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row>
    <row r="394">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c r="AG394" s="133"/>
      <c r="AH394" s="133"/>
    </row>
    <row r="395">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c r="AG395" s="133"/>
      <c r="AH395" s="133"/>
    </row>
    <row r="396">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row>
    <row r="397">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c r="AG397" s="133"/>
      <c r="AH397" s="133"/>
    </row>
    <row r="398">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c r="AG398" s="133"/>
      <c r="AH398" s="133"/>
    </row>
    <row r="399">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c r="AG399" s="133"/>
      <c r="AH399" s="133"/>
    </row>
    <row r="400">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c r="AG400" s="133"/>
      <c r="AH400" s="133"/>
    </row>
    <row r="401">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c r="AG401" s="133"/>
      <c r="AH401" s="133"/>
    </row>
    <row r="402">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row>
    <row r="40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133"/>
      <c r="AH403" s="133"/>
    </row>
    <row r="404">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133"/>
      <c r="AH404" s="133"/>
    </row>
    <row r="405">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133"/>
      <c r="AH405" s="133"/>
    </row>
    <row r="406">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133"/>
      <c r="AH406" s="133"/>
    </row>
    <row r="407">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133"/>
      <c r="AH407" s="133"/>
    </row>
    <row r="408">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133"/>
      <c r="AH408" s="133"/>
    </row>
    <row r="409">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row>
    <row r="410">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133"/>
      <c r="AH410" s="133"/>
    </row>
    <row r="411">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c r="AG411" s="133"/>
      <c r="AH411" s="133"/>
    </row>
    <row r="412">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c r="AG412" s="133"/>
      <c r="AH412" s="133"/>
    </row>
    <row r="41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c r="AG413" s="133"/>
      <c r="AH413" s="133"/>
    </row>
    <row r="414">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row>
    <row r="415">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row>
    <row r="416">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row>
    <row r="417">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row>
    <row r="418">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row>
    <row r="419">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row>
    <row r="420">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row>
    <row r="421">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row>
    <row r="422">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row>
    <row r="42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row>
    <row r="424">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row>
    <row r="425">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row>
    <row r="426">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row>
    <row r="427">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row>
    <row r="428">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row>
    <row r="429">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row>
    <row r="430">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row>
    <row r="431">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row>
    <row r="432">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row>
    <row r="4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row>
    <row r="434">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row>
    <row r="435">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row>
    <row r="436">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row>
    <row r="437">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row>
    <row r="438">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row>
    <row r="439">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row>
    <row r="440">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row>
    <row r="441">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row>
    <row r="442">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row>
    <row r="44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c r="AG443" s="133"/>
      <c r="AH443" s="133"/>
    </row>
    <row r="444">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c r="AG444" s="133"/>
      <c r="AH444" s="133"/>
    </row>
    <row r="445">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c r="AG445" s="133"/>
      <c r="AH445" s="133"/>
    </row>
    <row r="446">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c r="AG446" s="133"/>
      <c r="AH446" s="133"/>
    </row>
    <row r="447">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row>
    <row r="448">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c r="AG448" s="133"/>
      <c r="AH448" s="133"/>
    </row>
    <row r="449">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c r="AG449" s="133"/>
      <c r="AH449" s="133"/>
    </row>
    <row r="450">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c r="AG450" s="133"/>
      <c r="AH450" s="133"/>
    </row>
    <row r="451">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c r="AG451" s="133"/>
      <c r="AH451" s="133"/>
    </row>
    <row r="452">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c r="AG452" s="133"/>
      <c r="AH452" s="133"/>
    </row>
    <row r="45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row>
    <row r="454">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c r="AG454" s="133"/>
      <c r="AH454" s="133"/>
    </row>
    <row r="455">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c r="AG455" s="133"/>
      <c r="AH455" s="133"/>
    </row>
    <row r="456">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c r="AG456" s="133"/>
      <c r="AH456" s="133"/>
    </row>
    <row r="457">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c r="AG457" s="133"/>
      <c r="AH457" s="133"/>
    </row>
    <row r="458">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c r="AG458" s="133"/>
      <c r="AH458" s="133"/>
    </row>
    <row r="459">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row>
    <row r="460">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c r="AG460" s="133"/>
      <c r="AH460" s="133"/>
    </row>
    <row r="461">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c r="AG461" s="133"/>
      <c r="AH461" s="133"/>
    </row>
    <row r="462">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c r="AG462" s="133"/>
      <c r="AH462" s="133"/>
    </row>
    <row r="46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c r="AG463" s="133"/>
      <c r="AH463" s="133"/>
    </row>
    <row r="464">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c r="AG464" s="133"/>
      <c r="AH464" s="133"/>
    </row>
    <row r="465">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row>
    <row r="466">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c r="AG466" s="133"/>
      <c r="AH466" s="133"/>
    </row>
    <row r="467">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c r="AG467" s="133"/>
      <c r="AH467" s="133"/>
    </row>
    <row r="468">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c r="AG468" s="133"/>
      <c r="AH468" s="133"/>
    </row>
    <row r="469">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c r="AG469" s="133"/>
      <c r="AH469" s="133"/>
    </row>
    <row r="470">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c r="AG470" s="133"/>
      <c r="AH470" s="133"/>
    </row>
    <row r="471">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row>
    <row r="472">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c r="AG472" s="133"/>
      <c r="AH472" s="133"/>
    </row>
    <row r="47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c r="AG473" s="133"/>
      <c r="AH473" s="133"/>
    </row>
    <row r="474">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c r="AG474" s="133"/>
      <c r="AH474" s="133"/>
    </row>
    <row r="475">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c r="AG475" s="133"/>
      <c r="AH475" s="133"/>
    </row>
    <row r="476">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c r="AG476" s="133"/>
      <c r="AH476" s="133"/>
    </row>
    <row r="477">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row>
    <row r="478">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c r="AG478" s="133"/>
      <c r="AH478" s="133"/>
    </row>
    <row r="479">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c r="AG479" s="133"/>
      <c r="AH479" s="133"/>
    </row>
    <row r="480">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c r="AG480" s="133"/>
      <c r="AH480" s="133"/>
    </row>
    <row r="481">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c r="AG481" s="133"/>
      <c r="AH481" s="133"/>
    </row>
    <row r="482">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c r="AG482" s="133"/>
      <c r="AH482" s="133"/>
    </row>
    <row r="48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row>
    <row r="484">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row>
    <row r="485">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row>
    <row r="486">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c r="AG486" s="133"/>
      <c r="AH486" s="133"/>
    </row>
    <row r="487">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row>
    <row r="488">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row>
    <row r="489">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row>
    <row r="490">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row>
    <row r="491">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c r="AG491" s="133"/>
      <c r="AH491" s="133"/>
    </row>
    <row r="492">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c r="AG492" s="133"/>
      <c r="AH492" s="133"/>
    </row>
    <row r="49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c r="AG493" s="133"/>
      <c r="AH493" s="133"/>
    </row>
    <row r="494">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c r="AG494" s="133"/>
      <c r="AH494" s="133"/>
    </row>
    <row r="495">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row>
    <row r="496">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c r="AG496" s="133"/>
      <c r="AH496" s="133"/>
    </row>
    <row r="497">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c r="AG497" s="133"/>
      <c r="AH497" s="133"/>
    </row>
    <row r="498">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c r="AG498" s="133"/>
      <c r="AH498" s="133"/>
    </row>
    <row r="499">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c r="AG499" s="133"/>
      <c r="AH499" s="133"/>
    </row>
    <row r="500">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row>
    <row r="501">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row>
    <row r="502">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c r="AG502" s="133"/>
      <c r="AH502" s="133"/>
    </row>
    <row r="50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c r="AG503" s="133"/>
      <c r="AH503" s="133"/>
    </row>
    <row r="504">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c r="AG504" s="133"/>
      <c r="AH504" s="133"/>
    </row>
    <row r="505">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c r="AG505" s="133"/>
      <c r="AH505" s="133"/>
    </row>
    <row r="506">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c r="AG506" s="133"/>
      <c r="AH506" s="133"/>
    </row>
    <row r="507">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c r="AG507" s="133"/>
      <c r="AH507" s="133"/>
    </row>
    <row r="508">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c r="AG508" s="133"/>
      <c r="AH508" s="133"/>
    </row>
    <row r="509">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c r="AG509" s="133"/>
      <c r="AH509" s="133"/>
    </row>
    <row r="510">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c r="AG510" s="133"/>
      <c r="AH510" s="133"/>
    </row>
    <row r="511">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row>
    <row r="512">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row>
    <row r="51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row>
    <row r="514">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row>
    <row r="515">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row>
    <row r="516">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row>
    <row r="517">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row>
    <row r="518">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row>
    <row r="519">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row>
    <row r="520">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row>
    <row r="521">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row>
    <row r="522">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row>
    <row r="52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row>
    <row r="524">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row>
    <row r="525">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row>
    <row r="526">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row>
    <row r="527">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row>
    <row r="528">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row>
    <row r="529">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row>
    <row r="530">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row>
    <row r="531">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row>
    <row r="532">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row>
    <row r="5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row>
    <row r="534">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row>
    <row r="535">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row>
    <row r="536">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row>
    <row r="537">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row>
    <row r="538">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row>
    <row r="539">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row>
    <row r="540">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row>
    <row r="541">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row>
    <row r="542">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row>
    <row r="54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row>
    <row r="544">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row>
    <row r="545">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row>
    <row r="546">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c r="AG546" s="133"/>
      <c r="AH546" s="133"/>
    </row>
    <row r="547">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c r="AG547" s="133"/>
      <c r="AH547" s="133"/>
    </row>
    <row r="548">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c r="AG548" s="133"/>
      <c r="AH548" s="133"/>
    </row>
    <row r="549">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c r="AG549" s="133"/>
      <c r="AH549" s="133"/>
    </row>
    <row r="550">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c r="AG550" s="133"/>
      <c r="AH550" s="133"/>
    </row>
    <row r="551">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c r="AG551" s="133"/>
      <c r="AH551" s="133"/>
    </row>
    <row r="552">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c r="AG552" s="133"/>
      <c r="AH552" s="133"/>
    </row>
    <row r="55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c r="AG553" s="133"/>
      <c r="AH553" s="133"/>
    </row>
    <row r="554">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c r="AG554" s="133"/>
      <c r="AH554" s="133"/>
    </row>
    <row r="555">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c r="AG555" s="133"/>
      <c r="AH555" s="133"/>
    </row>
    <row r="556">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c r="AG556" s="133"/>
      <c r="AH556" s="133"/>
    </row>
    <row r="557">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c r="AG557" s="133"/>
      <c r="AH557" s="133"/>
    </row>
    <row r="558">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c r="AG558" s="133"/>
      <c r="AH558" s="133"/>
    </row>
    <row r="559">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c r="AG559" s="133"/>
      <c r="AH559" s="133"/>
    </row>
    <row r="560">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c r="AG560" s="133"/>
      <c r="AH560" s="133"/>
    </row>
    <row r="561">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c r="AG561" s="133"/>
      <c r="AH561" s="133"/>
    </row>
    <row r="562">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c r="AG562" s="133"/>
      <c r="AH562" s="133"/>
    </row>
    <row r="56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c r="AG563" s="133"/>
      <c r="AH563" s="133"/>
    </row>
    <row r="564">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c r="AG564" s="133"/>
      <c r="AH564" s="133"/>
    </row>
    <row r="565">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c r="AG565" s="133"/>
      <c r="AH565" s="133"/>
    </row>
    <row r="566">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c r="AG566" s="133"/>
      <c r="AH566" s="133"/>
    </row>
    <row r="567">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c r="AG567" s="133"/>
      <c r="AH567" s="133"/>
    </row>
    <row r="568">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c r="AG568" s="133"/>
      <c r="AH568" s="133"/>
    </row>
    <row r="569">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c r="AG569" s="133"/>
      <c r="AH569" s="133"/>
    </row>
    <row r="570">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c r="AG570" s="133"/>
      <c r="AH570" s="133"/>
    </row>
    <row r="571">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c r="AG571" s="133"/>
      <c r="AH571" s="133"/>
    </row>
    <row r="572">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c r="AG572" s="133"/>
      <c r="AH572" s="133"/>
    </row>
    <row r="57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c r="AG573" s="133"/>
      <c r="AH573" s="133"/>
    </row>
    <row r="574">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c r="AG574" s="133"/>
      <c r="AH574" s="133"/>
    </row>
    <row r="575">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c r="AG575" s="133"/>
      <c r="AH575" s="133"/>
    </row>
    <row r="576">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c r="AG576" s="133"/>
      <c r="AH576" s="133"/>
    </row>
    <row r="577">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c r="AG577" s="133"/>
      <c r="AH577" s="133"/>
    </row>
    <row r="578">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c r="AG578" s="133"/>
      <c r="AH578" s="133"/>
    </row>
    <row r="579">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c r="AG579" s="133"/>
      <c r="AH579" s="133"/>
    </row>
    <row r="580">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c r="AG580" s="133"/>
      <c r="AH580" s="133"/>
    </row>
    <row r="581">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c r="AG581" s="133"/>
      <c r="AH581" s="133"/>
    </row>
    <row r="582">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c r="AG582" s="133"/>
      <c r="AH582" s="133"/>
    </row>
    <row r="58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c r="AG583" s="133"/>
      <c r="AH583" s="133"/>
    </row>
    <row r="584">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row>
    <row r="585">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row>
    <row r="586">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row>
    <row r="587">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row>
    <row r="588">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row>
    <row r="589">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row>
    <row r="590">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row>
    <row r="591">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row>
    <row r="592">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row>
    <row r="59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row>
    <row r="594">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row>
    <row r="595">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row>
    <row r="596">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row>
    <row r="597">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row>
    <row r="598">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row>
    <row r="599">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row>
    <row r="600">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row>
    <row r="601">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row>
    <row r="602">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row>
    <row r="60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row>
    <row r="604">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row>
    <row r="605">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row>
    <row r="606">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c r="AG606" s="133"/>
      <c r="AH606" s="133"/>
    </row>
    <row r="607">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c r="AG607" s="133"/>
      <c r="AH607" s="133"/>
    </row>
    <row r="608">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c r="AG608" s="133"/>
      <c r="AH608" s="133"/>
    </row>
    <row r="609">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c r="AG609" s="133"/>
      <c r="AH609" s="133"/>
    </row>
    <row r="610">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c r="AG610" s="133"/>
      <c r="AH610" s="133"/>
    </row>
    <row r="611">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c r="AG611" s="133"/>
      <c r="AH611" s="133"/>
    </row>
    <row r="612">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c r="AG612" s="133"/>
      <c r="AH612" s="133"/>
    </row>
    <row r="61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c r="AG613" s="133"/>
      <c r="AH613" s="133"/>
    </row>
    <row r="614">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c r="AG614" s="133"/>
      <c r="AH614" s="133"/>
    </row>
    <row r="615">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c r="AG615" s="133"/>
      <c r="AH615" s="133"/>
    </row>
    <row r="616">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c r="AG616" s="133"/>
      <c r="AH616" s="133"/>
    </row>
    <row r="617">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c r="AG617" s="133"/>
      <c r="AH617" s="133"/>
    </row>
    <row r="618">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c r="AG618" s="133"/>
      <c r="AH618" s="133"/>
    </row>
    <row r="619">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c r="AG619" s="133"/>
      <c r="AH619" s="133"/>
    </row>
    <row r="620">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c r="AG620" s="133"/>
      <c r="AH620" s="133"/>
    </row>
    <row r="621">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c r="AG621" s="133"/>
      <c r="AH621" s="133"/>
    </row>
    <row r="622">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c r="AG622" s="133"/>
      <c r="AH622" s="133"/>
    </row>
    <row r="62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c r="AG623" s="133"/>
      <c r="AH623" s="133"/>
    </row>
    <row r="624">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c r="AG624" s="133"/>
      <c r="AH624" s="133"/>
    </row>
    <row r="625">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c r="AG625" s="133"/>
      <c r="AH625" s="133"/>
    </row>
    <row r="626">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c r="AG626" s="133"/>
      <c r="AH626" s="133"/>
    </row>
    <row r="627">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c r="AG627" s="133"/>
      <c r="AH627" s="133"/>
    </row>
    <row r="628">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c r="AG628" s="133"/>
      <c r="AH628" s="133"/>
    </row>
    <row r="629">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c r="AG629" s="133"/>
      <c r="AH629" s="133"/>
    </row>
    <row r="630">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c r="AG630" s="133"/>
      <c r="AH630" s="133"/>
    </row>
    <row r="631">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c r="AG631" s="133"/>
      <c r="AH631" s="133"/>
    </row>
    <row r="632">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c r="AG632" s="133"/>
      <c r="AH632" s="133"/>
    </row>
    <row r="6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c r="AG633" s="133"/>
      <c r="AH633" s="133"/>
    </row>
    <row r="634">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c r="AG634" s="133"/>
      <c r="AH634" s="133"/>
    </row>
    <row r="635">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c r="AG635" s="133"/>
      <c r="AH635" s="133"/>
    </row>
    <row r="636">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c r="AG636" s="133"/>
      <c r="AH636" s="133"/>
    </row>
    <row r="637">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c r="AG637" s="133"/>
      <c r="AH637" s="133"/>
    </row>
    <row r="638">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c r="AG638" s="133"/>
      <c r="AH638" s="133"/>
    </row>
    <row r="639">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c r="AG639" s="133"/>
      <c r="AH639" s="133"/>
    </row>
    <row r="640">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c r="AG640" s="133"/>
      <c r="AH640" s="133"/>
    </row>
    <row r="641">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c r="AG641" s="133"/>
      <c r="AH641" s="133"/>
    </row>
    <row r="642">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c r="AG642" s="133"/>
      <c r="AH642" s="133"/>
    </row>
    <row r="64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c r="AG643" s="133"/>
      <c r="AH643" s="133"/>
    </row>
    <row r="644">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c r="AG644" s="133"/>
      <c r="AH644" s="133"/>
    </row>
    <row r="645">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c r="AG645" s="133"/>
      <c r="AH645" s="133"/>
    </row>
    <row r="646">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c r="AG646" s="133"/>
      <c r="AH646" s="133"/>
    </row>
    <row r="647">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c r="AG647" s="133"/>
      <c r="AH647" s="133"/>
    </row>
    <row r="648">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row>
    <row r="649">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row>
    <row r="650">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row>
    <row r="651">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row>
    <row r="652">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row>
    <row r="65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row>
    <row r="654">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row>
    <row r="655">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row>
    <row r="656">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row>
    <row r="657">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row>
    <row r="658">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row>
    <row r="659">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row>
    <row r="660">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row>
    <row r="661">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row>
    <row r="662">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row>
    <row r="66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row>
    <row r="664">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row>
    <row r="665">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row>
    <row r="666">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row>
    <row r="667">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row>
    <row r="668">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row>
    <row r="669">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row>
    <row r="670">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row>
    <row r="671">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row>
    <row r="672">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row>
    <row r="67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row>
    <row r="674">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c r="AG674" s="133"/>
      <c r="AH674" s="133"/>
    </row>
    <row r="675">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c r="AG675" s="133"/>
      <c r="AH675" s="133"/>
    </row>
    <row r="676">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row>
    <row r="677">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c r="AG677" s="133"/>
      <c r="AH677" s="133"/>
    </row>
    <row r="678">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c r="AG678" s="133"/>
      <c r="AH678" s="133"/>
    </row>
    <row r="679">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c r="AG679" s="133"/>
      <c r="AH679" s="133"/>
    </row>
    <row r="680">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c r="AG680" s="133"/>
      <c r="AH680" s="133"/>
    </row>
    <row r="681">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c r="AG681" s="133"/>
      <c r="AH681" s="133"/>
    </row>
    <row r="682">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c r="AG682" s="133"/>
      <c r="AH682" s="133"/>
    </row>
    <row r="68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c r="AG683" s="133"/>
      <c r="AH683" s="133"/>
    </row>
    <row r="684">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c r="AG684" s="133"/>
      <c r="AH684" s="133"/>
    </row>
    <row r="685">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c r="AG685" s="133"/>
      <c r="AH685" s="133"/>
    </row>
    <row r="686">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c r="AG686" s="133"/>
      <c r="AH686" s="133"/>
    </row>
    <row r="687">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c r="AG687" s="133"/>
      <c r="AH687" s="133"/>
    </row>
    <row r="688">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c r="AG688" s="133"/>
      <c r="AH688" s="133"/>
    </row>
    <row r="689">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c r="AG689" s="133"/>
      <c r="AH689" s="133"/>
    </row>
    <row r="690">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row>
    <row r="691">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c r="AG691" s="133"/>
      <c r="AH691" s="133"/>
    </row>
    <row r="692">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row>
    <row r="69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row>
    <row r="694">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row>
    <row r="695">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row>
    <row r="696">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row>
    <row r="697">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row>
    <row r="698">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row>
    <row r="699">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row>
    <row r="700">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row>
    <row r="701">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row>
    <row r="702">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row>
    <row r="70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row>
    <row r="704">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row>
    <row r="705">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row>
    <row r="706">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c r="AG706" s="133"/>
      <c r="AH706" s="133"/>
    </row>
    <row r="707">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row>
    <row r="708">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c r="AG708" s="133"/>
      <c r="AH708" s="133"/>
    </row>
    <row r="709">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c r="AG709" s="133"/>
      <c r="AH709" s="133"/>
    </row>
    <row r="710">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c r="AG710" s="133"/>
      <c r="AH710" s="133"/>
    </row>
    <row r="711">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c r="AG711" s="133"/>
      <c r="AH711" s="133"/>
    </row>
    <row r="712">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row>
    <row r="71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c r="AG713" s="133"/>
      <c r="AH713" s="133"/>
    </row>
    <row r="714">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c r="AG714" s="133"/>
      <c r="AH714" s="133"/>
    </row>
    <row r="715">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c r="AG715" s="133"/>
      <c r="AH715" s="133"/>
    </row>
    <row r="716">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c r="AG716" s="133"/>
      <c r="AH716" s="133"/>
    </row>
    <row r="717">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c r="AG717" s="133"/>
      <c r="AH717" s="133"/>
    </row>
    <row r="718">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c r="AG718" s="133"/>
      <c r="AH718" s="133"/>
    </row>
    <row r="719">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c r="AG719" s="133"/>
      <c r="AH719" s="133"/>
    </row>
    <row r="720">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c r="AG720" s="133"/>
      <c r="AH720" s="133"/>
    </row>
    <row r="721">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c r="AG721" s="133"/>
      <c r="AH721" s="133"/>
    </row>
    <row r="722">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c r="AG722" s="133"/>
      <c r="AH722" s="133"/>
    </row>
    <row r="72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c r="AG723" s="133"/>
      <c r="AH723" s="133"/>
    </row>
    <row r="724">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c r="AG724" s="133"/>
      <c r="AH724" s="133"/>
    </row>
    <row r="725">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c r="AG725" s="133"/>
      <c r="AH725" s="133"/>
    </row>
    <row r="726">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c r="AG726" s="133"/>
      <c r="AH726" s="133"/>
    </row>
    <row r="727">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c r="AG727" s="133"/>
      <c r="AH727" s="133"/>
    </row>
    <row r="728">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c r="AG728" s="133"/>
      <c r="AH728" s="133"/>
    </row>
    <row r="729">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c r="AG729" s="133"/>
      <c r="AH729" s="133"/>
    </row>
    <row r="730">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c r="AG730" s="133"/>
      <c r="AH730" s="133"/>
    </row>
    <row r="731">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c r="AG731" s="133"/>
      <c r="AH731" s="133"/>
    </row>
    <row r="732">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c r="AG732" s="133"/>
      <c r="AH732" s="133"/>
    </row>
    <row r="7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c r="AG733" s="133"/>
      <c r="AH733" s="133"/>
    </row>
    <row r="734">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c r="AG734" s="133"/>
      <c r="AH734" s="133"/>
    </row>
    <row r="735">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c r="AG735" s="133"/>
      <c r="AH735" s="133"/>
    </row>
    <row r="736">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c r="AG736" s="133"/>
      <c r="AH736" s="133"/>
    </row>
    <row r="737">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row>
    <row r="738">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row>
    <row r="739">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row>
    <row r="740">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row>
    <row r="741">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row>
    <row r="742">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row>
    <row r="74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row>
    <row r="744">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row>
    <row r="745">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row>
    <row r="746">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row>
    <row r="747">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row>
    <row r="748">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row>
    <row r="749">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row>
    <row r="750">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row>
    <row r="751">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row>
    <row r="752">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row>
    <row r="75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row>
    <row r="754">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row>
    <row r="755">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row>
    <row r="756">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row>
    <row r="757">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row>
    <row r="758">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row>
    <row r="759">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row>
    <row r="760">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row>
    <row r="761">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row>
    <row r="762">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row>
    <row r="76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row>
    <row r="764">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row>
    <row r="765">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c r="AG765" s="133"/>
      <c r="AH765" s="133"/>
    </row>
    <row r="766">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c r="AG766" s="133"/>
      <c r="AH766" s="133"/>
    </row>
    <row r="767">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c r="AG767" s="133"/>
      <c r="AH767" s="133"/>
    </row>
    <row r="768">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c r="AG768" s="133"/>
      <c r="AH768" s="133"/>
    </row>
    <row r="769">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c r="AG769" s="133"/>
      <c r="AH769" s="133"/>
    </row>
    <row r="770">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c r="AG770" s="133"/>
      <c r="AH770" s="133"/>
    </row>
    <row r="771">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c r="AG771" s="133"/>
      <c r="AH771" s="133"/>
    </row>
    <row r="772">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c r="AG772" s="133"/>
      <c r="AH772" s="133"/>
    </row>
    <row r="77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c r="AG773" s="133"/>
      <c r="AH773" s="133"/>
    </row>
    <row r="774">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c r="AG774" s="133"/>
      <c r="AH774" s="133"/>
    </row>
    <row r="775">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c r="AG775" s="133"/>
      <c r="AH775" s="133"/>
    </row>
    <row r="776">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c r="AG776" s="133"/>
      <c r="AH776" s="133"/>
    </row>
    <row r="777">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c r="AG777" s="133"/>
      <c r="AH777" s="133"/>
    </row>
    <row r="778">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c r="AG778" s="133"/>
      <c r="AH778" s="133"/>
    </row>
    <row r="779">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c r="AG779" s="133"/>
      <c r="AH779" s="133"/>
    </row>
    <row r="780">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c r="AG780" s="133"/>
      <c r="AH780" s="133"/>
    </row>
    <row r="781">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c r="AG781" s="133"/>
      <c r="AH781" s="133"/>
    </row>
    <row r="782">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c r="AG782" s="133"/>
      <c r="AH782" s="133"/>
    </row>
    <row r="78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c r="AG783" s="133"/>
      <c r="AH783" s="133"/>
    </row>
    <row r="784">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c r="AG784" s="133"/>
      <c r="AH784" s="133"/>
    </row>
    <row r="785">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c r="AG785" s="133"/>
      <c r="AH785" s="133"/>
    </row>
    <row r="786">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row>
    <row r="787">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c r="AG787" s="133"/>
      <c r="AH787" s="133"/>
    </row>
    <row r="788">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c r="AG788" s="133"/>
      <c r="AH788" s="133"/>
    </row>
    <row r="789">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c r="AG789" s="133"/>
      <c r="AH789" s="133"/>
    </row>
    <row r="790">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c r="AG790" s="133"/>
      <c r="AH790" s="133"/>
    </row>
    <row r="791">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c r="AG791" s="133"/>
      <c r="AH791" s="133"/>
    </row>
    <row r="792">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c r="AG792" s="133"/>
      <c r="AH792" s="133"/>
    </row>
    <row r="79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c r="AG793" s="133"/>
      <c r="AH793" s="133"/>
    </row>
    <row r="794">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c r="AG794" s="133"/>
      <c r="AH794" s="133"/>
    </row>
    <row r="795">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c r="AG795" s="133"/>
      <c r="AH795" s="133"/>
    </row>
    <row r="796">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c r="AG796" s="133"/>
      <c r="AH796" s="133"/>
    </row>
    <row r="797">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c r="AG797" s="133"/>
      <c r="AH797" s="133"/>
    </row>
    <row r="798">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row>
    <row r="799">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c r="AG799" s="133"/>
      <c r="AH799" s="133"/>
    </row>
    <row r="800">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c r="AG800" s="133"/>
      <c r="AH800" s="133"/>
    </row>
    <row r="801">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c r="AG801" s="133"/>
      <c r="AH801" s="133"/>
    </row>
    <row r="802">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row>
    <row r="80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row>
    <row r="804">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row>
    <row r="805">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c r="AG805" s="133"/>
      <c r="AH805" s="133"/>
    </row>
    <row r="806">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c r="AG806" s="133"/>
      <c r="AH806" s="133"/>
    </row>
    <row r="807">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c r="AG807" s="133"/>
      <c r="AH807" s="133"/>
    </row>
    <row r="808">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c r="AG808" s="133"/>
      <c r="AH808" s="133"/>
    </row>
    <row r="809">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c r="AG809" s="133"/>
      <c r="AH809" s="133"/>
    </row>
    <row r="810">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c r="AG810" s="133"/>
      <c r="AH810" s="133"/>
    </row>
    <row r="811">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c r="AG811" s="133"/>
      <c r="AH811" s="133"/>
    </row>
    <row r="812">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row>
    <row r="81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c r="AG813" s="133"/>
      <c r="AH813" s="133"/>
    </row>
    <row r="814">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c r="AG814" s="133"/>
      <c r="AH814" s="133"/>
    </row>
    <row r="815">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c r="AG815" s="133"/>
      <c r="AH815" s="133"/>
    </row>
    <row r="816">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c r="AG816" s="133"/>
      <c r="AH816" s="133"/>
    </row>
    <row r="817">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c r="AG817" s="133"/>
      <c r="AH817" s="133"/>
    </row>
    <row r="818">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c r="AG818" s="133"/>
      <c r="AH818" s="133"/>
    </row>
    <row r="819">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c r="AG819" s="133"/>
      <c r="AH819" s="133"/>
    </row>
    <row r="820">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c r="AG820" s="133"/>
      <c r="AH820" s="133"/>
    </row>
    <row r="821">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c r="AG821" s="133"/>
      <c r="AH821" s="133"/>
    </row>
    <row r="822">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c r="AG822" s="133"/>
      <c r="AH822" s="133"/>
    </row>
    <row r="82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c r="AG823" s="133"/>
      <c r="AH823" s="133"/>
    </row>
    <row r="824">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c r="AG824" s="133"/>
      <c r="AH824" s="133"/>
    </row>
    <row r="825">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c r="AG825" s="133"/>
      <c r="AH825" s="133"/>
    </row>
    <row r="826">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c r="AG826" s="133"/>
      <c r="AH826" s="133"/>
    </row>
    <row r="827">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c r="AG827" s="133"/>
      <c r="AH827" s="133"/>
    </row>
    <row r="828">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c r="AG828" s="133"/>
      <c r="AH828" s="133"/>
    </row>
    <row r="829">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c r="AG829" s="133"/>
      <c r="AH829" s="133"/>
    </row>
    <row r="830">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c r="AG830" s="133"/>
      <c r="AH830" s="133"/>
    </row>
    <row r="831">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c r="AG831" s="133"/>
      <c r="AH831" s="133"/>
    </row>
    <row r="832">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c r="AG832" s="133"/>
      <c r="AH832" s="133"/>
    </row>
    <row r="8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c r="AG833" s="133"/>
      <c r="AH833" s="133"/>
    </row>
    <row r="834">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c r="AG834" s="133"/>
      <c r="AH834" s="133"/>
    </row>
    <row r="835">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c r="AG835" s="133"/>
      <c r="AH835" s="133"/>
    </row>
    <row r="836">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c r="AG836" s="133"/>
      <c r="AH836" s="133"/>
    </row>
    <row r="837">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c r="AG837" s="133"/>
      <c r="AH837" s="133"/>
    </row>
    <row r="838">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c r="AG838" s="133"/>
      <c r="AH838" s="133"/>
    </row>
    <row r="839">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c r="AG839" s="133"/>
      <c r="AH839" s="133"/>
    </row>
    <row r="840">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c r="AG840" s="133"/>
      <c r="AH840" s="133"/>
    </row>
    <row r="841">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c r="AG841" s="133"/>
      <c r="AH841" s="133"/>
    </row>
    <row r="842">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c r="AG842" s="133"/>
      <c r="AH842" s="133"/>
    </row>
    <row r="84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c r="AG843" s="133"/>
      <c r="AH843" s="133"/>
    </row>
    <row r="844">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row>
    <row r="845">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row>
    <row r="846">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row>
    <row r="847">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row>
    <row r="848">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row>
    <row r="849">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row>
    <row r="850">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row>
    <row r="851">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row>
    <row r="852">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row>
    <row r="85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row>
    <row r="854">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row>
    <row r="855">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row>
    <row r="856">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row>
    <row r="857">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row>
    <row r="858">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row>
    <row r="859">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row>
    <row r="860">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row>
    <row r="861">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row>
    <row r="862">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row>
    <row r="86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row>
    <row r="864">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row>
    <row r="865">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row>
    <row r="866">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c r="AG866" s="133"/>
      <c r="AH866" s="133"/>
    </row>
    <row r="867">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c r="AG867" s="133"/>
      <c r="AH867" s="133"/>
    </row>
    <row r="868">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c r="AG868" s="133"/>
      <c r="AH868" s="133"/>
    </row>
    <row r="869">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c r="AG869" s="133"/>
      <c r="AH869" s="133"/>
    </row>
    <row r="870">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c r="AG870" s="133"/>
      <c r="AH870" s="133"/>
    </row>
    <row r="871">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c r="AG871" s="133"/>
      <c r="AH871" s="133"/>
    </row>
    <row r="872">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c r="AG872" s="133"/>
      <c r="AH872" s="133"/>
    </row>
    <row r="87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c r="AG873" s="133"/>
      <c r="AH873" s="133"/>
    </row>
    <row r="874">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row>
    <row r="875">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c r="AG875" s="133"/>
      <c r="AH875" s="133"/>
    </row>
    <row r="876">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c r="AG876" s="133"/>
      <c r="AH876" s="133"/>
    </row>
    <row r="877">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c r="AG877" s="133"/>
      <c r="AH877" s="133"/>
    </row>
    <row r="878">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c r="AG878" s="133"/>
      <c r="AH878" s="133"/>
    </row>
    <row r="879">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c r="AG879" s="133"/>
      <c r="AH879" s="133"/>
    </row>
    <row r="880">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c r="AG880" s="133"/>
      <c r="AH880" s="133"/>
    </row>
    <row r="881">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c r="AG881" s="133"/>
      <c r="AH881" s="133"/>
    </row>
    <row r="882">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c r="AG882" s="133"/>
      <c r="AH882" s="133"/>
    </row>
    <row r="88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c r="AG883" s="133"/>
      <c r="AH883" s="133"/>
    </row>
    <row r="884">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c r="AG884" s="133"/>
      <c r="AH884" s="133"/>
    </row>
    <row r="885">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c r="AG885" s="133"/>
      <c r="AH885" s="133"/>
    </row>
    <row r="886">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c r="AG886" s="133"/>
      <c r="AH886" s="133"/>
    </row>
    <row r="887">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row>
    <row r="888">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c r="AG888" s="133"/>
      <c r="AH888" s="133"/>
    </row>
    <row r="889">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c r="AG889" s="133"/>
      <c r="AH889" s="133"/>
    </row>
    <row r="890">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c r="AG890" s="133"/>
      <c r="AH890" s="133"/>
    </row>
    <row r="891">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c r="AG891" s="133"/>
      <c r="AH891" s="133"/>
    </row>
    <row r="892">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c r="AG892" s="133"/>
      <c r="AH892" s="133"/>
    </row>
    <row r="89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c r="AG893" s="133"/>
      <c r="AH893" s="133"/>
    </row>
    <row r="894">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c r="AG894" s="133"/>
      <c r="AH894" s="133"/>
    </row>
    <row r="895">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c r="AG895" s="133"/>
      <c r="AH895" s="133"/>
    </row>
    <row r="896">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c r="AG896" s="133"/>
      <c r="AH896" s="133"/>
    </row>
    <row r="897">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c r="AG897" s="133"/>
      <c r="AH897" s="133"/>
    </row>
    <row r="898">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c r="AG898" s="133"/>
      <c r="AH898" s="133"/>
    </row>
    <row r="899">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c r="AG899" s="133"/>
      <c r="AH899" s="133"/>
    </row>
    <row r="900">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row>
    <row r="901">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row>
    <row r="902">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row>
    <row r="90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row>
    <row r="904">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row>
    <row r="905">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row>
    <row r="906">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row>
    <row r="907">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row>
    <row r="908">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row>
    <row r="909">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row>
    <row r="910">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row>
    <row r="911">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row>
    <row r="912">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row>
    <row r="91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row>
    <row r="914">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row>
    <row r="915">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row>
    <row r="916">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row>
    <row r="917">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row>
    <row r="918">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row>
    <row r="919">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row>
    <row r="920">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row>
    <row r="921">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row>
    <row r="922">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row>
    <row r="92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row>
    <row r="924">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row>
    <row r="925">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row>
    <row r="926">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row>
    <row r="927">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row>
    <row r="928">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row>
    <row r="929">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row>
    <row r="930">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c r="AG930" s="133"/>
      <c r="AH930" s="133"/>
    </row>
    <row r="931">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c r="AG931" s="133"/>
      <c r="AH931" s="133"/>
    </row>
    <row r="932">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c r="AG932" s="133"/>
      <c r="AH932" s="133"/>
    </row>
    <row r="9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c r="AG933" s="133"/>
      <c r="AH933" s="133"/>
    </row>
    <row r="934">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c r="AG934" s="133"/>
      <c r="AH934" s="133"/>
    </row>
    <row r="935">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c r="AG935" s="133"/>
      <c r="AH935" s="133"/>
    </row>
    <row r="936">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c r="AG936" s="133"/>
      <c r="AH936" s="133"/>
    </row>
    <row r="937">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c r="AG937" s="133"/>
      <c r="AH937" s="133"/>
    </row>
    <row r="938">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row>
    <row r="939">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c r="AG939" s="133"/>
      <c r="AH939" s="133"/>
    </row>
    <row r="940">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c r="AG940" s="133"/>
      <c r="AH940" s="133"/>
    </row>
    <row r="941">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c r="AG941" s="133"/>
      <c r="AH941" s="133"/>
    </row>
    <row r="942">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c r="AG942" s="133"/>
      <c r="AH942" s="133"/>
    </row>
    <row r="94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c r="AG943" s="133"/>
      <c r="AH943" s="133"/>
    </row>
    <row r="944">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c r="AG944" s="133"/>
      <c r="AH944" s="133"/>
    </row>
    <row r="945">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c r="AG945" s="133"/>
      <c r="AH945" s="133"/>
    </row>
    <row r="946">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c r="AG946" s="133"/>
      <c r="AH946" s="133"/>
    </row>
    <row r="947">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c r="AG947" s="133"/>
      <c r="AH947" s="133"/>
    </row>
    <row r="948">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c r="AG948" s="133"/>
      <c r="AH948" s="133"/>
    </row>
    <row r="949">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c r="AG949" s="133"/>
      <c r="AH949" s="133"/>
    </row>
    <row r="950">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c r="AG950" s="133"/>
      <c r="AH950" s="133"/>
    </row>
    <row r="951">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c r="AG951" s="133"/>
      <c r="AH951" s="133"/>
    </row>
    <row r="952">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c r="AG952" s="133"/>
      <c r="AH952" s="133"/>
    </row>
    <row r="95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c r="AG953" s="133"/>
      <c r="AH953" s="133"/>
    </row>
    <row r="954">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row>
    <row r="955">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c r="AC955" s="133"/>
      <c r="AD955" s="133"/>
      <c r="AE955" s="133"/>
      <c r="AF955" s="133"/>
      <c r="AG955" s="133"/>
      <c r="AH955" s="133"/>
    </row>
    <row r="956">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c r="AC956" s="133"/>
      <c r="AD956" s="133"/>
      <c r="AE956" s="133"/>
      <c r="AF956" s="133"/>
      <c r="AG956" s="133"/>
      <c r="AH956" s="133"/>
    </row>
    <row r="957">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c r="AC957" s="133"/>
      <c r="AD957" s="133"/>
      <c r="AE957" s="133"/>
      <c r="AF957" s="133"/>
      <c r="AG957" s="133"/>
      <c r="AH957" s="133"/>
    </row>
    <row r="958">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c r="AC958" s="133"/>
      <c r="AD958" s="133"/>
      <c r="AE958" s="133"/>
      <c r="AF958" s="133"/>
      <c r="AG958" s="133"/>
      <c r="AH958" s="133"/>
    </row>
    <row r="959">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c r="AC959" s="133"/>
      <c r="AD959" s="133"/>
      <c r="AE959" s="133"/>
      <c r="AF959" s="133"/>
      <c r="AG959" s="133"/>
      <c r="AH959" s="133"/>
    </row>
    <row r="960">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c r="AC960" s="133"/>
      <c r="AD960" s="133"/>
      <c r="AE960" s="133"/>
      <c r="AF960" s="133"/>
      <c r="AG960" s="133"/>
      <c r="AH960" s="133"/>
    </row>
    <row r="961">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c r="AC961" s="133"/>
      <c r="AD961" s="133"/>
      <c r="AE961" s="133"/>
      <c r="AF961" s="133"/>
      <c r="AG961" s="133"/>
      <c r="AH961" s="133"/>
    </row>
    <row r="962">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c r="AC962" s="133"/>
      <c r="AD962" s="133"/>
      <c r="AE962" s="133"/>
      <c r="AF962" s="133"/>
      <c r="AG962" s="133"/>
      <c r="AH962" s="133"/>
    </row>
    <row r="96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c r="AC963" s="133"/>
      <c r="AD963" s="133"/>
      <c r="AE963" s="133"/>
      <c r="AF963" s="133"/>
      <c r="AG963" s="133"/>
      <c r="AH963" s="133"/>
    </row>
    <row r="964">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c r="AC964" s="133"/>
      <c r="AD964" s="133"/>
      <c r="AE964" s="133"/>
      <c r="AF964" s="133"/>
      <c r="AG964" s="133"/>
      <c r="AH964" s="133"/>
    </row>
    <row r="965">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c r="AC965" s="133"/>
      <c r="AD965" s="133"/>
      <c r="AE965" s="133"/>
      <c r="AF965" s="133"/>
      <c r="AG965" s="133"/>
      <c r="AH965" s="133"/>
    </row>
    <row r="966">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c r="AC966" s="133"/>
      <c r="AD966" s="133"/>
      <c r="AE966" s="133"/>
      <c r="AF966" s="133"/>
      <c r="AG966" s="133"/>
      <c r="AH966" s="133"/>
    </row>
    <row r="967">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c r="AC967" s="133"/>
      <c r="AD967" s="133"/>
      <c r="AE967" s="133"/>
      <c r="AF967" s="133"/>
      <c r="AG967" s="133"/>
      <c r="AH967" s="133"/>
    </row>
    <row r="968">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c r="AC968" s="133"/>
      <c r="AD968" s="133"/>
      <c r="AE968" s="133"/>
      <c r="AF968" s="133"/>
      <c r="AG968" s="133"/>
      <c r="AH968" s="133"/>
    </row>
    <row r="969">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c r="AC969" s="133"/>
      <c r="AD969" s="133"/>
      <c r="AE969" s="133"/>
      <c r="AF969" s="133"/>
      <c r="AG969" s="133"/>
      <c r="AH969" s="133"/>
    </row>
    <row r="970">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c r="AC970" s="133"/>
      <c r="AD970" s="133"/>
      <c r="AE970" s="133"/>
      <c r="AF970" s="133"/>
      <c r="AG970" s="133"/>
      <c r="AH970" s="133"/>
    </row>
    <row r="971">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c r="AC971" s="133"/>
      <c r="AD971" s="133"/>
      <c r="AE971" s="133"/>
      <c r="AF971" s="133"/>
      <c r="AG971" s="133"/>
      <c r="AH971" s="133"/>
    </row>
    <row r="972">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c r="AC972" s="133"/>
      <c r="AD972" s="133"/>
      <c r="AE972" s="133"/>
      <c r="AF972" s="133"/>
      <c r="AG972" s="133"/>
      <c r="AH972" s="133"/>
    </row>
    <row r="97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c r="AC973" s="133"/>
      <c r="AD973" s="133"/>
      <c r="AE973" s="133"/>
      <c r="AF973" s="133"/>
      <c r="AG973" s="133"/>
      <c r="AH973" s="133"/>
    </row>
    <row r="974">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c r="AC974" s="133"/>
      <c r="AD974" s="133"/>
      <c r="AE974" s="133"/>
      <c r="AF974" s="133"/>
      <c r="AG974" s="133"/>
      <c r="AH974" s="133"/>
    </row>
    <row r="975">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row>
    <row r="976">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row>
    <row r="977">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row>
    <row r="978">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row>
    <row r="979">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c r="AC979" s="133"/>
      <c r="AD979" s="133"/>
      <c r="AE979" s="133"/>
      <c r="AF979" s="133"/>
      <c r="AG979" s="133"/>
      <c r="AH979" s="133"/>
    </row>
    <row r="980">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c r="AC980" s="133"/>
      <c r="AD980" s="133"/>
      <c r="AE980" s="133"/>
      <c r="AF980" s="133"/>
      <c r="AG980" s="133"/>
      <c r="AH980" s="133"/>
    </row>
    <row r="981">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c r="AC981" s="133"/>
      <c r="AD981" s="133"/>
      <c r="AE981" s="133"/>
      <c r="AF981" s="133"/>
      <c r="AG981" s="133"/>
      <c r="AH981" s="133"/>
    </row>
    <row r="982">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c r="AC982" s="133"/>
      <c r="AD982" s="133"/>
      <c r="AE982" s="133"/>
      <c r="AF982" s="133"/>
      <c r="AG982" s="133"/>
      <c r="AH982" s="133"/>
    </row>
    <row r="98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c r="AC983" s="133"/>
      <c r="AD983" s="133"/>
      <c r="AE983" s="133"/>
      <c r="AF983" s="133"/>
      <c r="AG983" s="133"/>
      <c r="AH983" s="133"/>
    </row>
    <row r="984">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c r="AC984" s="133"/>
      <c r="AD984" s="133"/>
      <c r="AE984" s="133"/>
      <c r="AF984" s="133"/>
      <c r="AG984" s="133"/>
      <c r="AH984" s="133"/>
    </row>
    <row r="985">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c r="AC985" s="133"/>
      <c r="AD985" s="133"/>
      <c r="AE985" s="133"/>
      <c r="AF985" s="133"/>
      <c r="AG985" s="133"/>
      <c r="AH985" s="133"/>
    </row>
    <row r="986">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c r="AC986" s="133"/>
      <c r="AD986" s="133"/>
      <c r="AE986" s="133"/>
      <c r="AF986" s="133"/>
      <c r="AG986" s="133"/>
      <c r="AH986" s="133"/>
    </row>
    <row r="987">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c r="AC987" s="133"/>
      <c r="AD987" s="133"/>
      <c r="AE987" s="133"/>
      <c r="AF987" s="133"/>
      <c r="AG987" s="133"/>
      <c r="AH987" s="133"/>
    </row>
    <row r="988">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c r="AC988" s="133"/>
      <c r="AD988" s="133"/>
      <c r="AE988" s="133"/>
      <c r="AF988" s="133"/>
      <c r="AG988" s="133"/>
      <c r="AH988" s="133"/>
    </row>
    <row r="989">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row>
    <row r="990">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c r="AC990" s="133"/>
      <c r="AD990" s="133"/>
      <c r="AE990" s="133"/>
      <c r="AF990" s="133"/>
      <c r="AG990" s="133"/>
      <c r="AH990" s="133"/>
    </row>
    <row r="991">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c r="AC991" s="133"/>
      <c r="AD991" s="133"/>
      <c r="AE991" s="133"/>
      <c r="AF991" s="133"/>
      <c r="AG991" s="133"/>
      <c r="AH991" s="133"/>
    </row>
    <row r="992">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c r="AB992" s="133"/>
      <c r="AC992" s="133"/>
      <c r="AD992" s="133"/>
      <c r="AE992" s="133"/>
      <c r="AF992" s="133"/>
      <c r="AG992" s="133"/>
      <c r="AH992" s="133"/>
    </row>
  </sheetData>
  <autoFilter ref="$A$2:$A$172">
    <sortState ref="A2:A172">
      <sortCondition ref="A2:A172"/>
    </sortState>
  </autoFilter>
  <hyperlinks>
    <hyperlink r:id="rId1" ref="C5"/>
    <hyperlink r:id="rId2" ref="C6"/>
    <hyperlink r:id="rId3" ref="C7"/>
    <hyperlink r:id="rId4" ref="C8"/>
    <hyperlink r:id="rId5" ref="C10"/>
    <hyperlink r:id="rId6" ref="C11"/>
    <hyperlink r:id="rId7" ref="C13"/>
    <hyperlink r:id="rId8" ref="C14"/>
    <hyperlink r:id="rId9" ref="C15"/>
    <hyperlink r:id="rId10" ref="C16"/>
    <hyperlink r:id="rId11" ref="C17"/>
    <hyperlink r:id="rId12" ref="C18"/>
    <hyperlink r:id="rId13" ref="C19"/>
    <hyperlink r:id="rId14" ref="C20"/>
    <hyperlink r:id="rId15" ref="C21"/>
    <hyperlink r:id="rId16" ref="C22"/>
    <hyperlink r:id="rId17" ref="C31"/>
    <hyperlink r:id="rId18" ref="B74"/>
  </hyperlinks>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34.13"/>
    <col customWidth="1" min="3" max="3" width="19.13"/>
    <col customWidth="1" min="4" max="4" width="33.88"/>
  </cols>
  <sheetData>
    <row r="1" ht="24.0" customHeight="1">
      <c r="A1" s="153" t="s">
        <v>1071</v>
      </c>
      <c r="B1" s="154" t="s">
        <v>1072</v>
      </c>
      <c r="C1" s="155" t="s">
        <v>1073</v>
      </c>
      <c r="D1" s="155" t="s">
        <v>3</v>
      </c>
    </row>
    <row r="2" ht="70.5" customHeight="1">
      <c r="A2" s="156" t="s">
        <v>1074</v>
      </c>
      <c r="B2" s="157" t="s">
        <v>1075</v>
      </c>
      <c r="C2" s="158" t="s">
        <v>1076</v>
      </c>
      <c r="D2" s="159"/>
    </row>
    <row r="3">
      <c r="A3" s="160" t="s">
        <v>1074</v>
      </c>
      <c r="B3" s="161" t="s">
        <v>1077</v>
      </c>
      <c r="C3" s="162" t="s">
        <v>1078</v>
      </c>
      <c r="D3" s="163"/>
    </row>
    <row r="4">
      <c r="A4" s="160" t="s">
        <v>1079</v>
      </c>
      <c r="B4" s="161" t="s">
        <v>1080</v>
      </c>
      <c r="C4" s="162" t="s">
        <v>1078</v>
      </c>
      <c r="D4" s="163"/>
    </row>
    <row r="5">
      <c r="A5" s="156" t="s">
        <v>909</v>
      </c>
      <c r="B5" s="161" t="s">
        <v>1081</v>
      </c>
      <c r="C5" s="162" t="s">
        <v>1078</v>
      </c>
      <c r="D5" s="163"/>
    </row>
    <row r="6">
      <c r="A6" s="160" t="s">
        <v>1082</v>
      </c>
      <c r="B6" s="161" t="s">
        <v>1083</v>
      </c>
      <c r="C6" s="162" t="s">
        <v>1078</v>
      </c>
      <c r="D6" s="163"/>
    </row>
    <row r="7">
      <c r="A7" s="156" t="s">
        <v>19</v>
      </c>
      <c r="B7" s="161"/>
      <c r="C7" s="162"/>
      <c r="D7" s="163"/>
    </row>
    <row r="8">
      <c r="A8" s="156" t="s">
        <v>1084</v>
      </c>
      <c r="B8" s="161" t="s">
        <v>1085</v>
      </c>
      <c r="C8" s="162" t="s">
        <v>1078</v>
      </c>
      <c r="D8" s="164"/>
    </row>
    <row r="9">
      <c r="A9" s="156" t="s">
        <v>1086</v>
      </c>
      <c r="B9" s="161" t="s">
        <v>1087</v>
      </c>
      <c r="C9" s="162" t="s">
        <v>1088</v>
      </c>
      <c r="D9" s="163"/>
    </row>
    <row r="10">
      <c r="A10" s="156" t="s">
        <v>816</v>
      </c>
      <c r="B10" s="165" t="s">
        <v>1089</v>
      </c>
      <c r="C10" s="162" t="s">
        <v>1088</v>
      </c>
      <c r="D10" s="163"/>
    </row>
    <row r="11">
      <c r="A11" s="156" t="s">
        <v>1090</v>
      </c>
      <c r="B11" s="161" t="s">
        <v>1091</v>
      </c>
      <c r="C11" s="162"/>
      <c r="D11" s="163"/>
    </row>
    <row r="12">
      <c r="A12" s="156" t="s">
        <v>1092</v>
      </c>
      <c r="B12" s="161" t="s">
        <v>1093</v>
      </c>
      <c r="C12" s="162" t="s">
        <v>1088</v>
      </c>
      <c r="D12" s="163"/>
    </row>
    <row r="13">
      <c r="A13" s="160" t="s">
        <v>1094</v>
      </c>
      <c r="B13" s="161" t="s">
        <v>1095</v>
      </c>
      <c r="C13" s="162" t="s">
        <v>1088</v>
      </c>
      <c r="D13" s="163"/>
    </row>
    <row r="14">
      <c r="A14" s="156" t="s">
        <v>14</v>
      </c>
      <c r="B14" s="165" t="s">
        <v>1096</v>
      </c>
      <c r="C14" s="162" t="s">
        <v>1088</v>
      </c>
      <c r="D14" s="163"/>
    </row>
    <row r="15">
      <c r="A15" s="156" t="s">
        <v>1097</v>
      </c>
      <c r="B15" s="161" t="s">
        <v>1098</v>
      </c>
      <c r="C15" s="162" t="s">
        <v>1078</v>
      </c>
      <c r="D15" s="163"/>
    </row>
    <row r="16">
      <c r="A16" s="166" t="s">
        <v>1099</v>
      </c>
      <c r="B16" s="167" t="s">
        <v>1100</v>
      </c>
      <c r="C16" s="162" t="s">
        <v>1076</v>
      </c>
      <c r="D16" s="163"/>
    </row>
    <row r="17">
      <c r="A17" s="166" t="s">
        <v>1101</v>
      </c>
      <c r="B17" s="161" t="s">
        <v>1102</v>
      </c>
      <c r="C17" s="162" t="s">
        <v>1088</v>
      </c>
      <c r="D17" s="163"/>
    </row>
    <row r="18">
      <c r="A18" s="156" t="s">
        <v>1103</v>
      </c>
      <c r="B18" s="161" t="s">
        <v>1091</v>
      </c>
      <c r="C18" s="162"/>
      <c r="D18" s="163"/>
    </row>
    <row r="19">
      <c r="A19" s="166" t="s">
        <v>1104</v>
      </c>
      <c r="B19" s="161" t="s">
        <v>1105</v>
      </c>
      <c r="C19" s="162" t="s">
        <v>1088</v>
      </c>
      <c r="D19" s="163"/>
    </row>
    <row r="20">
      <c r="A20" s="156" t="s">
        <v>1106</v>
      </c>
      <c r="B20" s="161" t="s">
        <v>1107</v>
      </c>
      <c r="C20" s="162" t="s">
        <v>1088</v>
      </c>
      <c r="D20" s="163"/>
    </row>
    <row r="21">
      <c r="A21" s="156" t="s">
        <v>1108</v>
      </c>
      <c r="B21" s="161" t="s">
        <v>1109</v>
      </c>
      <c r="C21" s="162" t="s">
        <v>1078</v>
      </c>
      <c r="D21" s="163"/>
    </row>
    <row r="22">
      <c r="A22" s="166" t="s">
        <v>1110</v>
      </c>
      <c r="B22" s="161" t="s">
        <v>1111</v>
      </c>
      <c r="C22" s="162" t="s">
        <v>1088</v>
      </c>
      <c r="D22" s="163"/>
    </row>
    <row r="23">
      <c r="A23" s="156" t="s">
        <v>1112</v>
      </c>
      <c r="B23" s="165" t="s">
        <v>1113</v>
      </c>
      <c r="C23" s="162" t="s">
        <v>1088</v>
      </c>
      <c r="D23" s="163"/>
    </row>
    <row r="24">
      <c r="A24" s="156" t="s">
        <v>1114</v>
      </c>
      <c r="B24" s="161" t="s">
        <v>1091</v>
      </c>
      <c r="C24" s="162"/>
      <c r="D24" s="163"/>
    </row>
    <row r="25">
      <c r="A25" s="168"/>
      <c r="B25" s="161"/>
      <c r="C25" s="162"/>
      <c r="D25" s="163"/>
    </row>
    <row r="26">
      <c r="A26" s="168"/>
      <c r="B26" s="161"/>
      <c r="C26" s="162"/>
      <c r="D26" s="163"/>
    </row>
    <row r="27">
      <c r="A27" s="168"/>
      <c r="B27" s="161"/>
      <c r="C27" s="162"/>
      <c r="D27" s="163"/>
    </row>
    <row r="28">
      <c r="A28" s="168"/>
      <c r="B28" s="161"/>
      <c r="C28" s="162"/>
      <c r="D28" s="163"/>
    </row>
    <row r="29">
      <c r="A29" s="168"/>
      <c r="B29" s="161"/>
      <c r="C29" s="162"/>
      <c r="D29" s="163"/>
    </row>
    <row r="30">
      <c r="A30" s="168"/>
      <c r="B30" s="161"/>
      <c r="C30" s="162"/>
      <c r="D30" s="163"/>
    </row>
    <row r="31">
      <c r="A31" s="168"/>
      <c r="B31" s="161"/>
      <c r="C31" s="162"/>
      <c r="D31" s="163"/>
    </row>
    <row r="32">
      <c r="A32" s="168"/>
      <c r="B32" s="161"/>
      <c r="C32" s="162"/>
      <c r="D32" s="163"/>
    </row>
    <row r="33">
      <c r="A33" s="168"/>
      <c r="B33" s="161"/>
      <c r="C33" s="162"/>
      <c r="D33" s="163"/>
    </row>
    <row r="34">
      <c r="A34" s="168"/>
      <c r="B34" s="161"/>
      <c r="C34" s="162"/>
      <c r="D34" s="163"/>
    </row>
    <row r="35">
      <c r="A35" s="168"/>
      <c r="B35" s="161"/>
      <c r="C35" s="162"/>
      <c r="D35" s="163"/>
    </row>
    <row r="36">
      <c r="A36" s="168"/>
      <c r="B36" s="161"/>
      <c r="C36" s="162"/>
      <c r="D36" s="163"/>
    </row>
    <row r="37">
      <c r="A37" s="168"/>
      <c r="B37" s="161"/>
      <c r="C37" s="162"/>
      <c r="D37" s="163"/>
    </row>
    <row r="38">
      <c r="A38" s="168"/>
      <c r="B38" s="161"/>
      <c r="C38" s="162"/>
      <c r="D38" s="163"/>
    </row>
    <row r="39">
      <c r="A39" s="168"/>
      <c r="B39" s="169"/>
      <c r="C39" s="169"/>
      <c r="D39" s="170"/>
    </row>
    <row r="40">
      <c r="A40" s="168"/>
      <c r="B40" s="169"/>
      <c r="C40" s="169"/>
      <c r="D40" s="170"/>
    </row>
    <row r="41">
      <c r="A41" s="168"/>
      <c r="B41" s="169"/>
      <c r="C41" s="169"/>
      <c r="D41" s="170"/>
    </row>
    <row r="42">
      <c r="A42" s="168"/>
      <c r="B42" s="169"/>
      <c r="C42" s="169"/>
      <c r="D42" s="170"/>
    </row>
    <row r="43">
      <c r="A43" s="168"/>
      <c r="B43" s="169"/>
      <c r="C43" s="169"/>
      <c r="D43" s="170"/>
    </row>
    <row r="44">
      <c r="A44" s="168"/>
      <c r="B44" s="169"/>
      <c r="C44" s="169"/>
      <c r="D44" s="170"/>
    </row>
    <row r="45">
      <c r="A45" s="168"/>
      <c r="B45" s="169"/>
      <c r="C45" s="169"/>
      <c r="D45" s="170"/>
    </row>
    <row r="46">
      <c r="A46" s="168"/>
      <c r="B46" s="169"/>
      <c r="C46" s="169"/>
      <c r="D46" s="170"/>
    </row>
    <row r="47">
      <c r="A47" s="168"/>
      <c r="B47" s="169"/>
      <c r="C47" s="169"/>
      <c r="D47" s="170"/>
    </row>
    <row r="48">
      <c r="A48" s="168"/>
      <c r="B48" s="169"/>
      <c r="C48" s="169"/>
      <c r="D48" s="170"/>
    </row>
    <row r="49">
      <c r="A49" s="168"/>
      <c r="B49" s="169"/>
      <c r="C49" s="169"/>
      <c r="D49" s="170"/>
    </row>
    <row r="50">
      <c r="A50" s="168"/>
      <c r="B50" s="169"/>
      <c r="C50" s="169"/>
      <c r="D50" s="170"/>
    </row>
    <row r="51">
      <c r="A51" s="168"/>
      <c r="B51" s="169"/>
      <c r="C51" s="169"/>
      <c r="D51" s="170"/>
    </row>
    <row r="52">
      <c r="A52" s="168"/>
      <c r="B52" s="169"/>
      <c r="C52" s="169"/>
      <c r="D52" s="170"/>
    </row>
  </sheetData>
  <autoFilter ref="$A$1:$D$24">
    <sortState ref="A1:D24">
      <sortCondition ref="A1:A24"/>
    </sortState>
  </autoFilter>
  <dataValidations>
    <dataValidation type="list" allowBlank="1" showErrorMessage="1" sqref="C2:C24">
      <formula1>"dicio arq fe,dicio arqui fe,pada"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88"/>
    <col customWidth="1" min="2" max="2" width="44.25"/>
    <col customWidth="1" hidden="1" min="3" max="3" width="21.38"/>
    <col customWidth="1" min="4" max="4" width="19.75"/>
    <col customWidth="1" min="5" max="5" width="23.75"/>
  </cols>
  <sheetData>
    <row r="1">
      <c r="A1" s="171" t="s">
        <v>1094</v>
      </c>
      <c r="B1" s="172" t="s">
        <v>1115</v>
      </c>
      <c r="C1" s="172" t="s">
        <v>1116</v>
      </c>
      <c r="D1" s="172" t="s">
        <v>1117</v>
      </c>
      <c r="E1" s="172" t="s">
        <v>1118</v>
      </c>
    </row>
    <row r="2">
      <c r="A2" s="173" t="s">
        <v>1119</v>
      </c>
      <c r="B2" s="171" t="s">
        <v>1120</v>
      </c>
      <c r="C2" s="174" t="s">
        <v>1121</v>
      </c>
      <c r="D2" s="171" t="s">
        <v>1122</v>
      </c>
      <c r="E2" s="171">
        <v>28675.0</v>
      </c>
    </row>
    <row r="3">
      <c r="B3" s="171" t="s">
        <v>1123</v>
      </c>
      <c r="C3" s="174" t="s">
        <v>189</v>
      </c>
      <c r="D3" s="171" t="s">
        <v>1124</v>
      </c>
      <c r="E3" s="171">
        <v>9342.0</v>
      </c>
    </row>
    <row r="4">
      <c r="B4" s="175" t="s">
        <v>1125</v>
      </c>
      <c r="C4" s="174" t="s">
        <v>1126</v>
      </c>
      <c r="D4" s="171" t="s">
        <v>1127</v>
      </c>
      <c r="E4" s="171">
        <v>592.0</v>
      </c>
    </row>
    <row r="5">
      <c r="B5" s="171" t="s">
        <v>1128</v>
      </c>
      <c r="C5" s="174" t="s">
        <v>189</v>
      </c>
      <c r="D5" s="171" t="s">
        <v>1129</v>
      </c>
      <c r="E5" s="171">
        <v>314.0</v>
      </c>
    </row>
    <row r="6">
      <c r="B6" s="171" t="s">
        <v>1130</v>
      </c>
      <c r="C6" s="174" t="s">
        <v>1121</v>
      </c>
      <c r="D6" s="171" t="s">
        <v>1131</v>
      </c>
      <c r="E6" s="171">
        <v>25729.0</v>
      </c>
    </row>
    <row r="7">
      <c r="B7" s="171" t="s">
        <v>1132</v>
      </c>
      <c r="C7" s="174" t="s">
        <v>189</v>
      </c>
      <c r="D7" s="176" t="s">
        <v>1133</v>
      </c>
      <c r="E7" s="171">
        <v>100.0</v>
      </c>
    </row>
    <row r="8">
      <c r="B8" s="171" t="s">
        <v>1134</v>
      </c>
      <c r="C8" s="174" t="s">
        <v>1121</v>
      </c>
      <c r="D8" s="176" t="s">
        <v>1133</v>
      </c>
      <c r="E8" s="171">
        <v>28800.0</v>
      </c>
    </row>
    <row r="9">
      <c r="B9" s="177" t="s">
        <v>1135</v>
      </c>
      <c r="C9" s="178" t="s">
        <v>1136</v>
      </c>
      <c r="D9" s="176" t="s">
        <v>1133</v>
      </c>
      <c r="E9" s="171">
        <v>890.0</v>
      </c>
    </row>
    <row r="10">
      <c r="A10" s="179" t="s">
        <v>1137</v>
      </c>
      <c r="E10" s="180">
        <f>SUM(E2:E9)</f>
        <v>94442</v>
      </c>
    </row>
    <row r="11">
      <c r="A11" s="181" t="s">
        <v>1138</v>
      </c>
    </row>
    <row r="12">
      <c r="A12" s="181" t="s">
        <v>1139</v>
      </c>
    </row>
    <row r="13">
      <c r="A13" s="171"/>
      <c r="B13" s="174"/>
      <c r="C13" s="171"/>
    </row>
    <row r="26">
      <c r="A26" s="172" t="s">
        <v>1140</v>
      </c>
      <c r="B26" s="172" t="s">
        <v>1141</v>
      </c>
      <c r="D26" s="182" t="s">
        <v>1142</v>
      </c>
      <c r="E26" s="183" t="s">
        <v>1143</v>
      </c>
    </row>
    <row r="27">
      <c r="A27" s="171" t="s">
        <v>1144</v>
      </c>
      <c r="B27" s="174" t="s">
        <v>1116</v>
      </c>
      <c r="D27" s="184" t="s">
        <v>1145</v>
      </c>
    </row>
    <row r="28">
      <c r="A28" s="171" t="s">
        <v>1146</v>
      </c>
      <c r="B28" s="174" t="s">
        <v>1147</v>
      </c>
    </row>
    <row r="29">
      <c r="A29" s="171" t="s">
        <v>1148</v>
      </c>
      <c r="B29" s="174" t="s">
        <v>1149</v>
      </c>
    </row>
    <row r="30">
      <c r="A30" s="171" t="s">
        <v>1150</v>
      </c>
      <c r="B30" s="174" t="s">
        <v>1151</v>
      </c>
    </row>
    <row r="31">
      <c r="A31" s="171" t="s">
        <v>1152</v>
      </c>
      <c r="B31" s="174" t="s">
        <v>1153</v>
      </c>
    </row>
    <row r="32">
      <c r="A32" s="171" t="s">
        <v>1154</v>
      </c>
    </row>
    <row r="34">
      <c r="B34" s="172" t="s">
        <v>1155</v>
      </c>
    </row>
    <row r="35">
      <c r="B35" s="171" t="s">
        <v>1094</v>
      </c>
    </row>
    <row r="36">
      <c r="B36" s="171" t="s">
        <v>1156</v>
      </c>
    </row>
    <row r="37">
      <c r="B37" s="171" t="s">
        <v>1157</v>
      </c>
    </row>
    <row r="38">
      <c r="B38" s="171" t="s">
        <v>1158</v>
      </c>
    </row>
    <row r="39">
      <c r="B39" s="171" t="s">
        <v>1146</v>
      </c>
    </row>
    <row r="40">
      <c r="B40" s="171" t="s">
        <v>1159</v>
      </c>
    </row>
    <row r="41">
      <c r="B41" s="171" t="s">
        <v>1160</v>
      </c>
    </row>
    <row r="42">
      <c r="B42" s="171" t="s">
        <v>1161</v>
      </c>
    </row>
    <row r="43">
      <c r="B43" s="171" t="s">
        <v>1162</v>
      </c>
    </row>
    <row r="44">
      <c r="B44" s="171" t="s">
        <v>1163</v>
      </c>
    </row>
  </sheetData>
  <autoFilter ref="$A$1:$E$12">
    <sortState ref="A1:E12">
      <sortCondition ref="D1:D12"/>
    </sortState>
  </autoFilter>
  <mergeCells count="2">
    <mergeCell ref="A2:A9"/>
    <mergeCell ref="A10:D10"/>
  </mergeCells>
  <hyperlinks>
    <hyperlink r:id="rId1" ref="E26"/>
  </hyperlinks>
  <printOptions gridLines="1" horizontalCentered="1"/>
  <pageMargins bottom="0.75" footer="0.0" header="0.0" left="0.7" right="0.7" top="0.75"/>
  <pageSetup fitToHeight="0" paperSize="9" cellComments="atEnd" orientation="landscape" pageOrder="overThenDown"/>
  <drawing r:id="rId2"/>
</worksheet>
</file>