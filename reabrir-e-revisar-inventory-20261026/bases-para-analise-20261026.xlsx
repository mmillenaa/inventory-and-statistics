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19a75c2295f48d8" /></Relationships>
</file>

<file path=xl/workbook.xml><?xml version="1.0" encoding="utf-8"?>
<x:workbook xmlns:x="http://schemas.openxmlformats.org/spreadsheetml/2006/main">
  <x:sheets>
    <x:sheet xmlns:r="http://schemas.openxmlformats.org/officeDocument/2006/relationships" name="Resumo" sheetId="1" r:id="Ra749b1536d6f427e"/>
    <x:sheet xmlns:r="http://schemas.openxmlformats.org/officeDocument/2006/relationships" name="Inventario" sheetId="2" r:id="R3d7f792d4d124973"/>
    <x:sheet xmlns:r="http://schemas.openxmlformats.org/officeDocument/2006/relationships" name="Mapeamentos" sheetId="3" r:id="R4be06f828186463b"/>
    <x:sheet xmlns:r="http://schemas.openxmlformats.org/officeDocument/2006/relationships" name="Representacoes" sheetId="4" r:id="Rf56443fc39574295"/>
    <x:sheet xmlns:r="http://schemas.openxmlformats.org/officeDocument/2006/relationships" name="Checagens" sheetId="5" r:id="R84487d620c344e69"/>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
  </x:numFmts>
  <x:fonts count="7">
    <x:font>
      <x:sz val="11"/>
      <x:name val="Carlito"/>
    </x:font>
    <x:font>
      <x:sz val="10"/>
      <x:name val="Arial"/>
    </x:font>
    <x:font>
      <x:b/>
      <x:sz val="10"/>
      <x:color rgb="FFFFFFFF"/>
      <x:name val="Arial"/>
    </x:font>
    <x:font>
      <x:b/>
      <x:sz val="14"/>
      <x:name val="Arial"/>
    </x:font>
    <x:font>
      <x:b/>
      <x:sz val="10"/>
      <x:name val="Arial"/>
    </x:font>
    <x:font>
      <x:b/>
      <x:sz val="12"/>
      <x:name val="Arial"/>
    </x:font>
    <x:font>
      <x:sz val="11"/>
      <x:name val="Arial"/>
    </x:font>
  </x:fonts>
  <x:fills count="3">
    <x:fill>
      <x:patternFill patternType="none"/>
    </x:fill>
    <x:fill>
      <x:patternFill patternType="gray125"/>
    </x:fill>
    <x:fill>
      <x:patternFill patternType="solid">
        <x:fgColor rgb="FF243746"/>
      </x:patternFill>
    </x:fill>
  </x:fills>
  <x:borders count="1">
    <x:border>
      <x:left/>
      <x:right/>
      <x:top/>
      <x:bottom/>
      <x:diagonal/>
    </x:border>
  </x:borders>
  <x:cellStyleXfs count="1">
    <x:xf numFmtId="0" fontId="0" fillId="0" borderId="0"/>
  </x:cellStyleXfs>
  <x:cellXfs count="19">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200" fontId="1" fillId="0" borderId="0" xfId="0" applyNumberFormat="1" applyFont="1" applyFill="1" applyBorder="1"/>
    <x:xf numFmtId="0" fontId="1" fillId="0" borderId="0" xfId="0" applyNumberFormat="1" applyFont="1" applyFill="1" applyBorder="1" applyAlignment="1">
      <x:alignment wrapText="1"/>
    </x:xf>
    <x:xf numFmtId="20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0" fontId="3" fillId="0" borderId="0" xfId="0" applyNumberFormat="1" applyFont="1" applyFill="1" applyBorder="1"/>
    <x:xf numFmtId="0" fontId="0" fillId="2" borderId="0" xfId="0" applyNumberFormat="1" applyFont="1" applyFill="1" applyBorder="1"/>
    <x:xf numFmtId="0" fontId="4" fillId="0" borderId="0" xfId="0" applyNumberFormat="1" applyFont="1" applyFill="1" applyBorder="1"/>
    <x:xf numFmtId="0" fontId="5" fillId="0" borderId="0" xfId="0" applyNumberFormat="1" applyFont="1" applyFill="1" applyBorder="1"/>
    <x:xf numFmtId="0" fontId="6" fillId="0" borderId="0" xfId="0" applyNumberFormat="1" applyFont="1" applyFill="1" applyBorder="1"/>
    <x:xf numFmtId="201" fontId="1" fillId="0" borderId="0" xfId="0" applyNumberFormat="1" applyFont="1" applyFill="1" applyBorder="1"/>
    <x:xf numFmtId="201" fontId="4"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966baf617804d9f" /><Relationship Type="http://schemas.openxmlformats.org/officeDocument/2006/relationships/theme" Target="/xl/theme/theme1.xml" Id="Rb5b804805994460c" /><Relationship Type="http://schemas.openxmlformats.org/officeDocument/2006/relationships/sharedStrings" Target="/xl/sharedStrings.xml" Id="R7af1b771453f40e4" /><Relationship Type="http://schemas.openxmlformats.org/officeDocument/2006/relationships/worksheet" Target="/xl/worksheets/sheet1.xml" Id="Ra749b1536d6f427e" /><Relationship Type="http://schemas.openxmlformats.org/officeDocument/2006/relationships/worksheet" Target="/xl/worksheets/sheet2.xml" Id="R3d7f792d4d124973" /><Relationship Type="http://schemas.openxmlformats.org/officeDocument/2006/relationships/worksheet" Target="/xl/worksheets/sheet3.xml" Id="R4be06f828186463b" /><Relationship Type="http://schemas.openxmlformats.org/officeDocument/2006/relationships/worksheet" Target="/xl/worksheets/sheet4.xml" Id="Rf56443fc39574295" /><Relationship Type="http://schemas.openxmlformats.org/officeDocument/2006/relationships/worksheet" Target="/xl/worksheets/sheet5.xml" Id="R84487d620c344e69" /></Relationships>
</file>

<file path=xl/tables/table1.xml><?xml version="1.0" encoding="utf-8"?>
<x:table xmlns:x="http://schemas.openxmlformats.org/spreadsheetml/2006/main" id="1" name="InventarioDados" displayName="InventarioDados" ref="A1:AC349" headerRowCount="1" totalsRowCount="0" totalsRowShown="0">
  <x:tableColumns count="29">
    <x:tableColumn id="1" name="Identificador local"/>
    <x:tableColumn id="2" name="Título (Busca)"/>
    <x:tableColumn id="3" name="Nível de descrição"/>
    <x:tableColumn id="4" name="Data (Busca)"/>
    <x:tableColumn id="5" name="Tamanho / Duração"/>
    <x:tableColumn id="6" name="Suporte"/>
    <x:tableColumn id="7" name="Local"/>
    <x:tableColumn id="8" name="Autor / Responsável"/>
    <x:tableColumn id="9" name="Catálogo temático"/>
    <x:tableColumn id="10" name="Localização"/>
    <x:tableColumn id="11" name="Código de referência"/>
    <x:tableColumn id="12" name="História arquivística"/>
    <x:tableColumn id="13" name="Conteúdo (Busca)"/>
    <x:tableColumn id="14" name="Condições de acesso e reprodução"/>
    <x:tableColumn id="15" name="Palavras-chave"/>
    <x:tableColumn id="16" name="Gênero declarado"/>
    <x:tableColumn id="17" name="Técnica declarada"/>
    <x:tableColumn id="18" name="Legenda para publicações"/>
    <x:tableColumn id="19" name="Citação ABNT"/>
    <x:tableColumn id="20" name="Notas (Busca)"/>
    <x:tableColumn id="21" name="Gênero documental"/>
    <x:tableColumn id="22" name="Espécie/Tipo documental"/>
    <x:tableColumn id="23" name="Técnica de registro"/>
    <x:tableColumn id="24" name="Forma documental"/>
    <x:tableColumn id="25" name="Arquivo_origem"/>
    <x:tableColumn id="26" name="Aba_origem"/>
    <x:tableColumn id="27" name="Linha_origem"/>
    <x:tableColumn id="28" name="Registro_ID"/>
    <x:tableColumn id="29" name="Metadados preenchidos"/>
  </x:tableColumns>
  <x:tableStyleInfo name="TableStyleMedium2" showFirstColumn="0" showLastColumn="0" showRowStripes="1" showColumnStripes="0"/>
</x:table>
</file>

<file path=xl/tables/table2.xml><?xml version="1.0" encoding="utf-8"?>
<x:table xmlns:x="http://schemas.openxmlformats.org/spreadsheetml/2006/main" id="2" name="MapeamentosDados" displayName="MapeamentosDados" ref="A1:X561" headerRowCount="1" totalsRowCount="0" totalsRowShown="0">
  <x:tableColumns count="24">
    <x:tableColumn id="1" name="Nome da iniciativa"/>
    <x:tableColumn id="2" name="Finalidade primária"/>
    <x:tableColumn id="3" name="Intervenção"/>
    <x:tableColumn id="4" name="Abrangência"/>
    <x:tableColumn id="5" name="Modalidade"/>
    <x:tableColumn id="6" name="Data"/>
    <x:tableColumn id="7" name="Ano"/>
    <x:tableColumn id="8" name="Local"/>
    <x:tableColumn id="9" name="Proponente"/>
    <x:tableColumn id="10" name="Título do documento"/>
    <x:tableColumn id="11" name="Gênero documental"/>
    <x:tableColumn id="12" name="Técnica de registro"/>
    <x:tableColumn id="13" name="Fonte / Origem"/>
    <x:tableColumn id="14" name="Idioma"/>
    <x:tableColumn id="15" name="Chave de busca"/>
    <x:tableColumn id="16" name="Data de acesso"/>
    <x:tableColumn id="17" name="Disponibilidade"/>
    <x:tableColumn id="18" name="Link"/>
    <x:tableColumn id="19" name="Citação ABNT"/>
    <x:tableColumn id="20" name="Arquivo_origem"/>
    <x:tableColumn id="21" name="Aba_origem"/>
    <x:tableColumn id="22" name="Linha_origem"/>
    <x:tableColumn id="23" name="Registro_ID"/>
    <x:tableColumn id="24" name="Metadados preenchidos"/>
  </x:tableColumns>
  <x:tableStyleInfo name="TableStyleMedium2" showFirstColumn="0" showLastColumn="0" showRowStripes="1" showColumnStripes="0"/>
</x:table>
</file>

<file path=xl/tables/table3.xml><?xml version="1.0" encoding="utf-8"?>
<x:table xmlns:x="http://schemas.openxmlformats.org/spreadsheetml/2006/main" id="3" name="RepresentacoesDados" displayName="RepresentacoesDados" ref="A1:J575" headerRowCount="1" totalsRowCount="0" totalsRowShown="0">
  <x:tableColumns count="10">
    <x:tableColumn id="1" name="Arquivo_origem"/>
    <x:tableColumn id="2" name="Aba_origem"/>
    <x:tableColumn id="3" name="Linha_origem"/>
    <x:tableColumn id="4" name="Representação_ID"/>
    <x:tableColumn id="5" name="Referência do arquivo"/>
    <x:tableColumn id="6" name="Subconjunto documental"/>
    <x:tableColumn id="7" name="Gênero documental"/>
    <x:tableColumn id="8" name="Espécie/Tipo documental"/>
    <x:tableColumn id="9" name="Técnica de registro"/>
    <x:tableColumn id="10" name="Forma documental"/>
  </x:tableColumns>
  <x:tableStyleInfo name="TableStyleMedium2" showFirstColumn="0" showLastColumn="0" showRowStripes="1" showColumnStripes="0"/>
</x:table>
</file>

<file path=xl/tables/table4.xml><?xml version="1.0" encoding="utf-8"?>
<x:table xmlns:x="http://schemas.openxmlformats.org/spreadsheetml/2006/main" id="4" name="ChecagensDados" displayName="ChecagensDados" ref="A1:F682" headerRowCount="1" totalsRowCount="0" totalsRowShown="0">
  <x:tableColumns count="6">
    <x:tableColumn id="1" name="Arquivo"/>
    <x:tableColumn id="2" name="Aba"/>
    <x:tableColumn id="3" name="Célula"/>
    <x:tableColumn id="4" name="Problema"/>
    <x:tableColumn id="5" name="Valor original"/>
    <x:tableColumn id="6" name="Encaminhamento"/>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37f80140afe40c8" /></Relationships>
</file>

<file path=xl/worksheets/_rels/sheet3.xml.rels>&#65279;<?xml version="1.0" encoding="utf-8"?><Relationships xmlns="http://schemas.openxmlformats.org/package/2006/relationships"><Relationship Type="http://schemas.openxmlformats.org/officeDocument/2006/relationships/table" Target="/xl/tables/table2.xml" Id="R7db41f39093a45c7" /></Relationships>
</file>

<file path=xl/worksheets/_rels/sheet4.xml.rels>&#65279;<?xml version="1.0" encoding="utf-8"?><Relationships xmlns="http://schemas.openxmlformats.org/package/2006/relationships"><Relationship Type="http://schemas.openxmlformats.org/officeDocument/2006/relationships/table" Target="/xl/tables/table3.xml" Id="R6774ebf9c66c41d6" /></Relationships>
</file>

<file path=xl/worksheets/_rels/sheet5.xml.rels>&#65279;<?xml version="1.0" encoding="utf-8"?><Relationships xmlns="http://schemas.openxmlformats.org/package/2006/relationships"><Relationship Type="http://schemas.openxmlformats.org/officeDocument/2006/relationships/table" Target="/xl/tables/table4.xml" Id="R716adf1fb7744323" /></Relationships>
</file>

<file path=xl/worksheets/sheet1.xml><?xml version="1.0" encoding="utf-8"?>
<x:worksheet xmlns:x="http://schemas.openxmlformats.org/spreadsheetml/2006/main">
  <x:sheetPr>
    <x:tabColor rgb="FF243746"/>
  </x:sheetPr>
  <x:sheetViews>
    <x:sheetView showGridLines="0" workbookViewId="0"/>
  </x:sheetViews>
  <x:sheetFormatPr defaultRowHeight="15"/>
  <x:cols>
    <x:col min="1" max="1" width="90" hidden="0" customWidth="1"/>
    <x:col min="2" max="2" width="21" hidden="0" customWidth="1"/>
    <x:col min="3" max="3" width="21" hidden="0" customWidth="1"/>
    <x:col min="4" max="4" width="21" hidden="0" customWidth="1"/>
    <x:col min="5" max="5" width="21" hidden="0" customWidth="1"/>
    <x:col min="6" max="6" width="21" hidden="0" customWidth="1"/>
  </x:cols>
  <x:sheetData>
    <x:row r="1">
      <x:c r="A1" s="1"/>
      <x:c r="B1" s="1"/>
      <x:c r="C1" s="1"/>
      <x:c r="D1" s="1"/>
      <x:c r="E1" s="1"/>
      <x:c r="F1" s="1"/>
    </x:row>
    <x:row r="2">
      <x:c r="A2" s="12" t="str">
        <x:v>Conferência das bases para análise</x:v>
      </x:c>
      <x:c r="B2" s="1"/>
      <x:c r="C2" s="1"/>
      <x:c r="D2" s="1"/>
      <x:c r="E2" s="1"/>
      <x:c r="F2" s="1"/>
    </x:row>
    <x:row r="3" ht="24" customHeight="1">
      <x:c r="A3" s="1" t="str">
        <x:v>Cópia tabular de 26/10/2026. Os oito XLSX originais foram preservados.</x:v>
      </x:c>
      <x:c r="B3" s="1"/>
      <x:c r="C3" s="1"/>
      <x:c r="D3" s="1"/>
      <x:c r="E3" s="1"/>
      <x:c r="F3" s="1"/>
    </x:row>
    <x:row r="4" ht="24" customHeight="1">
      <x:c r="A4" s="1" t="str">
        <x:v>Classificações divergentes permanecem para revisão em Checagens. A cópia usa os resultados salvos das fórmulas de origem.</x:v>
      </x:c>
      <x:c r="B4" s="1"/>
      <x:c r="C4" s="1"/>
      <x:c r="D4" s="1"/>
      <x:c r="E4" s="1"/>
      <x:c r="F4" s="1"/>
    </x:row>
    <x:row r="5">
      <x:c r="A5" s="1"/>
      <x:c r="B5" s="1"/>
      <x:c r="C5" s="1"/>
      <x:c r="D5" s="1"/>
      <x:c r="E5" s="1"/>
      <x:c r="F5" s="1"/>
    </x:row>
    <x:row r="6" ht="40" customHeight="1">
      <x:c r="A6" s="5" t="str">
        <x:v>Arquivo</x:v>
      </x:c>
      <x:c r="B6" s="5" t="str">
        <x:v>Descrições</x:v>
      </x:c>
      <x:c r="C6" s="5" t="str">
        <x:v>Mapeamentos</x:v>
      </x:c>
      <x:c r="D6" s="5" t="str">
        <x:v>Representações</x:v>
      </x:c>
      <x:c r="E6" s="5" t="str">
        <x:v>Metadados de origem</x:v>
      </x:c>
      <x:c r="F6" s="5" t="str">
        <x:v>Linhas sem iniciativa</x:v>
      </x:c>
    </x:row>
    <x:row r="7" ht="27" customHeight="1">
      <x:c r="A7" s="1" t="str">
        <x:v>BR-SPAPESP_CPOS-PLNCARANDIRU.xlsx</x:v>
      </x:c>
      <x:c r="B7" s="17" t="n">
        <x:f>COUNTIFS('Inventario'!$Y$2:$Y$349,A7)</x:f>
        <x:v>13</x:v>
      </x:c>
      <x:c r="C7" s="17" t="n">
        <x:f>COUNTIFS('Mapeamentos'!$T$2:$T$561,A7)</x:f>
        <x:v>0</x:v>
      </x:c>
      <x:c r="D7" s="17" t="n">
        <x:f>COUNTIFS('Representacoes'!$A$2:$A$575,A7)</x:f>
        <x:v>13</x:v>
      </x:c>
      <x:c r="E7" s="17" t="n">
        <x:f>SUMIFS('Inventario'!$AC$2:$AC$349,'Inventario'!$Y$2:$Y$349,A7)+SUMIFS('Mapeamentos'!$X$2:$X$561,'Mapeamentos'!$T$2:$T$561,A7)</x:f>
        <x:v>260</x:v>
      </x:c>
      <x:c r="F7" s="17" t="n">
        <x:v>0</x:v>
      </x:c>
    </x:row>
    <x:row r="8" ht="27" customHeight="1">
      <x:c r="A8" s="1" t="str">
        <x:v>BR-SPAPESP_DASP-PENITPRE-CSDTCARANDIRU.xlsx</x:v>
      </x:c>
      <x:c r="B8" s="17" t="n">
        <x:f>COUNTIFS('Inventario'!$Y$2:$Y$349,A8)</x:f>
        <x:v>183</x:v>
      </x:c>
      <x:c r="C8" s="17" t="n">
        <x:f>COUNTIFS('Mapeamentos'!$T$2:$T$561,A8)</x:f>
        <x:v>0</x:v>
      </x:c>
      <x:c r="D8" s="17" t="n">
        <x:f>COUNTIFS('Representacoes'!$A$2:$A$575,A8)</x:f>
        <x:v>365</x:v>
      </x:c>
      <x:c r="E8" s="17" t="n">
        <x:f>SUMIFS('Inventario'!$AC$2:$AC$349,'Inventario'!$Y$2:$Y$349,A8)+SUMIFS('Mapeamentos'!$X$2:$X$561,'Mapeamentos'!$T$2:$T$561,A8)</x:f>
        <x:v>3660</x:v>
      </x:c>
      <x:c r="F8" s="17" t="n">
        <x:v>0</x:v>
      </x:c>
    </x:row>
    <x:row r="9" ht="27" customHeight="1">
      <x:c r="A9" s="1" t="str">
        <x:v>BR-SPCARANDIRU_ARCOENGE-DEMOLICAO-CSDTCARANDIRU.xlsx</x:v>
      </x:c>
      <x:c r="B9" s="17" t="n">
        <x:f>COUNTIFS('Inventario'!$Y$2:$Y$349,A9)</x:f>
        <x:v>111</x:v>
      </x:c>
      <x:c r="C9" s="17" t="n">
        <x:f>COUNTIFS('Mapeamentos'!$T$2:$T$561,A9)</x:f>
        <x:v>0</x:v>
      </x:c>
      <x:c r="D9" s="17" t="n">
        <x:f>COUNTIFS('Representacoes'!$A$2:$A$575,A9)</x:f>
        <x:v>111</x:v>
      </x:c>
      <x:c r="E9" s="17" t="n">
        <x:f>SUMIFS('Inventario'!$AC$2:$AC$349,'Inventario'!$Y$2:$Y$349,A9)+SUMIFS('Mapeamentos'!$X$2:$X$561,'Mapeamentos'!$T$2:$T$561,A9)</x:f>
        <x:v>2220</x:v>
      </x:c>
      <x:c r="F9" s="17" t="n">
        <x:v>0</x:v>
      </x:c>
    </x:row>
    <x:row r="10" ht="27" customHeight="1">
      <x:c r="A10" s="1" t="str">
        <x:v>BR-SPCARANDIRU_ARCOENGE-MASSACRE-CSDTCARANDIRU.xlsx</x:v>
      </x:c>
      <x:c r="B10" s="17" t="n">
        <x:f>COUNTIFS('Inventario'!$Y$2:$Y$349,A10)</x:f>
        <x:v>2</x:v>
      </x:c>
      <x:c r="C10" s="17" t="n">
        <x:f>COUNTIFS('Mapeamentos'!$T$2:$T$561,A10)</x:f>
        <x:v>0</x:v>
      </x:c>
      <x:c r="D10" s="17" t="n">
        <x:f>COUNTIFS('Representacoes'!$A$2:$A$575,A10)</x:f>
        <x:v>2</x:v>
      </x:c>
      <x:c r="E10" s="17" t="n">
        <x:f>SUMIFS('Inventario'!$AC$2:$AC$349,'Inventario'!$Y$2:$Y$349,A10)+SUMIFS('Mapeamentos'!$X$2:$X$561,'Mapeamentos'!$T$2:$T$561,A10)</x:f>
        <x:v>40</x:v>
      </x:c>
      <x:c r="F10" s="17" t="n">
        <x:v>0</x:v>
      </x:c>
    </x:row>
    <x:row r="11" ht="27" customHeight="1">
      <x:c r="A11" s="1" t="str">
        <x:v>BR-SPCARANDIRU_ARCOENGE-NOTDEMOLI-CSDTCARANDIRU.xlsx</x:v>
      </x:c>
      <x:c r="B11" s="17" t="n">
        <x:f>COUNTIFS('Inventario'!$Y$2:$Y$349,A11)</x:f>
        <x:v>33</x:v>
      </x:c>
      <x:c r="C11" s="17" t="n">
        <x:f>COUNTIFS('Mapeamentos'!$T$2:$T$561,A11)</x:f>
        <x:v>0</x:v>
      </x:c>
      <x:c r="D11" s="17" t="n">
        <x:f>COUNTIFS('Representacoes'!$A$2:$A$575,A11)</x:f>
        <x:v>44</x:v>
      </x:c>
      <x:c r="E11" s="17" t="n">
        <x:f>SUMIFS('Inventario'!$AC$2:$AC$349,'Inventario'!$Y$2:$Y$349,A11)+SUMIFS('Mapeamentos'!$X$2:$X$561,'Mapeamentos'!$T$2:$T$561,A11)</x:f>
        <x:v>658</x:v>
      </x:c>
      <x:c r="F11" s="17" t="n">
        <x:v>0</x:v>
      </x:c>
    </x:row>
    <x:row r="12" ht="27" customHeight="1">
      <x:c r="A12" s="1" t="str">
        <x:v>BR-SPCARANDIRU_FILMES-CSDTCARANDIRU.xlsx</x:v>
      </x:c>
      <x:c r="B12" s="17" t="n">
        <x:f>COUNTIFS('Inventario'!$Y$2:$Y$349,A12)</x:f>
        <x:v>6</x:v>
      </x:c>
      <x:c r="C12" s="17" t="n">
        <x:f>COUNTIFS('Mapeamentos'!$T$2:$T$561,A12)</x:f>
        <x:v>0</x:v>
      </x:c>
      <x:c r="D12" s="17" t="n">
        <x:f>COUNTIFS('Representacoes'!$A$2:$A$575,A12)</x:f>
        <x:v>39</x:v>
      </x:c>
      <x:c r="E12" s="17" t="n">
        <x:f>SUMIFS('Inventario'!$AC$2:$AC$349,'Inventario'!$Y$2:$Y$349,A12)+SUMIFS('Mapeamentos'!$X$2:$X$561,'Mapeamentos'!$T$2:$T$561,A12)</x:f>
        <x:v>119</x:v>
      </x:c>
      <x:c r="F12" s="17" t="n">
        <x:v>0</x:v>
      </x:c>
    </x:row>
    <x:row r="13" ht="27" customHeight="1">
      <x:c r="A13" s="1" t="str">
        <x:v>BR-SPCARANDIRU_MAPEAMENTOS-REMEMORA-CARANDIRU.xlsx</x:v>
      </x:c>
      <x:c r="B13" s="17" t="n">
        <x:f>COUNTIFS('Inventario'!$Y$2:$Y$349,A13)</x:f>
        <x:v>0</x:v>
      </x:c>
      <x:c r="C13" s="17" t="n">
        <x:f>COUNTIFS('Mapeamentos'!$T$2:$T$561,A13)</x:f>
        <x:v>256</x:v>
      </x:c>
      <x:c r="D13" s="17" t="n">
        <x:f>COUNTIFS('Representacoes'!$A$2:$A$575,A13)</x:f>
        <x:v>0</x:v>
      </x:c>
      <x:c r="E13" s="17" t="n">
        <x:f>SUMIFS('Inventario'!$AC$2:$AC$349,'Inventario'!$Y$2:$Y$349,A13)+SUMIFS('Mapeamentos'!$X$2:$X$561,'Mapeamentos'!$T$2:$T$561,A13)</x:f>
        <x:v>4480</x:v>
      </x:c>
      <x:c r="F13" s="17" t="n">
        <x:v>16</x:v>
      </x:c>
    </x:row>
    <x:row r="14" ht="27" customHeight="1">
      <x:c r="A14" s="1" t="str">
        <x:v>BR-SPDIREITOVIOLESTADO_MAPEAMENTOS-NOTICIAS-MSSCPENHA.xlsx</x:v>
      </x:c>
      <x:c r="B14" s="17" t="n">
        <x:f>COUNTIFS('Inventario'!$Y$2:$Y$349,A14)</x:f>
        <x:v>0</x:v>
      </x:c>
      <x:c r="C14" s="17" t="n">
        <x:f>COUNTIFS('Mapeamentos'!$T$2:$T$561,A14)</x:f>
        <x:v>304</x:v>
      </x:c>
      <x:c r="D14" s="17" t="n">
        <x:f>COUNTIFS('Representacoes'!$A$2:$A$575,A14)</x:f>
        <x:v>0</x:v>
      </x:c>
      <x:c r="E14" s="17" t="n">
        <x:f>SUMIFS('Inventario'!$AC$2:$AC$349,'Inventario'!$Y$2:$Y$349,A14)+SUMIFS('Mapeamentos'!$X$2:$X$561,'Mapeamentos'!$T$2:$T$561,A14)</x:f>
        <x:v>5749</x:v>
      </x:c>
      <x:c r="F14" s="17" t="n">
        <x:v>55</x:v>
      </x:c>
    </x:row>
    <x:row r="15" ht="27" customHeight="1">
      <x:c r="A15" s="14" t="str">
        <x:v>Total</x:v>
      </x:c>
      <x:c r="B15" s="18" t="n">
        <x:f>SUM(B7:B14)</x:f>
        <x:v>348</x:v>
      </x:c>
      <x:c r="C15" s="18" t="n">
        <x:f>SUM(C7:C14)</x:f>
        <x:v>560</x:v>
      </x:c>
      <x:c r="D15" s="18" t="n">
        <x:f>SUM(D7:D14)</x:f>
        <x:v>574</x:v>
      </x:c>
      <x:c r="E15" s="18" t="n">
        <x:f>SUM(E7:E14)</x:f>
        <x:v>17186</x:v>
      </x:c>
      <x:c r="F15" s="18" t="n">
        <x:f>SUM(F7:F14)</x:f>
        <x:v>71</x:v>
      </x:c>
    </x:row>
    <x:row r="16">
      <x:c r="A16" s="1"/>
      <x:c r="B16" s="17"/>
      <x:c r="C16" s="17"/>
      <x:c r="D16" s="17"/>
      <x:c r="E16" s="17"/>
      <x:c r="F16" s="17"/>
    </x:row>
    <x:row r="17">
      <x:c r="A17" s="1"/>
      <x:c r="B17" s="17"/>
      <x:c r="C17" s="17"/>
      <x:c r="D17" s="17"/>
      <x:c r="E17" s="17"/>
      <x:c r="F17" s="17"/>
    </x:row>
    <x:row r="18">
      <x:c r="A18" s="14" t="str">
        <x:v>Prioridades de limpeza</x:v>
      </x:c>
      <x:c r="B18" s="17"/>
      <x:c r="C18" s="17"/>
      <x:c r="D18" s="17"/>
      <x:c r="E18" s="17"/>
      <x:c r="F18" s="17"/>
    </x:row>
    <x:row r="19">
      <x:c r="A19" s="1" t="str">
        <x:v>Divergências de técnica em CPOS</x:v>
      </x:c>
      <x:c r="B19" s="17" t="n">
        <x:v>12</x:v>
      </x:c>
      <x:c r="C19" s="17"/>
      <x:c r="D19" s="17"/>
      <x:c r="E19" s="17"/>
      <x:c r="F19" s="17"/>
    </x:row>
    <x:row r="20">
      <x:c r="A20" s="1" t="str">
        <x:v>Descrições com código repetido em FILMES</x:v>
      </x:c>
      <x:c r="B20" s="17" t="n">
        <x:v>6</x:v>
      </x:c>
      <x:c r="C20" s="17"/>
      <x:c r="D20" s="17"/>
      <x:c r="E20" s="17"/>
      <x:c r="F20" s="17"/>
    </x:row>
    <x:row r="21">
      <x:c r="A21" s="1" t="str">
        <x:v>Registros de mapeamento sem título do documento</x:v>
      </x:c>
      <x:c r="B21" s="17" t="n">
        <x:v>4</x:v>
      </x:c>
      <x:c r="C21" s="17"/>
      <x:c r="D21" s="17"/>
      <x:c r="E21" s="17"/>
      <x:c r="F21" s="17"/>
    </x:row>
    <x:row r="22">
      <x:c r="A22" s="1" t="str">
        <x:v>Ocorrências de espaços externos ou caracteres invisíveis</x:v>
      </x:c>
      <x:c r="B22" s="17" t="n">
        <x:v>566</x:v>
      </x:c>
      <x:c r="C22" s="17"/>
      <x:c r="D22" s="17"/>
      <x:c r="E22" s="17"/>
      <x:c r="F22" s="17"/>
    </x:row>
    <x:row r="23">
      <x:c r="A23" s="1"/>
      <x:c r="B23" s="1"/>
      <x:c r="C23" s="1"/>
      <x:c r="D23" s="1"/>
      <x:c r="E23" s="1"/>
      <x:c r="F23" s="1"/>
    </x:row>
    <x:row r="24">
      <x:c r="A24" s="1" t="str">
        <x:v>As linhas sem iniciativa ficam fora dos mapeamentos. Células vazias não foram preenchidas com zero.</x:v>
      </x:c>
      <x:c r="B24" s="1"/>
      <x:c r="C24" s="1"/>
      <x:c r="D24" s="1"/>
      <x:c r="E24" s="1"/>
      <x:c r="F24" s="1"/>
    </x:row>
    <x:row r="25">
      <x:c r="A25" s="1" t="str">
        <x:v>Inventario e Mapeamentos contam registros; Representacoes conta arquivos/componentes. Não somar essas unidades.</x:v>
      </x:c>
      <x:c r="B25" s="1"/>
      <x:c r="C25" s="1"/>
      <x:c r="D25" s="1"/>
      <x:c r="E25" s="1"/>
      <x:c r="F25" s="1"/>
    </x:row>
    <x:row r="26">
      <x:c r="A26" s="1"/>
      <x:c r="B26" s="1"/>
      <x:c r="C26" s="1"/>
      <x:c r="D26" s="1"/>
      <x:c r="E26" s="1"/>
      <x:c r="F26" s="1"/>
    </x:row>
    <x:row r="27">
      <x:c r="A27" s="1" t="str">
        <x:v>Fonte: oito arquivos XLSX enviados por Millena Miranda Franco em 26/10/2026. Arquivo, aba e linha acompanham cada registro.</x:v>
      </x:c>
      <x:c r="B27" s="1"/>
      <x:c r="C27" s="1"/>
      <x:c r="D27" s="1"/>
      <x:c r="E27" s="1"/>
      <x:c r="F27" s="1"/>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0" hidden="0" customWidth="1"/>
    <x:col min="2" max="2" width="58" hidden="0" customWidth="1"/>
    <x:col min="3" max="3" width="30" hidden="0" customWidth="1"/>
    <x:col min="4" max="4" width="30" hidden="0" customWidth="1"/>
    <x:col min="5" max="5" width="30" hidden="0" customWidth="1"/>
    <x:col min="6" max="6" width="30" hidden="0" customWidth="1"/>
    <x:col min="7" max="7" width="30" hidden="0" customWidth="1"/>
    <x:col min="8" max="8" width="30" hidden="0" customWidth="1"/>
    <x:col min="9" max="9" width="30" hidden="0" customWidth="1"/>
    <x:col min="10" max="10" width="30" hidden="0" customWidth="1"/>
    <x:col min="11" max="11" width="30" hidden="0" customWidth="1"/>
    <x:col min="12" max="12" width="140" hidden="0" customWidth="1"/>
    <x:col min="13" max="13" width="140" hidden="0" customWidth="1"/>
    <x:col min="14" max="14" width="140" hidden="0" customWidth="1"/>
    <x:col min="15" max="15" width="30" hidden="0" customWidth="1"/>
    <x:col min="16" max="16" width="30" hidden="0" customWidth="1"/>
    <x:col min="17" max="17" width="30" hidden="0" customWidth="1"/>
    <x:col min="18" max="18" width="140" hidden="0" customWidth="1"/>
    <x:col min="19" max="19" width="140" hidden="0" customWidth="1"/>
    <x:col min="20" max="20" width="140" hidden="0" customWidth="1"/>
    <x:col min="21" max="21" width="30" hidden="0" customWidth="1"/>
    <x:col min="22" max="22" width="30" hidden="0" customWidth="1"/>
    <x:col min="23" max="23" width="30" hidden="0" customWidth="1"/>
    <x:col min="24" max="24" width="30" hidden="0" customWidth="1"/>
    <x:col min="25" max="25" width="70" hidden="0" customWidth="1"/>
    <x:col min="26" max="26" width="30" hidden="0" customWidth="1"/>
    <x:col min="27" max="27" width="19" hidden="0" customWidth="1"/>
    <x:col min="28" max="28" width="70" hidden="0" customWidth="1"/>
    <x:col min="29" max="29" width="19" hidden="0" customWidth="1"/>
  </x:cols>
  <x:sheetData>
    <x:row r="1" ht="42" customHeight="1">
      <x:c r="A1" s="6" t="str">
        <x:v>Identificador local</x:v>
      </x:c>
      <x:c r="B1" s="6" t="str">
        <x:v>Título (Busca)</x:v>
      </x:c>
      <x:c r="C1" s="6" t="str">
        <x:v>Nível de descrição</x:v>
      </x:c>
      <x:c r="D1" s="6" t="str">
        <x:v>Data (Busca)</x:v>
      </x:c>
      <x:c r="E1" s="6" t="str">
        <x:v>Tamanho / Duração</x:v>
      </x:c>
      <x:c r="F1" s="6" t="str">
        <x:v>Suporte</x:v>
      </x:c>
      <x:c r="G1" s="6" t="str">
        <x:v>Local</x:v>
      </x:c>
      <x:c r="H1" s="6" t="str">
        <x:v>Autor / Responsável</x:v>
      </x:c>
      <x:c r="I1" s="6" t="str">
        <x:v>Catálogo temático</x:v>
      </x:c>
      <x:c r="J1" s="6" t="str">
        <x:v>Localização</x:v>
      </x:c>
      <x:c r="K1" s="6" t="str">
        <x:v>Código de referência</x:v>
      </x:c>
      <x:c r="L1" s="6" t="str">
        <x:v>História arquivística</x:v>
      </x:c>
      <x:c r="M1" s="6" t="str">
        <x:v>Conteúdo (Busca)</x:v>
      </x:c>
      <x:c r="N1" s="6" t="str">
        <x:v>Condições de acesso e reprodução</x:v>
      </x:c>
      <x:c r="O1" s="6" t="str">
        <x:v>Palavras-chave</x:v>
      </x:c>
      <x:c r="P1" s="6" t="str">
        <x:v>Gênero declarado</x:v>
      </x:c>
      <x:c r="Q1" s="6" t="str">
        <x:v>Técnica declarada</x:v>
      </x:c>
      <x:c r="R1" s="6" t="str">
        <x:v>Legenda para publicações</x:v>
      </x:c>
      <x:c r="S1" s="6" t="str">
        <x:v>Citação ABNT</x:v>
      </x:c>
      <x:c r="T1" s="6" t="str">
        <x:v>Notas (Busca)</x:v>
      </x:c>
      <x:c r="U1" s="6" t="str">
        <x:v>Gênero documental</x:v>
      </x:c>
      <x:c r="V1" s="6" t="str">
        <x:v>Espécie/Tipo documental</x:v>
      </x:c>
      <x:c r="W1" s="6" t="str">
        <x:v>Técnica de registro</x:v>
      </x:c>
      <x:c r="X1" s="6" t="str">
        <x:v>Forma documental</x:v>
      </x:c>
      <x:c r="Y1" s="6" t="str">
        <x:v>Arquivo_origem</x:v>
      </x:c>
      <x:c r="Z1" s="6" t="str">
        <x:v>Aba_origem</x:v>
      </x:c>
      <x:c r="AA1" s="6" t="str">
        <x:v>Linha_origem</x:v>
      </x:c>
      <x:c r="AB1" s="6" t="str">
        <x:v>Registro_ID</x:v>
      </x:c>
      <x:c r="AC1" s="6" t="str">
        <x:v>Metadados preenchidos</x:v>
      </x:c>
    </x:row>
    <x:row r="2" ht="60" hidden="0" customHeight="1">
      <x:c r="A2" s="10" t="str">
        <x:v>001F</x:v>
      </x:c>
      <x:c r="B2" s="10" t="str">
        <x:v>Fotografia da etiqueta de identificação de projeto técnico estrutural da Casa de Detenção de São Paulo no Carandiru – Acervo CPOS.</x:v>
      </x:c>
      <x:c r="C2" s="10" t="str">
        <x:v>Item</x:v>
      </x:c>
      <x:c r="D2" s="10" t="str">
        <x:v>Indeterminada</x:v>
      </x:c>
      <x:c r="E2" s="10" t="str">
        <x:v>Gerado pelo Dataverse</x:v>
      </x:c>
      <x:c r="F2" s="10" t="str">
        <x:v>Fotografia colorida</x:v>
      </x:c>
      <x:c r="G2" s="10" t="str">
        <x:v>São Paulo, Brasil</x:v>
      </x:c>
      <x:c r="H2" s="10" t="str">
        <x:v>Arquivo Público do Estado de São Paulo, Companhia Paulista de Obras e Serviços</x:v>
      </x:c>
      <x:c r="I2" s="10" t="str">
        <x:v>Planta da Casa de Detenção Carandiru</x:v>
      </x:c>
      <x:c r="J2" s="10" t="str">
        <x:v>Caixa: 3350</x:v>
      </x:c>
      <x:c r="K2" s="10" t="str">
        <x:v>BR-SPAPESP_CPOS-PLNCARANDIRU_ICO-FOT-DGZ-MT0_3350-0001001F</x:v>
      </x:c>
      <x:c r="L2" s="10" t="str">
        <x:v>A Companhia Paulista de Obras e Serviços (CPOS), sucessora das antigas repartições de obras públicas do Estado de São Paulo (como a SACOP e a SVOP), foi a principal responsável pelo projeto, fiscalização e execução da infraestrutura estatal entre 1892 e 2019. Seu acervo cartográfico, atualmente sob custódia do Arquivo Público do Estado de São Paulo (APESP), é o registro técnico vital das edificações públicas paulistas. Ele documenta a materialização de políticas de saúde, educação e segurança através de plantas, cortes e cálculos estruturais de complexos fundamentais, como hospitais, escolas e unidades prisionais (incluindo o Carandiru).</x:v>
      </x:c>
      <x:c r="M2" s="10" t="str">
        <x:v>Registro administrativo e técnico de identificação de documentos (plantas ou cópias heliográficas) referentes ao cálculo estrutural do complexo penitenciário da Casa de Detenção (Carandiru). A etiqueta traz a numeração de controle "3350" e a logomarca da CPOS Soluções de Engenharia.</x:v>
      </x:c>
      <x:c r="N2"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2" s="10" t="str">
        <x:v>Casa de Detenção; Carandiru; Engenharia Civil; Estrutura; CPOS; São Paulo; Arquitetura Prisional; Patrimônio Documental.</x:v>
      </x:c>
      <x:c r="P2" s="10" t="str">
        <x:v>Fotografia (Iconográfico)</x:v>
      </x:c>
      <x:c r="Q2" s="10" t="str">
        <x:v>Digitalização de fotografia em preto e branco (analógica original)</x:v>
      </x:c>
      <x:c r="R2" s="10" t="str">
        <x:v>Figura n – [Fotografia da etiqueta de identificação de projeto técnico estrutural da Casa de Detenção de São Paulo no Carandiru – Acervo CPOS.] Fonte: Arquivo do Estado de São Paulo, Indeterminada.</x:v>
      </x:c>
      <x:c r="S2" s="10" t="str">
        <x:v>ARQUIVO PÚBLICO DO ESTADO DE SÃO PAULO (Brasil). [Fotografia da etiqueta de identificação de projeto técnico estrutural da Casa de Detenção de São Paulo no Carandiru – Acervo CPOS.]. São Paulo, Brasil. Indeterminada indeterminada Indeterminada. Fotografia colorida. Disponível em: &lt;link do dataverse&gt;. Acesso em: 28 out. 2025.</x:v>
      </x:c>
      <x:c r="T2" s="10" t="str">
        <x:v>Logotipo: "cpos – soluções de engenharia" Numeração (carimbo): "3350" Manuscrito: "Casa de detenção / Carandiru / Estrutura." Fotografia digital realizada pelas pesquisadoras Maíra Rocha Machado, Bianca Tavolari e Maira Rosín para fins de pesquisa acadêmica, 2025.</x:v>
      </x:c>
      <x:c r="U2" s="10" t="str">
        <x:v>ICO</x:v>
      </x:c>
      <x:c r="V2" s="10" t="str">
        <x:v>FOT</x:v>
      </x:c>
      <x:c r="W2" s="10" t="str">
        <x:v>DGZ</x:v>
      </x:c>
      <x:c r="X2" s="10" t="str">
        <x:v>MT0</x:v>
      </x:c>
      <x:c r="Y2" s="10" t="str">
        <x:v>BR-SPAPESP_CPOS-PLNCARANDIRU.xlsx</x:v>
      </x:c>
      <x:c r="Z2" s="10" t="str">
        <x:v>3350 0001</x:v>
      </x:c>
      <x:c r="AA2" s="11" t="n">
        <x:v>2</x:v>
      </x:c>
      <x:c r="AB2" s="10" t="str">
        <x:v>BR-SPAPESP_CPOS-PLNCARANDIRU.xlsx:3350 0001:2</x:v>
      </x:c>
      <x:c r="AC2" s="11" t="n">
        <x:f>COLUMNS(A2:T2)-COUNTBLANK(A2:T2)</x:f>
        <x:v>20</x:v>
      </x:c>
    </x:row>
    <x:row r="3" ht="60" hidden="0" customHeight="1">
      <x:c r="A3" s="10" t="str">
        <x:v>002F</x:v>
      </x:c>
      <x:c r="B3" s="10" t="str">
        <x:v>Fotografia da planta de situação e implantação do Complexo Penitenciário do Carandiru (plano aberto).</x:v>
      </x:c>
      <x:c r="C3" s="10" t="str">
        <x:v>Item</x:v>
      </x:c>
      <x:c r="D3" s="10" t="str">
        <x:v>1952-06-13 00:00:00</x:v>
      </x:c>
      <x:c r="E3" s="10" t="str">
        <x:v>Gerado pelo Dataverse</x:v>
      </x:c>
      <x:c r="F3" s="10" t="str">
        <x:v>Fotografia colorida</x:v>
      </x:c>
      <x:c r="G3" s="10" t="str">
        <x:v>São Paulo, Brasil</x:v>
      </x:c>
      <x:c r="H3" s="10" t="str">
        <x:v>Arquivo Público do Estado de São Paulo, Companhia Paulista de Obras e Serviços</x:v>
      </x:c>
      <x:c r="I3" s="10" t="str">
        <x:v>Planta da Casa de Detenção Carandiru</x:v>
      </x:c>
      <x:c r="J3" s="10" t="str">
        <x:v>Caixa: 3350</x:v>
      </x:c>
      <x:c r="K3" s="10" t="str">
        <x:v>BR-SPAPESP_CPOS-PLNCARANDIRU_ICO-PLN-FOT-MT0_3350-0001002F</x:v>
      </x:c>
      <x:c r="L3" s="10" t="str">
        <x:v>A Companhia Paulista de Obras e Serviços (CPOS), sucessora das antigas repartições de obras públicas do Estado de São Paulo (como a SACOP e a SVOP), foi a principal responsável pelo projeto, fiscalização e execução da infraestrutura estatal entre 1892 e 2019. Seu acervo cartográfico, atualmente sob custódia do Arquivo Público do Estado de São Paulo (APESP), é o registro técnico vital das edificações públicas paulistas. Ele documenta a materialização de políticas de saúde, educação e segurança através de plantas, cortes e cálculos estruturais de complexos fundamentais, como hospitais, escolas e unidades prisionais (incluindo o Carandiru).</x:v>
      </x:c>
      <x:c r="M3" s="10" t="str">
        <x:v>Reprodução fotográfica de um desenho técnico (planta de situação) detalhando a organização espacial e a distribuição dos edifícios no terreno do Carandiru. A planta identifica pavilhões específicos, áreas administrativas, hospitalares e de segurança, delimitadas pelas vias públicas circundantes.</x:v>
      </x:c>
      <x:c r="N3"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3" s="10" t="str">
        <x:v>Carandiru; Casa de Detenção; Planta de Implantação; Arquitetura Prisional; Urbanismo; CPOS; São Paulo.</x:v>
      </x:c>
      <x:c r="P3" s="10" t="str">
        <x:v>Fotografia (Iconográfico)</x:v>
      </x:c>
      <x:c r="Q3" s="10" t="str">
        <x:v>Digitalização de fotografia em preto e branco (analógica original)</x:v>
      </x:c>
      <x:c r="R3" s="10" t="str">
        <x:v>Figura n – [Fotografia da planta de situação e implantação do Complexo Penitenciário do Carandiru (plano aberto).] Fonte: Arquivo do Estado de São Paulo, 1952.</x:v>
      </x:c>
      <x:c r="S3" s="10" t="str">
        <x:v>ARQUIVO PÚBLICO DO ESTADO DE SÃO PAULO (Brasil). [Fotografia da planta de situação e implantação do Complexo Penitenciário do Carandiru (plano aberto).]. São Paulo, Brasil. 13 jun. 1952. Fotografia colorida. Disponível em: &lt;link do dataverse&gt;. Acesso em: 28 out. 2025.</x:v>
      </x:c>
      <x:c r="T3" s="10" t="str">
        <x:v>Transcrição de Áreas: "Presídio Feminino", "Reclusão Primários", "Pavilhão Central", "Administração", "Hospital", "Reclusão Reincidentes", "Primários", "Detenção", "Reincidentes", "Portaria e Corpo da Guarda", "Moradia do Director", "Torre de Observação". Transcrição de Logradouros: "Av. Carandiru", "Rua da Penitenciária", "Av. Cruzeiro do Sul". Dados Cronológicos no Documento: Contém a anotação manuscrita "Alinhamento aprovado pelo Ato 30 de 1950". Estado de Conservação e Captura: O documento original em suporte papel apresenta rasgos e perdas de suporte nas bordas direita e inferior. A fotografia registra o manuseio por pesquisadora utilizando luvas de proteção (rosa). Referência de Arquivo: Conforme o nome do arquivo, o documento integra o acervo da Companhia Paulista de Obras e Serviços (CPOS) sob custódia do APESP. Fotografia digital realizada pelas pesquisadoras Maíra Rocha Machado, Bianca Tavolari e Maira Rosín para fins de pesquisa acadêmica, 2025.</x:v>
      </x:c>
      <x:c r="U3" s="10" t="str">
        <x:v>ICO</x:v>
      </x:c>
      <x:c r="V3" s="10" t="str">
        <x:v>PLN</x:v>
      </x:c>
      <x:c r="W3" s="10" t="str">
        <x:v>FOT</x:v>
      </x:c>
      <x:c r="X3" s="10" t="str">
        <x:v>MT0</x:v>
      </x:c>
      <x:c r="Y3" s="10" t="str">
        <x:v>BR-SPAPESP_CPOS-PLNCARANDIRU.xlsx</x:v>
      </x:c>
      <x:c r="Z3" s="10" t="str">
        <x:v>3350 0001</x:v>
      </x:c>
      <x:c r="AA3" s="11" t="n">
        <x:v>3</x:v>
      </x:c>
      <x:c r="AB3" s="10" t="str">
        <x:v>BR-SPAPESP_CPOS-PLNCARANDIRU.xlsx:3350 0001:3</x:v>
      </x:c>
      <x:c r="AC3" s="11" t="n">
        <x:f>COLUMNS(A3:T3)-COUNTBLANK(A3:T3)</x:f>
        <x:v>20</x:v>
      </x:c>
    </x:row>
    <x:row r="4" ht="60" hidden="0" customHeight="1">
      <x:c r="A4" s="10" t="str">
        <x:v>003F</x:v>
      </x:c>
      <x:c r="B4" s="10" t="str">
        <x:v>Fotografia da planta de situação e implantação do Complexo Penitenciário do Carandiru (em detalhe).</x:v>
      </x:c>
      <x:c r="C4" s="10" t="str">
        <x:v>Item</x:v>
      </x:c>
      <x:c r="D4" s="10" t="str">
        <x:v>1952-06-13 00:00:00</x:v>
      </x:c>
      <x:c r="E4" s="10" t="str">
        <x:v>Gerado pelo Dataverse</x:v>
      </x:c>
      <x:c r="F4" s="10" t="str">
        <x:v>Fotografia colorida</x:v>
      </x:c>
      <x:c r="G4" s="10" t="str">
        <x:v>São Paulo, Brasil</x:v>
      </x:c>
      <x:c r="H4" s="10" t="str">
        <x:v>Arquivo Público do Estado de São Paulo, Companhia Paulista de Obras e Serviços</x:v>
      </x:c>
      <x:c r="I4" s="10" t="str">
        <x:v>Planta da Casa de Detenção Carandiru</x:v>
      </x:c>
      <x:c r="J4" s="10" t="str">
        <x:v>Caixa: 3350</x:v>
      </x:c>
      <x:c r="K4" s="10" t="str">
        <x:v>BR-SPAPESP_CPOS-PLNCARANDIRU_ICO-PLN-FOT-MT0_3350-0001003F</x:v>
      </x:c>
      <x:c r="L4" s="10" t="str">
        <x:v>A Companhia Paulista de Obras e Serviços (CPOS), sucessora das antigas repartições de obras públicas do Estado de São Paulo (como a SACOP e a SVOP), foi a principal responsável pelo projeto, fiscalização e execução da infraestrutura estatal entre 1892 e 2019. Seu acervo cartográfico, atualmente sob custódia do Arquivo Público do Estado de São Paulo (APESP), é o registro técnico vital das edificações públicas paulistas. Ele documenta a materialização de políticas de saúde, educação e segurança através de plantas, cortes e cálculos estruturais de complexos fundamentais, como hospitais, escolas e unidades prisionais (incluindo o Carandiru).</x:v>
      </x:c>
      <x:c r="M4" s="10" t="str">
        <x:v>Detalhamento da distribuição dos pavilhões numerados e alas hospitalares.</x:v>
      </x:c>
      <x:c r="N4"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4" s="10" t="str">
        <x:v>Carandiru; Casa de Detenção; Planta de Implantação; Arquitetura Prisional; Urbanismo; CPOS; São Paulo.</x:v>
      </x:c>
      <x:c r="P4" s="10" t="str">
        <x:v>Fotografia (Iconográfico)</x:v>
      </x:c>
      <x:c r="Q4" s="10" t="str">
        <x:v>Digitalização de fotografia em preto e branco (analógica original)</x:v>
      </x:c>
      <x:c r="R4" s="10" t="str">
        <x:v>Figura n – [Fotografia da planta de situação e implantação do Complexo Penitenciário do Carandiru (em detalhe).] Fonte: Arquivo do Estado de São Paulo, 1952.</x:v>
      </x:c>
      <x:c r="S4" s="10" t="str">
        <x:v>ARQUIVO PÚBLICO DO ESTADO DE SÃO PAULO (Brasil). [Fotografia da planta de situação e implantação do Complexo Penitenciário do Carandiru (em detalhe).]. São Paulo, Brasil. 13 jun. 1952. Fotografia colorida. Disponível em: &lt;link do dataverse&gt;. Acesso em: 28 out. 2025.</x:v>
      </x:c>
      <x:c r="T4" s="10" t="str">
        <x:v>Transcrição de Áreas: "Presídio Feminino", "Reclusão Primários", "Pavilhão Central", "Administração", "Hospital", "Reclusão Reincidentes", "Primários", "Detenção", "Reincidentes", "Portaria e Corpo da Guarda", "Moradia do Director", "Torre de Observação". Transcrição de Logradouros: "Av. Carandiru", "Rua da Penitenciária", "Av. Cruzeiro do Sul". Dados Cronológicos no Documento: Contém a anotação manuscrita "Alinhamento aprovado pelo Ato 30 de 1950". Estado de Conservação e Captura: O documento original em suporte papel apresenta rasgos e perdas de suporte nas bordas direita e inferior. A fotografia registra o manuseio por pesquisadora utilizando luvas de proteção (rosa). Referência de Arquivo: Conforme o nome do arquivo, o documento integra o acervo da Companhia Paulista de Obras e Serviços (CPOS) sob custódia do APESP. Fotografia digital realizada pelas pesquisadoras Maíra Rocha Machado, Bianca Tavolari e Maira Rosín para fins de pesquisa acadêmica, 2025.</x:v>
      </x:c>
      <x:c r="U4" s="10" t="str">
        <x:v>ICO</x:v>
      </x:c>
      <x:c r="V4" s="10" t="str">
        <x:v>PLN</x:v>
      </x:c>
      <x:c r="W4" s="10" t="str">
        <x:v>FOT</x:v>
      </x:c>
      <x:c r="X4" s="10" t="str">
        <x:v>MT0</x:v>
      </x:c>
      <x:c r="Y4" s="10" t="str">
        <x:v>BR-SPAPESP_CPOS-PLNCARANDIRU.xlsx</x:v>
      </x:c>
      <x:c r="Z4" s="10" t="str">
        <x:v>3350 0001</x:v>
      </x:c>
      <x:c r="AA4" s="11" t="n">
        <x:v>4</x:v>
      </x:c>
      <x:c r="AB4" s="10" t="str">
        <x:v>BR-SPAPESP_CPOS-PLNCARANDIRU.xlsx:3350 0001:4</x:v>
      </x:c>
      <x:c r="AC4" s="11" t="n">
        <x:f>COLUMNS(A4:T4)-COUNTBLANK(A4:T4)</x:f>
        <x:v>20</x:v>
      </x:c>
    </x:row>
    <x:row r="5" ht="60" hidden="0" customHeight="1">
      <x:c r="A5" s="10" t="str">
        <x:v>004F</x:v>
      </x:c>
      <x:c r="B5" s="10" t="str">
        <x:v>Fotografia do detalhe de título, escala e logradouro – Planta de Situação do Carandiru.</x:v>
      </x:c>
      <x:c r="C5" s="10" t="str">
        <x:v>Item</x:v>
      </x:c>
      <x:c r="D5" s="10" t="str">
        <x:v>1952-06-13 00:00:00</x:v>
      </x:c>
      <x:c r="E5" s="10" t="str">
        <x:v>Gerado pelo Dataverse</x:v>
      </x:c>
      <x:c r="F5" s="10" t="str">
        <x:v>Fotografia colorida</x:v>
      </x:c>
      <x:c r="G5" s="10" t="str">
        <x:v>São Paulo, Brasil</x:v>
      </x:c>
      <x:c r="H5" s="10" t="str">
        <x:v>Arquivo Público do Estado de São Paulo, Companhia Paulista de Obras e Serviços</x:v>
      </x:c>
      <x:c r="I5" s="10" t="str">
        <x:v>Planta da Casa de Detenção Carandiru</x:v>
      </x:c>
      <x:c r="J5" s="10" t="str">
        <x:v>Caixa: 3350</x:v>
      </x:c>
      <x:c r="K5" s="10" t="str">
        <x:v>BR-SPAPESP_CPOS-PLNCARANDIRU_ICO-PLN-FOT-MT0_3350-0001004F</x:v>
      </x:c>
      <x:c r="L5" s="10" t="str">
        <x:v>A Companhia Paulista de Obras e Serviços (CPOS), sucessora das antigas repartições de obras públicas do Estado de São Paulo (como a SACOP e a SVOP), foi a principal responsável pelo projeto, fiscalização e execução da infraestrutura estatal entre 1892 e 2019. Seu acervo cartográfico, atualmente sob custódia do Arquivo Público do Estado de São Paulo (APESP), é o registro técnico vital das edificações públicas paulistas. Ele documenta a materialização de políticas de saúde, educação e segurança através de plantas, cortes e cálculos estruturais de complexos fundamentais, como hospitais, escolas e unidades prisionais (incluindo o Carandiru).</x:v>
      </x:c>
      <x:c r="M5" s="10" t="str">
        <x:v>Enquadramento macro da legenda técnica e orientação pela Av. Cruzeiro do Sul.</x:v>
      </x:c>
      <x:c r="N5"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5" s="10" t="str">
        <x:v>Identificação Técnica; Escala 1:1.000; Av. Cruzeiro do Sul; Detalhe Cartográfico.</x:v>
      </x:c>
      <x:c r="P5" s="10" t="str">
        <x:v>Fotografia (Iconográfico)</x:v>
      </x:c>
      <x:c r="Q5" s="10" t="str">
        <x:v>Digitalização de fotografia em preto e branco (analógica original)</x:v>
      </x:c>
      <x:c r="R5" s="10" t="str">
        <x:v>Figura n – [Fotografia do detalhe de título, escala e logradouro – Planta de Situação do Carandiru.] Fonte: Arquivo do Estado de São Paulo, 1952.</x:v>
      </x:c>
      <x:c r="S5" s="10" t="str">
        <x:v>ARQUIVO PÚBLICO DO ESTADO DE SÃO PAULO (Brasil). [Fotografia do detalhe de título, escala e logradouro – Planta de Situação do Carandiru.]. São Paulo, Brasil. 13 jun. 1952. Fotografia colorida. Disponível em: &lt;link do dataverse&gt;. Acesso em: 28 out. 2025.</x:v>
      </x:c>
      <x:c r="T5" s="10" t="str">
        <x:v>Transcrição do título e escala: "PLANTA DE SITUAÇÃO / ESC: 1:1.000". Visível a indicação do logradouro "AV. CRUZEIRO DO SUL" e coordenadas de alinhamento. Fotografia digital realizada pelas pesquisadoras Maíra Rocha Machado, Bianca Tavolari e Maira Rosín para fins de pesquisa acadêmica, 2025.</x:v>
      </x:c>
      <x:c r="U5" s="10" t="str">
        <x:v>ICO</x:v>
      </x:c>
      <x:c r="V5" s="10" t="str">
        <x:v>PLN</x:v>
      </x:c>
      <x:c r="W5" s="10" t="str">
        <x:v>FOT</x:v>
      </x:c>
      <x:c r="X5" s="10" t="str">
        <x:v>MT0</x:v>
      </x:c>
      <x:c r="Y5" s="10" t="str">
        <x:v>BR-SPAPESP_CPOS-PLNCARANDIRU.xlsx</x:v>
      </x:c>
      <x:c r="Z5" s="10" t="str">
        <x:v>3350 0001</x:v>
      </x:c>
      <x:c r="AA5" s="11" t="n">
        <x:v>5</x:v>
      </x:c>
      <x:c r="AB5" s="10" t="str">
        <x:v>BR-SPAPESP_CPOS-PLNCARANDIRU.xlsx:3350 0001:5</x:v>
      </x:c>
      <x:c r="AC5" s="11" t="n">
        <x:f>COLUMNS(A5:T5)-COUNTBLANK(A5:T5)</x:f>
        <x:v>20</x:v>
      </x:c>
    </x:row>
    <x:row r="6" ht="60" hidden="0" customHeight="1">
      <x:c r="A6" s="10" t="str">
        <x:v>005F</x:v>
      </x:c>
      <x:c r="B6" s="10" t="str">
        <x:v>Fotografia da planta de situação do Casa de Detenção de São Paulo no Carandiru – Vista Superior de Conjunto.</x:v>
      </x:c>
      <x:c r="C6" s="10" t="str">
        <x:v>Item</x:v>
      </x:c>
      <x:c r="D6" s="10" t="str">
        <x:v>1952-06-13 00:00:00</x:v>
      </x:c>
      <x:c r="E6" s="10" t="str">
        <x:v>Gerado pelo Dataverse</x:v>
      </x:c>
      <x:c r="F6" s="10" t="str">
        <x:v>Fotografia colorida</x:v>
      </x:c>
      <x:c r="G6" s="10" t="str">
        <x:v>São Paulo, Brasil</x:v>
      </x:c>
      <x:c r="H6" s="10" t="str">
        <x:v>Arquivo Público do Estado de São Paulo, Companhia Paulista de Obras e Serviços</x:v>
      </x:c>
      <x:c r="I6" s="10" t="str">
        <x:v>Planta da Casa de Detenção Carandiru</x:v>
      </x:c>
      <x:c r="J6" s="10" t="str">
        <x:v>Caixa: 3350</x:v>
      </x:c>
      <x:c r="K6" s="10" t="str">
        <x:v>BR-SPAPESP_CPOS-PLNCARANDIRU_ICO-PLN-FOT-MT0_3350-0001005F</x:v>
      </x:c>
      <x:c r="L6" s="10" t="str">
        <x:v>A Companhia Paulista de Obras e Serviços (CPOS), sucessora das antigas repartições de obras públicas do Estado de São Paulo (como a SACOP e a SVOP), foi a principal responsável pelo projeto, fiscalização e execução da infraestrutura estatal entre 1892 e 2019. Seu acervo cartográfico, atualmente sob custódia do Arquivo Público do Estado de São Paulo (APESP), é o registro técnico vital das edificações públicas paulistas. Ele documenta a materialização de políticas de saúde, educação e segurança através de plantas, cortes e cálculos estruturais de complexos fundamentais, como hospitais, escolas e unidades prisionais (incluindo o Carandiru).</x:v>
      </x:c>
      <x:c r="M6" s="10" t="str">
        <x:v>Foco na orientação geográfica (Rosa dos Ventos) e limite com a Av. Carandiru.</x:v>
      </x:c>
      <x:c r="N6"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6" s="10" t="str">
        <x:v>Planta de Situação; Limite de Terreno; Carandiru; Vista de Conjunto.</x:v>
      </x:c>
      <x:c r="P6" s="10" t="str">
        <x:v>Fotografia (Iconográfico)</x:v>
      </x:c>
      <x:c r="Q6" s="10" t="str">
        <x:v>Digitalização de fotografia em preto e branco (analógica original)</x:v>
      </x:c>
      <x:c r="R6" s="10" t="str">
        <x:v>Figura n – [Fotografia da planta de situação do Casa de Detenção de São Paulo no Carandiru – Vista Superior de Conjunto.] Fonte: Arquivo do Estado de São Paulo, 1952.</x:v>
      </x:c>
      <x:c r="S6" s="10" t="str">
        <x:v>ARQUIVO PÚBLICO DO ESTADO DE SÃO PAULO (Brasil). [Fotografia da planta de situação do Casa de Detenção de São Paulo no Carandiru – Vista Superior de Conjunto.]. São Paulo, Brasil. 13 jun. 1952. Fotografia colorida. Disponível em: &lt;link do dataverse&gt;. Acesso em: 28 out. 2025.</x:v>
      </x:c>
      <x:c r="T6" s="10" t="str">
        <x:v>Fotografia digital realizada pelas pesquisadoras Maíra Rocha Machado, Bianca Tavolari e Maira Rosín para fins de pesquisa acadêmica, 2025.</x:v>
      </x:c>
      <x:c r="U6" s="10" t="str">
        <x:v>ICO</x:v>
      </x:c>
      <x:c r="V6" s="10" t="str">
        <x:v>PLN</x:v>
      </x:c>
      <x:c r="W6" s="10" t="str">
        <x:v>FOT</x:v>
      </x:c>
      <x:c r="X6" s="10" t="str">
        <x:v>MT0</x:v>
      </x:c>
      <x:c r="Y6" s="10" t="str">
        <x:v>BR-SPAPESP_CPOS-PLNCARANDIRU.xlsx</x:v>
      </x:c>
      <x:c r="Z6" s="10" t="str">
        <x:v>3350 0001</x:v>
      </x:c>
      <x:c r="AA6" s="11" t="n">
        <x:v>6</x:v>
      </x:c>
      <x:c r="AB6" s="10" t="str">
        <x:v>BR-SPAPESP_CPOS-PLNCARANDIRU.xlsx:3350 0001:6</x:v>
      </x:c>
      <x:c r="AC6" s="11" t="n">
        <x:f>COLUMNS(A6:T6)-COUNTBLANK(A6:T6)</x:f>
        <x:v>20</x:v>
      </x:c>
    </x:row>
    <x:row r="7" ht="60" hidden="0" customHeight="1">
      <x:c r="A7" s="10" t="str">
        <x:v>006F</x:v>
      </x:c>
      <x:c r="B7" s="10" t="str">
        <x:v>Fotografia do desenho técnico de corte transversal de torre de observação – Carandiru.</x:v>
      </x:c>
      <x:c r="C7" s="10" t="str">
        <x:v>Item</x:v>
      </x:c>
      <x:c r="D7" s="10" t="str">
        <x:v>1952-06-13 00:00:00</x:v>
      </x:c>
      <x:c r="E7" s="10" t="str">
        <x:v>Gerado pelo Dataverse</x:v>
      </x:c>
      <x:c r="F7" s="10" t="str">
        <x:v>Fotografia colorida</x:v>
      </x:c>
      <x:c r="G7" s="10" t="str">
        <x:v>São Paulo, Brasil</x:v>
      </x:c>
      <x:c r="H7" s="10" t="str">
        <x:v>Arquivo Público do Estado de São Paulo, Companhia Paulista de Obras e Serviços</x:v>
      </x:c>
      <x:c r="I7" s="10" t="str">
        <x:v>Planta da Casa de Detenção Carandiru</x:v>
      </x:c>
      <x:c r="J7" s="10" t="str">
        <x:v>Caixa: 3350</x:v>
      </x:c>
      <x:c r="K7" s="10" t="str">
        <x:v>BR-SPAPESP_CPOS-PLNCARANDIRU_ICO-PLN-FOT-MT0_3350-0001006F</x:v>
      </x:c>
      <x:c r="L7" s="10" t="str">
        <x:v>A Companhia Paulista de Obras e Serviços (CPOS), sucessora das antigas repartições de obras públicas do Estado de São Paulo (como a SACOP e a SVOP), foi a principal responsável pelo projeto, fiscalização e execução da infraestrutura estatal entre 1892 e 2019. Seu acervo cartográfico, atualmente sob custódia do Arquivo Público do Estado de São Paulo (APESP), é o registro técnico vital das edificações públicas paulistas. Ele documenta a materialização de políticas de saúde, educação e segurança através de plantas, cortes e cálculos estruturais de complexos fundamentais, como hospitais, escolas e unidades prisionais (incluindo o Carandiru).</x:v>
      </x:c>
      <x:c r="M7" s="10" t="str">
        <x:v>Desenho técnico detalhando a escada em caracol e o topo da guarita.</x:v>
      </x:c>
      <x:c r="N7"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7" s="10" t="str">
        <x:v>Carandiru, Casa de Detenção, Arquitetura Prisional, CPOS, APESP, Engenharia Estrutural, História Administrativa</x:v>
      </x:c>
      <x:c r="P7" s="10" t="str">
        <x:v>Fotografia (Iconográfico)</x:v>
      </x:c>
      <x:c r="Q7" s="10" t="str">
        <x:v>Digitalização de fotografia em preto e branco (analógica original)</x:v>
      </x:c>
      <x:c r="R7" s="10" t="str">
        <x:v>Figura n – [Fotografia do desenho técnico de corte transversal de torre de observação – Carandiru.] Fonte: Arquivo do Estado de São Paulo, 1952.</x:v>
      </x:c>
      <x:c r="S7" s="10" t="str">
        <x:v>ARQUIVO PÚBLICO DO ESTADO DE SÃO PAULO (Brasil). [Fotografia do desenho técnico de corte transversal de torre de observação – Carandiru.]. São Paulo, Brasil. 13 jun. 1952. Fotografia colorida. Disponível em: &lt;link do dataverse&gt;. Acesso em: 28 out. 2025.</x:v>
      </x:c>
      <x:c r="T7" s="10" t="str">
        <x:v>Transcrição técnica: "CORTE C-D / ESC: 1:50". Indicação de material no topo: "FERRO" (haste do para-raios). Relação documental: O desenho integra a mesma prancha técnica que contém a planta de situação. Fotografia digital realizada pelas pesquisadoras Maíra Rocha Machado, Bianca Tavolari e Maira Rosín para fins de pesquisa acadêmica, 2025.</x:v>
      </x:c>
      <x:c r="U7" s="10" t="str">
        <x:v>ICO</x:v>
      </x:c>
      <x:c r="V7" s="10" t="str">
        <x:v>PLN</x:v>
      </x:c>
      <x:c r="W7" s="10" t="str">
        <x:v>FOT</x:v>
      </x:c>
      <x:c r="X7" s="10" t="str">
        <x:v>MT0</x:v>
      </x:c>
      <x:c r="Y7" s="10" t="str">
        <x:v>BR-SPAPESP_CPOS-PLNCARANDIRU.xlsx</x:v>
      </x:c>
      <x:c r="Z7" s="10" t="str">
        <x:v>3350 0001</x:v>
      </x:c>
      <x:c r="AA7" s="11" t="n">
        <x:v>7</x:v>
      </x:c>
      <x:c r="AB7" s="10" t="str">
        <x:v>BR-SPAPESP_CPOS-PLNCARANDIRU.xlsx:3350 0001:7</x:v>
      </x:c>
      <x:c r="AC7" s="11" t="n">
        <x:f>COLUMNS(A7:T7)-COUNTBLANK(A7:T7)</x:f>
        <x:v>20</x:v>
      </x:c>
    </x:row>
    <x:row r="8" ht="60" hidden="0" customHeight="1">
      <x:c r="A8" s="10" t="str">
        <x:v>007F</x:v>
      </x:c>
      <x:c r="B8" s="10" t="str">
        <x:v>Fotografia da vista de prancha: relação planta e detalhe</x:v>
      </x:c>
      <x:c r="C8" s="10" t="str">
        <x:v>Item</x:v>
      </x:c>
      <x:c r="D8" s="10" t="str">
        <x:v>1952-06-13 00:00:00</x:v>
      </x:c>
      <x:c r="E8" s="10" t="str">
        <x:v>Gerado pelo Dataverse</x:v>
      </x:c>
      <x:c r="F8" s="10" t="str">
        <x:v>Fotografia colorida</x:v>
      </x:c>
      <x:c r="G8" s="10" t="str">
        <x:v>São Paulo, Brasil</x:v>
      </x:c>
      <x:c r="H8" s="10" t="str">
        <x:v>Arquivo Público do Estado de São Paulo, Companhia Paulista de Obras e Serviços</x:v>
      </x:c>
      <x:c r="I8" s="10" t="str">
        <x:v>Planta da Casa de Detenção Carandiru</x:v>
      </x:c>
      <x:c r="J8" s="10" t="str">
        <x:v>Caixa: 3350</x:v>
      </x:c>
      <x:c r="K8" s="10" t="str">
        <x:v>BR-SPAPESP_CPOS-PLNCARANDIRU_ICO-PLN-FOT-MT0_3350-0001007F</x:v>
      </x:c>
      <x:c r="L8" s="10" t="str">
        <x:v>A Companhia Paulista de Obras e Serviços (CPOS), sucessora das antigas repartições de obras públicas do Estado de São Paulo (como a SACOP e a SVOP), foi a principal responsável pelo projeto, fiscalização e execução da infraestrutura estatal entre 1892 e 2019. Seu acervo cartográfico, atualmente sob custódia do Arquivo Público do Estado de São Paulo (APESP), é o registro técnico vital das edificações públicas paulistas. Ele documenta a materialização de políticas de saúde, educação e segurança através de plantas, cortes e cálculos estruturais de complexos fundamentais, como hospitais, escolas e unidades prisionais (incluindo o Carandiru).</x:v>
      </x:c>
      <x:c r="M8" s="10" t="str">
        <x:v>Registro da coexistência da planta de situação e desenhos de corte na mesma peça física.</x:v>
      </x:c>
      <x:c r="N8"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8" s="10" t="str">
        <x:v>Carandiru, Casa de Detenção, Arquitetura Prisional, CPOS, APESP, Engenharia Estrutural, História Administrativa</x:v>
      </x:c>
      <x:c r="P8" s="10" t="str">
        <x:v>Fotografia (Iconográfico)</x:v>
      </x:c>
      <x:c r="Q8" s="10" t="str">
        <x:v>Digitalização de fotografia em preto e branco (analógica original)</x:v>
      </x:c>
      <x:c r="R8" s="10" t="str">
        <x:v>Figura n – [Fotografia da vista de prancha: relação planta e detalhe] Fonte: Arquivo do Estado de São Paulo, 1952.</x:v>
      </x:c>
      <x:c r="S8" s="10" t="str">
        <x:v>ARQUIVO PÚBLICO DO ESTADO DE SÃO PAULO (Brasil). [Fotografia da vista de prancha: relação planta e detalhe]. São Paulo, Brasil. 13 jun. 1952. Fotografia colorida. Disponível em: &lt;link do dataverse&gt;. Acesso em: 28 out. 2025.</x:v>
      </x:c>
      <x:c r="T8" s="10" t="str">
        <x:v>Fotografia digital realizada pelas pesquisadoras Maíra Rocha Machado, Bianca Tavolari e Maira Rosín para fins de pesquisa acadêmica, 2025.</x:v>
      </x:c>
      <x:c r="U8" s="10" t="str">
        <x:v>ICO</x:v>
      </x:c>
      <x:c r="V8" s="10" t="str">
        <x:v>PLN</x:v>
      </x:c>
      <x:c r="W8" s="10" t="str">
        <x:v>FOT</x:v>
      </x:c>
      <x:c r="X8" s="10" t="str">
        <x:v>MT0</x:v>
      </x:c>
      <x:c r="Y8" s="10" t="str">
        <x:v>BR-SPAPESP_CPOS-PLNCARANDIRU.xlsx</x:v>
      </x:c>
      <x:c r="Z8" s="10" t="str">
        <x:v>3350 0001</x:v>
      </x:c>
      <x:c r="AA8" s="11" t="n">
        <x:v>8</x:v>
      </x:c>
      <x:c r="AB8" s="10" t="str">
        <x:v>BR-SPAPESP_CPOS-PLNCARANDIRU.xlsx:3350 0001:8</x:v>
      </x:c>
      <x:c r="AC8" s="11" t="n">
        <x:f>COLUMNS(A8:T8)-COUNTBLANK(A8:T8)</x:f>
        <x:v>20</x:v>
      </x:c>
    </x:row>
    <x:row r="9" ht="60" hidden="0" customHeight="1">
      <x:c r="A9" s="10" t="str">
        <x:v>008F</x:v>
      </x:c>
      <x:c r="B9" s="10" t="str">
        <x:v>Fotografia do registro integral de suporte papel</x:v>
      </x:c>
      <x:c r="C9" s="10" t="str">
        <x:v>Item</x:v>
      </x:c>
      <x:c r="D9" s="10" t="str">
        <x:v>1952-06-13 00:00:00</x:v>
      </x:c>
      <x:c r="E9" s="10" t="str">
        <x:v>Gerado pelo Dataverse</x:v>
      </x:c>
      <x:c r="F9" s="10" t="str">
        <x:v>Fotografia colorida</x:v>
      </x:c>
      <x:c r="G9" s="10" t="str">
        <x:v>São Paulo, Brasil</x:v>
      </x:c>
      <x:c r="H9" s="10" t="str">
        <x:v>Arquivo Público do Estado de São Paulo, Companhia Paulista de Obras e Serviços</x:v>
      </x:c>
      <x:c r="I9" s="10" t="str">
        <x:v>Planta da Casa de Detenção Carandiru</x:v>
      </x:c>
      <x:c r="J9" s="10" t="str">
        <x:v>Caixa: 3350</x:v>
      </x:c>
      <x:c r="K9" s="10" t="str">
        <x:v>BR-SPAPESP_CPOS-PLNCARANDIRU_ICO-PLN-FOT-MT0_3350-0001008F</x:v>
      </x:c>
      <x:c r="L9" s="10" t="str">
        <x:v>A Companhia Paulista de Obras e Serviços (CPOS), sucessora das antigas repartições de obras públicas do Estado de São Paulo (como a SACOP e a SVOP), foi a principal responsável pelo projeto, fiscalização e execução da infraestrutura estatal entre 1892 e 2019. Seu acervo cartográfico, atualmente sob custódia do Arquivo Público do Estado de São Paulo (APESP), é o registro técnico vital das edificações públicas paulistas. Ele documenta a materialização de políticas de saúde, educação e segurança através de plantas, cortes e cálculos estruturais de complexos fundamentais, como hospitais, escolas e unidades prisionais (incluindo o Carandiru).</x:v>
      </x:c>
      <x:c r="M9" s="10" t="str">
        <x:v>Vista total da prancha técnica evidenciando perdas de suporte e dimensões físicas.</x:v>
      </x:c>
      <x:c r="N9"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9" s="10" t="str">
        <x:v>Carandiru, Casa de Detenção, Arquitetura Prisional, CPOS, APESP, Engenharia Estrutural, História Administrativa</x:v>
      </x:c>
      <x:c r="P9" s="10" t="str">
        <x:v>Fotografia (Iconográfico)</x:v>
      </x:c>
      <x:c r="Q9" s="10" t="str">
        <x:v>Digitalização de fotografia em preto e branco (analógica original)</x:v>
      </x:c>
      <x:c r="R9" s="10" t="str">
        <x:v>Figura n – [Fotografia do registro integral de suporte papel] Fonte: Arquivo do Estado de São Paulo, 1952.</x:v>
      </x:c>
      <x:c r="S9" s="10" t="str">
        <x:v>ARQUIVO PÚBLICO DO ESTADO DE SÃO PAULO (Brasil). [Fotografia do registro integral de suporte papel]. São Paulo, Brasil. 13 jun. 1952. Fotografia colorida. Disponível em: &lt;link do dataverse&gt;. Acesso em: 28 out. 2025.</x:v>
      </x:c>
      <x:c r="T9" s="10" t="str">
        <x:v>Fotografia digital realizada pelas pesquisadoras Maíra Rocha Machado, Bianca Tavolari e Maira Rosín para fins de pesquisa acadêmica, 2025.</x:v>
      </x:c>
      <x:c r="U9" s="10" t="str">
        <x:v>ICO</x:v>
      </x:c>
      <x:c r="V9" s="10" t="str">
        <x:v>PLN</x:v>
      </x:c>
      <x:c r="W9" s="10" t="str">
        <x:v>FOT</x:v>
      </x:c>
      <x:c r="X9" s="10" t="str">
        <x:v>MT0</x:v>
      </x:c>
      <x:c r="Y9" s="10" t="str">
        <x:v>BR-SPAPESP_CPOS-PLNCARANDIRU.xlsx</x:v>
      </x:c>
      <x:c r="Z9" s="10" t="str">
        <x:v>3350 0001</x:v>
      </x:c>
      <x:c r="AA9" s="11" t="n">
        <x:v>9</x:v>
      </x:c>
      <x:c r="AB9" s="10" t="str">
        <x:v>BR-SPAPESP_CPOS-PLNCARANDIRU.xlsx:3350 0001:9</x:v>
      </x:c>
      <x:c r="AC9" s="11" t="n">
        <x:f>COLUMNS(A9:T9)-COUNTBLANK(A9:T9)</x:f>
        <x:v>20</x:v>
      </x:c>
    </x:row>
    <x:row r="10" ht="60" hidden="0" customHeight="1">
      <x:c r="A10" s="10" t="str">
        <x:v>009F</x:v>
      </x:c>
      <x:c r="B10" s="10" t="str">
        <x:v>Fotografia do detalhe de fluxo documental e controle</x:v>
      </x:c>
      <x:c r="C10" s="10" t="str">
        <x:v>Item</x:v>
      </x:c>
      <x:c r="D10" s="10" t="str">
        <x:v>1952-06-13 00:00:00</x:v>
      </x:c>
      <x:c r="E10" s="10" t="str">
        <x:v>Gerado pelo Dataverse</x:v>
      </x:c>
      <x:c r="F10" s="10" t="str">
        <x:v>Fotografia colorida</x:v>
      </x:c>
      <x:c r="G10" s="10" t="str">
        <x:v>São Paulo, Brasil</x:v>
      </x:c>
      <x:c r="H10" s="10" t="str">
        <x:v>Arquivo Público do Estado de São Paulo, Companhia Paulista de Obras e Serviços</x:v>
      </x:c>
      <x:c r="I10" s="10" t="str">
        <x:v>Planta da Casa de Detenção Carandiru</x:v>
      </x:c>
      <x:c r="J10" s="10" t="str">
        <x:v>Caixa: 3350</x:v>
      </x:c>
      <x:c r="K10" s="10" t="str">
        <x:v>BR-SPAPESP_CPOS-PLNCARANDIRU_ICO-FOT-FOT-MT0_3350-0001009F</x:v>
      </x:c>
      <x:c r="L10" s="10" t="str">
        <x:v>A Companhia Paulista de Obras e Serviços (CPOS), sucessora das antigas repartições de obras públicas do Estado de São Paulo (como a SACOP e a SVOP), foi a principal responsável pelo projeto, fiscalização e execução da infraestrutura estatal entre 1892 e 2019. Seu acervo cartográfico, atualmente sob custódia do Arquivo Público do Estado de São Paulo (APESP), é o registro técnico vital das edificações públicas paulistas. Ele documenta a materialização de políticas de saúde, educação e segurança através de plantas, cortes e cálculos estruturais de complexos fundamentais, como hospitais, escolas e unidades prisionais (incluindo o Carandiru).</x:v>
      </x:c>
      <x:c r="M10" s="10" t="str">
        <x:v>Carimbos de microfilmagem e encaminhamento administrativo do DEOP.</x:v>
      </x:c>
      <x:c r="N10"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0" s="10" t="str">
        <x:v>Carandiru, Casa de Detenção, Arquitetura Prisional, CPOS, APESP, Engenharia Estrutural, História Administrativa</x:v>
      </x:c>
      <x:c r="P10" s="10" t="str">
        <x:v>Fotografia (Iconográfico)</x:v>
      </x:c>
      <x:c r="Q10" s="10" t="str">
        <x:v>Digitalização de fotografia em preto e branco (analógica original)</x:v>
      </x:c>
      <x:c r="R10" s="10" t="str">
        <x:v>Figura n – [Fotografia do detalhe de fluxo documental e controle] Fonte: Arquivo do Estado de São Paulo, 1952.</x:v>
      </x:c>
      <x:c r="S10" s="10" t="str">
        <x:v>ARQUIVO PÚBLICO DO ESTADO DE SÃO PAULO (Brasil). [Fotografia do detalhe de fluxo documental e controle]. São Paulo, Brasil. 13 jun. 1952. Fotografia colorida. Disponível em: &lt;link do dataverse&gt;. Acesso em: 28 out. 2025.</x:v>
      </x:c>
      <x:c r="T10" s="10" t="str">
        <x:v>Fotografia digital realizada pelas pesquisadoras Maíra Rocha Machado, Bianca Tavolari e Maira Rosín para fins de pesquisa acadêmica, 2025.</x:v>
      </x:c>
      <x:c r="U10" s="10" t="str">
        <x:v>ICO</x:v>
      </x:c>
      <x:c r="V10" s="10" t="str">
        <x:v>FOT</x:v>
      </x:c>
      <x:c r="W10" s="10" t="str">
        <x:v>FOT</x:v>
      </x:c>
      <x:c r="X10" s="10" t="str">
        <x:v>MT0</x:v>
      </x:c>
      <x:c r="Y10" s="10" t="str">
        <x:v>BR-SPAPESP_CPOS-PLNCARANDIRU.xlsx</x:v>
      </x:c>
      <x:c r="Z10" s="10" t="str">
        <x:v>3350 0001</x:v>
      </x:c>
      <x:c r="AA10" s="11" t="n">
        <x:v>10</x:v>
      </x:c>
      <x:c r="AB10" s="10" t="str">
        <x:v>BR-SPAPESP_CPOS-PLNCARANDIRU.xlsx:3350 0001:10</x:v>
      </x:c>
      <x:c r="AC10" s="11" t="n">
        <x:f>COLUMNS(A10:T10)-COUNTBLANK(A10:T10)</x:f>
        <x:v>20</x:v>
      </x:c>
    </x:row>
    <x:row r="11" ht="60" hidden="0" customHeight="1">
      <x:c r="A11" s="10" t="str">
        <x:v>010F</x:v>
      </x:c>
      <x:c r="B11" s="10" t="str">
        <x:v>Fotografia do projeto de execução: fundações do corpo da guarda</x:v>
      </x:c>
      <x:c r="C11" s="10" t="str">
        <x:v>Item</x:v>
      </x:c>
      <x:c r="D11" s="10" t="str">
        <x:v>1952-06-13 00:00:00</x:v>
      </x:c>
      <x:c r="E11" s="10" t="str">
        <x:v>Gerado pelo Dataverse</x:v>
      </x:c>
      <x:c r="F11" s="10" t="str">
        <x:v>Fotografia colorida</x:v>
      </x:c>
      <x:c r="G11" s="10" t="str">
        <x:v>São Paulo, Brasil</x:v>
      </x:c>
      <x:c r="H11" s="10" t="str">
        <x:v>Arquivo Público do Estado de São Paulo, Companhia Paulista de Obras e Serviços</x:v>
      </x:c>
      <x:c r="I11" s="10" t="str">
        <x:v>Planta da Casa de Detenção Carandiru</x:v>
      </x:c>
      <x:c r="J11" s="10" t="str">
        <x:v>Caixa: 3350</x:v>
      </x:c>
      <x:c r="K11" s="10" t="str">
        <x:v>BR-SPAPESP_CPOS-PLNCARANDIRU_ICO-FOT-FOT-MT0_3350-0001010F</x:v>
      </x:c>
      <x:c r="L11" s="10" t="str">
        <x:v>A Companhia Paulista de Obras e Serviços (CPOS), sucessora das antigas repartições de obras públicas do Estado de São Paulo (como a SACOP e a SVOP), foi a principal responsável pelo projeto, fiscalização e execução da infraestrutura estatal entre 1892 e 2019. Seu acervo cartográfico, atualmente sob custódia do Arquivo Público do Estado de São Paulo (APESP), é o registro técnico vital das edificações públicas paulistas. Ele documenta a materialização de políticas de saúde, educação e segurança através de plantas, cortes e cálculos estruturais de complexos fundamentais, como hospitais, escolas e unidades prisionais (incluindo o Carandiru).</x:v>
      </x:c>
      <x:c r="M11" s="10" t="str">
        <x:v>Planta de locação de estacas e pilares do acesso principal.</x:v>
      </x:c>
      <x:c r="N11"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1" s="10" t="str">
        <x:v>Carandiru, Casa de Detenção, Arquitetura Prisional, CPOS, APESP, Engenharia Estrutural, História Administrativa</x:v>
      </x:c>
      <x:c r="P11" s="10" t="str">
        <x:v>Fotografia (Iconográfico)</x:v>
      </x:c>
      <x:c r="Q11" s="10" t="str">
        <x:v>Digitalização de fotografia em preto e branco (analógica original)</x:v>
      </x:c>
      <x:c r="R11" s="10" t="str">
        <x:v>Figura n – [Fotografia do projeto de execução: fundações do corpo da guarda] Fonte: Arquivo do Estado de São Paulo, 1952.</x:v>
      </x:c>
      <x:c r="S11" s="10" t="str">
        <x:v>ARQUIVO PÚBLICO DO ESTADO DE SÃO PAULO (Brasil). [Fotografia do projeto de execução: fundações do corpo da guarda]. São Paulo, Brasil. 13 jun. 1952. Fotografia colorida. Disponível em: &lt;link do dataverse&gt;. Acesso em: 28 out. 2025.</x:v>
      </x:c>
      <x:c r="T11" s="10" t="str">
        <x:v>Fotografia digital realizada pelas pesquisadoras Maíra Rocha Machado, Bianca Tavolari e Maira Rosín para fins de pesquisa acadêmica, 2025.</x:v>
      </x:c>
      <x:c r="U11" s="10" t="str">
        <x:v>ICO</x:v>
      </x:c>
      <x:c r="V11" s="10" t="str">
        <x:v>FOT</x:v>
      </x:c>
      <x:c r="W11" s="10" t="str">
        <x:v>FOT</x:v>
      </x:c>
      <x:c r="X11" s="10" t="str">
        <x:v>MT0</x:v>
      </x:c>
      <x:c r="Y11" s="10" t="str">
        <x:v>BR-SPAPESP_CPOS-PLNCARANDIRU.xlsx</x:v>
      </x:c>
      <x:c r="Z11" s="10" t="str">
        <x:v>3350 0001</x:v>
      </x:c>
      <x:c r="AA11" s="11" t="n">
        <x:v>11</x:v>
      </x:c>
      <x:c r="AB11" s="10" t="str">
        <x:v>BR-SPAPESP_CPOS-PLNCARANDIRU.xlsx:3350 0001:11</x:v>
      </x:c>
      <x:c r="AC11" s="11" t="n">
        <x:f>COLUMNS(A11:T11)-COUNTBLANK(A11:T11)</x:f>
        <x:v>20</x:v>
      </x:c>
    </x:row>
    <x:row r="12" ht="60" hidden="0" customHeight="1">
      <x:c r="A12" s="10" t="str">
        <x:v>011F</x:v>
      </x:c>
      <x:c r="B12" s="10" t="str">
        <x:v>Fotografia do detalhe estrutural: pilares dos pavilhões 8 e 9</x:v>
      </x:c>
      <x:c r="C12" s="10" t="str">
        <x:v>Item</x:v>
      </x:c>
      <x:c r="D12" s="10" t="str">
        <x:v>1952-06-13 00:00:00</x:v>
      </x:c>
      <x:c r="E12" s="10" t="str">
        <x:v>Gerado pelo Dataverse</x:v>
      </x:c>
      <x:c r="F12" s="10" t="str">
        <x:v>Fotografia colorida</x:v>
      </x:c>
      <x:c r="G12" s="10" t="str">
        <x:v>São Paulo, Brasil</x:v>
      </x:c>
      <x:c r="H12" s="10" t="str">
        <x:v>Arquivo Público do Estado de São Paulo, Companhia Paulista de Obras e Serviços</x:v>
      </x:c>
      <x:c r="I12" s="10" t="str">
        <x:v>Planta da Casa de Detenção Carandiru</x:v>
      </x:c>
      <x:c r="J12" s="10" t="str">
        <x:v>Caixa: 3350</x:v>
      </x:c>
      <x:c r="K12" s="10" t="str">
        <x:v>BR-SPAPESP_CPOS-PLNCARANDIRU_ICO-PLN-FOT-MT0_3350-0001011F</x:v>
      </x:c>
      <x:c r="L12" s="10" t="str">
        <x:v>A Companhia Paulista de Obras e Serviços (CPOS), sucessora das antigas repartições de obras públicas do Estado de São Paulo (como a SACOP e a SVOP), foi a principal responsável pelo projeto, fiscalização e execução da infraestrutura estatal entre 1892 e 2019. Seu acervo cartográfico, atualmente sob custódia do Arquivo Público do Estado de São Paulo (APESP), é o registro técnico vital das edificações públicas paulistas. Ele documenta a materialização de políticas de saúde, educação e segurança através de plantas, cortes e cálculos estruturais de complexos fundamentais, como hospitais, escolas e unidades prisionais (incluindo o Carandiru).</x:v>
      </x:c>
      <x:c r="M12" s="10" t="str">
        <x:v>Desenho técnico de locação das bases estruturais para detenção de primários e reincidentes.</x:v>
      </x:c>
      <x:c r="N12"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2" s="10" t="str">
        <x:v>Carandiru, Casa de Detenção, Arquitetura Prisional, CPOS, APESP, Engenharia Estrutural, História Administrativa</x:v>
      </x:c>
      <x:c r="P12" s="10" t="str">
        <x:v>Fotografia (Iconográfico)</x:v>
      </x:c>
      <x:c r="Q12" s="10" t="str">
        <x:v>Digitalização de fotografia em preto e branco (analógica original)</x:v>
      </x:c>
      <x:c r="R12" s="10" t="str">
        <x:v>Figura n – [Fotografia do detalhe estrutural: pilares dos pavilhões 8 e 9] Fonte: Arquivo do Estado de São Paulo, 1952.</x:v>
      </x:c>
      <x:c r="S12" s="10" t="str">
        <x:v>ARQUIVO PÚBLICO DO ESTADO DE SÃO PAULO (Brasil). [Fotografia do detalhe estrutural: pilares dos pavilhões 8 e 9]. São Paulo, Brasil. 13 jun. 1952. Fotografia colorida. Disponível em: &lt;link do dataverse&gt;. Acesso em: 28 out. 2025.</x:v>
      </x:c>
      <x:c r="T12" s="10" t="str">
        <x:v>Fotografia digital realizada pelas pesquisadoras Maíra Rocha Machado, Bianca Tavolari e Maira Rosín para fins de pesquisa acadêmica, 2025.</x:v>
      </x:c>
      <x:c r="U12" s="10" t="str">
        <x:v>ICO</x:v>
      </x:c>
      <x:c r="V12" s="10" t="str">
        <x:v>PLN</x:v>
      </x:c>
      <x:c r="W12" s="10" t="str">
        <x:v>FOT</x:v>
      </x:c>
      <x:c r="X12" s="10" t="str">
        <x:v>MT0</x:v>
      </x:c>
      <x:c r="Y12" s="10" t="str">
        <x:v>BR-SPAPESP_CPOS-PLNCARANDIRU.xlsx</x:v>
      </x:c>
      <x:c r="Z12" s="10" t="str">
        <x:v>3350 0001</x:v>
      </x:c>
      <x:c r="AA12" s="11" t="n">
        <x:v>12</x:v>
      </x:c>
      <x:c r="AB12" s="10" t="str">
        <x:v>BR-SPAPESP_CPOS-PLNCARANDIRU.xlsx:3350 0001:12</x:v>
      </x:c>
      <x:c r="AC12" s="11" t="n">
        <x:f>COLUMNS(A12:T12)-COUNTBLANK(A12:T12)</x:f>
        <x:v>20</x:v>
      </x:c>
    </x:row>
    <x:row r="13" ht="60" hidden="0" customHeight="1">
      <x:c r="A13" s="10" t="str">
        <x:v>012F</x:v>
      </x:c>
      <x:c r="B13" s="10" t="str">
        <x:v>Fotografia do projeto de estaqueamento: detenção de réus primários</x:v>
      </x:c>
      <x:c r="C13" s="10" t="str">
        <x:v>Item</x:v>
      </x:c>
      <x:c r="D13" s="10" t="str">
        <x:v>1952-06-13 00:00:00</x:v>
      </x:c>
      <x:c r="E13" s="10" t="str">
        <x:v>Gerado pelo Dataverse</x:v>
      </x:c>
      <x:c r="F13" s="10" t="str">
        <x:v>Fotografia colorida</x:v>
      </x:c>
      <x:c r="G13" s="10" t="str">
        <x:v>São Paulo, Brasil</x:v>
      </x:c>
      <x:c r="H13" s="10" t="str">
        <x:v>Arquivo Público do Estado de São Paulo, Companhia Paulista de Obras e Serviços</x:v>
      </x:c>
      <x:c r="I13" s="10" t="str">
        <x:v>Planta da Casa de Detenção Carandiru</x:v>
      </x:c>
      <x:c r="J13" s="10" t="str">
        <x:v>Caixa: 3350</x:v>
      </x:c>
      <x:c r="K13" s="10" t="str">
        <x:v>BR-SPAPESP_CPOS-PLNCARANDIRU_ICO-FOT-FOT-MT0_3350-0001012F</x:v>
      </x:c>
      <x:c r="L13" s="10" t="str">
        <x:v>A Companhia Paulista de Obras e Serviços (CPOS), sucessora das antigas repartições de obras públicas do Estado de São Paulo (como a SACOP e a SVOP), foi a principal responsável pelo projeto, fiscalização e execução da infraestrutura estatal entre 1892 e 2019. Seu acervo cartográfico, atualmente sob custódia do Arquivo Público do Estado de São Paulo (APESP), é o registro técnico vital das edificações públicas paulistas. Ele documenta a materialização de políticas de saúde, educação e segurança através de plantas, cortes e cálculos estruturais de complexos fundamentais, como hospitais, escolas e unidades prisionais (incluindo o Carandiru).</x:v>
      </x:c>
      <x:c r="M13" s="10" t="str">
        <x:v>Especificações de carga e profundidade para as fundações do setor de primários.</x:v>
      </x:c>
      <x:c r="N13"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3" s="10" t="str">
        <x:v>Carandiru, Casa de Detenção, Arquitetura Prisional, CPOS, APESP, Engenharia Estrutural, História Administrativa</x:v>
      </x:c>
      <x:c r="P13" s="10" t="str">
        <x:v>Fotografia (Iconográfico)</x:v>
      </x:c>
      <x:c r="Q13" s="10" t="str">
        <x:v>Digitalização de fotografia em preto e branco (analógica original)</x:v>
      </x:c>
      <x:c r="R13" s="10" t="str">
        <x:v>Figura n – [Fotografia do projeto de estaqueamento: detenção de réus primários] Fonte: Arquivo do Estado de São Paulo, 1952.</x:v>
      </x:c>
      <x:c r="S13" s="10" t="str">
        <x:v>ARQUIVO PÚBLICO DO ESTADO DE SÃO PAULO (Brasil). [Fotografia do projeto de estaqueamento: detenção de réus primários]. São Paulo, Brasil. 13 jun. 1952. Fotografia colorida. Disponível em: &lt;link do dataverse&gt;. Acesso em: 28 out. 2025.</x:v>
      </x:c>
      <x:c r="T13" s="10" t="str">
        <x:v>Fotografia digital realizada pelas pesquisadoras Maíra Rocha Machado, Bianca Tavolari e Maira Rosín para fins de pesquisa acadêmica, 2025.</x:v>
      </x:c>
      <x:c r="U13" s="10" t="str">
        <x:v>ICO</x:v>
      </x:c>
      <x:c r="V13" s="10" t="str">
        <x:v>FOT</x:v>
      </x:c>
      <x:c r="W13" s="10" t="str">
        <x:v>FOT</x:v>
      </x:c>
      <x:c r="X13" s="10" t="str">
        <x:v>MT0</x:v>
      </x:c>
      <x:c r="Y13" s="10" t="str">
        <x:v>BR-SPAPESP_CPOS-PLNCARANDIRU.xlsx</x:v>
      </x:c>
      <x:c r="Z13" s="10" t="str">
        <x:v>3350 0001</x:v>
      </x:c>
      <x:c r="AA13" s="11" t="n">
        <x:v>13</x:v>
      </x:c>
      <x:c r="AB13" s="10" t="str">
        <x:v>BR-SPAPESP_CPOS-PLNCARANDIRU.xlsx:3350 0001:13</x:v>
      </x:c>
      <x:c r="AC13" s="11" t="n">
        <x:f>COLUMNS(A13:T13)-COUNTBLANK(A13:T13)</x:f>
        <x:v>20</x:v>
      </x:c>
    </x:row>
    <x:row r="14" ht="60" hidden="0" customHeight="1">
      <x:c r="A14" s="10" t="str">
        <x:v>013F</x:v>
      </x:c>
      <x:c r="B14" s="10" t="str">
        <x:v>Fotografia do projeto de estaqueamento: detenção de reincidentes</x:v>
      </x:c>
      <x:c r="C14" s="10" t="str">
        <x:v>Item</x:v>
      </x:c>
      <x:c r="D14" s="10" t="str">
        <x:v>1952-06-13 00:00:00</x:v>
      </x:c>
      <x:c r="E14" s="10" t="str">
        <x:v>Gerado pelo Dataverse</x:v>
      </x:c>
      <x:c r="F14" s="10" t="str">
        <x:v>Fotografia colorida</x:v>
      </x:c>
      <x:c r="G14" s="10" t="str">
        <x:v>São Paulo, Brasil</x:v>
      </x:c>
      <x:c r="H14" s="10" t="str">
        <x:v>Arquivo Público do Estado de São Paulo, Companhia Paulista de Obras e Serviços</x:v>
      </x:c>
      <x:c r="I14" s="10" t="str">
        <x:v>Planta da Casa de Detenção Carandiru</x:v>
      </x:c>
      <x:c r="J14" s="10" t="str">
        <x:v>Caixa: 3350</x:v>
      </x:c>
      <x:c r="K14" s="10" t="str">
        <x:v>BR-SPAPESP_CPOS-PLNCARANDIRU_ICO-FOT-FOT-MT0_3350-0001013F</x:v>
      </x:c>
      <x:c r="L14" s="10" t="str">
        <x:v>A Companhia Paulista de Obras e Serviços (CPOS), sucessora das antigas repartições de obras públicas do Estado de São Paulo (como a SACOP e a SVOP), foi a principal responsável pelo projeto, fiscalização e execução da infraestrutura estatal entre 1892 e 2019. Seu acervo cartográfico, atualmente sob custódia do Arquivo Público do Estado de São Paulo (APESP), é o registro técnico vital das edificações públicas paulistas. Ele documenta a materialização de políticas de saúde, educação e segurança através de plantas, cortes e cálculos estruturais de complexos fundamentais, como hospitais, escolas e unidades prisionais (incluindo o Carandiru).</x:v>
      </x:c>
      <x:c r="M14" s="10" t="str">
        <x:v>Detalhamento das 592 estacas previstas para o Pavilhão 9.</x:v>
      </x:c>
      <x:c r="N14"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4" s="10" t="str">
        <x:v>Carandiru, Casa de Detenção, Arquitetura Prisional, CPOS, APESP, Engenharia Estrutural, História Administrativa</x:v>
      </x:c>
      <x:c r="P14" s="10" t="str">
        <x:v>Fotografia (Iconográfico)</x:v>
      </x:c>
      <x:c r="Q14" s="10" t="str">
        <x:v>Digitalização de fotografia em preto e branco (analógica original)</x:v>
      </x:c>
      <x:c r="R14" s="10" t="str">
        <x:v>Figura n – [Fotografia do projeto de estaqueamento: detenção de reincidentes] Fonte: Arquivo do Estado de São Paulo, 1952.</x:v>
      </x:c>
      <x:c r="S14" s="10" t="str">
        <x:v>ARQUIVO PÚBLICO DO ESTADO DE SÃO PAULO (Brasil). [Fotografia do projeto de estaqueamento: detenção de reincidentes]. São Paulo, Brasil. 13 jun. 1952. Fotografia colorida. Disponível em: &lt;link do dataverse&gt;. Acesso em: 28 out. 2025.</x:v>
      </x:c>
      <x:c r="T14" s="10" t="str">
        <x:v>Fotografia digital realizada pelas pesquisadoras Maíra Rocha Machado, Bianca Tavolari e Maira Rosín para fins de pesquisa acadêmica, 2025.</x:v>
      </x:c>
      <x:c r="U14" s="10" t="str">
        <x:v>ICO</x:v>
      </x:c>
      <x:c r="V14" s="10" t="str">
        <x:v>FOT</x:v>
      </x:c>
      <x:c r="W14" s="10" t="str">
        <x:v>FOT</x:v>
      </x:c>
      <x:c r="X14" s="10" t="str">
        <x:v>MT0</x:v>
      </x:c>
      <x:c r="Y14" s="10" t="str">
        <x:v>BR-SPAPESP_CPOS-PLNCARANDIRU.xlsx</x:v>
      </x:c>
      <x:c r="Z14" s="10" t="str">
        <x:v>3350 0001</x:v>
      </x:c>
      <x:c r="AA14" s="11" t="n">
        <x:v>14</x:v>
      </x:c>
      <x:c r="AB14" s="10" t="str">
        <x:v>BR-SPAPESP_CPOS-PLNCARANDIRU.xlsx:3350 0001:14</x:v>
      </x:c>
      <x:c r="AC14" s="11" t="n">
        <x:f>COLUMNS(A14:T14)-COUNTBLANK(A14:T14)</x:f>
        <x:v>20</x:v>
      </x:c>
    </x:row>
    <x:row r="15" ht="84" hidden="0" customHeight="1">
      <x:c r="A15" s="10" t="str">
        <x:v>001</x:v>
      </x:c>
      <x:c r="B15" s="10" t="str">
        <x:v>Av. Cruzeiro do Sul (1979)</x:v>
      </x:c>
      <x:c r="C15" s="10" t="str">
        <x:v>Item</x:v>
      </x:c>
      <x:c r="D15" s="10" t="str">
        <x:v>1979-06-23 00:00:00</x:v>
      </x:c>
      <x:c r="E15" s="10" t="str">
        <x:v>Gerado pelo Dataverse</x:v>
      </x:c>
      <x:c r="F15" s="10" t="str">
        <x:v>Fotografia digitalizada; preto e branco; suporte em papel fotográfico</x:v>
      </x:c>
      <x:c r="G15" s="10" t="str">
        <x:v>São Paulo, Brasil</x:v>
      </x:c>
      <x:c r="H15" s="10" t="str">
        <x:v>Arquivo Público do Estado de São Paulo, Jornal Diários Associados</x:v>
      </x:c>
      <x:c r="I15" s="10" t="str">
        <x:v>Estado De São Paulo - Penitenciárias e Presídios - Casa de Detenção de São Paulo no Carandiru (Fotografias)</x:v>
      </x:c>
      <x:c r="J15" s="10" t="str">
        <x:v>Caixa: 3055 Folder: 5</x:v>
      </x:c>
      <x:c r="K15" s="10" t="str">
        <x:v>BR-SPAPESP_DASP-PENITPRE-CSDTCARANDIRU_ICO-FOT-DGZ-MT0_3055-005-001</x:v>
      </x:c>
      <x:c r="L15"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15" s="10" t="str">
        <x:v>Fotografia em preto e branco mostrando a fachada principal da Casa de Detenção, com a inscrição “CASA DE DETENÇÃO” visível na parte superior da imagem. No primeiro plano, observam-se pessoas reunidas junto ao portão de entrada e dois veículos estacionados. Iluminação artificial, tomada noturna ou ao entardecer.</x:v>
      </x:c>
      <x:c r="N15"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5" s="10" t="str">
        <x:v>Sistema prisional; Arquitetura prisional; Casa de Detenção de São Paulo; Carandiru; Fotografia documental.</x:v>
      </x:c>
      <x:c r="P15" s="10" t="str">
        <x:v>Fotografia (Iconográfico)</x:v>
      </x:c>
      <x:c r="Q15" s="10" t="str">
        <x:v>Digitalização de fotografia em preto e branco (analógica original)</x:v>
      </x:c>
      <x:c r="R15" s="10" t="str">
        <x:v>Figura n – [Av. Cruzeiro do Sul (1979)] Fonte: Arquivo Público do Estado de São Paulo, 1979.</x:v>
      </x:c>
      <x:c r="S15" s="10" t="str">
        <x:v>ARQUIVO PÚBLICO DO ESTADO DE SÃO PAULO (Brasil). [Av. Cruzeiro do Sul (1979)]. São Paulo, Brasil. 23 jun. 1979. Fotografia digitalizada; preto e branco; suporte em papel fotográfico. Disponível em: &lt;link do dataverse&gt;. Acesso em: 28 out. 2025.</x:v>
      </x:c>
      <x:c r="T15" s="10" t="str">
        <x:v>Estado de São Paulo – XXXXX penitenciárias e presídios – Casa de Detenção DN – 23/06/1979</x:v>
      </x:c>
      <x:c r="U15" s="10" t="str">
        <x:v>ICO</x:v>
      </x:c>
      <x:c r="V15" s="10" t="str">
        <x:v>FOT</x:v>
      </x:c>
      <x:c r="W15" s="10" t="str">
        <x:v>DGZ</x:v>
      </x:c>
      <x:c r="X15" s="10" t="str">
        <x:v>MT0</x:v>
      </x:c>
      <x:c r="Y15" s="10" t="str">
        <x:v>BR-SPAPESP_DASP-PENITPRE-CSDTCARANDIRU.xlsx</x:v>
      </x:c>
      <x:c r="Z15" s="10" t="str">
        <x:v>3055-005</x:v>
      </x:c>
      <x:c r="AA15" s="11" t="n">
        <x:v>2</x:v>
      </x:c>
      <x:c r="AB15" s="10" t="str">
        <x:v>BR-SPAPESP_DASP-PENITPRE-CSDTCARANDIRU.xlsx:3055-005:2</x:v>
      </x:c>
      <x:c r="AC15" s="11" t="n">
        <x:f>COLUMNS(A15:T15)-COUNTBLANK(A15:T15)</x:f>
        <x:v>20</x:v>
      </x:c>
    </x:row>
    <x:row r="16" ht="84" hidden="0" customHeight="1">
      <x:c r="A16" s="10" t="str">
        <x:v>002</x:v>
      </x:c>
      <x:c r="B16" s="10" t="str">
        <x:v>Sentinela em passarela de vigilância — Casa de Detenção de São Paulo no Carandiru em 1979</x:v>
      </x:c>
      <x:c r="C16" s="10" t="str">
        <x:v>Item</x:v>
      </x:c>
      <x:c r="D16" s="10" t="str">
        <x:v>1979-02-16 00:00:00</x:v>
      </x:c>
      <x:c r="E16" s="10" t="str">
        <x:v>Gerado pelo Dataverse</x:v>
      </x:c>
      <x:c r="F16" s="10" t="str">
        <x:v>Fotografia digitalizada; preto e branco; suporte em papel fotográfico</x:v>
      </x:c>
      <x:c r="G16" s="10" t="str">
        <x:v>São Paulo, Brasil</x:v>
      </x:c>
      <x:c r="H16" s="10" t="str">
        <x:v>Arquivo Público do Estado de São Paulo, Jornal Diários Associados</x:v>
      </x:c>
      <x:c r="I16" s="10" t="str">
        <x:v>Estado De São Paulo - Penitenciárias e Presídios - Casa de Detenção de São Paulo no Carandiru (Fotografias)</x:v>
      </x:c>
      <x:c r="J16" s="10" t="str">
        <x:v>Caixa: 3055 Folder: 5</x:v>
      </x:c>
      <x:c r="K16" s="10" t="str">
        <x:v>BR-SPAPESP_DASP-PENITPRE-CSDTCARANDIRU_ICO-FOT-DGZ-MT0_3055-005-002</x:v>
      </x:c>
      <x:c r="L16"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16" s="10" t="str">
        <x:v>Fotografia em preto e branco retratando um agente de segurança armado caminhando sobre uma passarela elevada junto à fachada de um dos pavilhões da Casa de Detenção. A construção exibe janelas gradeadas e estrutura de concreto que caracteriza a arquitetura prisional.</x:v>
      </x:c>
      <x:c r="N16"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6" s="10" t="str">
        <x:v>Sistema prisional; Vigilância penitenciária; Segurança prisional; Arquitetura carcerária; Casa de Detenção de São Paulo; Carandiru.</x:v>
      </x:c>
      <x:c r="P16" s="10" t="str">
        <x:v>Fotografia (Iconográfico)</x:v>
      </x:c>
      <x:c r="Q16" s="10" t="str">
        <x:v>Digitalização de fotografia em preto e branco (analógica original)</x:v>
      </x:c>
      <x:c r="R16" s="10" t="str">
        <x:v>Figura n – [Sentinela em passarela de vigilância — Casa de Detenção de São Paulo no Carandiru em 1979] Fonte: Arquivo Público do Estado de São Paulo, 1979.</x:v>
      </x:c>
      <x:c r="S16" s="10" t="str">
        <x:v>ARQUIVO PÚBLICO DO ESTADO DE SÃO PAULO (Brasil). [Sentinela em passarela de vigilância — Casa de Detenção de São Paulo no Carandiru em 1979]. São Paulo, Brasil. 16 fev. 1979. Fotografia digitalizada; preto e branco; suporte em papel fotográfico. Disponível em: &lt;link do dataverse&gt;. Acesso em: 28 out. 2025.</x:v>
      </x:c>
      <x:c r="T16" s="10" t="str">
        <x:v>Estado de São Paulo – Penitenciárias e presídios – Casa de Detenção Vista parcial da Detenção. DN – 16/02/1979</x:v>
      </x:c>
      <x:c r="U16" s="10" t="str">
        <x:v>ICO</x:v>
      </x:c>
      <x:c r="V16" s="10" t="str">
        <x:v>FOT</x:v>
      </x:c>
      <x:c r="W16" s="10" t="str">
        <x:v>DGZ</x:v>
      </x:c>
      <x:c r="X16" s="10" t="str">
        <x:v>MT0</x:v>
      </x:c>
      <x:c r="Y16" s="10" t="str">
        <x:v>BR-SPAPESP_DASP-PENITPRE-CSDTCARANDIRU.xlsx</x:v>
      </x:c>
      <x:c r="Z16" s="10" t="str">
        <x:v>3055-005</x:v>
      </x:c>
      <x:c r="AA16" s="11" t="n">
        <x:v>3</x:v>
      </x:c>
      <x:c r="AB16" s="10" t="str">
        <x:v>BR-SPAPESP_DASP-PENITPRE-CSDTCARANDIRU.xlsx:3055-005:3</x:v>
      </x:c>
      <x:c r="AC16" s="11" t="n">
        <x:f>COLUMNS(A16:T16)-COUNTBLANK(A16:T16)</x:f>
        <x:v>20</x:v>
      </x:c>
    </x:row>
    <x:row r="17" ht="84" hidden="0" customHeight="1">
      <x:c r="A17" s="10" t="str">
        <x:v>003</x:v>
      </x:c>
      <x:c r="B17" s="10" t="str">
        <x:v>Celebração da Páscoa na Casa de Detenção de São Paulo no Carandiru em 1963</x:v>
      </x:c>
      <x:c r="C17" s="10" t="str">
        <x:v>Item</x:v>
      </x:c>
      <x:c r="D17" s="10" t="str">
        <x:v>1963-07-08 00:00:00</x:v>
      </x:c>
      <x:c r="E17" s="10" t="str">
        <x:v>Gerado pelo Dataverse</x:v>
      </x:c>
      <x:c r="F17" s="10" t="str">
        <x:v>Fotografia digitalizada; preto e branco; suporte em papel fotográfico</x:v>
      </x:c>
      <x:c r="G17" s="10" t="str">
        <x:v>São Paulo, Brasil</x:v>
      </x:c>
      <x:c r="H17" s="10" t="str">
        <x:v>Arquivo Público do Estado de São Paulo, Jornal Diários Associados</x:v>
      </x:c>
      <x:c r="I17" s="10" t="str">
        <x:v>Estado De São Paulo - Penitenciárias e Presídios - Casa de Detenção de São Paulo no Carandiru (Fotografias)</x:v>
      </x:c>
      <x:c r="J17" s="10" t="str">
        <x:v>Caixa: 3055 Folder: 5</x:v>
      </x:c>
      <x:c r="K17" s="10" t="str">
        <x:v>BR-SPAPESP_DASP-PENITPRE-CSDTCARANDIRU_ICO-FOT-DGZ-MT0_3055-005-003</x:v>
      </x:c>
      <x:c r="L17"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17" s="10" t="str">
        <x:v>Fotografia em preto e branco registra a celebração da comunhão pascal dos detentos da Casa de Detenção de São Paulo no Carandiru, realizada em 7 de julho de 1963. A cerimônia litúrgica ocorre em área interna do complexo, diante do pátio da Capela de Nossa Senhora Aparecida. Em primeiro plano, um altar improvisado com toalha branca e arranjo floral serve de ponto focal para o ofício conduzido pelo padre Paulo Ruffier, capelão da Penitenciária do Estado. Participam da celebração freiras, mulheres e homens em trajes formais, dispostos em atitude reverente. Ao fundo, vê-se o pátio cercado por galerias com janelas gradeadas, decorado com bandeirolas, compondo um cenário de fé e solenidade em meio ao ambiente prisional.</x:v>
      </x:c>
      <x:c r="N17"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7" s="10" t="str">
        <x:v>Sistema prisional; Assistência religiosa; Cerimônias católicas; Vida institucional; Casa de Detenção de São Paulo; Carandiru.</x:v>
      </x:c>
      <x:c r="P17" s="10" t="str">
        <x:v>Fotografia (Iconográfico)</x:v>
      </x:c>
      <x:c r="Q17" s="10" t="str">
        <x:v>Digitalização de fotografia em preto e branco (analógica original)</x:v>
      </x:c>
      <x:c r="R17" s="10" t="str">
        <x:v>Figura n – [Celebração da Páscoa na Casa de Detenção de São Paulo no Carandiru em 1963] Fonte: Arquivo Público do Estado de São Paulo, 1963.</x:v>
      </x:c>
      <x:c r="S17" s="10" t="str">
        <x:v>ARQUIVO PÚBLICO DO ESTADO DE SÃO PAULO (Brasil). [Celebração da Páscoa na Casa de Detenção de São Paulo no Carandiru em 1963]. São Paulo, Brasil. 08 jul. 1963. Fotografia digitalizada; preto e branco; suporte em papel fotográfico. Disponível em: &lt;link do dataverse&gt;. Acesso em: 28 out. 2025.</x:v>
      </x:c>
      <x:c r="T17" s="10" t="str">
        <x:v>Penitenciárias e presídios – Casa de Detenção de São Paulo no Carandiru Detentos tiveram a sua comunhão pascal Aspecto da Páscoa dos detentos da Casa de Detenção de São Paulo no Carandiru, ontem realizada. DN. 1ª Ed., 8/7/1963 - wpj Reverentes, concentrados e em absoluto silêncio, os detentos recolhidos no Pavilhão n. 8 da Casa de Detenção fizeram na manhã de ontem a sua comunhão pascal. A cerimonia litúrgica, que se constituiu num admirável espetáculo de fé cristã, foi celebrada defronte ao pátio da Capela de Nossa Senhora Aparecida, pelo pe. Paulo Ruffier, capelão da Penitenciária do Estado.</x:v>
      </x:c>
      <x:c r="U17" s="10" t="str">
        <x:v>ICO</x:v>
      </x:c>
      <x:c r="V17" s="10" t="str">
        <x:v>FOT</x:v>
      </x:c>
      <x:c r="W17" s="10" t="str">
        <x:v>DGZ</x:v>
      </x:c>
      <x:c r="X17" s="10" t="str">
        <x:v>MT0</x:v>
      </x:c>
      <x:c r="Y17" s="10" t="str">
        <x:v>BR-SPAPESP_DASP-PENITPRE-CSDTCARANDIRU.xlsx</x:v>
      </x:c>
      <x:c r="Z17" s="10" t="str">
        <x:v>3055-005</x:v>
      </x:c>
      <x:c r="AA17" s="11" t="n">
        <x:v>4</x:v>
      </x:c>
      <x:c r="AB17" s="10" t="str">
        <x:v>BR-SPAPESP_DASP-PENITPRE-CSDTCARANDIRU.xlsx:3055-005:4</x:v>
      </x:c>
      <x:c r="AC17" s="11" t="n">
        <x:f>COLUMNS(A17:T17)-COUNTBLANK(A17:T17)</x:f>
        <x:v>20</x:v>
      </x:c>
    </x:row>
    <x:row r="18" ht="84" hidden="0" customHeight="1">
      <x:c r="A18" s="10" t="str">
        <x:v>004</x:v>
      </x:c>
      <x:c r="B18" s="10" t="str">
        <x:v>Mulheres em atividade de artesanato em cômodo com decoração religiosa na Casa de Detenção de São Paulo no Carandiru em 1963</x:v>
      </x:c>
      <x:c r="C18" s="10" t="str">
        <x:v>Item</x:v>
      </x:c>
      <x:c r="D18" s="10" t="str">
        <x:v>1963-01-24 00:00:00</x:v>
      </x:c>
      <x:c r="E18" s="10" t="str">
        <x:v>Gerado pelo Dataverse</x:v>
      </x:c>
      <x:c r="F18" s="10" t="str">
        <x:v>Fotografia digitalizada; preto e branco; suporte em papel fotográfico</x:v>
      </x:c>
      <x:c r="G18" s="10" t="str">
        <x:v>São Paulo, Brasil</x:v>
      </x:c>
      <x:c r="H18" s="10" t="str">
        <x:v>Arquivo Público do Estado de São Paulo, Jornal Diários Associados</x:v>
      </x:c>
      <x:c r="I18" s="10" t="str">
        <x:v>Estado De São Paulo - Penitenciárias e Presídios - Casa de Detenção de São Paulo no Carandiru (Fotografias)</x:v>
      </x:c>
      <x:c r="J18" s="10" t="str">
        <x:v>Caixa: 3055 Folder: 5</x:v>
      </x:c>
      <x:c r="K18" s="10" t="str">
        <x:v>BR-SPAPESP_DASP-PENITPRE-CSDTCARANDIRU_ICO-FOT-DGZ-MT0_3055-005-004</x:v>
      </x:c>
      <x:c r="L18"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18" s="10" t="str">
        <x:v>A imagem em preto e branco mostra um grupo de seis mulheres (quatro brancas e duas negras) reunidas em uma mesa de trabalho. Elas parecem concentradas em atividades manuais, talvez de corte, desenho ou modelagem de moldes — há réguas, papéis e ferramentas sobre a mesa. No centro da composição, ao fundo, há um crucifixo fixado na parede, logo acima da mesa. As mulheres usam roupas simples e claras, o que reforça uma atmosfera de disciplina e uniformidade.</x:v>
      </x:c>
      <x:c r="N18"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8" s="10" t="str">
        <x:v>Trabalho feminino; religião e cárcere; oficinas de artesanato; ressocialização.</x:v>
      </x:c>
      <x:c r="P18" s="10" t="str">
        <x:v>Fotografia (Iconográfico)</x:v>
      </x:c>
      <x:c r="Q18" s="10" t="str">
        <x:v>Digitalização de fotografia em preto e branco (analógica original)</x:v>
      </x:c>
      <x:c r="R18" s="10" t="str">
        <x:v>Figura n – [Mulheres em atividade de artesanato em cômodo com decoração religiosa na Casa de Detenção de São Paulo no Carandiru em 1963] Fonte: Arquivo Público do Estado de São Paulo, 1963.</x:v>
      </x:c>
      <x:c r="S18" s="10" t="str">
        <x:v>ARQUIVO PÚBLICO DO ESTADO DE SÃO PAULO (Brasil). [Mulheres em atividade de artesanato em cômodo com decoração religiosa na Casa de Detenção de São Paulo no Carandiru em 1963]. São Paulo, Brasil. 24 jan. 1963. Fotografia digitalizada; preto e branco; suporte em papel fotográfico. Disponível em: &lt;link do dataverse&gt;. Acesso em: 28 out. 2025.</x:v>
      </x:c>
      <x:c r="T18" s="10" t="str">
        <x:v>Estado de São Paulo – Casa de Detenção de São Paulo no Carandiru Detentas do presidio do Carandirú, são preparadas pela Madre do Divino Salvador, para retornar ao convívio da sociedade. Recebem um pecúlio e os ensinamentos necessários para enfrentar a vida nas grandes cidades. Arq. 24/1/1963</x:v>
      </x:c>
      <x:c r="U18" s="10" t="str">
        <x:v>ICO</x:v>
      </x:c>
      <x:c r="V18" s="10" t="str">
        <x:v>FOT</x:v>
      </x:c>
      <x:c r="W18" s="10" t="str">
        <x:v>DGZ</x:v>
      </x:c>
      <x:c r="X18" s="10" t="str">
        <x:v>MT0</x:v>
      </x:c>
      <x:c r="Y18" s="10" t="str">
        <x:v>BR-SPAPESP_DASP-PENITPRE-CSDTCARANDIRU.xlsx</x:v>
      </x:c>
      <x:c r="Z18" s="10" t="str">
        <x:v>3055-005</x:v>
      </x:c>
      <x:c r="AA18" s="11" t="n">
        <x:v>5</x:v>
      </x:c>
      <x:c r="AB18" s="10" t="str">
        <x:v>BR-SPAPESP_DASP-PENITPRE-CSDTCARANDIRU.xlsx:3055-005:5</x:v>
      </x:c>
      <x:c r="AC18" s="11" t="n">
        <x:f>COLUMNS(A18:T18)-COUNTBLANK(A18:T18)</x:f>
        <x:v>20</x:v>
      </x:c>
    </x:row>
    <x:row r="19" ht="96" hidden="0" customHeight="1">
      <x:c r="A19" s="10" t="str">
        <x:v>006</x:v>
      </x:c>
      <x:c r="B19" s="10" t="str">
        <x:v>Autoridades de gravata e de farda cruzam portões da Casa de Detenção “por ocasião de sua inauguração”, conforme legenda (12.11.1956)</x:v>
      </x:c>
      <x:c r="C19" s="10" t="str">
        <x:v>Item</x:v>
      </x:c>
      <x:c r="D19" s="10" t="str">
        <x:v>1956-09-12 00:00:00</x:v>
      </x:c>
      <x:c r="E19" s="10" t="str">
        <x:v>Gerado pelo Dataverse</x:v>
      </x:c>
      <x:c r="F19" s="10" t="str">
        <x:v>Fotografia digitalizada; preto e branco; suporte em papel fotográfico</x:v>
      </x:c>
      <x:c r="G19" s="10" t="str">
        <x:v>São Paulo, Brasil</x:v>
      </x:c>
      <x:c r="H19" s="10" t="str">
        <x:v>Arquivo Público do Estado de São Paulo, Jornal Diários Associados</x:v>
      </x:c>
      <x:c r="I19" s="10" t="str">
        <x:v>Estado De São Paulo - Penitenciárias e Presídios - Casa de Detenção de São Paulo no Carandiru (Fotografias)</x:v>
      </x:c>
      <x:c r="J19" s="10" t="str">
        <x:v>Caixa: 3055 Folder: 5</x:v>
      </x:c>
      <x:c r="K19" s="10" t="str">
        <x:v>BR-SPAPESP_DASP-PENITPRE-CSDTCARANDIRU_ICO-FOT-DGZ-MT0_3055-005-006</x:v>
      </x:c>
      <x:c r="L19"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19" s="10" t="str">
        <x:v>Imagem em preto e branco registra autoridades civis e militares em deslocamento por área externa do Casa de Detenção de São Paulo no Carandiru, em São Paulo. À frente do grupo, homens trajando ternos e uniformes dialogam enquanto atravessam um portão de ferro. A cena documenta um momento da inauguração oficial do novo pavilhão da Casa de Detenção, realizada em 12 de setembro de 1956, nos terrenos da Penitenciária do Estado, na avenida General Ataliba Leonel. Presentes estavam representantes do Judiciário, da Segurança Pública, da Justiça, da Guarda Civil, da Força Pública, da Polícia Feminina e de comandos militares da região.</x:v>
      </x:c>
      <x:c r="N19"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9" s="10" t="str">
        <x:v>Administração penitenciária; visita institucional; segurança pública; Carandiru; autoridades civis e militares.</x:v>
      </x:c>
      <x:c r="P19" s="10" t="str">
        <x:v>Fotografia (Iconográfico)</x:v>
      </x:c>
      <x:c r="Q19" s="10" t="str">
        <x:v>Digitalização de fotografia em preto e branco (analógica original)</x:v>
      </x:c>
      <x:c r="R19" s="10" t="str">
        <x:v>Figura n – [Autoridades de gravata e de farda cruzam portões da Casa de Detenção “por ocasião de sua inauguração”, conforme legenda (12.11.1956)] Fonte: Arquivo Público do Estado de São Paulo, 1956.</x:v>
      </x:c>
      <x:c r="S19" s="10" t="str">
        <x:v>ARQUIVO PÚBLICO DO ESTADO DE SÃO PAULO (Brasil). [Autoridades de gravata e de farda cruzam portões da Casa de Detenção “por ocasião de sua inauguração”, conforme legenda (12.11.1956)]. São Paulo, Brasil. 12 set. 1956. Fotografia digitalizada; preto e branco; suporte em papel fotográfico. Disponível em: &lt;link do dataverse&gt;. Acesso em: 28 out. 2025.</x:v>
      </x:c>
      <x:c r="T19" s="10" t="str">
        <x:v>Estado de São Paulo - Penitenciárias e Presídios – Casa de Detenção - Carandiru Realizou-se a inauguração oficial do novo pavilhão da Casa de Detenção, construído nos terrenos da Penitenciária do Estado. Da inauguração é o flagrante. DN, ed. 12/9/1956 Inaugurado um pavilhão na nova Casa de Detenção – Realizou-se ontem a inauguração oficial do novo pavilhão da Casa de Detenção, construído nos terrenos da Penitenciária do Estado, na Avenida General Ataliba Leonel. O edifício, que estava praticamente terminado há algum tempo, necessitava de obras complementares externas, bem como do aparelhamento indispensável para o seu funcionamento. Ainda assim, porém, parte do prédio vinha sendo utilizada há alguns meses, sendo ali alojados parte dos detentos — os mais perigosos — que se achavam no Presídio do Hipódromo ou na Casa de Detenção. O novo pavilhão, que faz parte de um conjunto a ser construído o mais rapidamente possível, tem capacidade para 500 presos, alojados em quatro pavimentos distintos. Ao ato inaugural compareceram o juiz das Execuções Criminais, sr. Valentim Alves da Silva; o sr. Nereu César de Morais, diretor-geral dos Presídios; o sr. Carlos Eugênio Bittencourt da Fonseca, secretário da Segurança Pública; o sr. Lincoln Feliciano, secretário da Justiça; a diretoria da Guarda Civil; o comandante da Força Pública; representantes do comando da 2ª Região Militar e da Zona Militar Centro; delegados auxiliares, especializados e de distritos; bem como a diretora da Polícia Feminina. O clichê fixa aspecto tomado durante a solenidade.</x:v>
      </x:c>
      <x:c r="U19" s="10" t="str">
        <x:v>ICO</x:v>
      </x:c>
      <x:c r="V19" s="10" t="str">
        <x:v>FOT</x:v>
      </x:c>
      <x:c r="W19" s="10" t="str">
        <x:v>DGZ</x:v>
      </x:c>
      <x:c r="X19" s="10" t="str">
        <x:v>MT0</x:v>
      </x:c>
      <x:c r="Y19" s="10" t="str">
        <x:v>BR-SPAPESP_DASP-PENITPRE-CSDTCARANDIRU.xlsx</x:v>
      </x:c>
      <x:c r="Z19" s="10" t="str">
        <x:v>3055-005</x:v>
      </x:c>
      <x:c r="AA19" s="11" t="n">
        <x:v>6</x:v>
      </x:c>
      <x:c r="AB19" s="10" t="str">
        <x:v>BR-SPAPESP_DASP-PENITPRE-CSDTCARANDIRU.xlsx:3055-005:6</x:v>
      </x:c>
      <x:c r="AC19" s="11" t="n">
        <x:f>COLUMNS(A19:T19)-COUNTBLANK(A19:T19)</x:f>
        <x:v>20</x:v>
      </x:c>
    </x:row>
    <x:row r="20" ht="84" hidden="0" customHeight="1">
      <x:c r="A20" s="10" t="str">
        <x:v>007</x:v>
      </x:c>
      <x:c r="B20" s="10" t="str">
        <x:v>Repórter examinando o colchão cujos panos foram utilizados para a produção de uma corda para a fuga de detentos da Casa de Detenção de São Paulo no Carandiru em 1956</x:v>
      </x:c>
      <x:c r="C20" s="10" t="str">
        <x:v>Item</x:v>
      </x:c>
      <x:c r="D20" s="10" t="str">
        <x:v>1956-07-06 00:00:00</x:v>
      </x:c>
      <x:c r="E20" s="10" t="str">
        <x:v>Gerado pelo Dataverse</x:v>
      </x:c>
      <x:c r="F20" s="10" t="str">
        <x:v>Fotografia digitalizada; preto e branco; suporte em papel fotográfico</x:v>
      </x:c>
      <x:c r="G20" s="10" t="str">
        <x:v>São Paulo, Brasil</x:v>
      </x:c>
      <x:c r="H20" s="10" t="str">
        <x:v>Arquivo Público do Estado de São Paulo, Jornal Diários Associados</x:v>
      </x:c>
      <x:c r="I20" s="10" t="str">
        <x:v>Estado De São Paulo - Penitenciárias e Presídios - Casa de Detenção de São Paulo no Carandiru (Fotografias)</x:v>
      </x:c>
      <x:c r="J20" s="10" t="str">
        <x:v>Caixa: 3055 Folder: 5</x:v>
      </x:c>
      <x:c r="K20" s="10" t="str">
        <x:v>BR-SPAPESP_DASP-PENITPRE-CSDTCARANDIRU_ICO-FOT-DGZ-MT0_3055-005-007</x:v>
      </x:c>
      <x:c r="L20"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20" s="10" t="str">
        <x:v>Fotografia em preto e branco mostra uma pessoa curvada dentro de uma cela da Casa de Detenção de São Paulo no Carandiru, ao lado de um monte de palha. Sobre a palha, repousam um colchão listrado e tecidos, evidenciando improviso nas condições de repouso. O ambiente revela aspectos da precariedade estrutural do sistema prisional à época. O registro está relacionado à fuga de quatro detentos, ocorrida na madrugada de 6 de julho de 1956, quando lençóis e partes de colchões foram utilizados na confecção de uma corda improvisada.</x:v>
      </x:c>
      <x:c r="N20"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20" s="10" t="str">
        <x:v>Fuga de detentos; Cela (Prisional); Precariedade estrutural; Colchão improvisado; Palha (Leito); Reporter examinando; Carandiru; Incidentes de segurança; Meios de fuga; Cotidiano carcerário.</x:v>
      </x:c>
      <x:c r="P20" s="10" t="str">
        <x:v>Fotografia (Iconográfico)</x:v>
      </x:c>
      <x:c r="Q20" s="10" t="str">
        <x:v>Digitalização de fotografia em preto e branco (analógica original)</x:v>
      </x:c>
      <x:c r="R20" s="10" t="str">
        <x:v>Figura n – [Repórter examinando o colchão cujos panos foram utilizados para a produção de uma corda para a fuga de detentos da Casa de Detenção de São Paulo no Carandiru em 1956] Fonte: Arquivo Público do Estado de São Paulo, 1956.</x:v>
      </x:c>
      <x:c r="S20" s="10" t="str">
        <x:v>ARQUIVO PÚBLICO DO ESTADO DE SÃO PAULO (Brasil). [Repórter examinando o colchão cujos panos foram utilizados para a produção de uma corda para a fuga de detentos da Casa de Detenção de São Paulo no Carandiru em 1956]. São Paulo, Brasil. 06 jul. 1956. Fotografia digitalizada; preto e branco; suporte em papel fotográfico. Disponível em: &lt;link do dataverse&gt;. Acesso em: 28 out. 2025.</x:v>
      </x:c>
      <x:c r="T20" s="10" t="str">
        <x:v>Estado de São Paulo - Penitenciárias e Presídios – Casa de Detenção Carandiru Quatro delinquentes fugiram de madrugada da Casa de Detenção O repórter examina o colchão que foi destruído pelos fugitivos, cujo pano aproveitaram para reforçar a improvisada corda feita com lençóis. DN, 1ª ed., 6/7/1956 – W</x:v>
      </x:c>
      <x:c r="U20" s="10" t="str">
        <x:v>ICO</x:v>
      </x:c>
      <x:c r="V20" s="10" t="str">
        <x:v>FOT</x:v>
      </x:c>
      <x:c r="W20" s="10" t="str">
        <x:v>DGZ</x:v>
      </x:c>
      <x:c r="X20" s="10" t="str">
        <x:v>MT0</x:v>
      </x:c>
      <x:c r="Y20" s="10" t="str">
        <x:v>BR-SPAPESP_DASP-PENITPRE-CSDTCARANDIRU.xlsx</x:v>
      </x:c>
      <x:c r="Z20" s="10" t="str">
        <x:v>3055-005</x:v>
      </x:c>
      <x:c r="AA20" s="11" t="n">
        <x:v>7</x:v>
      </x:c>
      <x:c r="AB20" s="10" t="str">
        <x:v>BR-SPAPESP_DASP-PENITPRE-CSDTCARANDIRU.xlsx:3055-005:7</x:v>
      </x:c>
      <x:c r="AC20" s="11" t="n">
        <x:f>COLUMNS(A20:T20)-COUNTBLANK(A20:T20)</x:f>
        <x:v>20</x:v>
      </x:c>
    </x:row>
    <x:row r="21" ht="84" hidden="0" customHeight="1">
      <x:c r="A21" s="10" t="str">
        <x:v>008</x:v>
      </x:c>
      <x:c r="B21" s="10" t="str">
        <x:v>Mulheres em atividade de artesanato em ambiente com elementos religiosos na Casa de Detenção de São Paulo no Carandiru, 1963</x:v>
      </x:c>
      <x:c r="C21" s="10" t="str">
        <x:v>Item</x:v>
      </x:c>
      <x:c r="D21" s="10" t="str">
        <x:v>1963-01-24 00:00:00</x:v>
      </x:c>
      <x:c r="E21" s="10" t="str">
        <x:v>Gerado pelo Dataverse</x:v>
      </x:c>
      <x:c r="F21" s="10" t="str">
        <x:v>Fotografia digitalizada; preto e branco; suporte em papel fotográfico</x:v>
      </x:c>
      <x:c r="G21" s="10" t="str">
        <x:v>São Paulo, Brasil</x:v>
      </x:c>
      <x:c r="H21" s="10" t="str">
        <x:v>Arquivo Público do Estado de São Paulo, Jornal Diários Associados</x:v>
      </x:c>
      <x:c r="I21" s="10" t="str">
        <x:v>Estado De São Paulo - Penitenciárias e Presídios - Casa de Detenção de São Paulo no Carandiru (Fotografias)</x:v>
      </x:c>
      <x:c r="J21" s="10" t="str">
        <x:v>Caixa: 3055 Folder: 5</x:v>
      </x:c>
      <x:c r="K21" s="10" t="str">
        <x:v>BR-SPAPESP_DASP-PENITPRE-CSDTCARANDIRU_ICO-FOT-DGZ-MT0_3055-005-008</x:v>
      </x:c>
      <x:c r="L21"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21" s="10" t="str">
        <x:v>A imagem em preto e branco mostra um grupo de seis mulheres (quatro brancas e duas negras) reunidas em uma mesa de trabalho. Elas parecem concentradas em atividades manuais, talvez de corte, desenho ou modelagem de moldes — há réguas, papéis e ferramentas sobre a mesa. No centro da composição, ao fundo, há um crucifixo fixado na parede, logo acima da mesa. As mulheres usam roupas simples e claras, o que reforça uma atmosfera de disciplina e uniformidade.</x:v>
      </x:c>
      <x:c r="N21"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21" s="10" t="str">
        <x:v>Trabalho feminino; religião e cárcere; oficinas de artesanato; ressocialização.</x:v>
      </x:c>
      <x:c r="P21" s="10" t="str">
        <x:v>Fotografia (Iconográfico)</x:v>
      </x:c>
      <x:c r="Q21" s="10" t="str">
        <x:v>Digitalização de fotografia em preto e branco (analógica original)</x:v>
      </x:c>
      <x:c r="R21" s="10" t="str">
        <x:v>Figura n – [Mulheres em atividade de artesanato em ambiente com elementos religiosos na Casa de Detenção de São Paulo no Carandiru, 1963] Fonte: Arquivo Público do Estado de São Paulo, 1963.</x:v>
      </x:c>
      <x:c r="S21" s="10" t="str">
        <x:v>ARQUIVO PÚBLICO DO ESTADO DE SÃO PAULO (Brasil). [Mulheres em atividade de artesanato em ambiente com elementos religiosos na Casa de Detenção de São Paulo no Carandiru, 1963]. São Paulo, Brasil. 24 jan. 1963. Fotografia digitalizada; preto e branco; suporte em papel fotográfico. Disponível em: &lt;link do dataverse&gt;. Acesso em: 28 out. 2025.</x:v>
      </x:c>
      <x:c r="T21" s="10" t="str">
        <x:v>Estado de São Paulo - Penitenciárias e Presídios – Casa de Detenção de São Paulo no Carandiru Detentas do presídio do Carandiru são preparadas pela Madre do Divino Salvador para retornar ao convívio da sociedade. Recebem um pecúlio e os ensinamentos necessários para enfrentar a vida nas grandes cidades. Arq., 24/1/1963 – ACF</x:v>
      </x:c>
      <x:c r="U21" s="10" t="str">
        <x:v>ICO</x:v>
      </x:c>
      <x:c r="V21" s="10" t="str">
        <x:v>FOT</x:v>
      </x:c>
      <x:c r="W21" s="10" t="str">
        <x:v>DGZ</x:v>
      </x:c>
      <x:c r="X21" s="10" t="str">
        <x:v>MT0</x:v>
      </x:c>
      <x:c r="Y21" s="10" t="str">
        <x:v>BR-SPAPESP_DASP-PENITPRE-CSDTCARANDIRU.xlsx</x:v>
      </x:c>
      <x:c r="Z21" s="10" t="str">
        <x:v>3055-005</x:v>
      </x:c>
      <x:c r="AA21" s="11" t="n">
        <x:v>8</x:v>
      </x:c>
      <x:c r="AB21" s="10" t="str">
        <x:v>BR-SPAPESP_DASP-PENITPRE-CSDTCARANDIRU.xlsx:3055-005:8</x:v>
      </x:c>
      <x:c r="AC21" s="11" t="n">
        <x:f>COLUMNS(A21:T21)-COUNTBLANK(A21:T21)</x:f>
        <x:v>20</x:v>
      </x:c>
    </x:row>
    <x:row r="22" ht="84" hidden="0" customHeight="1">
      <x:c r="A22" s="10" t="str">
        <x:v>009</x:v>
      </x:c>
      <x:c r="B22" s="10" t="str">
        <x:v>Pessoa com a mão estendida através de abertura em porta metálica prisional da Casa de Detenção de São Paulo no Carandiru em 1979</x:v>
      </x:c>
      <x:c r="C22" s="10" t="str">
        <x:v>Item</x:v>
      </x:c>
      <x:c r="D22" s="10" t="str">
        <x:v>1979-05-31 00:00:00</x:v>
      </x:c>
      <x:c r="E22" s="10" t="str">
        <x:v>Gerado pelo Dataverse</x:v>
      </x:c>
      <x:c r="F22" s="10" t="str">
        <x:v>Fotografia digitalizada; preto e branco; suporte em papel fotográfico</x:v>
      </x:c>
      <x:c r="G22" s="10" t="str">
        <x:v>São Paulo, Brasil</x:v>
      </x:c>
      <x:c r="H22" s="10" t="str">
        <x:v>Arquivo Público do Estado de São Paulo, Jornal Diários Associados</x:v>
      </x:c>
      <x:c r="I22" s="10" t="str">
        <x:v>Estado De São Paulo - Penitenciárias e Presídios - Casa de Detenção de São Paulo no Carandiru (Fotografias)</x:v>
      </x:c>
      <x:c r="J22" s="10" t="str">
        <x:v>Caixa: 3055 Folder: 5</x:v>
      </x:c>
      <x:c r="K22" s="10" t="str">
        <x:v>BR-SPAPESP_DASP-PENITPRE-CSDTCARANDIRU_ICO-FOT-DGZ-MT0_3055-005-009</x:v>
      </x:c>
      <x:c r="L22"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22" s="10" t="str">
        <x:v>A imagem em preto e branco retrata uma pessoa estendendo a mão através de uma pequena abertura retangular em uma porta metálica, da cela prisional. O gesto sugere tentativa de contato, comunicação ou expressão com o ambiente exterior. Registro associado à superlotação na Casa de Detenção de São Paulo no Carandiru</x:v>
      </x:c>
      <x:c r="N22"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22" s="10" t="str">
        <x:v>Cela (Prisional); Precariedade estrutural; Carandiru; Superlotação.</x:v>
      </x:c>
      <x:c r="P22" s="10" t="str">
        <x:v>Fotografia (Iconográfico)</x:v>
      </x:c>
      <x:c r="Q22" s="10" t="str">
        <x:v>Digitalização de fotografia em preto e branco (analógica original)</x:v>
      </x:c>
      <x:c r="R22" s="10" t="str">
        <x:v>Figura n – [Pessoa com a mão estendida através de abertura em porta metálica prisional da Casa de Detenção de São Paulo no Carandiru em 1979] Fonte: Arquivo Público do Estado de São Paulo, 1979.</x:v>
      </x:c>
      <x:c r="S22" s="10" t="str">
        <x:v>ARQUIVO PÚBLICO DO ESTADO DE SÃO PAULO (Brasil). [Pessoa com a mão estendida através de abertura em porta metálica prisional da Casa de Detenção de São Paulo no Carandiru em 1979]. São Paulo, Brasil. 31 mai. 1979. Fotografia digitalizada; preto e branco; suporte em papel fotográfico. Disponível em: &lt;link do dataverse&gt;. Acesso em: 28 out. 2025.</x:v>
      </x:c>
      <x:c r="T22" s="10" t="str">
        <x:v>Estado de São Paulo – Penitenciárias e Presídios – Casa de Detenção A Detenção está com superlotação e ameaça explodir. DN, 31/5/1979</x:v>
      </x:c>
      <x:c r="U22" s="10" t="str">
        <x:v>ICO</x:v>
      </x:c>
      <x:c r="V22" s="10" t="str">
        <x:v>FOT</x:v>
      </x:c>
      <x:c r="W22" s="10" t="str">
        <x:v>DGZ</x:v>
      </x:c>
      <x:c r="X22" s="10" t="str">
        <x:v>MT0</x:v>
      </x:c>
      <x:c r="Y22" s="10" t="str">
        <x:v>BR-SPAPESP_DASP-PENITPRE-CSDTCARANDIRU.xlsx</x:v>
      </x:c>
      <x:c r="Z22" s="10" t="str">
        <x:v>3055-005</x:v>
      </x:c>
      <x:c r="AA22" s="11" t="n">
        <x:v>9</x:v>
      </x:c>
      <x:c r="AB22" s="10" t="str">
        <x:v>BR-SPAPESP_DASP-PENITPRE-CSDTCARANDIRU.xlsx:3055-005:9</x:v>
      </x:c>
      <x:c r="AC22" s="11" t="n">
        <x:f>COLUMNS(A22:T22)-COUNTBLANK(A22:T22)</x:f>
        <x:v>20</x:v>
      </x:c>
    </x:row>
    <x:row r="23" ht="84" hidden="0" customHeight="1">
      <x:c r="A23" s="10" t="str">
        <x:v>010</x:v>
      </x:c>
      <x:c r="B23" s="10" t="str">
        <x:v>Detentos com transtornos psiquiátricos em celas isoladas da Casa de Detenção de São Paulo na Avenida Tiradentes (1955)</x:v>
      </x:c>
      <x:c r="C23" s="10" t="str">
        <x:v>Item</x:v>
      </x:c>
      <x:c r="D23" s="10" t="str">
        <x:v>1955-01-27 00:00:00</x:v>
      </x:c>
      <x:c r="E23" s="10" t="str">
        <x:v>Gerado pelo Dataverse</x:v>
      </x:c>
      <x:c r="F23" s="10" t="str">
        <x:v>Fotografia digitalizada; preto e branco; suporte em papel fotográfico</x:v>
      </x:c>
      <x:c r="G23" s="10" t="str">
        <x:v>São Paulo, Brasil</x:v>
      </x:c>
      <x:c r="H23" s="10" t="str">
        <x:v>Arquivo Público do Estado de São Paulo, Jornal Diários Associados</x:v>
      </x:c>
      <x:c r="I23" s="10" t="str">
        <x:v>Estado De São Paulo - Penitenciárias e Presídios - Casa de Detenção de São Paulo no Carandiru (Fotografias)</x:v>
      </x:c>
      <x:c r="J23" s="10" t="str">
        <x:v>Caixa: 3055 Folder: 5</x:v>
      </x:c>
      <x:c r="K23" s="10" t="str">
        <x:v>BR-SPAPESP_DASP-PENITPRE-CSDTCARANDIRU_ICO-FOT-DGZ-MT0_3055-005-010</x:v>
      </x:c>
      <x:c r="L23"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23" s="10" t="str">
        <x:v>A fotografia em preto e branco registra um homem, detento da Casa de Detenção de São Paulo na Avenida Tiradentes (presídio anterior ao Carandiru), posicionado em uma área que o verso identifica como a "Isolada". O homem negro veste camisa de manga longa e encontra-se com os braços apoiados em uma superfície grade e as mãos entrelaçadas, olhando para cima.</x:v>
      </x:c>
      <x:c r="N23"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23" s="10" t="str">
        <x:v>Detento psiquiátrico; Cela isolada; Condições carcerárias; Assistência psiquiátrica; Presídio Tiradentes; Casa de Detenção (Avenida Tiradentes); Manicômio Judiciário; Superlotação; 1955; Fotojornalismo.</x:v>
      </x:c>
      <x:c r="P23" s="10" t="str">
        <x:v>Fotografia (Iconográfico)</x:v>
      </x:c>
      <x:c r="Q23" s="10" t="str">
        <x:v>Digitalização de fotografia em preto e branco (analógica original)</x:v>
      </x:c>
      <x:c r="R23" s="10" t="str">
        <x:v>Figura n – [Detentos com transtornos psiquiátricos em celas isoladas da Casa de Detenção de São Paulo na Avenida Tiradentes (1955)] Fonte: Arquivo Público do Estado de São Paulo, 1955.</x:v>
      </x:c>
      <x:c r="S23" s="10" t="str">
        <x:v>ARQUIVO PÚBLICO DO ESTADO DE SÃO PAULO (Brasil). [Detentos com transtornos psiquiátricos em celas isoladas da Casa de Detenção de São Paulo na Avenida Tiradentes (1955)]. São Paulo, Brasil. 27 jan. 1955. Fotografia digitalizada; preto e branco; suporte em papel fotográfico. Disponível em: &lt;link do dataverse&gt;. Acesso em: 28 out. 2025.</x:v>
      </x:c>
      <x:c r="T23" s="10" t="str">
        <x:v>Estado de São Paulo – Penitenciárias e Presídios – Casa de Detenção da Avenida Tiradentes Na “Isolada” Detentos com transtornos mentais estão, irregularmente, jogados nas celas isoladas no presídio da Avenida Tiradentes. O Estado não toma nenhuma providência para removê-los para o Manicômio Judiciário. D.N., 2ª ed., 27/1/1955 – JL</x:v>
      </x:c>
      <x:c r="U23" s="10" t="str">
        <x:v>ICO</x:v>
      </x:c>
      <x:c r="V23" s="10" t="str">
        <x:v>FOT</x:v>
      </x:c>
      <x:c r="W23" s="10" t="str">
        <x:v>DGZ</x:v>
      </x:c>
      <x:c r="X23" s="10" t="str">
        <x:v>MT0</x:v>
      </x:c>
      <x:c r="Y23" s="10" t="str">
        <x:v>BR-SPAPESP_DASP-PENITPRE-CSDTCARANDIRU.xlsx</x:v>
      </x:c>
      <x:c r="Z23" s="10" t="str">
        <x:v>3055-005</x:v>
      </x:c>
      <x:c r="AA23" s="11" t="n">
        <x:v>10</x:v>
      </x:c>
      <x:c r="AB23" s="10" t="str">
        <x:v>BR-SPAPESP_DASP-PENITPRE-CSDTCARANDIRU.xlsx:3055-005:10</x:v>
      </x:c>
      <x:c r="AC23" s="11" t="n">
        <x:f>COLUMNS(A23:T23)-COUNTBLANK(A23:T23)</x:f>
        <x:v>20</x:v>
      </x:c>
    </x:row>
    <x:row r="24" ht="84" hidden="0" customHeight="1">
      <x:c r="A24" s="10" t="str">
        <x:v>011</x:v>
      </x:c>
      <x:c r="B24" s="10" t="str">
        <x:v>Corredor de celas e circulação de pessoas no interior da Casa de Detenção (1978)</x:v>
      </x:c>
      <x:c r="C24" s="10" t="str">
        <x:v>Item</x:v>
      </x:c>
      <x:c r="D24" s="10" t="str">
        <x:v>1978-02-17 00:00:00</x:v>
      </x:c>
      <x:c r="E24" s="10" t="str">
        <x:v>Gerado pelo Dataverse</x:v>
      </x:c>
      <x:c r="F24" s="10" t="str">
        <x:v>Fotografia digitalizada; preto e branco; suporte em papel fotográfico</x:v>
      </x:c>
      <x:c r="G24" s="10" t="str">
        <x:v>São Paulo, Brasil</x:v>
      </x:c>
      <x:c r="H24" s="10" t="str">
        <x:v>Arquivo Público do Estado de São Paulo, Jornal Diários Associados</x:v>
      </x:c>
      <x:c r="I24" s="10" t="str">
        <x:v>Estado De São Paulo - Penitenciárias e Presídios - Casa de Detenção de São Paulo no Carandiru (Fotografias)</x:v>
      </x:c>
      <x:c r="J24" s="10" t="str">
        <x:v>Caixa: 3055 Folder: 5</x:v>
      </x:c>
      <x:c r="K24" s="10" t="str">
        <x:v>BR-SPAPESP_DASP-PENITPRE-CSDTCARANDIRU_ICO-FOT-DGZ-MT0_3055-005-011</x:v>
      </x:c>
      <x:c r="L24"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24" s="10" t="str">
        <x:v>Fotografia em preto e branco de corredor com portas metálicas dispostas em ambos os lados. Duas pessoas caminham pelo corredor com as costas voltadas para a câmera. Outras figuras são visíveis ao fundo. As portas possuem pequenas janelas e mecanismos de travamento. Registro de circulação em espaço prisional.</x:v>
      </x:c>
      <x:c r="N24"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24" s="10" t="str">
        <x:v>Sistema prisional; Arquitetura prisional; Casa de Detenção de São Paulo no Carandiru; Carandiru; Fotografia documental.</x:v>
      </x:c>
      <x:c r="P24" s="10" t="str">
        <x:v>Fotografia (Iconográfico)</x:v>
      </x:c>
      <x:c r="Q24" s="10" t="str">
        <x:v>Digitalização de fotografia em preto e branco (analógica original)</x:v>
      </x:c>
      <x:c r="R24" s="10" t="str">
        <x:v>Figura n – [Corredor de celas e circulação de pessoas no interior da Casa de Detenção (1978)] Fonte: Arquivo Público do Estado de São Paulo, 1978.</x:v>
      </x:c>
      <x:c r="S24" s="10" t="str">
        <x:v>ARQUIVO PÚBLICO DO ESTADO DE SÃO PAULO (Brasil). [Corredor de celas e circulação de pessoas no interior da Casa de Detenção (1978)]. São Paulo, Brasil. 17 fev. 1978. Fotografia digitalizada; preto e branco; suporte em papel fotográfico. Disponível em: &lt;link do dataverse&gt;. Acesso em: 28 out. 2025.</x:v>
      </x:c>
      <x:c r="T24" s="10" t="str">
        <x:v>Estado de São Paulo – Penitenciárias e Presídios – Casa de Detenção DN, 17/2/1978</x:v>
      </x:c>
      <x:c r="U24" s="10" t="str">
        <x:v>ICO</x:v>
      </x:c>
      <x:c r="V24" s="10" t="str">
        <x:v>FOT</x:v>
      </x:c>
      <x:c r="W24" s="10" t="str">
        <x:v>DGZ</x:v>
      </x:c>
      <x:c r="X24" s="10" t="str">
        <x:v>MT0</x:v>
      </x:c>
      <x:c r="Y24" s="10" t="str">
        <x:v>BR-SPAPESP_DASP-PENITPRE-CSDTCARANDIRU.xlsx</x:v>
      </x:c>
      <x:c r="Z24" s="10" t="str">
        <x:v>3055-005</x:v>
      </x:c>
      <x:c r="AA24" s="11" t="n">
        <x:v>11</x:v>
      </x:c>
      <x:c r="AB24" s="10" t="str">
        <x:v>BR-SPAPESP_DASP-PENITPRE-CSDTCARANDIRU.xlsx:3055-005:11</x:v>
      </x:c>
      <x:c r="AC24" s="11" t="n">
        <x:f>COLUMNS(A24:T24)-COUNTBLANK(A24:T24)</x:f>
        <x:v>20</x:v>
      </x:c>
    </x:row>
    <x:row r="25" ht="84" hidden="0" customHeight="1">
      <x:c r="A25" s="10" t="str">
        <x:v>012</x:v>
      </x:c>
      <x:c r="B25" s="10" t="str">
        <x:v>Visita de familiares após motim na Casa de Detenção de São Paulo no Carandiru (1964)</x:v>
      </x:c>
      <x:c r="C25" s="10" t="str">
        <x:v>Item</x:v>
      </x:c>
      <x:c r="D25" s="10" t="str">
        <x:v>1964-08-17 00:00:00</x:v>
      </x:c>
      <x:c r="E25" s="10" t="str">
        <x:v>Gerado pelo Dataverse</x:v>
      </x:c>
      <x:c r="F25" s="10" t="str">
        <x:v>Fotografia digitalizada; preto e branco; suporte em papel fotográfico</x:v>
      </x:c>
      <x:c r="G25" s="10" t="str">
        <x:v>São Paulo, Brasil</x:v>
      </x:c>
      <x:c r="H25" s="10" t="str">
        <x:v>Arquivo Público do Estado de São Paulo, Jornal Diários Associados</x:v>
      </x:c>
      <x:c r="I25" s="10" t="str">
        <x:v>Estado De São Paulo - Penitenciárias e Presídios - Casa de Detenção de São Paulo no Carandiru (Fotografias)</x:v>
      </x:c>
      <x:c r="J25" s="10" t="str">
        <x:v>Caixa: 3055 Folder: 5</x:v>
      </x:c>
      <x:c r="K25" s="10" t="str">
        <x:v>BR-SPAPESP_DASP-PENITPRE-CSDTCARANDIRU_ICO-FOT-DGZ-MT0_3055-005-012</x:v>
      </x:c>
      <x:c r="L25"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25" s="10" t="str">
        <x:v>A fotografia em preto e branco registra o momento de visita familiar em frente ao portão de acesso da Casa de Detenção de São Paulo no Carandiru. O primeiro plano exibe dois grupos de familiares: à esquerda, uma mulher e duas crianças, e, à direita, outra mulher e um homem. O verso da fotografia contextualiza este momento como um período de alta tensão em 17 de agosto de 1964, seguindo um motim causado pelo "Regime do Terror", no qual os familiares foram mantidos em "afflictiva espera" de notícias ou permissão para visitar. O registro, portanto, documenta a dimensão afetiva da rotina prisional em um cenário de crise e repressão institucional.</x:v>
      </x:c>
      <x:c r="N25"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25" s="10" t="str">
        <x:v>Visita familiar; Motim; Regime do terror; Crise prisional; Tensão; Agente penitenciário; Grades (prisão); Família de detento; Carandiru; Casa de Detenção; 1964; Fotojornalismo.</x:v>
      </x:c>
      <x:c r="P25" s="10" t="str">
        <x:v>Fotografia (Iconográfico)</x:v>
      </x:c>
      <x:c r="Q25" s="10" t="str">
        <x:v>Digitalização de fotografia em preto e branco (analógica original)</x:v>
      </x:c>
      <x:c r="R25" s="10" t="str">
        <x:v>Figura n – [Visita de familiares após motim na Casa de Detenção de São Paulo no Carandiru (1964)] Fonte: Arquivo Público do Estado de São Paulo, 1964.</x:v>
      </x:c>
      <x:c r="S25" s="10" t="str">
        <x:v>ARQUIVO PÚBLICO DO ESTADO DE SÃO PAULO (Brasil). [Visita de familiares após motim na Casa de Detenção de São Paulo no Carandiru (1964)]. São Paulo, Brasil. 17 ago. 1964. Fotografia digitalizada; preto e branco; suporte em papel fotográfico. Disponível em: &lt;link do dataverse&gt;. Acesso em: 28 out. 2025.</x:v>
      </x:c>
      <x:c r="T25" s="10" t="str">
        <x:v>Estado de São Paulo – Penitenciárias e Presídios – Casa de Detenção de São Paulo no Carandiru Detenção: regime do terror provocou motim [Texto em pequeno retângulo, possivelmente um recorte de legenda ou matéria] Cenas dramáticas foram registradas na Casa de Detenção, defronte ao portão principal. Familiares de presos ficaram horas e horas em aflitiva espera, até que a direção do presídio permitisse a visitação. DN, 2ª ed., 17/8/1964 – CJS Miliciano comandava a tortura de presos na Casa de Detenção DN, 2ª ed., 18/8/1964 – CJS Cadeia vai abrir suas portas DN, 1ª ed., 1/9/1971 – DEC</x:v>
      </x:c>
      <x:c r="U25" s="10" t="str">
        <x:v>ICO</x:v>
      </x:c>
      <x:c r="V25" s="10" t="str">
        <x:v>FOT</x:v>
      </x:c>
      <x:c r="W25" s="10" t="str">
        <x:v>DGZ</x:v>
      </x:c>
      <x:c r="X25" s="10" t="str">
        <x:v>MT0</x:v>
      </x:c>
      <x:c r="Y25" s="10" t="str">
        <x:v>BR-SPAPESP_DASP-PENITPRE-CSDTCARANDIRU.xlsx</x:v>
      </x:c>
      <x:c r="Z25" s="10" t="str">
        <x:v>3055-005</x:v>
      </x:c>
      <x:c r="AA25" s="11" t="n">
        <x:v>12</x:v>
      </x:c>
      <x:c r="AB25" s="10" t="str">
        <x:v>BR-SPAPESP_DASP-PENITPRE-CSDTCARANDIRU.xlsx:3055-005:12</x:v>
      </x:c>
      <x:c r="AC25" s="11" t="n">
        <x:f>COLUMNS(A25:T25)-COUNTBLANK(A25:T25)</x:f>
        <x:v>20</x:v>
      </x:c>
    </x:row>
    <x:row r="26" ht="84" hidden="0" customHeight="1">
      <x:c r="A26" s="10" t="str">
        <x:v>014</x:v>
      </x:c>
      <x:c r="B26" s="10" t="str">
        <x:v>Cela individual da Casa de Detenção de São Paulo no Carandiru</x:v>
      </x:c>
      <x:c r="C26" s="10" t="str">
        <x:v>Item</x:v>
      </x:c>
      <x:c r="D26" s="10" t="str">
        <x:v>1965-08-07 00:00:00</x:v>
      </x:c>
      <x:c r="E26" s="10" t="str">
        <x:v>Gerado pelo Dataverse</x:v>
      </x:c>
      <x:c r="F26" s="10" t="str">
        <x:v>Fotografia digitalizada; preto e branco; suporte em papel fotográfico</x:v>
      </x:c>
      <x:c r="G26" s="10" t="str">
        <x:v>São Paulo, Brasil</x:v>
      </x:c>
      <x:c r="H26" s="10" t="str">
        <x:v>Arquivo Público do Estado de São Paulo, Jornal Diários Associados</x:v>
      </x:c>
      <x:c r="I26" s="10" t="str">
        <x:v>Estado De São Paulo - Penitenciárias e Presídios - Casa de Detenção de São Paulo no Carandiru (Fotografias)</x:v>
      </x:c>
      <x:c r="J26" s="10" t="str">
        <x:v>Caixa: 3055 Folder: 5</x:v>
      </x:c>
      <x:c r="K26" s="10" t="str">
        <x:v>BR-SPAPESP_DASP-PENITPRE-CSDTCARANDIRU_ICO-FOT-DGZ-MT0_3055-005-014</x:v>
      </x:c>
      <x:c r="L26"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26" s="10" t="str">
        <x:v>A fotografia em preto e branco registra o interior de uma cela individual da Casa de Detenção de São Paulo no Carandiru. O ambiente, que o verso descreve como "sombrio", revela a mobília básica, incluindo uma cama simples e poucos objetos pessoais, além de uma janela de inspeção ou uma abertura gradeada. O verso da fotografia (data: 07/08/1965) estabelece um contexto de reforma prisional, indicando que as celas individuais estavam sendo substituídas por outra estrutura para cinco ou seis detentos. O registro é, portanto, um documento visual da estrutura original da prisão em um momento em que a superlotação já forçava a adaptação para celas coletivas.</x:v>
      </x:c>
      <x:c r="N26"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26" s="10" t="str">
        <x:v>Cela individual; Superlotação (crítica); Reforma prisional; Estrutura original; Carandiru; Presídio do Hipódromo (fechamento); Xadrezes-apartamentos; 1965; Condições carcerárias.</x:v>
      </x:c>
      <x:c r="P26" s="10" t="str">
        <x:v>Fotografia (Iconográfico)</x:v>
      </x:c>
      <x:c r="Q26" s="10" t="str">
        <x:v>Digitalização de fotografia em preto e branco (analógica original)</x:v>
      </x:c>
      <x:c r="R26" s="10" t="str">
        <x:v>Figura n – [Cela individual da Casa de Detenção de São Paulo no Carandiru] Fonte: Arquivo Público do Estado de São Paulo, 1965.</x:v>
      </x:c>
      <x:c r="S26" s="10" t="str">
        <x:v>ARQUIVO PÚBLICO DO ESTADO DE SÃO PAULO (Brasil). [Cela individual da Casa de Detenção de São Paulo no Carandiru]. São Paulo, Brasil. 07 ago. 1965. Fotografia digitalizada; preto e branco; suporte em papel fotográfico. Disponível em: &lt;link do dataverse&gt;. Acesso em: 28 out. 2025.</x:v>
      </x:c>
      <x:c r="T26" s="10" t="str">
        <x:v>Estado de São Paulo – Penitenciárias e Presídios – Casa de Detenção de São Paulo no Carandiru Será fechado em 15 dias o Presídio do Hipódromo [Texto em pequeno retângulo, recorte de matéria] As sombrias celas individuais da Casa de Detenção, onde os homens ficam enjaulados como feras, estão desaparecendo para dar lugar a xadrezes-apartamentos para cinco ou seis detentos. DN, 1ª ed., 7/8/1965</x:v>
      </x:c>
      <x:c r="U26" s="10" t="str">
        <x:v>ICO</x:v>
      </x:c>
      <x:c r="V26" s="10" t="str">
        <x:v>FOT</x:v>
      </x:c>
      <x:c r="W26" s="10" t="str">
        <x:v>DGZ</x:v>
      </x:c>
      <x:c r="X26" s="10" t="str">
        <x:v>MT0</x:v>
      </x:c>
      <x:c r="Y26" s="10" t="str">
        <x:v>BR-SPAPESP_DASP-PENITPRE-CSDTCARANDIRU.xlsx</x:v>
      </x:c>
      <x:c r="Z26" s="10" t="str">
        <x:v>3055-005</x:v>
      </x:c>
      <x:c r="AA26" s="11" t="n">
        <x:v>13</x:v>
      </x:c>
      <x:c r="AB26" s="10" t="str">
        <x:v>BR-SPAPESP_DASP-PENITPRE-CSDTCARANDIRU.xlsx:3055-005:13</x:v>
      </x:c>
      <x:c r="AC26" s="11" t="n">
        <x:f>COLUMNS(A26:T26)-COUNTBLANK(A26:T26)</x:f>
        <x:v>20</x:v>
      </x:c>
    </x:row>
    <x:row r="27" ht="84" hidden="0" customHeight="1">
      <x:c r="A27" s="10" t="str">
        <x:v>013</x:v>
      </x:c>
      <x:c r="B27" s="10" t="str">
        <x:v>Trabalho de pessoas em situação de privação de liberdade na construção da nova Casa de Detenção de São Paulo no Carandiru (1952)</x:v>
      </x:c>
      <x:c r="C27" s="10" t="str">
        <x:v>Item</x:v>
      </x:c>
      <x:c r="D27" s="10" t="str">
        <x:v>1952-11-14 00:00:00</x:v>
      </x:c>
      <x:c r="E27" s="10" t="str">
        <x:v>Gerado pelo Dataverse</x:v>
      </x:c>
      <x:c r="F27" s="10" t="str">
        <x:v>Fotografia digitalizada; preto e branco; suporte em papel fotográfico</x:v>
      </x:c>
      <x:c r="G27" s="10" t="str">
        <x:v>São Paulo, Brasil</x:v>
      </x:c>
      <x:c r="H27" s="10" t="str">
        <x:v>Arquivo Público do Estado de São Paulo, Jornal Diários Associados</x:v>
      </x:c>
      <x:c r="I27" s="10" t="str">
        <x:v>Estado De São Paulo - Penitenciárias e Presídios - Casa de Detenção de São Paulo no Carandiru (Fotografias)</x:v>
      </x:c>
      <x:c r="J27" s="10" t="str">
        <x:v>Caixa: 3055 Folder: 5</x:v>
      </x:c>
      <x:c r="K27" s="10" t="str">
        <x:v>BR-SPAPESP_DASP-PENITPRE-CSDTCARANDIRU_ICO-FOT-DGZ-MT0_3055-005-013</x:v>
      </x:c>
      <x:c r="L27"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27" s="10" t="str">
        <x:v>A fotografia em preto e branco documenta a realização de trabalho externo em um terreno irregular e com terra revolvida, o que o verso identifica como a construção da nova Casa de Detenção de São Paulo no Carandiru. Em primeiro plano, dois detentos em uniformes escuros de trabalho e com numeração grande nas costas estão curvados, trabalhando diretamente no solo, sem o uso visível de ferramentas pesadas. Seus uniformes e a numeração (é parcialmente visível) denotam a identificação e o controle institucional dos internos. Ao fundo, um pequeno grupo de pessoas supervisiona a atividade; um dos homens usa um chapéu, e o cenário inclui vegetação, postes e um muro/edificação. O registro, datado de 14 de novembro de 1952, documenta o uso de mão de obra carcerária no projeto de expansão do sistema prisional.</x:v>
      </x:c>
      <x:c r="N27"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27" s="10" t="str">
        <x:v>Trabalho prisional; Construção (nova Casa de Detenção); Mão de obra carcerária; Uniforme (preso); Carandiru; Obra (penitenciária); 1952; Identificação numérica; Ressocialização.</x:v>
      </x:c>
      <x:c r="P27" s="10" t="str">
        <x:v>Fotografia (Iconográfico)</x:v>
      </x:c>
      <x:c r="Q27" s="10" t="str">
        <x:v>Digitalização de fotografia em preto e branco (analógica original)</x:v>
      </x:c>
      <x:c r="R27" s="10" t="str">
        <x:v>Figura n – [Trabalho de pessoas em situação de privação de liberdade na construção da nova Casa de Detenção de São Paulo no Carandiru (1952)] Fonte: Arquivo Público do Estado de São Paulo, 1952.</x:v>
      </x:c>
      <x:c r="S27" s="10" t="str">
        <x:v>ARQUIVO PÚBLICO DO ESTADO DE SÃO PAULO (Brasil). [Trabalho de pessoas em situação de privação de liberdade na construção da nova Casa de Detenção de São Paulo no Carandiru (1952)]. São Paulo, Brasil. 14 nov. 1952. Fotografia digitalizada; preto e branco; suporte em papel fotográfico. Disponível em: &lt;link do dataverse&gt;. Acesso em: 28 out. 2025.</x:v>
      </x:c>
      <x:c r="T27" s="10" t="str">
        <x:v>Estado de São Paulo – Penitenciária e Presídios – Casa de Detenção de São Paulo no Carandiru Na foto, grupo dos 25 sentenciados que foram autorizados a trabalhar na construção da nova Casa de Detenção, com o amparo das leis vigentes no país. DN, 2ª ed., 14/11/1952 – MMG</x:v>
      </x:c>
      <x:c r="U27" s="10" t="str">
        <x:v>ICO</x:v>
      </x:c>
      <x:c r="V27" s="10" t="str">
        <x:v>FOT</x:v>
      </x:c>
      <x:c r="W27" s="10" t="str">
        <x:v>DGZ</x:v>
      </x:c>
      <x:c r="X27" s="10" t="str">
        <x:v>MT0</x:v>
      </x:c>
      <x:c r="Y27" s="10" t="str">
        <x:v>BR-SPAPESP_DASP-PENITPRE-CSDTCARANDIRU.xlsx</x:v>
      </x:c>
      <x:c r="Z27" s="10" t="str">
        <x:v>3055-005</x:v>
      </x:c>
      <x:c r="AA27" s="11" t="n">
        <x:v>14</x:v>
      </x:c>
      <x:c r="AB27" s="10" t="str">
        <x:v>BR-SPAPESP_DASP-PENITPRE-CSDTCARANDIRU.xlsx:3055-005:14</x:v>
      </x:c>
      <x:c r="AC27" s="11" t="n">
        <x:f>COLUMNS(A27:T27)-COUNTBLANK(A27:T27)</x:f>
        <x:v>20</x:v>
      </x:c>
    </x:row>
    <x:row r="28" ht="84" hidden="0" customHeight="1">
      <x:c r="A28" s="10" t="str">
        <x:v>015</x:v>
      </x:c>
      <x:c r="B28" s="10" t="str">
        <x:v>Mulheres em espera após motim no Carandiru (1964)</x:v>
      </x:c>
      <x:c r="C28" s="10" t="str">
        <x:v>Item</x:v>
      </x:c>
      <x:c r="D28" s="10" t="str">
        <x:v>1964-08-17 00:00:00</x:v>
      </x:c>
      <x:c r="E28" s="10" t="str">
        <x:v>Gerado pelo Dataverse</x:v>
      </x:c>
      <x:c r="F28" s="10" t="str">
        <x:v>Fotografia digitalizada; preto e branco; suporte em papel fotográfico</x:v>
      </x:c>
      <x:c r="G28" s="10" t="str">
        <x:v>São Paulo, Brasil</x:v>
      </x:c>
      <x:c r="H28" s="10" t="str">
        <x:v>Arquivo Público do Estado de São Paulo, Jornal Diários Associados</x:v>
      </x:c>
      <x:c r="I28" s="10" t="str">
        <x:v>Estado De São Paulo - Penitenciárias e Presídios - Casa de Detenção de São Paulo no Carandiru (Fotografias)</x:v>
      </x:c>
      <x:c r="J28" s="10" t="str">
        <x:v>Caixa: 3055 Folder: 5</x:v>
      </x:c>
      <x:c r="K28" s="10" t="str">
        <x:v>BR-SPAPESP_DASP-PENITPRE-CSDTCARANDIRU_ICO-FOT-DGZ-MT0_3055-005-015</x:v>
      </x:c>
      <x:c r="L28"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28" s="10" t="str">
        <x:v>A fotografia em preto e branco registra um momento tenso de acesso e controle de visita em frente a um portão metálico da Casa de Detenção. Em primeiro plano, um militar/policial em uniforme de serviço e capacete, com as mãos na cintura, vigia a entrada. Três mulheres estão na porta: duas delas de costas, interagindo com dois homens que estão no interior do prédio (um de camiseta e outro de óculos). O verso da fotografia contextualiza esta cena como um evento ligado ao "Regime de Terror" e a um motim ocorrido em 17 de agosto de 1964. A descrição original menciona a "dúvida, intranquilidade e temor" que levaram familiares (mulheres) às portas da Casa de Detenção. O registro, portanto, ilustra a entrada ou interação inicial de familiares em um cenário de crise institucional e repressão, sublinhando o rigoroso controle policial/militar sobre o acesso e a informação.</x:v>
      </x:c>
      <x:c r="N28"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28" s="10" t="str">
        <x:v>Visita familiar (tensa); Motim (consequências); Polícia Militar (vigilância); Crise prisional; Controle de acesso; Mulheres e familiares; Carandiru; Regime de Terror; 1964; Fotojornalismo.</x:v>
      </x:c>
      <x:c r="P28" s="10" t="str">
        <x:v>Fotografia (Iconográfico)</x:v>
      </x:c>
      <x:c r="Q28" s="10" t="str">
        <x:v>Digitalização de fotografia em preto e branco (analógica original)</x:v>
      </x:c>
      <x:c r="R28" s="10" t="str">
        <x:v>Figura n – [Mulheres em espera após motim no Carandiru (1964)] Fonte: Arquivo Público do Estado de São Paulo, 1964.</x:v>
      </x:c>
      <x:c r="S28" s="10" t="str">
        <x:v>ARQUIVO PÚBLICO DO ESTADO DE SÃO PAULO (Brasil). [Mulheres em espera após motim no Carandiru (1964)]. São Paulo, Brasil. 17 ago. 1964. Fotografia digitalizada; preto e branco; suporte em papel fotográfico. Disponível em: &lt;link do dataverse&gt;. Acesso em: 28 out. 2025.</x:v>
      </x:c>
      <x:c r="T28" s="10" t="str">
        <x:v>Estado de São Paulo – Penitenciárias e Presídios – Casa de Detenção de São Paulo no Carandiru Detenção: regime de terror provocou motim Dúvida, intranquilidade e temor levaram essa gente às portas da Casa de Detenção, cuja barreira foi vencida pela resignação. A proibição caiu e todos puderam entrar no cenário da rebelião. Ver. DN, 2ª ed., 17/8/1964 – DMC</x:v>
      </x:c>
      <x:c r="U28" s="10" t="str">
        <x:v>ICO</x:v>
      </x:c>
      <x:c r="V28" s="10" t="str">
        <x:v>FOT</x:v>
      </x:c>
      <x:c r="W28" s="10" t="str">
        <x:v>DGZ</x:v>
      </x:c>
      <x:c r="X28" s="10" t="str">
        <x:v>MT0</x:v>
      </x:c>
      <x:c r="Y28" s="10" t="str">
        <x:v>BR-SPAPESP_DASP-PENITPRE-CSDTCARANDIRU.xlsx</x:v>
      </x:c>
      <x:c r="Z28" s="10" t="str">
        <x:v>3055-005</x:v>
      </x:c>
      <x:c r="AA28" s="11" t="n">
        <x:v>15</x:v>
      </x:c>
      <x:c r="AB28" s="10" t="str">
        <x:v>BR-SPAPESP_DASP-PENITPRE-CSDTCARANDIRU.xlsx:3055-005:15</x:v>
      </x:c>
      <x:c r="AC28" s="11" t="n">
        <x:f>COLUMNS(A28:T28)-COUNTBLANK(A28:T28)</x:f>
        <x:v>20</x:v>
      </x:c>
    </x:row>
    <x:row r="29" ht="84" hidden="0" customHeight="1">
      <x:c r="A29" s="10" t="str">
        <x:v>016</x:v>
      </x:c>
      <x:c r="B29" s="10" t="str">
        <x:v>Familiares (mulheres e criança) em espera tensa no dia do motim do Carandiru (1964)</x:v>
      </x:c>
      <x:c r="C29" s="10" t="str">
        <x:v>Item</x:v>
      </x:c>
      <x:c r="D29" s="10" t="str">
        <x:v>1964-08-17 00:00:00</x:v>
      </x:c>
      <x:c r="E29" s="10" t="str">
        <x:v>Gerado pelo Dataverse</x:v>
      </x:c>
      <x:c r="F29" s="10" t="str">
        <x:v>Fotografia digitalizada; sépia; suporte em papel fotográfico</x:v>
      </x:c>
      <x:c r="G29" s="10" t="str">
        <x:v>São Paulo, Brasil</x:v>
      </x:c>
      <x:c r="H29" s="10" t="str">
        <x:v>Arquivo Público do Estado de São Paulo, Jornal Diários Associados</x:v>
      </x:c>
      <x:c r="I29" s="10" t="str">
        <x:v>Estado De São Paulo - Penitenciárias e Presídios - Casa de Detenção de São Paulo no Carandiru (Fotografias)</x:v>
      </x:c>
      <x:c r="J29" s="10" t="str">
        <x:v>Caixa: 3055 Folder: 5</x:v>
      </x:c>
      <x:c r="K29" s="10" t="str">
        <x:v>BR-SPAPESP_DASP-PENITPRE-CSDTCARANDIRU_ICO-FOT-DGZ-MT0_3055-005-016</x:v>
      </x:c>
      <x:c r="L29"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29" s="10" t="str">
        <x:v>A fotografia em preto e branco registra um grupo de familiares de detentos aguardando em uma área externa, sob a cobertura da portaria da Casa de Detenção. Em primeiro plano, o grupo é composto por uma mulher idosa, duas mulheres jovens (uma sentada, outra em pé com os braços cruzados) e uma criança pequena, olhando diretamente para a frente. O verso da fotografia contextualiza esta cena como um evento de crise, ligado ao motim e ao "Regime de Terror" ocorrido em 17 de agosto de 1964. A legenda original descreve a "dúvida, intranquilidade e temor" que levaram "essa gente" às portas da prisão. O registro ilustra a dimensão humana e o sofrimento da espera dos familiares durante uma das crises da Casa de Detenção.</x:v>
      </x:c>
      <x:c r="N29"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29" s="10" t="str">
        <x:v>Visita familiar (tensa); Espera; Mulheres (família de preso); Criança; Motim (consequências); Crise prisional; Carandiru; Regime de Terror; 1964; Fotojornalismo.</x:v>
      </x:c>
      <x:c r="P29" s="10" t="str">
        <x:v>Fotografia (Iconográfico)</x:v>
      </x:c>
      <x:c r="Q29" s="10" t="str">
        <x:v>Digitalização de fotografia em sépia (analógica original)</x:v>
      </x:c>
      <x:c r="R29" s="10" t="str">
        <x:v>Figura n – [Familiares (mulheres e criança) em espera tensa no dia do motim do Carandiru (1964)] Fonte: Arquivo Público do Estado de São Paulo, 1964.</x:v>
      </x:c>
      <x:c r="S29" s="10" t="str">
        <x:v>ARQUIVO PÚBLICO DO ESTADO DE SÃO PAULO (Brasil). [Familiares (mulheres e criança) em espera tensa no dia do motim do Carandiru (1964)]. São Paulo, Brasil. 17 ago. 1964. Fotografia digitalizada; sépia; suporte em papel fotográfico. Disponível em: &lt;link do dataverse&gt;. Acesso em: 28 out. 2025.</x:v>
      </x:c>
      <x:c r="T29" s="10" t="str">
        <x:v>Estado de São Paulo – Penitenciárias e Presídios – Casa de Detenção de São Paulo no Carandiru Detenção: regime de terror provocou motim Dúvida, intranquilidade e temor levaram essa gente às portas da Casa de Detenção, cuja barreira foi vencida pela resignação. A proibição caiu e todos puderam entrar no cenário da rebelião. Ver. DN, 2ª ed., 17/8/1964 – DMC</x:v>
      </x:c>
      <x:c r="U29" s="10" t="str">
        <x:v>ICO</x:v>
      </x:c>
      <x:c r="V29" s="10" t="str">
        <x:v>FOT</x:v>
      </x:c>
      <x:c r="W29" s="10" t="str">
        <x:v>DGZ</x:v>
      </x:c>
      <x:c r="X29" s="10" t="str">
        <x:v>MT0</x:v>
      </x:c>
      <x:c r="Y29" s="10" t="str">
        <x:v>BR-SPAPESP_DASP-PENITPRE-CSDTCARANDIRU.xlsx</x:v>
      </x:c>
      <x:c r="Z29" s="10" t="str">
        <x:v>3055-005</x:v>
      </x:c>
      <x:c r="AA29" s="11" t="n">
        <x:v>16</x:v>
      </x:c>
      <x:c r="AB29" s="10" t="str">
        <x:v>BR-SPAPESP_DASP-PENITPRE-CSDTCARANDIRU.xlsx:3055-005:16</x:v>
      </x:c>
      <x:c r="AC29" s="11" t="n">
        <x:f>COLUMNS(A29:T29)-COUNTBLANK(A29:T29)</x:f>
        <x:v>20</x:v>
      </x:c>
    </x:row>
    <x:row r="30" ht="84" hidden="0" customHeight="1">
      <x:c r="A30" s="10" t="str">
        <x:v>017</x:v>
      </x:c>
      <x:c r="B30" s="10" t="str">
        <x:v>Soldados da Força Pública em formação durante a ocupação militar do Carandiru (1964)</x:v>
      </x:c>
      <x:c r="C30" s="10" t="str">
        <x:v>Item</x:v>
      </x:c>
      <x:c r="D30" s="10" t="str">
        <x:v>1964-07-04 00:00:00</x:v>
      </x:c>
      <x:c r="E30" s="10" t="str">
        <x:v>Gerado pelo Dataverse</x:v>
      </x:c>
      <x:c r="F30" s="10" t="str">
        <x:v>Fotografia digitalizada; preto e branco; suporte em papel fotográfico</x:v>
      </x:c>
      <x:c r="G30" s="10" t="str">
        <x:v>São Paulo, Brasil</x:v>
      </x:c>
      <x:c r="H30" s="10" t="str">
        <x:v>Arquivo Público do Estado de São Paulo, Jornal Diários Associados</x:v>
      </x:c>
      <x:c r="I30" s="10" t="str">
        <x:v>Estado De São Paulo - Penitenciárias e Presídios - Casa de Detenção de São Paulo no Carandiru (Fotografias)</x:v>
      </x:c>
      <x:c r="J30" s="10" t="str">
        <x:v>Caixa: 3055 Folder: 5</x:v>
      </x:c>
      <x:c r="K30" s="10" t="str">
        <x:v>BR-SPAPESP_DASP-PENITPRE-CSDTCARANDIRU_ICO-FOT-DGZ-MT0_3055-005-017</x:v>
      </x:c>
      <x:c r="L30"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30" s="10" t="str">
        <x:v>A fotografia em preto e branco registra um momento interno de formação e presença ostensiva de militares na Casa de Detenção. O ambiente, com bandeiras e flâmulas decorativas nas paredes (incluindo uma com "Ypiranga" e "Julho"), sugere um salão de reuniões ou uma sala de instrução da própria instituição. Um grande grupo de soldados da Força Pública está em formação, usando uniformes de combate, capacetes (com as letras "F P" ou "FP" visíveis, indicando Força Pública ou Força Policial) e portando cassetetes ou coldres. A cena é observada por homens em trajes civis (ternos), provavelmente autoridades. O verso da fotografia contextualiza este evento como a "OCUPAÇÃO MILITAR" da prisão por mais de 200 soldados em 4 de julho de 1964, após um motim inédito iniciado pelos próprios guardas do presídio contra o diretor. A imagem, portanto, documenta a intervenção militar na Casa de Detenção para restabelecer a ordem após uma grave crise interna de gestão e segurança.</x:v>
      </x:c>
      <x:c r="N30"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30" s="10" t="str">
        <x:v>Ocupação militar; Força Pública; Crise prisional; Motim de guardas; Intervenção estadual; Soldados em formação; Carandiru; Regime de terror; Autoridades (visita); 1964.</x:v>
      </x:c>
      <x:c r="P30" s="10" t="str">
        <x:v>Fotografia (Iconográfico)</x:v>
      </x:c>
      <x:c r="Q30" s="10" t="str">
        <x:v>Digitalização de fotografia em preto e branco (analógica original)</x:v>
      </x:c>
      <x:c r="R30" s="10" t="str">
        <x:v>Figura n – [Soldados da Força Pública em formação durante a ocupação militar do Carandiru (1964)] Fonte: Arquivo Público do Estado de São Paulo, 1964.</x:v>
      </x:c>
      <x:c r="S30" s="10" t="str">
        <x:v>ARQUIVO PÚBLICO DO ESTADO DE SÃO PAULO (Brasil). [Soldados da Força Pública em formação durante a ocupação militar do Carandiru (1964)]. São Paulo, Brasil. 04 jul. 1964. Fotografia digitalizada; preto e branco; suporte em papel fotográfico. Disponível em: &lt;link do dataverse&gt;. Acesso em: 28 out. 2025.</x:v>
      </x:c>
      <x:c r="T30" s="10" t="str">
        <x:v>Estado de São Paulo – Penitenciárias e Presídios – Casa de Detenção de São Paulo no Carandiru Motim sangrento demite o diretor Ocupação militar – Mais de 200 soldados da Força Pública do Estado de São Paulo ocuparam ontem a Casa de Detenção de São Paulo no Carandiru, em consequência de um motim iniciado por um grupo de guardas-presídios, que se rebelaram contra o diretor daquele presídio. DN, Ed. ún., 4/7/1964 – WJP</x:v>
      </x:c>
      <x:c r="U30" s="10" t="str">
        <x:v>ICO</x:v>
      </x:c>
      <x:c r="V30" s="10" t="str">
        <x:v>FOT</x:v>
      </x:c>
      <x:c r="W30" s="10" t="str">
        <x:v>DGZ</x:v>
      </x:c>
      <x:c r="X30" s="10" t="str">
        <x:v>MT0</x:v>
      </x:c>
      <x:c r="Y30" s="10" t="str">
        <x:v>BR-SPAPESP_DASP-PENITPRE-CSDTCARANDIRU.xlsx</x:v>
      </x:c>
      <x:c r="Z30" s="10" t="str">
        <x:v>3055-005</x:v>
      </x:c>
      <x:c r="AA30" s="11" t="n">
        <x:v>17</x:v>
      </x:c>
      <x:c r="AB30" s="10" t="str">
        <x:v>BR-SPAPESP_DASP-PENITPRE-CSDTCARANDIRU.xlsx:3055-005:17</x:v>
      </x:c>
      <x:c r="AC30" s="11" t="n">
        <x:f>COLUMNS(A30:T30)-COUNTBLANK(A30:T30)</x:f>
        <x:v>20</x:v>
      </x:c>
    </x:row>
    <x:row r="31" ht="84" hidden="0" customHeight="1">
      <x:c r="A31" s="10" t="str">
        <x:v>018</x:v>
      </x:c>
      <x:c r="B31" s="10" t="str">
        <x:v>Procedimento de ingresso ou movimentação na Casa de Detenção no dia da chegada de novos presos (1979)</x:v>
      </x:c>
      <x:c r="C31" s="10" t="str">
        <x:v>Item</x:v>
      </x:c>
      <x:c r="D31" s="10" t="str">
        <x:v>1979-05-29 00:00:00</x:v>
      </x:c>
      <x:c r="E31" s="10" t="str">
        <x:v>Gerado pelo Dataverse</x:v>
      </x:c>
      <x:c r="F31" s="10" t="str">
        <x:v>Fotografia digitalizada; preto e branco; suporte em papel fotográfico</x:v>
      </x:c>
      <x:c r="G31" s="10" t="str">
        <x:v>São Paulo, Brasil</x:v>
      </x:c>
      <x:c r="H31" s="10" t="str">
        <x:v>Arquivo Público do Estado de São Paulo, Jornal Diários Associados</x:v>
      </x:c>
      <x:c r="I31" s="10" t="str">
        <x:v>Estado De São Paulo - Penitenciárias e Presídios - Casa de Detenção de São Paulo no Carandiru (Fotografias)</x:v>
      </x:c>
      <x:c r="J31" s="10" t="str">
        <x:v>Caixa: 3055 Folder: 5</x:v>
      </x:c>
      <x:c r="K31" s="10" t="str">
        <x:v>BR-SPAPESP_DASP-PENITPRE-CSDTCARANDIRU_ICO-FOT-DGZ-MT0_3055-005-018</x:v>
      </x:c>
      <x:c r="L31"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31" s="10" t="str">
        <x:v>A fotografia em preto e branco registra um momento de circulação e controle em uma área interna da Casa de Detenção. O ambiente é definido por grades de metal, que formam a entrada de uma galeria ou portão de segurança, iluminada por uma forte luz vinda do interior. Em primeiro plano, um homem, está de costas, caminhando em direção à área gradeada, empurrando o que parece ser um carrinho ou carregando algum objeto volumoso. À direita, um homem usando um boné ou chapéu xadrez está sentado em um balcão (possivelmente um posto de controle), observando a movimentação e, talvez, fumando. A cena sugere um procedimento de ingresso, transferência de pertences ou distribuição de materiais. O verso da fotografia contextualiza este evento como "Um dia dos novos 'hospedes' da Casa de Detenção", datado de 29 de maio de 1979.</x:v>
      </x:c>
      <x:c r="N31"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31" s="10" t="str">
        <x:v>Ingresso (presídio); Novos detentos; Chegada de presos; Rotina prisional; Grades; Carrinho (logística); Funcionário penitenciário; Casa de Detenção; Carandiru; 1979; Controle de acesso.</x:v>
      </x:c>
      <x:c r="P31" s="10" t="str">
        <x:v>Fotografia (Iconográfico)</x:v>
      </x:c>
      <x:c r="Q31" s="10" t="str">
        <x:v>Digitalização de fotografia em preto e branco (analógica original)</x:v>
      </x:c>
      <x:c r="R31" s="10" t="str">
        <x:v>Figura n – [Procedimento de ingresso ou movimentação na Casa de Detenção no dia da chegada de novos presos (1979)] Fonte: Arquivo Público do Estado de São Paulo, 1979.</x:v>
      </x:c>
      <x:c r="S31" s="10" t="str">
        <x:v>ARQUIVO PÚBLICO DO ESTADO DE SÃO PAULO (Brasil). [Procedimento de ingresso ou movimentação na Casa de Detenção no dia da chegada de novos presos (1979)]. São Paulo, Brasil. 29 mai. 1979. Fotografia digitalizada; preto e branco; suporte em papel fotográfico. Disponível em: &lt;link do dataverse&gt;. Acesso em: 28 out. 2025.</x:v>
      </x:c>
      <x:c r="T31" s="10" t="str">
        <x:v>Estado de São Paulo – Penitenciárias e Presídios – Casa de Detenção Um dia dos novos “hóspedes” da Casa de Detenção. DN, 29/5/1979</x:v>
      </x:c>
      <x:c r="U31" s="10" t="str">
        <x:v>ICO</x:v>
      </x:c>
      <x:c r="V31" s="10" t="str">
        <x:v>FOT</x:v>
      </x:c>
      <x:c r="W31" s="10" t="str">
        <x:v>DGZ</x:v>
      </x:c>
      <x:c r="X31" s="10" t="str">
        <x:v>MT0</x:v>
      </x:c>
      <x:c r="Y31" s="10" t="str">
        <x:v>BR-SPAPESP_DASP-PENITPRE-CSDTCARANDIRU.xlsx</x:v>
      </x:c>
      <x:c r="Z31" s="10" t="str">
        <x:v>3055-005</x:v>
      </x:c>
      <x:c r="AA31" s="11" t="n">
        <x:v>18</x:v>
      </x:c>
      <x:c r="AB31" s="10" t="str">
        <x:v>BR-SPAPESP_DASP-PENITPRE-CSDTCARANDIRU.xlsx:3055-005:18</x:v>
      </x:c>
      <x:c r="AC31" s="11" t="n">
        <x:f>COLUMNS(A31:T31)-COUNTBLANK(A31:T31)</x:f>
        <x:v>20</x:v>
      </x:c>
    </x:row>
    <x:row r="32" ht="84" hidden="0" customHeight="1">
      <x:c r="A32" s="10" t="str">
        <x:v>019</x:v>
      </x:c>
      <x:c r="B32" s="10" t="str">
        <x:v>Preleição do Diretor Coronel Fernão Guedes aos novos detentos da Casa de Detenção (1979)</x:v>
      </x:c>
      <x:c r="C32" s="10" t="str">
        <x:v>Item</x:v>
      </x:c>
      <x:c r="D32" s="10" t="str">
        <x:v>1979-05-29 00:00:00</x:v>
      </x:c>
      <x:c r="E32" s="10" t="str">
        <x:v>Gerado pelo Dataverse</x:v>
      </x:c>
      <x:c r="F32" s="10" t="str">
        <x:v>Fotografia digitalizada; preto e branco; suporte em papel fotográfico</x:v>
      </x:c>
      <x:c r="G32" s="10" t="str">
        <x:v>São Paulo, Brasil</x:v>
      </x:c>
      <x:c r="H32" s="10" t="str">
        <x:v>Arquivo Público do Estado de São Paulo, Jornal Diários Associados</x:v>
      </x:c>
      <x:c r="I32" s="10" t="str">
        <x:v>Estado De São Paulo - Penitenciárias e Presídios - Casa de Detenção de São Paulo no Carandiru (Fotografias)</x:v>
      </x:c>
      <x:c r="J32" s="10" t="str">
        <x:v>Caixa: 3055 Folder: 5</x:v>
      </x:c>
      <x:c r="K32" s="10" t="str">
        <x:v>BR-SPAPESP_DASP-PENITPRE-CSDTCARANDIRU_ICO-FOT-DGZ-MT0_3055-005-019</x:v>
      </x:c>
      <x:c r="L32"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32" s="10" t="str">
        <x:v>A fotografia em preto e branco registra uma cerimônia de instrução (preleção) para detentos recém-chegados em um ambiente interno formal (sala de administração). O grupo de novos detentos está alinhado à direita, de perfil, com a cabeça raspada (corte "zero") e vestindo camisetas e calças claras (uniformes prisionais). À esquerda, o Diretor, Coronel Fernão Guedes (identificado pelo verso), aparece curvado sobre uma mesa de madeira, apontando para documentos, conduzindo o procedimento de registro ou instrução. Outros homens, de terno e roupas civis, observam o ato ao fundo, indicando a presença de funcionários ou autoridades. O verso, datado de 29 de maio de 1979, confirma que a imagem documenta o "1º dia de novos detentos", marcando a recepção e o estabelecimento das regras da Casa de Detenção pelas autoridades máximas da instituição.</x:v>
      </x:c>
      <x:c r="N32"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32" s="10" t="str">
        <x:v>Preleição (diretor); Novos detentos; Chegada de presos; Coronel Fernão Guedes; Uniforme prisional; Corte militar; Cerimônia de registro; Casa de Detenção; Carandiru; 1979; Autoridade prisional.</x:v>
      </x:c>
      <x:c r="P32" s="10" t="str">
        <x:v>Fotografia (Iconográfico)</x:v>
      </x:c>
      <x:c r="Q32" s="10" t="str">
        <x:v>Digitalização de fotografia em preto e branco (analógica original)</x:v>
      </x:c>
      <x:c r="R32" s="10" t="str">
        <x:v>Figura n – [Preleição do Diretor Coronel Fernão Guedes aos novos detentos da Casa de Detenção (1979)] Fonte: Arquivo Público do Estado de São Paulo, 1979.</x:v>
      </x:c>
      <x:c r="S32" s="10" t="str">
        <x:v>ARQUIVO PÚBLICO DO ESTADO DE SÃO PAULO (Brasil). [Preleição do Diretor Coronel Fernão Guedes aos novos detentos da Casa de Detenção (1979)]. São Paulo, Brasil. 29 mai. 1979. Fotografia digitalizada; preto e branco; suporte em papel fotográfico. Disponível em: &lt;link do dataverse&gt;. Acesso em: 28 out. 2025.</x:v>
      </x:c>
      <x:c r="T32" s="10" t="str">
        <x:v>Estado de São Paulo – Penitenciárias e Presídios – Casa de Detenção O 1º dia de novos detentos na Casa de Detenção, com a preleção do diretor Cel. Fernão Guedes. DN, 29/5/1979</x:v>
      </x:c>
      <x:c r="U32" s="10" t="str">
        <x:v>ICO</x:v>
      </x:c>
      <x:c r="V32" s="10" t="str">
        <x:v>FOT</x:v>
      </x:c>
      <x:c r="W32" s="10" t="str">
        <x:v>DGZ</x:v>
      </x:c>
      <x:c r="X32" s="10" t="str">
        <x:v>MT0</x:v>
      </x:c>
      <x:c r="Y32" s="10" t="str">
        <x:v>BR-SPAPESP_DASP-PENITPRE-CSDTCARANDIRU.xlsx</x:v>
      </x:c>
      <x:c r="Z32" s="10" t="str">
        <x:v>3055-005</x:v>
      </x:c>
      <x:c r="AA32" s="11" t="n">
        <x:v>19</x:v>
      </x:c>
      <x:c r="AB32" s="10" t="str">
        <x:v>BR-SPAPESP_DASP-PENITPRE-CSDTCARANDIRU.xlsx:3055-005:19</x:v>
      </x:c>
      <x:c r="AC32" s="11" t="n">
        <x:f>COLUMNS(A32:T32)-COUNTBLANK(A32:T32)</x:f>
        <x:v>20</x:v>
      </x:c>
    </x:row>
    <x:row r="33" ht="84" hidden="0" customHeight="1">
      <x:c r="A33" s="10" t="str">
        <x:v>020</x:v>
      </x:c>
      <x:c r="B33" s="10" t="str">
        <x:v>Aglomeração de detentos durante a revista do Henfil no Carandiru (1979)</x:v>
      </x:c>
      <x:c r="C33" s="10" t="str">
        <x:v>Item</x:v>
      </x:c>
      <x:c r="D33" s="10" t="str">
        <x:v>1979-06-01 00:00:00</x:v>
      </x:c>
      <x:c r="E33" s="10" t="str">
        <x:v>Gerado pelo Dataverse</x:v>
      </x:c>
      <x:c r="F33" s="10" t="str">
        <x:v>Fotografia digitalizada; preto e branco; suporte em papel fotográfico</x:v>
      </x:c>
      <x:c r="G33" s="10" t="str">
        <x:v>São Paulo, Brasil</x:v>
      </x:c>
      <x:c r="H33" s="10" t="str">
        <x:v>Arquivo Público do Estado de São Paulo, Jornal Diários Associados</x:v>
      </x:c>
      <x:c r="I33" s="10" t="str">
        <x:v>Estado De São Paulo - Penitenciárias e Presídios - Casa de Detenção de São Paulo no Carandiru (Fotografias)</x:v>
      </x:c>
      <x:c r="J33" s="10" t="str">
        <x:v>Caixa: 3055 Folder: 5</x:v>
      </x:c>
      <x:c r="K33" s="10" t="str">
        <x:v>BR-SPAPESP_DASP-PENITPRE-CSDTCARANDIRU_ICO-FOT-DGZ-MT0_3055-005-020</x:v>
      </x:c>
      <x:c r="L33"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33" s="10" t="str">
        <x:v>A fotografia em preto e branco, em plano alto, captura uma aglomeração massiva de homens (detentos) sentados ou agachados no chão de um amplo espaço interno (possivelmente um salão ou pátio coberto), ilustrando graficamente a superlotação da Casa de Detenção. As pessoas vestem roupas civis variadas, sem padronização, e todos estão olhando em uma direção comum, indicando a atenção a um palco ou ponto focal não visível. Um equipamento de iluminação ou sonorização está visível no canto superior direito. O verso da fotografia, datado de 1º de junho de 1979, contextualiza o evento como a "revista do Henfil".</x:v>
      </x:c>
      <x:c r="N33"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33" s="10" t="str">
        <x:v>Superlotação; Aglomeração de detentos; Evento (cultural/mídia); Revista do Henfil; Roupas civis; Pátio (interno); Casa de Detenção; Carandiru; 1979; Fotojornalismo.</x:v>
      </x:c>
      <x:c r="P33" s="10" t="str">
        <x:v>Fotografia (Iconográfico)</x:v>
      </x:c>
      <x:c r="Q33" s="10" t="str">
        <x:v>Digitalização de fotografia em preto e branco (analógica original)</x:v>
      </x:c>
      <x:c r="R33" s="10" t="str">
        <x:v>Figura n – [Aglomeração de detentos durante a revista do Henfil no Carandiru (1979)] Fonte: Arquivo Público do Estado de São Paulo, 1979.</x:v>
      </x:c>
      <x:c r="S33" s="10" t="str">
        <x:v>ARQUIVO PÚBLICO DO ESTADO DE SÃO PAULO (Brasil). [Aglomeração de detentos durante a revista do Henfil no Carandiru (1979)]. São Paulo, Brasil. 01 jun. 1979. Fotografia digitalizada; preto e branco; suporte em papel fotográfico. Disponível em: &lt;link do dataverse&gt;. Acesso em: 28 out. 2025.</x:v>
      </x:c>
      <x:c r="T33" s="10" t="str">
        <x:v>Estado de São Paulo – Penitenciárias e Presídios – Casa de Detenção A revista do Henfil na Casa de Detenção. DN, 1/6/1979</x:v>
      </x:c>
      <x:c r="U33" s="10" t="str">
        <x:v>ICO</x:v>
      </x:c>
      <x:c r="V33" s="10" t="str">
        <x:v>FOT</x:v>
      </x:c>
      <x:c r="W33" s="10" t="str">
        <x:v>DGZ</x:v>
      </x:c>
      <x:c r="X33" s="10" t="str">
        <x:v>MT0</x:v>
      </x:c>
      <x:c r="Y33" s="10" t="str">
        <x:v>BR-SPAPESP_DASP-PENITPRE-CSDTCARANDIRU.xlsx</x:v>
      </x:c>
      <x:c r="Z33" s="10" t="str">
        <x:v>3055-005</x:v>
      </x:c>
      <x:c r="AA33" s="11" t="n">
        <x:v>20</x:v>
      </x:c>
      <x:c r="AB33" s="10" t="str">
        <x:v>BR-SPAPESP_DASP-PENITPRE-CSDTCARANDIRU.xlsx:3055-005:20</x:v>
      </x:c>
      <x:c r="AC33" s="11" t="n">
        <x:f>COLUMNS(A33:T33)-COUNTBLANK(A33:T33)</x:f>
        <x:v>20</x:v>
      </x:c>
    </x:row>
    <x:row r="34" ht="84" hidden="0" customHeight="1">
      <x:c r="A34" s="10" t="str">
        <x:v>021</x:v>
      </x:c>
      <x:c r="B34" s="10" t="str">
        <x:v>Movimentação de detentos por portão gradeado em contexto de superpopulação no Carandiru (1979)</x:v>
      </x:c>
      <x:c r="C34" s="10" t="str">
        <x:v>Item</x:v>
      </x:c>
      <x:c r="D34" s="10" t="str">
        <x:v>1979-05-31 00:00:00</x:v>
      </x:c>
      <x:c r="E34" s="10" t="str">
        <x:v>Gerado pelo Dataverse</x:v>
      </x:c>
      <x:c r="F34" s="10" t="str">
        <x:v>Fotografia digitalizada; preto e branco; suporte em papel fotográfico</x:v>
      </x:c>
      <x:c r="G34" s="10" t="str">
        <x:v>São Paulo, Brasil</x:v>
      </x:c>
      <x:c r="H34" s="10" t="str">
        <x:v>Arquivo Público do Estado de São Paulo, Jornal Diários Associados</x:v>
      </x:c>
      <x:c r="I34" s="10" t="str">
        <x:v>Estado De São Paulo - Penitenciárias e Presídios - Casa de Detenção de São Paulo no Carandiru (Fotografias)</x:v>
      </x:c>
      <x:c r="J34" s="10" t="str">
        <x:v>Caixa: 3055 Folder: 5</x:v>
      </x:c>
      <x:c r="K34" s="10" t="str">
        <x:v>BR-SPAPESP_DASP-PENITPRE-CSDTCARANDIRU_ICO-FOT-DGZ-MT0_3055-005-021</x:v>
      </x:c>
      <x:c r="L34"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34" s="10" t="str">
        <x:v>A fotografia em preto e branco registra um momento de circulação controlada de detentos em uma área interna da Casa de Detenção. A cena é emoldurada por grades de metal que formam um portão de segurança parcialmente aberto, separando seções do corredor. Dois homens estão em movimento através da abertura. O homem em primeiro plano está de costas, vestindo roupas casuais, caminhando para o interior do corredor. O homem logo atrás dele olha diretamente para a câmera com uma expressão atenta. O ambiente é um corredor com paredes claras e portas fechadas visíveis ao fundo, reforçando a natureza confinada do local. O verso da fotografia, datado de 31 de maio de 1979, contextualiza esta rotina de movimentação em um cenário de crise: "Detenção com super população, ameaça explodir." O registro, portanto, documenta a vida e a circulação interna dos presos em um momento em que a superlotação estava no limite da capacidade institucional.</x:v>
      </x:c>
      <x:c r="N34"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34" s="10" t="str">
        <x:v>Circulação de detentos; Portão de cela; Grades; Superlotação (crítica); Casa de Detenção; Carandiru; Rotina prisional; 1979; Confinamento; Controle de movimentação.</x:v>
      </x:c>
      <x:c r="P34" s="10" t="str">
        <x:v>Fotografia (Iconográfico)</x:v>
      </x:c>
      <x:c r="Q34" s="10" t="str">
        <x:v>Digitalização de fotografia em preto e branco (analógica original)</x:v>
      </x:c>
      <x:c r="R34" s="10" t="str">
        <x:v>Figura n – [Movimentação de detentos por portão gradeado em contexto de superpopulação no Carandiru (1979)] Fonte: Arquivo Público do Estado de São Paulo, 1979.</x:v>
      </x:c>
      <x:c r="S34" s="10" t="str">
        <x:v>ARQUIVO PÚBLICO DO ESTADO DE SÃO PAULO (Brasil). [Movimentação de detentos por portão gradeado em contexto de superpopulação no Carandiru (1979)]. São Paulo, Brasil. 31 mai. 1979. Fotografia digitalizada; preto e branco; suporte em papel fotográfico. Disponível em: &lt;link do dataverse&gt;. Acesso em: 28 out. 2025.</x:v>
      </x:c>
      <x:c r="T34" s="10" t="str">
        <x:v>Estado de São Paulo – Penitenciárias e Presídios – Casa de Detenção A Detenção com superpopulação, ameaça explodir. DN, 31/5/1979</x:v>
      </x:c>
      <x:c r="U34" s="10" t="str">
        <x:v>ICO</x:v>
      </x:c>
      <x:c r="V34" s="10" t="str">
        <x:v>FOT</x:v>
      </x:c>
      <x:c r="W34" s="10" t="str">
        <x:v>DGZ</x:v>
      </x:c>
      <x:c r="X34" s="10" t="str">
        <x:v>MT0</x:v>
      </x:c>
      <x:c r="Y34" s="10" t="str">
        <x:v>BR-SPAPESP_DASP-PENITPRE-CSDTCARANDIRU.xlsx</x:v>
      </x:c>
      <x:c r="Z34" s="10" t="str">
        <x:v>3055-005</x:v>
      </x:c>
      <x:c r="AA34" s="11" t="n">
        <x:v>21</x:v>
      </x:c>
      <x:c r="AB34" s="10" t="str">
        <x:v>BR-SPAPESP_DASP-PENITPRE-CSDTCARANDIRU.xlsx:3055-005:21</x:v>
      </x:c>
      <x:c r="AC34" s="11" t="n">
        <x:f>COLUMNS(A34:T34)-COUNTBLANK(A34:T34)</x:f>
        <x:v>20</x:v>
      </x:c>
    </x:row>
    <x:row r="35" ht="84" hidden="0" customHeight="1">
      <x:c r="A35" s="10" t="str">
        <x:v>022</x:v>
      </x:c>
      <x:c r="B35" s="10" t="str">
        <x:v>Passagem de funcionário por portão de segurança no período da revolta causada pela extinção do Projeto JUS (1979)</x:v>
      </x:c>
      <x:c r="C35" s="10" t="str">
        <x:v>Item</x:v>
      </x:c>
      <x:c r="D35" s="10" t="str">
        <x:v>1979-06-21 00:00:00</x:v>
      </x:c>
      <x:c r="E35" s="10" t="str">
        <x:v>Gerado pelo Dataverse</x:v>
      </x:c>
      <x:c r="F35" s="10" t="str">
        <x:v>Fotografia digitalizada; preto e branco; suporte em papel fotográfico</x:v>
      </x:c>
      <x:c r="G35" s="10" t="str">
        <x:v>São Paulo, Brasil</x:v>
      </x:c>
      <x:c r="H35" s="10" t="str">
        <x:v>Arquivo Público do Estado de São Paulo, Jornal Diários Associados</x:v>
      </x:c>
      <x:c r="I35" s="10" t="str">
        <x:v>Estado De São Paulo - Penitenciárias e Presídios - Casa de Detenção de São Paulo no Carandiru (Fotografias)</x:v>
      </x:c>
      <x:c r="J35" s="10" t="str">
        <x:v>Caixa: 3055 Folder: 5</x:v>
      </x:c>
      <x:c r="K35" s="10" t="str">
        <x:v>BR-SPAPESP_DASP-PENITPRE-CSDTCARANDIRU_ICO-FOT-DGZ-MT0_3055-005-022</x:v>
      </x:c>
      <x:c r="L35"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35" s="10" t="str">
        <x:v>A fotografia em preto e branco, com foco suave ou desfocado, registra a passagem de uma pessoa por um portão de grades em uma área interna de controle da Casa de Detenção. A pessoa, vista de costas, veste uma camisa ou jaleco claro. Ela atravessa um portão de segurança de barras de ferro, que está parcialmente aberto. Em primeiro plano, uma estrutura de metal desfocada, talvez um carrinho ou objeto de rotina, ocupa o rodapé. O verso da fotografia, datado de 21 de junho de 1979, contextualiza esta cena em um cenário de crise e revolta, pois a "extinção do Projeto JUS aumentou a revolta dos presos" na Detenção. A imagem, portanto, documenta a rotina de controle e circulação de pessoal em um ambiente de alta tensão institucional, provavelmente logo após ou durante a manifestação de descontentamento dos detentos.</x:v>
      </x:c>
      <x:c r="N35"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35" s="10" t="str">
        <x:v>Passagem (funcionário); Portão de grades; Controle de segurança; Revolta de presos; Extinção Projeto JUS; Funcionário prisional; Casa de Detenção; Carandiru; Crise prisional; 1979.</x:v>
      </x:c>
      <x:c r="P35" s="10" t="str">
        <x:v>Fotografia (Iconográfico)</x:v>
      </x:c>
      <x:c r="Q35" s="10" t="str">
        <x:v>Digitalização de fotografia em preto e branco (analógica original)</x:v>
      </x:c>
      <x:c r="R35" s="10" t="str">
        <x:v>Figura n – [Passagem de funcionário por portão de segurança no período da revolta causada pela extinção do Projeto JUS (1979)] Fonte: Arquivo Público do Estado de São Paulo, 1979.</x:v>
      </x:c>
      <x:c r="S35" s="10" t="str">
        <x:v>ARQUIVO PÚBLICO DO ESTADO DE SÃO PAULO (Brasil). [Passagem de funcionário por portão de segurança no período da revolta causada pela extinção do Projeto JUS (1979)]. São Paulo, Brasil. 21 jun. 1979. Fotografia digitalizada; preto e branco; suporte em papel fotográfico. Disponível em: &lt;link do dataverse&gt;. Acesso em: 28 out. 2025.</x:v>
      </x:c>
      <x:c r="T35" s="10" t="str">
        <x:v>Estado de São Paulo – Penitenciárias e Presídios – Casa de Detenção A extinção do Projeto JUS aumentou a revolta dos presos na Detenção. DN, 21/6/1979</x:v>
      </x:c>
      <x:c r="U35" s="10" t="str">
        <x:v>ICO</x:v>
      </x:c>
      <x:c r="V35" s="10" t="str">
        <x:v>FOT</x:v>
      </x:c>
      <x:c r="W35" s="10" t="str">
        <x:v>DGZ</x:v>
      </x:c>
      <x:c r="X35" s="10" t="str">
        <x:v>MT0</x:v>
      </x:c>
      <x:c r="Y35" s="10" t="str">
        <x:v>BR-SPAPESP_DASP-PENITPRE-CSDTCARANDIRU.xlsx</x:v>
      </x:c>
      <x:c r="Z35" s="10" t="str">
        <x:v>3055-005</x:v>
      </x:c>
      <x:c r="AA35" s="11" t="n">
        <x:v>22</x:v>
      </x:c>
      <x:c r="AB35" s="10" t="str">
        <x:v>BR-SPAPESP_DASP-PENITPRE-CSDTCARANDIRU.xlsx:3055-005:22</x:v>
      </x:c>
      <x:c r="AC35" s="11" t="n">
        <x:f>COLUMNS(A35:T35)-COUNTBLANK(A35:T35)</x:f>
        <x:v>20</x:v>
      </x:c>
    </x:row>
    <x:row r="36" ht="84" hidden="0" customHeight="1">
      <x:c r="A36" s="10" t="str">
        <x:v>023</x:v>
      </x:c>
      <x:c r="B36" s="10" t="str">
        <x:v>Corredor de celas da Casa de Detenção de São Paulo no Carandiru no contexto de crise e revolta (1979)</x:v>
      </x:c>
      <x:c r="C36" s="10" t="str">
        <x:v>Item</x:v>
      </x:c>
      <x:c r="D36" s="10" t="str">
        <x:v>1979-06-21 00:00:00</x:v>
      </x:c>
      <x:c r="E36" s="10" t="str">
        <x:v>Gerado pelo Dataverse</x:v>
      </x:c>
      <x:c r="F36" s="10" t="str">
        <x:v>Fotografia digitalizada; preto e branco; suporte em papel fotográfico</x:v>
      </x:c>
      <x:c r="G36" s="10" t="str">
        <x:v>São Paulo, Brasil</x:v>
      </x:c>
      <x:c r="H36" s="10" t="str">
        <x:v>Arquivo Público do Estado de São Paulo, Jornal Diários Associados</x:v>
      </x:c>
      <x:c r="I36" s="10" t="str">
        <x:v>Estado De São Paulo - Penitenciárias e Presídios - Casa de Detenção de São Paulo no Carandiru (Fotografias)</x:v>
      </x:c>
      <x:c r="J36" s="10" t="str">
        <x:v>Caixa: 3055 Folder: 5</x:v>
      </x:c>
      <x:c r="K36" s="10" t="str">
        <x:v>BR-SPAPESP_DASP-PENITPRE-CSDTCARANDIRU_ICO-FOT-DGZ-MT0_3055-005-023</x:v>
      </x:c>
      <x:c r="L36"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36" s="10" t="str">
        <x:v>A fotografia em preto e branco utiliza uma perspectiva acentuada para registrar um corredor estreito e austero em uma galeria da Casa de Detenção. O corredor é ladeado por uma fileira de portas sólidas de metal, idênticas e repetitivas, que são as entradas das celas. O foco da imagem está nos detalhes das portas mais próximas, evidenciando grandes puxadores/alças e pequenas aberturas de inspeção (escotilhas) na parte superior. O piso de cimento ou ladrilho está sujo e desgastado. A profundidade do corredor, que se perde na escuridão, reforça a sensação de confinamento e claustrofobia. O verso da fotografia, datado de 21 de junho de 1979, contextualiza esta arquitetura repressiva em um cenário de crise, mencionando que a "extinção do Projeto JUS aumentou a revolta dos presos". A imagem, portanto, documenta o ambiente físico de confinamento onde se manifestavam a tensão e o descontentamento das pessoas em situação de privação de liberdade em 1979.</x:v>
      </x:c>
      <x:c r="N36"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36" s="10" t="str">
        <x:v>Corredor de celas; Arquitetura prisional; Porta metálica; Confinamento; Claustrofobia; Revolta de presos; Extinção Projeto JUS; Casa de Detenção; Carandiru; 1979.</x:v>
      </x:c>
      <x:c r="P36" s="10" t="str">
        <x:v>Fotografia (Iconográfico)</x:v>
      </x:c>
      <x:c r="Q36" s="10" t="str">
        <x:v>Digitalização de fotografia em preto e branco (analógica original)</x:v>
      </x:c>
      <x:c r="R36" s="10" t="str">
        <x:v>Figura n – [Corredor de celas da Casa de Detenção de São Paulo no Carandiru no contexto de crise e revolta (1979)] Fonte: Arquivo Público do Estado de São Paulo, 1979.</x:v>
      </x:c>
      <x:c r="S36" s="10" t="str">
        <x:v>ARQUIVO PÚBLICO DO ESTADO DE SÃO PAULO (Brasil). [Corredor de celas da Casa de Detenção de São Paulo no Carandiru no contexto de crise e revolta (1979)]. São Paulo, Brasil. 21 jun. 1979. Fotografia digitalizada; preto e branco; suporte em papel fotográfico. Disponível em: &lt;link do dataverse&gt;. Acesso em: 28 out. 2025.</x:v>
      </x:c>
      <x:c r="T36" s="10" t="str">
        <x:v>Estado de São Paulo – Penitenciárias e Presídios – Casa de Detenção A extinção do Projeto JUS aumentou a revolta dos presos da Detenção. DN, 21/6/1979</x:v>
      </x:c>
      <x:c r="U36" s="10" t="str">
        <x:v>ICO</x:v>
      </x:c>
      <x:c r="V36" s="10" t="str">
        <x:v>FOT</x:v>
      </x:c>
      <x:c r="W36" s="10" t="str">
        <x:v>DGZ</x:v>
      </x:c>
      <x:c r="X36" s="10" t="str">
        <x:v>MT0</x:v>
      </x:c>
      <x:c r="Y36" s="10" t="str">
        <x:v>BR-SPAPESP_DASP-PENITPRE-CSDTCARANDIRU.xlsx</x:v>
      </x:c>
      <x:c r="Z36" s="10" t="str">
        <x:v>3055-005</x:v>
      </x:c>
      <x:c r="AA36" s="11" t="n">
        <x:v>23</x:v>
      </x:c>
      <x:c r="AB36" s="10" t="str">
        <x:v>BR-SPAPESP_DASP-PENITPRE-CSDTCARANDIRU.xlsx:3055-005:23</x:v>
      </x:c>
      <x:c r="AC36" s="11" t="n">
        <x:f>COLUMNS(A36:T36)-COUNTBLANK(A36:T36)</x:f>
        <x:v>20</x:v>
      </x:c>
    </x:row>
    <x:row r="37" ht="84" hidden="0" customHeight="1">
      <x:c r="A37" s="10" t="str">
        <x:v>024</x:v>
      </x:c>
      <x:c r="B37" s="10" t="str">
        <x:v>Intenso movimento de familiares no portão da Casa de Detenção de São Paulo no Carandiru após o Natal de 1979</x:v>
      </x:c>
      <x:c r="C37" s="10" t="str">
        <x:v>Item</x:v>
      </x:c>
      <x:c r="D37" s="10" t="str">
        <x:v>1979-12-27 00:00:00</x:v>
      </x:c>
      <x:c r="E37" s="10" t="str">
        <x:v>Gerado pelo Dataverse</x:v>
      </x:c>
      <x:c r="F37" s="10" t="str">
        <x:v>Fotografia digitalizada; preto e branco; suporte em papel fotográfico</x:v>
      </x:c>
      <x:c r="G37" s="10" t="str">
        <x:v>São Paulo, Brasil</x:v>
      </x:c>
      <x:c r="H37" s="10" t="str">
        <x:v>Arquivo Público do Estado de São Paulo, Jornal Diários Associados</x:v>
      </x:c>
      <x:c r="I37" s="10" t="str">
        <x:v>Estado De São Paulo - Penitenciárias e Presídios - Casa de Detenção de São Paulo no Carandiru (Fotografias)</x:v>
      </x:c>
      <x:c r="J37" s="10" t="str">
        <x:v>Caixa: 3055 Folder: 5</x:v>
      </x:c>
      <x:c r="K37" s="10" t="str">
        <x:v>BR-SPAPESP_DASP-PENITPRE-CSDTCARANDIRU_ICO-FOT-DGZ-MT0_3055-005-024</x:v>
      </x:c>
      <x:c r="L37"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37" s="10" t="str">
        <x:v>A fotografia em preto e branco registra o intenso movimento e a aglomeração de pessoas na área externa ou portaria da Casa de Detenção em um dia de visita. Em primeiro plano, diversos casais e familiares caminham em direção ou afastando-se do portão de grades visível ao fundo. Um homem à esquerda carrega uma volumosa sacola de itens (jumbo), elemento típico da rotina de visitas. À direita, um casal caminha junto, com a mulher sorridente, evidenciando o aspecto social e emocional do encontro. O cenário é urbano, com lojas, tráfego e uma placa de "EXAME MÉDICOS MOTORISTAS" ao fundo, contrastando o rigor prisional com a vida na cidade. O verso da fotografia, datado de 27 de dezembro de 1979, contextualiza esta movimentação logo após o Natal, registrando que "Dos 51 presos que passaram o Natal em casa, 8 não voltaram".</x:v>
      </x:c>
      <x:c r="N37"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37" s="10" t="str">
        <x:v>Visita familiar; Saída temporária (quebra); Falta disciplinar; Sacola (jumbo); Aglomeração; Portaria; Carandiru; Cotidiano prisional; Natal (evento); 1979.</x:v>
      </x:c>
      <x:c r="P37" s="10" t="str">
        <x:v>Fotografia (Iconográfico)</x:v>
      </x:c>
      <x:c r="Q37" s="10" t="str">
        <x:v>Digitalização de fotografia em preto e branco (analógica original)</x:v>
      </x:c>
      <x:c r="R37" s="10" t="str">
        <x:v>Figura n – [Intenso movimento de familiares no portão da Casa de Detenção de São Paulo no Carandiru após o Natal de 1979] Fonte: Arquivo Público do Estado de São Paulo, 1979.</x:v>
      </x:c>
      <x:c r="S37" s="10" t="str">
        <x:v>ARQUIVO PÚBLICO DO ESTADO DE SÃO PAULO (Brasil). [Intenso movimento de familiares no portão da Casa de Detenção de São Paulo no Carandiru após o Natal de 1979]. São Paulo, Brasil. 27 dez. 1979. Fotografia digitalizada; preto e branco; suporte em papel fotográfico. Disponível em: &lt;link do dataverse&gt;. Acesso em: 28 out. 2025.</x:v>
      </x:c>
      <x:c r="T37" s="10" t="str">
        <x:v>Estado de São Paulo – Penitenciárias e Presídios – Casa de Detenção Dos 51 presos que passaram o Natal em casa, 8 não voltaram. DN, 27/12/1979</x:v>
      </x:c>
      <x:c r="U37" s="10" t="str">
        <x:v>ICO</x:v>
      </x:c>
      <x:c r="V37" s="10" t="str">
        <x:v>FOT</x:v>
      </x:c>
      <x:c r="W37" s="10" t="str">
        <x:v>DGZ</x:v>
      </x:c>
      <x:c r="X37" s="10" t="str">
        <x:v>MT0</x:v>
      </x:c>
      <x:c r="Y37" s="10" t="str">
        <x:v>BR-SPAPESP_DASP-PENITPRE-CSDTCARANDIRU.xlsx</x:v>
      </x:c>
      <x:c r="Z37" s="10" t="str">
        <x:v>3055-005</x:v>
      </x:c>
      <x:c r="AA37" s="11" t="n">
        <x:v>24</x:v>
      </x:c>
      <x:c r="AB37" s="10" t="str">
        <x:v>BR-SPAPESP_DASP-PENITPRE-CSDTCARANDIRU.xlsx:3055-005:24</x:v>
      </x:c>
      <x:c r="AC37" s="11" t="n">
        <x:f>COLUMNS(A37:T37)-COUNTBLANK(A37:T37)</x:f>
        <x:v>20</x:v>
      </x:c>
    </x:row>
    <x:row r="38" ht="84" hidden="0" customHeight="1">
      <x:c r="A38" s="10" t="str">
        <x:v>025</x:v>
      </x:c>
      <x:c r="B38" s="10" t="str">
        <x:v>Grupo de detentos assistindo a partida de futebol "Santos versus Palmeiras" no pátio do Carandiru (1969)</x:v>
      </x:c>
      <x:c r="C38" s="10" t="str">
        <x:v>Item</x:v>
      </x:c>
      <x:c r="D38" s="10" t="str">
        <x:v>1969-08-27 00:00:00</x:v>
      </x:c>
      <x:c r="E38" s="10" t="str">
        <x:v>Gerado pelo Dataverse</x:v>
      </x:c>
      <x:c r="F38" s="10" t="str">
        <x:v>Fotografia digitalizada; preto e branco; suporte em papel fotográfico</x:v>
      </x:c>
      <x:c r="G38" s="10" t="str">
        <x:v>São Paulo, Brasil</x:v>
      </x:c>
      <x:c r="H38" s="10" t="str">
        <x:v>Arquivo Público do Estado de São Paulo, Jornal Diários Associados</x:v>
      </x:c>
      <x:c r="I38" s="10" t="str">
        <x:v>Estado De São Paulo - Penitenciárias e Presídios - Casa de Detenção de São Paulo no Carandiru (Fotografias)</x:v>
      </x:c>
      <x:c r="J38" s="10" t="str">
        <x:v>Caixa: 3055 Folder: 5</x:v>
      </x:c>
      <x:c r="K38" s="10" t="str">
        <x:v>BR-SPAPESP_DASP-PENITPRE-CSDTCARANDIRU_ICO-FOT-DGZ-MT0_3055-005-025</x:v>
      </x:c>
      <x:c r="L38"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38" s="10" t="str">
        <x:v>A fotografia em preto e branco registra um grupo de detentos reunidos em um pátio externo da Casa de Detenção, claramente atuando como público ou torcida em um evento. Os homens estão dispostos em dois níveis: a maioria sentada em um banco improvisado em primeiro plano, e outros de pé, atrás. Eles vestem roupas civis variadas. As expressões e, principalmente, os gestos de entusiasmo de alguns homens (como o que está com o braço levantado ou boquiabertos), sugerem que estão reagindo a uma partida. O fundo é dominado por um muro de concreto e uma edificação prisional. O verso da fotografia, datado de 27 de agosto de 1969, contextualiza a cena como o público do jogo de futebol "Santos" versus "Palmeiras" (parte do Torneio "Fernando José Fernandes"), assistido por "quase três mil detentos" no campo da prisão.</x:v>
      </x:c>
      <x:c r="N38"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38" s="10" t="str">
        <x:v>Evento esportivo; Futebol (Santos vs Palmeiras); Pátio (externo); Torcida; Detentos (público); Lazer; Carandiru; Roupas civis; 1969; Torneio Fernando José Fernandes.</x:v>
      </x:c>
      <x:c r="P38" s="10" t="str">
        <x:v>Fotografia (Iconográfico)</x:v>
      </x:c>
      <x:c r="Q38" s="10" t="str">
        <x:v>Digitalização de fotografia em preto e branco (analógica original)</x:v>
      </x:c>
      <x:c r="R38" s="10" t="str">
        <x:v>Figura n – [Grupo de detentos assistindo a partida de futebol "Santos versus Palmeiras" no pátio do Carandiru (1969)] Fonte: Arquivo Público do Estado de São Paulo, 1969.</x:v>
      </x:c>
      <x:c r="S38" s="10" t="str">
        <x:v>ARQUIVO PÚBLICO DO ESTADO DE SÃO PAULO (Brasil). [Grupo de detentos assistindo a partida de futebol "Santos versus Palmeiras" no pátio do Carandiru (1969)]. São Paulo, Brasil. 27 ago. 1969. Fotografia digitalizada; preto e branco; suporte em papel fotográfico. Disponível em: &lt;link do dataverse&gt;. Acesso em: 28 out. 2025.</x:v>
      </x:c>
      <x:c r="T38" s="10" t="str">
        <x:v>Estado de São Paulo – Penitenciária e Presídios – Casa de Detenção Dado é o palco da Detenção Quase três mil detentos assistiram, ontem, ao jogo “Santos” versus “Palmeiras”, no campo de futebol da Casa de Detenção, pelo torneio “Fernando José Fernandes”. DN, 2ª ed., 27/8/1969 – GRL</x:v>
      </x:c>
      <x:c r="U38" s="10" t="str">
        <x:v>ICO</x:v>
      </x:c>
      <x:c r="V38" s="10" t="str">
        <x:v>FOT</x:v>
      </x:c>
      <x:c r="W38" s="10" t="str">
        <x:v>DGZ</x:v>
      </x:c>
      <x:c r="X38" s="10" t="str">
        <x:v>MT0</x:v>
      </x:c>
      <x:c r="Y38" s="10" t="str">
        <x:v>BR-SPAPESP_DASP-PENITPRE-CSDTCARANDIRU.xlsx</x:v>
      </x:c>
      <x:c r="Z38" s="10" t="str">
        <x:v>3055-005</x:v>
      </x:c>
      <x:c r="AA38" s="11" t="n">
        <x:v>25</x:v>
      </x:c>
      <x:c r="AB38" s="10" t="str">
        <x:v>BR-SPAPESP_DASP-PENITPRE-CSDTCARANDIRU.xlsx:3055-005:25</x:v>
      </x:c>
      <x:c r="AC38" s="11" t="n">
        <x:f>COLUMNS(A38:T38)-COUNTBLANK(A38:T38)</x:f>
        <x:v>20</x:v>
      </x:c>
    </x:row>
    <x:row r="39" ht="84" hidden="0" customHeight="1">
      <x:c r="A39" s="10" t="str">
        <x:v>026</x:v>
      </x:c>
      <x:c r="B39" s="10" t="str">
        <x:v>Show da "Caravana Sentimental" para 3200 detentos no pátio da Casa de Detenção (1969)</x:v>
      </x:c>
      <x:c r="C39" s="10" t="str">
        <x:v>Item</x:v>
      </x:c>
      <x:c r="D39" s="10" t="str">
        <x:v>1969-02-11 00:00:00</x:v>
      </x:c>
      <x:c r="E39" s="10" t="str">
        <x:v>Gerado pelo Dataverse</x:v>
      </x:c>
      <x:c r="F39" s="10" t="str">
        <x:v>Fotografia digitalizada; preto e branco; suporte em papel fotográfico</x:v>
      </x:c>
      <x:c r="G39" s="10" t="str">
        <x:v>São Paulo, Brasil</x:v>
      </x:c>
      <x:c r="H39" s="10" t="str">
        <x:v>Arquivo Público do Estado de São Paulo, Jornal Diários Associados</x:v>
      </x:c>
      <x:c r="I39" s="10" t="str">
        <x:v>Estado De São Paulo - Penitenciárias e Presídios - Casa de Detenção de São Paulo no Carandiru (Fotografias)</x:v>
      </x:c>
      <x:c r="J39" s="10" t="str">
        <x:v>Caixa: 3055 Folder: 5</x:v>
      </x:c>
      <x:c r="K39" s="10" t="str">
        <x:v>BR-SPAPESP_DASP-PENITPRE-CSDTCARANDIRU_ICO-FOT-DGZ-MT0_3055-005-026</x:v>
      </x:c>
      <x:c r="L39"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39" s="10" t="str">
        <x:v>A fotografia em preto e branco, capturada em plano alto, registra uma grande concentração de homens (detentos) em um pátio externo, dispostos de forma organizada para assistir a um evento. A plateia massiva (o verso menciona 3.200 prisioneiros) está sentada no chão e em arquibancadas improvisadas. O foco do evento é uma estrutura coberta (palco) à esquerda, onde há músicos e equipamentos de som visíveis. Um grupo de pessoas (aparentemente autoridades e organizadores) está sentado em um semicírculo na área central superior. O verso da fotografia, datado de 11 de fevereiro de 1969, contextualiza o evento como a primeira apresentação da "Caravana Sentimental", com a participação de artistas como Ary Sanchez, Ed Wilson e Marta Mendonça, em uma série de shows beneficentes.</x:v>
      </x:c>
      <x:c r="N39"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39" s="10" t="str">
        <x:v>Show musical; Caravana Sentimental; Evento cultural; Detentos (plateia); Pátio (externo); Superlotação; Artistas (Ary Sanchez, Ed Wilson); Carandiru; 1969; Correção (respeito).</x:v>
      </x:c>
      <x:c r="P39" s="10" t="str">
        <x:v>Fotografia (Iconográfico)</x:v>
      </x:c>
      <x:c r="Q39" s="10" t="str">
        <x:v>Digitalização de fotografia em preto e branco (analógica original)</x:v>
      </x:c>
      <x:c r="R39" s="10" t="str">
        <x:v>Figura n – [Show da "Caravana Sentimental" para 3200 detentos no pátio da Casa de Detenção (1969)] Fonte: Arquivo Público do Estado de São Paulo, 1969.</x:v>
      </x:c>
      <x:c r="S39" s="10" t="str">
        <x:v>ARQUIVO PÚBLICO DO ESTADO DE SÃO PAULO (Brasil). [Show da "Caravana Sentimental" para 3200 detentos no pátio da Casa de Detenção (1969)]. São Paulo, Brasil. 11 fev. 1969. Fotografia digitalizada; preto e branco; suporte em papel fotográfico. Disponível em: &lt;link do dataverse&gt;. Acesso em: 28 out. 2025.</x:v>
      </x:c>
      <x:c r="T39" s="10" t="str">
        <x:v>Estado de São Paulo – Capital – Penitenciárias e Presídios – Casa de Detenção de São Paulo no Carandiru Artistas fazem “show” na Casa de Detenção [Texto em pequeno retângulo, recorte de matéria] Os 3.200 prisioneiros da Casa de Detenção ouviram Ary Sanchez, Ed Wilson, Marta Mendonça, Fred Jorge e Nalva Aguiar cantarem nas primeiras apresentações que a “Caravana Sentimental”, de uma série de “shows”, programou para entidades beneficentes, de correção e hospitais. A ideia surgiu com uma carta de um prisioneiro que queria ouvir o cantor. Agora é receber dele um par de sapatos. Além disso, o conjunto, a partir de agora, vai realizar shows na primeira segunda-feira de cada mês. Depois dos detentos, os internos do Hospital do Câncer poderão assistir ao mesmo espetáculo. DSP, 11/2/1969 – AA</x:v>
      </x:c>
      <x:c r="U39" s="10" t="str">
        <x:v>ICO</x:v>
      </x:c>
      <x:c r="V39" s="10" t="str">
        <x:v>FOT</x:v>
      </x:c>
      <x:c r="W39" s="10" t="str">
        <x:v>DGZ</x:v>
      </x:c>
      <x:c r="X39" s="10" t="str">
        <x:v>MT0</x:v>
      </x:c>
      <x:c r="Y39" s="10" t="str">
        <x:v>BR-SPAPESP_DASP-PENITPRE-CSDTCARANDIRU.xlsx</x:v>
      </x:c>
      <x:c r="Z39" s="10" t="str">
        <x:v>3055-005</x:v>
      </x:c>
      <x:c r="AA39" s="11" t="n">
        <x:v>26</x:v>
      </x:c>
      <x:c r="AB39" s="10" t="str">
        <x:v>BR-SPAPESP_DASP-PENITPRE-CSDTCARANDIRU.xlsx:3055-005:26</x:v>
      </x:c>
      <x:c r="AC39" s="11" t="n">
        <x:f>COLUMNS(A39:T39)-COUNTBLANK(A39:T39)</x:f>
        <x:v>20</x:v>
      </x:c>
    </x:row>
    <x:row r="40" ht="84" hidden="0" customHeight="1">
      <x:c r="A40" s="10" t="str">
        <x:v>027</x:v>
      </x:c>
      <x:c r="B40" s="10" t="str">
        <x:v>Show musical em pátio com imensa plateia de detentos na Casa de Detenção da Av. Tiradentes (1977)</x:v>
      </x:c>
      <x:c r="C40" s="10" t="str">
        <x:v>Item</x:v>
      </x:c>
      <x:c r="D40" s="10" t="str">
        <x:v>1977-06-04 00:00:00</x:v>
      </x:c>
      <x:c r="E40" s="10" t="str">
        <x:v>Gerado pelo Dataverse</x:v>
      </x:c>
      <x:c r="F40" s="10" t="str">
        <x:v>Fotografia digitalizada; preto e branco; suporte em papel fotográfico</x:v>
      </x:c>
      <x:c r="G40" s="10" t="str">
        <x:v>São Paulo, Brasil</x:v>
      </x:c>
      <x:c r="H40" s="10" t="str">
        <x:v>Arquivo Público do Estado de São Paulo, Jornal Diários Associados</x:v>
      </x:c>
      <x:c r="I40" s="10" t="str">
        <x:v>Estado De São Paulo - Penitenciárias e Presídios - Casa de Detenção de São Paulo no Carandiru (Fotografias)</x:v>
      </x:c>
      <x:c r="J40" s="10" t="str">
        <x:v>Caixa: 3055 Folder: 5</x:v>
      </x:c>
      <x:c r="K40" s="10" t="str">
        <x:v>BR-SPAPESP_DASP-PENITPRE-CSDTCARANDIRU_ICO-FOT-DGZ-MT0_3055-005-027</x:v>
      </x:c>
      <x:c r="L40"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40" s="10" t="str">
        <x:v>A fotografia em preto e branco registra um show musical de grande escala realizado no pátio da instituição. Em primeiro plano, no palco, membros da banda ou grupo artístico (homens e mulheres) estão vestidos com roupas claras e casuais, tocando instrumentos (bateria, guitarra, etc.). O plano de fundo é dominado por uma muralha alta e sólida, onde há inscrições esparsas. Em frente a esta muralha, uma imensa multidão de homens (detentos) preenche completamente o espaço, olhando fixamente para o palco, evidenciando a superlotação e o grande público do evento. O verso da fotografia, datado de Junho de 1977, contextualiza a cena como a apresentação de um "show musical com vários nomes da música brasileira" na Casa de Detenção da Av. Tiradentes.</x:v>
      </x:c>
      <x:c r="N40"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40" s="10" t="str">
        <x:v>Show musical; Evento cultural; Aglomeração de detentos; Superlotação; Artistas (música brasileira); Pátio (externo); Muralha (prisão); Casa de Detenção (Avenida Tiradentes); 1977.</x:v>
      </x:c>
      <x:c r="P40" s="10" t="str">
        <x:v>Fotografia (Iconográfico)</x:v>
      </x:c>
      <x:c r="Q40" s="10" t="str">
        <x:v>Digitalização de fotografia em preto e branco (analógica original)</x:v>
      </x:c>
      <x:c r="R40" s="10" t="str">
        <x:v>Figura n – [Show musical em pátio com imensa plateia de detentos na Casa de Detenção da Av. Tiradentes (1977)] Fonte: Arquivo Público do Estado de São Paulo, 1977.</x:v>
      </x:c>
      <x:c r="S40" s="10" t="str">
        <x:v>ARQUIVO PÚBLICO DO ESTADO DE SÃO PAULO (Brasil). [Show musical em pátio com imensa plateia de detentos na Casa de Detenção da Av. Tiradentes (1977)]. São Paulo, Brasil. 04 jun. 1977. Fotografia digitalizada; preto e branco; suporte em papel fotográfico. Disponível em: &lt;link do dataverse&gt;. Acesso em: 28 out. 2025.</x:v>
      </x:c>
      <x:c r="T40" s="10" t="str">
        <x:v>Estado de São Paulo – Penitenciárias e Presídios – Casa de Detenção da Av. Tiradentes Ontem, na Casa de Detenção, houve um show musical com vários nomes da música brasileira. DSP, 4/6/1977 – DCQ</x:v>
      </x:c>
      <x:c r="U40" s="10" t="str">
        <x:v>ICO</x:v>
      </x:c>
      <x:c r="V40" s="10" t="str">
        <x:v>FOT</x:v>
      </x:c>
      <x:c r="W40" s="10" t="str">
        <x:v>DGZ</x:v>
      </x:c>
      <x:c r="X40" s="10" t="str">
        <x:v>MT0</x:v>
      </x:c>
      <x:c r="Y40" s="10" t="str">
        <x:v>BR-SPAPESP_DASP-PENITPRE-CSDTCARANDIRU.xlsx</x:v>
      </x:c>
      <x:c r="Z40" s="10" t="str">
        <x:v>3055-005</x:v>
      </x:c>
      <x:c r="AA40" s="11" t="n">
        <x:v>27</x:v>
      </x:c>
      <x:c r="AB40" s="10" t="str">
        <x:v>BR-SPAPESP_DASP-PENITPRE-CSDTCARANDIRU.xlsx:3055-005:27</x:v>
      </x:c>
      <x:c r="AC40" s="11" t="n">
        <x:f>COLUMNS(A40:T40)-COUNTBLANK(A40:T40)</x:f>
        <x:v>20</x:v>
      </x:c>
    </x:row>
    <x:row r="41" ht="84" hidden="0" customHeight="1">
      <x:c r="A41" s="10" t="str">
        <x:v>028</x:v>
      </x:c>
      <x:c r="B41" s="10" t="str">
        <x:v>Show musical para detentos no pátio, com o pavilhão da Casa de Detenção de São Paulo no Carandiru ao fundo (1977)</x:v>
      </x:c>
      <x:c r="C41" s="10" t="str">
        <x:v>Item</x:v>
      </x:c>
      <x:c r="D41" s="10" t="str">
        <x:v>1977-12-17 00:00:00</x:v>
      </x:c>
      <x:c r="E41" s="10" t="str">
        <x:v>Gerado pelo Dataverse</x:v>
      </x:c>
      <x:c r="F41" s="10" t="str">
        <x:v>Fotografia digitalizada; preto e branco; suporte em papel fotográfico</x:v>
      </x:c>
      <x:c r="G41" s="10" t="str">
        <x:v>São Paulo, Brasil</x:v>
      </x:c>
      <x:c r="H41" s="10" t="str">
        <x:v>Arquivo Público do Estado de São Paulo, Jornal Diários Associados</x:v>
      </x:c>
      <x:c r="I41" s="10" t="str">
        <x:v>Estado De São Paulo - Penitenciárias e Presídios - Casa de Detenção de São Paulo no Carandiru (Fotografias)</x:v>
      </x:c>
      <x:c r="J41" s="10" t="str">
        <x:v>Caixa: 3055 Folder: 5</x:v>
      </x:c>
      <x:c r="K41" s="10" t="str">
        <x:v>BR-SPAPESP_DASP-PENITPRE-CSDTCARANDIRU_ICO-FOT-DGZ-MT0_3055-005-028</x:v>
      </x:c>
      <x:c r="L41"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41" s="10" t="str">
        <x:v>A fotografia em preto e branco registra a realização de um show musical em um pátio da Casa de Detenção. Em primeiro plano, um palco elevado abriga a banda, com músicos e equipamentos (amplificadores, bateria, mesa de som). Uma pequena plateia de pessoas em trajes civis, possivelmente autoridades, organizadores ou visitantes, assiste o show em cadeiras no canto inferior esquerdo. O público principal, composto por uma multidão de detentos, aglomera-se no pátio em frente ao palco. O elemento dominante da composição é o imponente Pavilhão prisional de vários andares, visível em toda a extensão do fundo. Suas fileiras simétricas de pequenas janelas e a arquitetura austera contrastam dramaticamente com a atividade cultural. O verso da fotografia, datado de 17 de dezembro de 1977, confirma que a imagem é um "Flagrante colhido... durante a apresentação de um show para os detentos". O registro documenta a justaposição de lazer e entretenimento com a rígida estrutura de contenção da prisão.</x:v>
      </x:c>
      <x:c r="N41"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41" s="10" t="str">
        <x:v>Show musical; Palco; Pavilhão (prisional); Estrutura arquitetônica; Público de detentos; Lazer; Evento cultural; Casa de Detenção; Carandiru; 1977.</x:v>
      </x:c>
      <x:c r="P41" s="10" t="str">
        <x:v>Fotografia (Iconográfico)</x:v>
      </x:c>
      <x:c r="Q41" s="10" t="str">
        <x:v>Digitalização de fotografia em preto e branco (analógica original)</x:v>
      </x:c>
      <x:c r="R41" s="10" t="str">
        <x:v>Figura n – [Show musical para detentos no pátio, com o pavilhão da Casa de Detenção de São Paulo no Carandiru ao fundo (1977)] Fonte: Arquivo Público do Estado de São Paulo, 1977.</x:v>
      </x:c>
      <x:c r="S41" s="10" t="str">
        <x:v>ARQUIVO PÚBLICO DO ESTADO DE SÃO PAULO (Brasil). [Show musical para detentos no pátio, com o pavilhão da Casa de Detenção de São Paulo no Carandiru ao fundo (1977)]. São Paulo, Brasil. 17 dez. 1977. Fotografia digitalizada; preto e branco; suporte em papel fotográfico. Disponível em: &lt;link do dataverse&gt;. Acesso em: 28 out. 2025.</x:v>
      </x:c>
      <x:c r="T41" s="10" t="str">
        <x:v>Estado de São Paulo – Penitenciárias e Presídios – Casa de Detenção Flagrante colhido na Casa de Detenção, durante a apresentação de um show para os detentos. DN, 17/12/1977</x:v>
      </x:c>
      <x:c r="U41" s="10" t="str">
        <x:v>ICO</x:v>
      </x:c>
      <x:c r="V41" s="10" t="str">
        <x:v>FOT</x:v>
      </x:c>
      <x:c r="W41" s="10" t="str">
        <x:v>DGZ</x:v>
      </x:c>
      <x:c r="X41" s="10" t="str">
        <x:v>MT0</x:v>
      </x:c>
      <x:c r="Y41" s="10" t="str">
        <x:v>BR-SPAPESP_DASP-PENITPRE-CSDTCARANDIRU.xlsx</x:v>
      </x:c>
      <x:c r="Z41" s="10" t="str">
        <x:v>3055-005</x:v>
      </x:c>
      <x:c r="AA41" s="11" t="n">
        <x:v>28</x:v>
      </x:c>
      <x:c r="AB41" s="10" t="str">
        <x:v>BR-SPAPESP_DASP-PENITPRE-CSDTCARANDIRU.xlsx:3055-005:28</x:v>
      </x:c>
      <x:c r="AC41" s="11" t="n">
        <x:f>COLUMNS(A41:T41)-COUNTBLANK(A41:T41)</x:f>
        <x:v>20</x:v>
      </x:c>
    </x:row>
    <x:row r="42" ht="84" hidden="0" customHeight="1">
      <x:c r="A42" s="10" t="str">
        <x:v>029</x:v>
      </x:c>
      <x:c r="B42" s="10" t="str">
        <x:v>Entrega de diplomas à primeira turma de detentos formandos (Curso Supletivo e Datilografia) no Carandiru (1973)</x:v>
      </x:c>
      <x:c r="C42" s="10" t="str">
        <x:v>Item</x:v>
      </x:c>
      <x:c r="D42" s="10" t="str">
        <x:v>1973-05-05 00:00:00</x:v>
      </x:c>
      <x:c r="E42" s="10" t="str">
        <x:v>Gerado pelo Dataverse</x:v>
      </x:c>
      <x:c r="F42" s="10" t="str">
        <x:v>Fotografia digitalizada; preto e branco; suporte em papel fotográfico</x:v>
      </x:c>
      <x:c r="G42" s="10" t="str">
        <x:v>São Paulo, Brasil</x:v>
      </x:c>
      <x:c r="H42" s="10" t="str">
        <x:v>Arquivo Público do Estado de São Paulo, Jornal Diários Associados</x:v>
      </x:c>
      <x:c r="I42" s="10" t="str">
        <x:v>Estado De São Paulo - Penitenciárias e Presídios - Casa de Detenção de São Paulo no Carandiru (Fotografias)</x:v>
      </x:c>
      <x:c r="J42" s="10" t="str">
        <x:v>Caixa: 3055 Folder: 5</x:v>
      </x:c>
      <x:c r="K42" s="10" t="str">
        <x:v>BR-SPAPESP_DASP-PENITPRE-CSDTCARANDIRU_ICO-FOT-DGZ-MT0_3055-005-029</x:v>
      </x:c>
      <x:c r="L42"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42" s="10" t="str">
        <x:v>A fotografia em primeiro plano captura o ponto alto de uma cerimônia de formatura na Casa de Detenção. À esquerda, uma autoridade em terno e gravata (identificado pelo verso como sendo uma das diversas autoridades presentes, como o diretor ou representantes do governo) estende a mão para cumprimentar um detento formando (o diplomando), enquanto lhe entrega o diploma enrolado (o objeto fino). O detento veste roupas casuais (camisa polo) e é o foco da celebração. O verso da fotografia, datado de 5 de maio de 1973, confirma que se trata da "entrega de diplomas à 1.a turma de detentos formandos" (totalizando 64 pessoas), nos cursos Supletivo e de Datilografia.</x:v>
      </x:c>
      <x:c r="N42"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42" s="10" t="str">
        <x:v>Formatura de detentos; Entrega de diplomas; Educação prisional; Reintegração social; Curso Supletivo; Curso de Datilografia; Autoridade (cumprimento); Detento (formando); Carandiru; 1973.</x:v>
      </x:c>
      <x:c r="P42" s="10" t="str">
        <x:v>Fotografia (Iconográfico)</x:v>
      </x:c>
      <x:c r="Q42" s="10" t="str">
        <x:v>Digitalização de fotografia em preto e branco (analógica original)</x:v>
      </x:c>
      <x:c r="R42" s="10" t="str">
        <x:v>Figura n – [Entrega de diplomas à primeira turma de detentos formandos (Curso Supletivo e Datilografia) no Carandiru (1973)] Fonte: Arquivo Público do Estado de São Paulo, 1973.</x:v>
      </x:c>
      <x:c r="S42" s="10" t="str">
        <x:v>ARQUIVO PÚBLICO DO ESTADO DE SÃO PAULO (Brasil). [Entrega de diplomas à primeira turma de detentos formandos (Curso Supletivo e Datilografia) no Carandiru (1973)]. São Paulo, Brasil. 05 mai. 1973. Fotografia digitalizada; preto e branco; suporte em papel fotográfico. Disponível em: &lt;link do dataverse&gt;. Acesso em: 28 out. 2025.</x:v>
      </x:c>
      <x:c r="T42" s="10" t="str">
        <x:v>Estado de São Paulo – Penitenciárias e Presídios – Casa de Detenção Ontem, às 10 horas, na Casa de Detenção de São Paulo, realizou-se a entrega de diplomas (foto) aos integrantes da 1ª turma de detentos formandos. Foram diplomados 64 presidiários, sendo 46 no Curso Supletivo e 18 no Curso de Datilografia. Presentes ao ato: coronel Fernão Guedes de Souza, diretor da Casa de Detenção; Valério Giuli, representando o secretário do Trabalho; Dr. Werner Rodrigues Nogueira, diretor-geral do Departamento de Presídios Penais; Dra. Sofia Necolan, diretora do Ensino Supletivo do Estado; Edwaldo de Azevedo Sampaio, do CONTEL; e Dr. Silvio Barbosa, do SENAC. DSP, 5/5/1973 – MBO</x:v>
      </x:c>
      <x:c r="U42" s="10" t="str">
        <x:v>ICO</x:v>
      </x:c>
      <x:c r="V42" s="10" t="str">
        <x:v>FOT</x:v>
      </x:c>
      <x:c r="W42" s="10" t="str">
        <x:v>DGZ</x:v>
      </x:c>
      <x:c r="X42" s="10" t="str">
        <x:v>MT0</x:v>
      </x:c>
      <x:c r="Y42" s="10" t="str">
        <x:v>BR-SPAPESP_DASP-PENITPRE-CSDTCARANDIRU.xlsx</x:v>
      </x:c>
      <x:c r="Z42" s="10" t="str">
        <x:v>3055-005</x:v>
      </x:c>
      <x:c r="AA42" s="11" t="n">
        <x:v>29</x:v>
      </x:c>
      <x:c r="AB42" s="10" t="str">
        <x:v>BR-SPAPESP_DASP-PENITPRE-CSDTCARANDIRU.xlsx:3055-005:29</x:v>
      </x:c>
      <x:c r="AC42" s="11" t="n">
        <x:f>COLUMNS(A42:T42)-COUNTBLANK(A42:T42)</x:f>
        <x:v>20</x:v>
      </x:c>
    </x:row>
    <x:row r="43" ht="84" hidden="0" customHeight="1">
      <x:c r="A43" s="10" t="str">
        <x:v>030</x:v>
      </x:c>
      <x:c r="B43" s="10" t="str">
        <x:v>Remoção de mortos ou feridos em lençóis após o motim sangrento na Casa de Detenção (1964)</x:v>
      </x:c>
      <x:c r="C43" s="10" t="str">
        <x:v>Item</x:v>
      </x:c>
      <x:c r="D43" s="10" t="str">
        <x:v>1964-08-16 00:00:00</x:v>
      </x:c>
      <x:c r="E43" s="10" t="str">
        <x:v>Gerado pelo Dataverse</x:v>
      </x:c>
      <x:c r="F43" s="10" t="str">
        <x:v>Fotografia digitalizada; sépia; suporte em papel fotográfico</x:v>
      </x:c>
      <x:c r="G43" s="10" t="str">
        <x:v>São Paulo, Brasil</x:v>
      </x:c>
      <x:c r="H43" s="10" t="str">
        <x:v>Arquivo Público do Estado de São Paulo, Jornal Diários Associados</x:v>
      </x:c>
      <x:c r="I43" s="10" t="str">
        <x:v>Estado De São Paulo - Penitenciárias e Presídios - Casa de Detenção de São Paulo no Carandiru (Fotografias)</x:v>
      </x:c>
      <x:c r="J43" s="10" t="str">
        <x:v>Caixa: 3055 Folder: 5</x:v>
      </x:c>
      <x:c r="K43" s="10" t="str">
        <x:v>BR-SPAPESP_DASP-PENITPRE-CSDTCARANDIRU_ICO-FOT-DGZ-MT0_3055-005-030</x:v>
      </x:c>
      <x:c r="L43"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43" s="10" t="str">
        <x:v>A fotografia em tom sépia, em ambiente de pouca luz (sugerindo noite ou área interna), registra a remoção de uma vítima (morto ou gravemente ferido) da Casa de Detenção. O foco da cena está em dois homens que carregam um volume pesado e disforme envolto em um tecido claro (lençol ou coberta). O verso confirma que "Mortos e feridos eram retirados em colchões, lençóis e cobertas" após o motim. O transporte ocorre junto a um portão de grades aberto, sob a supervisão de um policial ou agente penitenciário uniformizado à esquerda. Ao fundo, um veículo (provavelmente para transporte) e figuras em trajes civis (autoridades, imprensa ou investigadores) observam a ação, reforçando a natureza oficial e séria do evento. O verso da fotografia, datado de 16 de agosto de 1964, estabelece o contexto de "MOTIM SANGRENTO" na prisão, com "muitos mortos e centenas de feridos".</x:v>
      </x:c>
      <x:c r="N43"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43" s="10" t="str">
        <x:v>Motim (consequências); Remoção de corpos; Violência carcerária; Lençóis (transporte); Policial (supervisão); Crise prisional; Casa de Detenção; Carandiru; 1964; Mortos e feridos; Flagrante.</x:v>
      </x:c>
      <x:c r="P43" s="10" t="str">
        <x:v>Fotografia (Iconográfico)</x:v>
      </x:c>
      <x:c r="Q43" s="10" t="str">
        <x:v>Digitalização de fotografia em sépia (analógica original)</x:v>
      </x:c>
      <x:c r="R43" s="10" t="str">
        <x:v>Figura n – [Remoção de mortos ou feridos em lençóis após o motim sangrento na Casa de Detenção (1964)] Fonte: Arquivo Público do Estado de São Paulo, 1964.</x:v>
      </x:c>
      <x:c r="S43" s="10" t="str">
        <x:v>ARQUIVO PÚBLICO DO ESTADO DE SÃO PAULO (Brasil). [Remoção de mortos ou feridos em lençóis após o motim sangrento na Casa de Detenção (1964)]. São Paulo, Brasil. 16 ago. 1964. Fotografia digitalizada; sépia; suporte em papel fotográfico. Disponível em: &lt;link do dataverse&gt;. Acesso em: 28 out. 2025.</x:v>
      </x:c>
      <x:c r="T43" s="10" t="str">
        <x:v>Estado de São Paulo – Penitenciárias e Presídios – Casa de Detenção de São Paulo no Carandiru Sangrento motim na Casa de Detenção: muitos mortos e centenas de feridos [Texto em pequeno retângulo, recorte de legenda ou matéria] Cenas como a da foto repetiram-se continuamente, após dominado o motim. Mortos e feridos eram retirados em colchões, lençóis e cobertas. A reportagem não tinha dados sobre a quantidade ou a relação dos que perderam a vida ou dos que ficaram feridos. DSP, 16/8/1964 – W</x:v>
      </x:c>
      <x:c r="U43" s="10" t="str">
        <x:v>ICO</x:v>
      </x:c>
      <x:c r="V43" s="10" t="str">
        <x:v>FOT</x:v>
      </x:c>
      <x:c r="W43" s="10" t="str">
        <x:v>DGZ</x:v>
      </x:c>
      <x:c r="X43" s="10" t="str">
        <x:v>MT0</x:v>
      </x:c>
      <x:c r="Y43" s="10" t="str">
        <x:v>BR-SPAPESP_DASP-PENITPRE-CSDTCARANDIRU.xlsx</x:v>
      </x:c>
      <x:c r="Z43" s="10" t="str">
        <x:v>3055-005</x:v>
      </x:c>
      <x:c r="AA43" s="11" t="n">
        <x:v>30</x:v>
      </x:c>
      <x:c r="AB43" s="10" t="str">
        <x:v>BR-SPAPESP_DASP-PENITPRE-CSDTCARANDIRU.xlsx:3055-005:30</x:v>
      </x:c>
      <x:c r="AC43" s="11" t="n">
        <x:f>COLUMNS(A43:T43)-COUNTBLANK(A43:T43)</x:f>
        <x:v>20</x:v>
      </x:c>
    </x:row>
    <x:row r="44" ht="84" hidden="0" customHeight="1">
      <x:c r="A44" s="10" t="str">
        <x:v>031</x:v>
      </x:c>
      <x:c r="B44" s="10" t="str">
        <x:v>Remoção de vítima fatal ou ferido em lençol listrado após o motim de 14 de agosto de 1964 no Carandiru</x:v>
      </x:c>
      <x:c r="C44" s="10" t="str">
        <x:v>Item</x:v>
      </x:c>
      <x:c r="D44" s="10" t="str">
        <x:v>1964-08-17 00:00:00</x:v>
      </x:c>
      <x:c r="E44" s="10" t="str">
        <x:v>Gerado pelo Dataverse</x:v>
      </x:c>
      <x:c r="F44" s="10" t="str">
        <x:v>Fotografia digitalizada; sépia; suporte em papel fotográfico</x:v>
      </x:c>
      <x:c r="G44" s="10" t="str">
        <x:v>São Paulo, Brasil</x:v>
      </x:c>
      <x:c r="H44" s="10" t="str">
        <x:v>Arquivo Público do Estado de São Paulo, Jornal Diários Associados</x:v>
      </x:c>
      <x:c r="I44" s="10" t="str">
        <x:v>Estado De São Paulo - Penitenciárias e Presídios - Casa de Detenção de São Paulo no Carandiru (Fotografias)</x:v>
      </x:c>
      <x:c r="J44" s="10" t="str">
        <x:v>Caixa: 3055 Folder: 5</x:v>
      </x:c>
      <x:c r="K44" s="10" t="str">
        <x:v>BR-SPAPESP_DASP-PENITPRE-CSDTCARANDIRU_ICO-FOT-DGZ-MT0_3055-005-031</x:v>
      </x:c>
      <x:c r="L44"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44" s="10" t="str">
        <x:v>A fotografia em tom sépia, em close-up, registra a remoção urgente de uma vítima (morto ou ferido) da Casa de Detenção, envolta em um tecido listrado. A ação é realizada por dois homens com vestimentas civis, que se curvam para carregar o volume pesado. A cena ocorre na área de saída, próximo a grades e portões. Em segundo plano, diversas figuras de autoridades, funcionários e possivelmente imprensa (vestindo ternos e chapéus) observam a remoção com expressões de seriedade, indicando a natureza oficial e crítica da situação. O verso da fotografia contextualiza o evento, afirmando que a imagem é um "Flagrante tomado durante o tragico motim" ocorrido na noite do dia 14 de agosto de 1964. A legenda secundária questiona a condição da vítima ("MORTO OU FERIDO?"), descrevendo que a cena se tornou comum após a revolta e destacando a incerteza e a falta de comunicação oficial sobre as vítimas. A imagem é um forte registro da violência e do caos pós-motim.</x:v>
      </x:c>
      <x:c r="N44"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44" s="10" t="str">
        <x:v>Remoção de corpo; Motim trágico; Violência carcerária; Vítima (morta/ferida); Lençol (transporte); Autoridades (investigação); Crise prisional; Casa de Detenção; Carandiru; 1964.</x:v>
      </x:c>
      <x:c r="P44" s="10" t="str">
        <x:v>Fotografia (Iconográfico)</x:v>
      </x:c>
      <x:c r="Q44" s="10" t="str">
        <x:v>Digitalização de fotografia em sépia (analógica original)</x:v>
      </x:c>
      <x:c r="R44" s="10" t="str">
        <x:v>Figura n – [Remoção de vítima fatal ou ferido em lençol listrado após o motim de 14 de agosto de 1964 no Carandiru] Fonte: Arquivo Público do Estado de São Paulo, 1964.</x:v>
      </x:c>
      <x:c r="S44" s="10" t="str">
        <x:v>ARQUIVO PÚBLICO DO ESTADO DE SÃO PAULO (Brasil). [Remoção de vítima fatal ou ferido em lençol listrado após o motim de 14 de agosto de 1964 no Carandiru]. São Paulo, Brasil. 17 ago. 1964. Fotografia digitalizada; sépia; suporte em papel fotográfico. Disponível em: &lt;link do dataverse&gt;. Acesso em: 28 out. 2025.</x:v>
      </x:c>
      <x:c r="T44" s="10" t="str">
        <x:v>Estado de São Paulo – Penitenciárias e Presídios – Casa de Detenção de São Paulo no Carandiru Motim de ódio e desespero sacudiu a Casa de Detenção Flagrante tomado durante o trágico motim ocorrido na Casa de Detenção de São Paulo no Carandiru na noite do dia 14. DN, 1ª ed., 17/8/1964 – W [Texto em pequeno retângulo, recorte de legenda ou matéria] Morto ou ferido? – Cenas como esta, da foto de Orlando Alves, chegaram a ser comuns após debelada a revolta do ódio na Casa de Detenção. Ninguém sabia informar se se tratava de mortos ou feridos. A Secretaria da Segurança Pública ainda não expediu nenhum comunicado a respeito. Tudo gira no terreno das hipóteses.</x:v>
      </x:c>
      <x:c r="U44" s="10" t="str">
        <x:v>ICO</x:v>
      </x:c>
      <x:c r="V44" s="10" t="str">
        <x:v>FOT</x:v>
      </x:c>
      <x:c r="W44" s="10" t="str">
        <x:v>DGZ</x:v>
      </x:c>
      <x:c r="X44" s="10" t="str">
        <x:v>MT0</x:v>
      </x:c>
      <x:c r="Y44" s="10" t="str">
        <x:v>BR-SPAPESP_DASP-PENITPRE-CSDTCARANDIRU.xlsx</x:v>
      </x:c>
      <x:c r="Z44" s="10" t="str">
        <x:v>3055-005</x:v>
      </x:c>
      <x:c r="AA44" s="11" t="n">
        <x:v>31</x:v>
      </x:c>
      <x:c r="AB44" s="10" t="str">
        <x:v>BR-SPAPESP_DASP-PENITPRE-CSDTCARANDIRU.xlsx:3055-005:31</x:v>
      </x:c>
      <x:c r="AC44" s="11" t="n">
        <x:f>COLUMNS(A44:T44)-COUNTBLANK(A44:T44)</x:f>
        <x:v>20</x:v>
      </x:c>
    </x:row>
    <x:row r="45" ht="84" hidden="0" customHeight="1">
      <x:c r="A45" s="10" t="str">
        <x:v>032</x:v>
      </x:c>
      <x:c r="B45" s="10" t="str">
        <x:v>Mulher idosa (familiar) pressiona entrada na Casa de Detenção durante motim (1964)</x:v>
      </x:c>
      <x:c r="C45" s="10" t="str">
        <x:v>Item</x:v>
      </x:c>
      <x:c r="D45" s="10" t="str">
        <x:v>1964-08-17 00:00:00</x:v>
      </x:c>
      <x:c r="E45" s="10" t="str">
        <x:v>Gerado pelo Dataverse</x:v>
      </x:c>
      <x:c r="F45" s="10" t="str">
        <x:v>Fotografia digitalizada; sépia; suporte em papel fotográfico</x:v>
      </x:c>
      <x:c r="G45" s="10" t="str">
        <x:v>São Paulo, Brasil</x:v>
      </x:c>
      <x:c r="H45" s="10" t="str">
        <x:v>Arquivo Público do Estado de São Paulo, Jornal Diários Associados</x:v>
      </x:c>
      <x:c r="I45" s="10" t="str">
        <x:v>Estado De São Paulo - Penitenciárias e Presídios - Casa de Detenção de São Paulo no Carandiru (Fotografias)</x:v>
      </x:c>
      <x:c r="J45" s="10" t="str">
        <x:v>Caixa: 3055 Folder: 5</x:v>
      </x:c>
      <x:c r="K45" s="10" t="str">
        <x:v>BR-SPAPESP_DASP-PENITPRE-CSDTCARANDIRU_ICO-FOT-DGZ-MT0_3055-005-032</x:v>
      </x:c>
      <x:c r="L45"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45" s="10" t="str">
        <x:v>A fotografia em tom sépia, capturada em plano próximo, registra uma mulher idosa junto a uma porta ou portão da Casa de Detenção, em uma posição de insistência ou espera. A mulher com lenço de bolinhas na cabeça, está de perfil, com as mãos visíveis sobre a porta, sugerindo que está tentando abri-la ou interagir com alguém do lado de dentro. A luz forte destaca a figura. O verso da fotografia, datado de 17 de agosto de 1964, contextualiza a cena em um cenário de crise após um motim provocado pelo "Regime de Terror". A legenda original descreve a "Dúvida, intranquilidade e temor" que levaram "essa gente às portas da Casa de Detenção", mencionando que a "barreira foi vencida pela resignação" para que pudessem entrar no "cenário da rebelião".</x:v>
      </x:c>
      <x:c r="N45"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45" s="10" t="str">
        <x:v>Familiar (visita); Mulher idosa; Motim (consequências); Tensão; Controle de acesso; Persistência (familiar); Crise prisional; Casa de Detenção; Carandiru; 1964; Lenço na cabeça.</x:v>
      </x:c>
      <x:c r="P45" s="10" t="str">
        <x:v>Fotografia (Iconográfico)</x:v>
      </x:c>
      <x:c r="Q45" s="10" t="str">
        <x:v>Digitalização de fotografia em sépia (analógica original)</x:v>
      </x:c>
      <x:c r="R45" s="10" t="str">
        <x:v>Figura n – [Mulher idosa (familiar) pressiona entrada na Casa de Detenção durante motim (1964)] Fonte: Arquivo Público do Estado de São Paulo, 1964.</x:v>
      </x:c>
      <x:c r="S45" s="10" t="str">
        <x:v>ARQUIVO PÚBLICO DO ESTADO DE SÃO PAULO (Brasil). [Mulher idosa (familiar) pressiona entrada na Casa de Detenção durante motim (1964)]. São Paulo, Brasil. 17 ago. 1964. Fotografia digitalizada; sépia; suporte em papel fotográfico. Disponível em: &lt;link do dataverse&gt;. Acesso em: 28 out. 2025.</x:v>
      </x:c>
      <x:c r="T45" s="10" t="str">
        <x:v>Estado de São Paulo – Penitenciárias e Presídios – Casa de Detenção de São Paulo no Carandiru Detenção: regime de terror provocou motim Dúvida, intranquilidade e temor levaram essa gente às portas da Casa de Detenção, cuja barreira foi vencida pela resignação. A proibição caiu e todos puderam entrar no cenário da rebelião. Ver. DN, 2ª ed., 17/8/1964 – DMC</x:v>
      </x:c>
      <x:c r="U45" s="10" t="str">
        <x:v>ICO</x:v>
      </x:c>
      <x:c r="V45" s="10" t="str">
        <x:v>FOT</x:v>
      </x:c>
      <x:c r="W45" s="10" t="str">
        <x:v>DGZ</x:v>
      </x:c>
      <x:c r="X45" s="10" t="str">
        <x:v>MT0</x:v>
      </x:c>
      <x:c r="Y45" s="10" t="str">
        <x:v>BR-SPAPESP_DASP-PENITPRE-CSDTCARANDIRU.xlsx</x:v>
      </x:c>
      <x:c r="Z45" s="10" t="str">
        <x:v>3055-005</x:v>
      </x:c>
      <x:c r="AA45" s="11" t="n">
        <x:v>32</x:v>
      </x:c>
      <x:c r="AB45" s="10" t="str">
        <x:v>BR-SPAPESP_DASP-PENITPRE-CSDTCARANDIRU.xlsx:3055-005:32</x:v>
      </x:c>
      <x:c r="AC45" s="11" t="n">
        <x:f>COLUMNS(A45:T45)-COUNTBLANK(A45:T45)</x:f>
        <x:v>20</x:v>
      </x:c>
    </x:row>
    <x:row r="46" ht="84" hidden="0" customHeight="1">
      <x:c r="A46" s="10" t="str">
        <x:v>033</x:v>
      </x:c>
      <x:c r="B46" s="10" t="str">
        <x:v>Agente prisional em contato com familiares e crianças na entrada da Casa de Detenção durante crise (1964)</x:v>
      </x:c>
      <x:c r="C46" s="10" t="str">
        <x:v>Item</x:v>
      </x:c>
      <x:c r="D46" s="10" t="str">
        <x:v>1964-08-17 00:00:00</x:v>
      </x:c>
      <x:c r="E46" s="10" t="str">
        <x:v>Gerado pelo Dataverse</x:v>
      </x:c>
      <x:c r="F46" s="10" t="str">
        <x:v>Fotografia digitalizada; sépia; suporte em papel fotográfico</x:v>
      </x:c>
      <x:c r="G46" s="10" t="str">
        <x:v>São Paulo, Brasil</x:v>
      </x:c>
      <x:c r="H46" s="10" t="str">
        <x:v>Arquivo Público do Estado de São Paulo, Jornal Diários Associados</x:v>
      </x:c>
      <x:c r="I46" s="10" t="str">
        <x:v>Estado De São Paulo - Penitenciárias e Presídios - Casa de Detenção de São Paulo no Carandiru (Fotografias)</x:v>
      </x:c>
      <x:c r="J46" s="10" t="str">
        <x:v>Caixa: 3055 Folder: 5</x:v>
      </x:c>
      <x:c r="K46" s="10" t="str">
        <x:v>BR-SPAPESP_DASP-PENITPRE-CSDTCARANDIRU_ICO-FOT-DGZ-MT0_3055-005-033</x:v>
      </x:c>
      <x:c r="L46"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46" s="10" t="str">
        <x:v>A fotografia em tom sépia, em plano médio, registra a interação de uma família com um agente de segurança na entrada da Casa de Detenção. O agente está posicionado na abertura do portão de metal escuro, vestindo uniforme claro, que inclui quepe e gravata, e tem a mão levantada em um gesto que sugere interrupção ou instrução. Em frente ao agente, um grupo de familiares o confronta: há um homem de terno claro, duas mulheres (vistas de costas) e duas crianças pequenas. A presença das crianças no local e a postura do agente indicam a natureza da visita familiar sob estrito controle. O verso da fotografia, datado de 17 de agosto de 1964, contextualiza a cena em um cenário de crise após um motim provocado pelo "Regime de Terror". A legenda original descreve a "Dúvida, intranquilidade e temor" que levaram "essa gente às portas da Casa de Detenção" e a posterior permissão para entrar no "cenário da rebelião".</x:v>
      </x:c>
      <x:c r="N46"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46" s="10" t="str">
        <x:v>Visita familiar; Agente penitenciário; Crianças (visita); Entrada (presídio); Motim (consequências); Crise prisional; Controle de acesso; Casa de Detenção; Carandiru; 1964.</x:v>
      </x:c>
      <x:c r="P46" s="10" t="str">
        <x:v>Fotografia (Iconográfico)</x:v>
      </x:c>
      <x:c r="Q46" s="10" t="str">
        <x:v>Digitalização de fotografia em sépia (analógica original)</x:v>
      </x:c>
      <x:c r="R46" s="10" t="str">
        <x:v>Figura n – [Agente prisional em contato com familiares e crianças na entrada da Casa de Detenção durante crise (1964)] Fonte: Arquivo Público do Estado de São Paulo, 1964.</x:v>
      </x:c>
      <x:c r="S46" s="10" t="str">
        <x:v>ARQUIVO PÚBLICO DO ESTADO DE SÃO PAULO (Brasil). [Agente prisional em contato com familiares e crianças na entrada da Casa de Detenção durante crise (1964)]. São Paulo, Brasil. 17 ago. 1964. Fotografia digitalizada; sépia; suporte em papel fotográfico. Disponível em: &lt;link do dataverse&gt;. Acesso em: 28 out. 2025.</x:v>
      </x:c>
      <x:c r="T46" s="10" t="str">
        <x:v>Estado de São Paulo – Penitenciárias e Presídios – Casa de Detenção de São Paulo no Carandiru Detenção: regime de terror provocou motim Dúvida, intranquilidade e temor levaram essa gente às portas da Casa de Detenção, cuja barreira foi vencida pela resignação. A proibição caiu e todos puderam entrar no cenário da rebelião. Ver. DN, 2ª ed., 17/8/1964 – DMC</x:v>
      </x:c>
      <x:c r="U46" s="10" t="str">
        <x:v>ICO</x:v>
      </x:c>
      <x:c r="V46" s="10" t="str">
        <x:v>FOT</x:v>
      </x:c>
      <x:c r="W46" s="10" t="str">
        <x:v>DGZ</x:v>
      </x:c>
      <x:c r="X46" s="10" t="str">
        <x:v>MT0</x:v>
      </x:c>
      <x:c r="Y46" s="10" t="str">
        <x:v>BR-SPAPESP_DASP-PENITPRE-CSDTCARANDIRU.xlsx</x:v>
      </x:c>
      <x:c r="Z46" s="10" t="str">
        <x:v>3055-005</x:v>
      </x:c>
      <x:c r="AA46" s="11" t="n">
        <x:v>33</x:v>
      </x:c>
      <x:c r="AB46" s="10" t="str">
        <x:v>BR-SPAPESP_DASP-PENITPRE-CSDTCARANDIRU.xlsx:3055-005:33</x:v>
      </x:c>
      <x:c r="AC46" s="11" t="n">
        <x:f>COLUMNS(A46:T46)-COUNTBLANK(A46:T46)</x:f>
        <x:v>20</x:v>
      </x:c>
    </x:row>
    <x:row r="47" ht="84" hidden="0" customHeight="1">
      <x:c r="A47" s="10" t="str">
        <x:v>034</x:v>
      </x:c>
      <x:c r="B47" s="10" t="str">
        <x:v>Artista do Circo Orlando Orfei se apresentando para a plateia de detentos no pátio do Carandiru (1979)</x:v>
      </x:c>
      <x:c r="C47" s="10" t="str">
        <x:v>Item</x:v>
      </x:c>
      <x:c r="D47" s="10" t="str">
        <x:v>1979-07-24 00:00:00</x:v>
      </x:c>
      <x:c r="E47" s="10" t="str">
        <x:v>Gerado pelo Dataverse</x:v>
      </x:c>
      <x:c r="F47" s="10" t="str">
        <x:v>Fotografia digitalizada; sépia; suporte em papel fotográfico</x:v>
      </x:c>
      <x:c r="G47" s="10" t="str">
        <x:v>São Paulo, Brasil</x:v>
      </x:c>
      <x:c r="H47" s="10" t="str">
        <x:v>Arquivo Público do Estado de São Paulo, Jornal Diários Associados</x:v>
      </x:c>
      <x:c r="I47" s="10" t="str">
        <x:v>Estado De São Paulo - Penitenciárias e Presídios - Casa de Detenção de São Paulo no Carandiru (Fotografias)</x:v>
      </x:c>
      <x:c r="J47" s="10" t="str">
        <x:v>Caixa: 3055 Folder: 5</x:v>
      </x:c>
      <x:c r="K47" s="10" t="str">
        <x:v>BR-SPAPESP_DASP-PENITPRE-CSDTCARANDIRU_ICO-FOT-DGZ-MT0_3055-005-034</x:v>
      </x:c>
      <x:c r="L47"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47" s="10" t="str">
        <x:v>A fotografia em tom sépia, capturada em plano aberto, registra um espetáculo circense no pátio externo da Casa de Detenção. O foco está em uma artista em performance, equilibrando-se sobre um adereço de cabeça ou objeto esférico, e manipulando aros no ar. A artista veste um traje acrobático claro, justo e com detalhes de amarração. O cenário é dominado por uma grande plateia de detentos aglomerados, observando a apresentação com atenção. Ao fundo, o muro alto e sólido da prisão demarca o limite do pátio, com figuras de guarda ou agentes de vigilância visíveis no topo. Uma placa com a inscrição "ESPORTES" está parcialmente visível na lateral. O verso da fotografia, datado de 24 de julho de 1979, contextualiza a cena como um "espetáculo" apresentado pelos "artistas do Circo Orlando Orfei".</x:v>
      </x:c>
      <x:c r="N47"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47" s="10" t="str">
        <x:v>Circo Orlando Orfei; Espetáculo circense; Artista (performance); Pátio (externo); Entretenimento; Detentos (plateia); Muro prisional; Carandiru; Lazer; 1979.</x:v>
      </x:c>
      <x:c r="P47" s="10" t="str">
        <x:v>Fotografia (Iconográfico)</x:v>
      </x:c>
      <x:c r="Q47" s="10" t="str">
        <x:v>Digitalização de fotografia em sépia (analógica original)</x:v>
      </x:c>
      <x:c r="R47" s="10" t="str">
        <x:v>Figura n – [Artista do Circo Orlando Orfei se apresentando para a plateia de detentos no pátio do Carandiru (1979)] Fonte: Arquivo Público do Estado de São Paulo, 1979.</x:v>
      </x:c>
      <x:c r="S47" s="10" t="str">
        <x:v>ARQUIVO PÚBLICO DO ESTADO DE SÃO PAULO (Brasil). [Artista do Circo Orlando Orfei se apresentando para a plateia de detentos no pátio do Carandiru (1979)]. São Paulo, Brasil. 24 jul. 1979. Fotografia digitalizada; sépia; suporte em papel fotográfico. Disponível em: &lt;link do dataverse&gt;. Acesso em: 28 out. 2025.</x:v>
      </x:c>
      <x:c r="T47" s="10" t="str">
        <x:v>Estado de São Paulo – Penitenciária e Presídios – Carandiru Os artistas do Circo Orlando Orfei, durante espetáculo na Casa de Detenção de São Paulo. DN, 24/7/1979</x:v>
      </x:c>
      <x:c r="U47" s="10" t="str">
        <x:v>ICO</x:v>
      </x:c>
      <x:c r="V47" s="10" t="str">
        <x:v>FOT</x:v>
      </x:c>
      <x:c r="W47" s="10" t="str">
        <x:v>DGZ</x:v>
      </x:c>
      <x:c r="X47" s="10" t="str">
        <x:v>MT0</x:v>
      </x:c>
      <x:c r="Y47" s="10" t="str">
        <x:v>BR-SPAPESP_DASP-PENITPRE-CSDTCARANDIRU.xlsx</x:v>
      </x:c>
      <x:c r="Z47" s="10" t="str">
        <x:v>3055-005</x:v>
      </x:c>
      <x:c r="AA47" s="11" t="n">
        <x:v>34</x:v>
      </x:c>
      <x:c r="AB47" s="10" t="str">
        <x:v>BR-SPAPESP_DASP-PENITPRE-CSDTCARANDIRU.xlsx:3055-005:34</x:v>
      </x:c>
      <x:c r="AC47" s="11" t="n">
        <x:f>COLUMNS(A47:T47)-COUNTBLANK(A47:T47)</x:f>
        <x:v>20</x:v>
      </x:c>
    </x:row>
    <x:row r="48" ht="84" hidden="0" customHeight="1">
      <x:c r="A48" s="10" t="str">
        <x:v>035</x:v>
      </x:c>
      <x:c r="B48" s="10" t="str">
        <x:v>Vista frontal de um dos pavilhões da Casa de Detenção de São Paulo no Carandiru em 1979</x:v>
      </x:c>
      <x:c r="C48" s="10" t="str">
        <x:v>Item</x:v>
      </x:c>
      <x:c r="D48" s="10" t="str">
        <x:v>1979-05-31 00:00:00</x:v>
      </x:c>
      <x:c r="E48" s="10" t="str">
        <x:v>Gerado pelo Dataverse</x:v>
      </x:c>
      <x:c r="F48" s="10" t="str">
        <x:v>Fotografia digitalizada; preto e branco; suporte em papel fotográfico</x:v>
      </x:c>
      <x:c r="G48" s="10" t="str">
        <x:v>São Paulo, Brasil</x:v>
      </x:c>
      <x:c r="H48" s="10" t="str">
        <x:v>Arquivo Público do Estado de São Paulo, Jornal Diários Associados</x:v>
      </x:c>
      <x:c r="I48" s="10" t="str">
        <x:v>Estado De São Paulo - Penitenciárias e Presídios - Casa de Detenção de São Paulo no Carandiru (Fotografias)</x:v>
      </x:c>
      <x:c r="J48" s="10" t="str">
        <x:v>Caixa: 3055 Folder: 5</x:v>
      </x:c>
      <x:c r="K48" s="10" t="str">
        <x:v>BR-SPAPESP_DASP-PENITPRE-CSDTCARANDIRU_ICO-FOT-DGZ-MT0_3055-005-035</x:v>
      </x:c>
      <x:c r="L48"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48" s="10" t="str">
        <x:v>A fotografia em preto e branco registra a arquitetura de contenção do Complexo Carandiru. O plano de fundo é dominado por um Pavilhão de múltiplos andares, com fileiras simétricas e repetitivas de pequenas janelas gradeadas. A base deste pavilhão é separada do pátio por um muro de concreto alto e sólido, sobre o qual há cercas e pequenas guaritas. No canto esquerdo, uma torre de vigilância elevada, com um foco de luz, reforça o controle de segurança. A composição enfatiza o caráter imponente, austero e fechado do presídio. O verso da fotografia, datado de 31 de maio de 1979, contextualiza a imagem como uma denúncia, com a legenda: "Quem passa pela avenida Cruzeiro do Sul não imagina o que acontece lá dentro".</x:v>
      </x:c>
      <x:c r="N48"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48" s="10" t="str">
        <x:v>Arquitetura prisional; Pavilhão (prisional); Muro de contenção; Torre de vigilância; Confinamento; Isolamento social; Denúncia (condições); Casa de Detenção; Carandiru; 1979.</x:v>
      </x:c>
      <x:c r="P48" s="10" t="str">
        <x:v>Fotografia (Iconográfico)</x:v>
      </x:c>
      <x:c r="Q48" s="10" t="str">
        <x:v>Digitalização de fotografia em preto e branco (analógica original)</x:v>
      </x:c>
      <x:c r="R48" s="10" t="str">
        <x:v>Figura n – [Vista frontal de um dos pavilhões da Casa de Detenção de São Paulo no Carandiru em 1979] Fonte: Arquivo Público do Estado de São Paulo, 1979.</x:v>
      </x:c>
      <x:c r="S48" s="10" t="str">
        <x:v>ARQUIVO PÚBLICO DO ESTADO DE SÃO PAULO (Brasil). [Vista frontal de um dos pavilhões da Casa de Detenção de São Paulo no Carandiru em 1979]. São Paulo, Brasil. 31 mai. 1979. Fotografia digitalizada; preto e branco; suporte em papel fotográfico. Disponível em: &lt;link do dataverse&gt;. Acesso em: 28 out. 2025.</x:v>
      </x:c>
      <x:c r="T48" s="10" t="str">
        <x:v>Estado de São Paulo – Penitenciária e Presídios – Casa de Detenção de São Paulo Quem passa pela Avenida Cruzeiro do Sul não imagina o que acontece lá dentro. DSP, 31/5/1979 – AAT</x:v>
      </x:c>
      <x:c r="U48" s="10" t="str">
        <x:v>ICO</x:v>
      </x:c>
      <x:c r="V48" s="10" t="str">
        <x:v>FOT</x:v>
      </x:c>
      <x:c r="W48" s="10" t="str">
        <x:v>DGZ</x:v>
      </x:c>
      <x:c r="X48" s="10" t="str">
        <x:v>MT0</x:v>
      </x:c>
      <x:c r="Y48" s="10" t="str">
        <x:v>BR-SPAPESP_DASP-PENITPRE-CSDTCARANDIRU.xlsx</x:v>
      </x:c>
      <x:c r="Z48" s="10" t="str">
        <x:v>3055-005</x:v>
      </x:c>
      <x:c r="AA48" s="11" t="n">
        <x:v>35</x:v>
      </x:c>
      <x:c r="AB48" s="10" t="str">
        <x:v>BR-SPAPESP_DASP-PENITPRE-CSDTCARANDIRU.xlsx:3055-005:35</x:v>
      </x:c>
      <x:c r="AC48" s="11" t="n">
        <x:f>COLUMNS(A48:T48)-COUNTBLANK(A48:T48)</x:f>
        <x:v>20</x:v>
      </x:c>
    </x:row>
    <x:row r="49" ht="84" hidden="0" customHeight="1">
      <x:c r="A49" s="10" t="str">
        <x:v>036</x:v>
      </x:c>
      <x:c r="B49" s="10" t="str">
        <x:v>Apresentação e registro dos novos detentos na administração da Casa de Detenção (1979)</x:v>
      </x:c>
      <x:c r="C49" s="10" t="str">
        <x:v>Item</x:v>
      </x:c>
      <x:c r="D49" s="10" t="str">
        <x:v>1979-05-29 00:00:00</x:v>
      </x:c>
      <x:c r="E49" s="10" t="str">
        <x:v>Gerado pelo Dataverse</x:v>
      </x:c>
      <x:c r="F49" s="10" t="str">
        <x:v>Fotografia digitalizada; preto e branco; suporte em papel fotográfico</x:v>
      </x:c>
      <x:c r="G49" s="10" t="str">
        <x:v>São Paulo, Brasil</x:v>
      </x:c>
      <x:c r="H49" s="10" t="str">
        <x:v>Arquivo Público do Estado de São Paulo, Jornal Diários Associados</x:v>
      </x:c>
      <x:c r="I49" s="10" t="str">
        <x:v>Estado De São Paulo - Penitenciárias e Presídios - Casa de Detenção de São Paulo no Carandiru (Fotografias)</x:v>
      </x:c>
      <x:c r="J49" s="10" t="str">
        <x:v>Caixa: 3055 Folder: 5</x:v>
      </x:c>
      <x:c r="K49" s="10" t="str">
        <x:v>BR-SPAPESP_DASP-PENITPRE-CSDTCARANDIRU_ICO-FOT-DGZ-MT0_3055-005-036</x:v>
      </x:c>
      <x:c r="L49"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49" s="10" t="str">
        <x:v>A fotografia em preto e branco registra um momento de apresentação formal ou entrevista na Casa de Detenção. O enquadramento é feito por cima do ombro de uma autoridade/funcionário (visto de costas, em primeiro plano, sentado a uma mesa). Em frente à mesa, um grupo de jovens detentos recém-chegados está alinhado e de pé. Eles estão com a cabeça raspada e vestem camisetas padronizadas claras (possivelmente uniformes), alguns com inscrições escuras visíveis, como "CD" (Casa de Detenção). As expressões faciais são sérias e atentas. O ambiente interno possui papel de parede decorado. O verso da fotografia, datado de 29 de maio de 1979, contextualiza a cena como "Os novos 'hospedes' da Casa de Detenção". A imagem documenta o procedimento inicial de recepção e instrução, no qual os novos presos são recebidos por figuras administrativas para o registro e a transmissão das primeiras regras do ambiente carcerário.</x:v>
      </x:c>
      <x:c r="N49"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49" s="10" t="str">
        <x:v>Novos detentos; Chegada de presos; Uniforme prisional; Corte de cabelo (cabeça raspada); Procedimento de registro; Administração prisional; Autoridade (entrevista); Casa de Detenção; Carandiru; 1979.</x:v>
      </x:c>
      <x:c r="P49" s="10" t="str">
        <x:v>Fotografia (Iconográfico)</x:v>
      </x:c>
      <x:c r="Q49" s="10" t="str">
        <x:v>Digitalização de fotografia em preto e branco (analógica original)</x:v>
      </x:c>
      <x:c r="R49" s="10" t="str">
        <x:v>Figura n – [Apresentação e registro dos novos detentos na administração da Casa de Detenção (1979)] Fonte: Arquivo Público do Estado de São Paulo, 1979.</x:v>
      </x:c>
      <x:c r="S49" s="10" t="str">
        <x:v>ARQUIVO PÚBLICO DO ESTADO DE SÃO PAULO (Brasil). [Apresentação e registro dos novos detentos na administração da Casa de Detenção (1979)]. São Paulo, Brasil. 29 mai. 1979. Fotografia digitalizada; preto e branco; suporte em papel fotográfico. Disponível em: &lt;link do dataverse&gt;. Acesso em: 28 out. 2025.</x:v>
      </x:c>
      <x:c r="T49" s="10" t="str">
        <x:v>Estado de São Paulo – Penitenciárias e Presídios – Casa de Detenção Os novos “hóspedes” da Casa de Detenção. DN, 29/5/1979</x:v>
      </x:c>
      <x:c r="U49" s="10" t="str">
        <x:v>ICO</x:v>
      </x:c>
      <x:c r="V49" s="10" t="str">
        <x:v>FOT</x:v>
      </x:c>
      <x:c r="W49" s="10" t="str">
        <x:v>DGZ</x:v>
      </x:c>
      <x:c r="X49" s="10" t="str">
        <x:v>MT0</x:v>
      </x:c>
      <x:c r="Y49" s="10" t="str">
        <x:v>BR-SPAPESP_DASP-PENITPRE-CSDTCARANDIRU.xlsx</x:v>
      </x:c>
      <x:c r="Z49" s="10" t="str">
        <x:v>3055-005</x:v>
      </x:c>
      <x:c r="AA49" s="11" t="n">
        <x:v>36</x:v>
      </x:c>
      <x:c r="AB49" s="10" t="str">
        <x:v>BR-SPAPESP_DASP-PENITPRE-CSDTCARANDIRU.xlsx:3055-005:36</x:v>
      </x:c>
      <x:c r="AC49" s="11" t="n">
        <x:f>COLUMNS(A49:T49)-COUNTBLANK(A49:T49)</x:f>
        <x:v>20</x:v>
      </x:c>
    </x:row>
    <x:row r="50" ht="84" hidden="0" customHeight="1">
      <x:c r="A50" s="10" t="str">
        <x:v>037</x:v>
      </x:c>
      <x:c r="B50" s="10" t="str">
        <x:v>Mulheres e crianças em filas na entrada da Casa de Detenção durante motim (1964)</x:v>
      </x:c>
      <x:c r="C50" s="10" t="str">
        <x:v>Item</x:v>
      </x:c>
      <x:c r="D50" s="10" t="str">
        <x:v>1964-08-17 00:00:00</x:v>
      </x:c>
      <x:c r="E50" s="10" t="str">
        <x:v>Gerado pelo Dataverse</x:v>
      </x:c>
      <x:c r="F50" s="10" t="str">
        <x:v>Fotografia digitalizada; sépia; suporte em papel fotográfico</x:v>
      </x:c>
      <x:c r="G50" s="10" t="str">
        <x:v>São Paulo, Brasil</x:v>
      </x:c>
      <x:c r="H50" s="10" t="str">
        <x:v>Arquivo Público do Estado de São Paulo, Jornal Diários Associados</x:v>
      </x:c>
      <x:c r="I50" s="10" t="str">
        <x:v>Estado De São Paulo - Penitenciárias e Presídios - Casa de Detenção de São Paulo no Carandiru (Fotografias)</x:v>
      </x:c>
      <x:c r="J50" s="10" t="str">
        <x:v>Caixa: 3055 Folder: 5</x:v>
      </x:c>
      <x:c r="K50" s="10" t="str">
        <x:v>BR-SPAPESP_DASP-PENITPRE-CSDTCARANDIRU_ICO-FOT-DGZ-MT0_3055-005-037</x:v>
      </x:c>
      <x:c r="L50"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50" s="10" t="str">
        <x:v>A fotografia em tom sépia, capturada em plano aberto, registra um grupo de mulheres e crianças (familiares de detentos) aglomerados e possivelmente formando uma fila junto ao prédio de arquitetura institucional. O chão está coberto por papéis ou detritos. As mulheres carregam sacolas (provavelmente com itens para os presos), típicas do dia de visita. As expressões faciais são de seriedade, espera ou intranquilidade, características de um momento de tensão. A arquitetura de colunas ao fundo sugere a entrada ou a fachada de um dos prédios do complexo. O verso da fotografia, datado de 17 de agosto de 1964, contextualiza a cena em um cenário de crise após um motim provocado pelo "Regime de Terror". A legenda original descreve a "Dúvida, intranquilidade e temor" que levaram "essa gente às portas da Casa de Detenção" e a posterior permissão para entrar no "cenário da rebelião". A imagem é um registro da dimensão social da crise, mostrando a pressão e a vulnerabilidade dos familiares em busca de contato com os presos em meio à repressão.</x:v>
      </x:c>
      <x:c r="N50"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50" s="10" t="str">
        <x:v>Visita familiar; Filas (espera); Mulheres (família de preso); Sacola (jumbo); Motim (consequências); Crise prisional; Regime de Terror; Casa de Detenção; Carandiru; 1964.</x:v>
      </x:c>
      <x:c r="P50" s="10" t="str">
        <x:v>Fotografia (Iconográfico)</x:v>
      </x:c>
      <x:c r="Q50" s="10" t="str">
        <x:v>Digitalização de fotografia em sépia (analógica original)</x:v>
      </x:c>
      <x:c r="R50" s="10" t="str">
        <x:v>Figura n – [Mulheres e crianças em filas na entrada da Casa de Detenção durante motim (1964)] Fonte: Arquivo Público do Estado de São Paulo, 1964.</x:v>
      </x:c>
      <x:c r="S50" s="10" t="str">
        <x:v>ARQUIVO PÚBLICO DO ESTADO DE SÃO PAULO (Brasil). [Mulheres e crianças em filas na entrada da Casa de Detenção durante motim (1964)]. São Paulo, Brasil. 17 ago. 1964. Fotografia digitalizada; sépia; suporte em papel fotográfico. Disponível em: &lt;link do dataverse&gt;. Acesso em: 28 out. 2025.</x:v>
      </x:c>
      <x:c r="T50" s="10" t="str">
        <x:v>Estado de São Paulo – Penitenciárias e Presídios – Casa de Detenção de São Paulo no Carandiru Detenção: regime de terror provocou motim Dúvida, intranquilidade e temor levaram essa gente às portas da Casa de Detenção, cuja barreira foi vencida pela resignação. A proibição caiu e todos puderam entrar no cenário da rebelião. Ver. DN, 2ª ed., 17/8/1964 – DMC</x:v>
      </x:c>
      <x:c r="U50" s="10" t="str">
        <x:v>ICO</x:v>
      </x:c>
      <x:c r="V50" s="10" t="str">
        <x:v>FOT</x:v>
      </x:c>
      <x:c r="W50" s="10" t="str">
        <x:v>DGZ</x:v>
      </x:c>
      <x:c r="X50" s="10" t="str">
        <x:v>MT0</x:v>
      </x:c>
      <x:c r="Y50" s="10" t="str">
        <x:v>BR-SPAPESP_DASP-PENITPRE-CSDTCARANDIRU.xlsx</x:v>
      </x:c>
      <x:c r="Z50" s="10" t="str">
        <x:v>3055-005</x:v>
      </x:c>
      <x:c r="AA50" s="11" t="n">
        <x:v>37</x:v>
      </x:c>
      <x:c r="AB50" s="10" t="str">
        <x:v>BR-SPAPESP_DASP-PENITPRE-CSDTCARANDIRU.xlsx:3055-005:37</x:v>
      </x:c>
      <x:c r="AC50" s="11" t="n">
        <x:f>COLUMNS(A50:T50)-COUNTBLANK(A50:T50)</x:f>
        <x:v>20</x:v>
      </x:c>
    </x:row>
    <x:row r="51" ht="84" hidden="0" customHeight="1">
      <x:c r="A51" s="10" t="str">
        <x:v>038</x:v>
      </x:c>
      <x:c r="B51" s="10" t="str">
        <x:v>Show do artista Wilson Simonal para detentos, observado por guardas na torre e autoridades no Carandiru (1977)</x:v>
      </x:c>
      <x:c r="C51" s="10" t="str">
        <x:v>Item</x:v>
      </x:c>
      <x:c r="D51" s="10" t="str">
        <x:v>1977-09-29 00:00:00</x:v>
      </x:c>
      <x:c r="E51" s="10" t="str">
        <x:v>Gerado pelo Dataverse</x:v>
      </x:c>
      <x:c r="F51" s="10" t="str">
        <x:v>Fotografia digitalizada; preto e branco; suporte em papel fotográfico</x:v>
      </x:c>
      <x:c r="G51" s="10" t="str">
        <x:v>São Paulo, Brasil</x:v>
      </x:c>
      <x:c r="H51" s="10" t="str">
        <x:v>Arquivo Público do Estado de São Paulo, Jornal Diários Associados</x:v>
      </x:c>
      <x:c r="I51" s="10" t="str">
        <x:v>Estado De São Paulo - Penitenciárias e Presídios - Casa de Detenção de São Paulo no Carandiru (Fotografias)</x:v>
      </x:c>
      <x:c r="J51" s="10" t="str">
        <x:v>Caixa: 3055 Folder: 5</x:v>
      </x:c>
      <x:c r="K51" s="10" t="str">
        <x:v>BR-SPAPESP_DASP-PENITPRE-CSDTCARANDIRU_ICO-FOT-DGZ-MT0_3055-005-038</x:v>
      </x:c>
      <x:c r="L51"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51" s="10" t="str">
        <x:v>A fotografia em preto e branco registra um show musical realizado em um pátio externo, com o Pavilhão de múltiplos andares dominando o fundo. Em primeiro plano, no palco elevado, músicos se apresentam, sendo um deles (o vocalista central, Wilson Simonal) o ponto focal da cena. A plateia de detentos está aglomerada logo abaixo do palco, separada por uma grade baixa. A arquitetura prisional é evidente: o Pavilhão com suas janelas gradeadas serve de cenário e, à direita, uma torre de vigilância de concreto abriga agentes de segurança uniformizados observando o evento de cima. O verso da fotografia, datado de 29 de setembro de 1977, confirma o evento como um show de Wilson Simonal para 6.500 detentos, com a presença de diversas autoridades civis, militares e eclesiásticas. O texto indica que o show foi uma recompensa disciplinar para os presos do Pavilhão Oito.</x:v>
      </x:c>
      <x:c r="N51"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51" s="10" t="str">
        <x:v>Show musical; Wilson Simonal; Recompensa disciplinar; Pavilhão (prisional); Torre de vigilância; Autoridades (visita); Detentos (plateia); Carandiru; 1977; Cultura (prisão).</x:v>
      </x:c>
      <x:c r="P51" s="10" t="str">
        <x:v>Fotografia (Iconográfico)</x:v>
      </x:c>
      <x:c r="Q51" s="10" t="str">
        <x:v>Digitalização de fotografia em preto e branco (analógica original)</x:v>
      </x:c>
      <x:c r="R51" s="10" t="str">
        <x:v>Figura n – [Show do artista Wilson Simonal para detentos, observado por guardas na torre e autoridades no Carandiru (1977)] Fonte: Arquivo Público do Estado de São Paulo, 1977.</x:v>
      </x:c>
      <x:c r="S51" s="10" t="str">
        <x:v>ARQUIVO PÚBLICO DO ESTADO DE SÃO PAULO (Brasil). [Show do artista Wilson Simonal para detentos, observado por guardas na torre e autoridades no Carandiru (1977)]. São Paulo, Brasil. 29 set. 1977. Fotografia digitalizada; preto e branco; suporte em papel fotográfico. Disponível em: &lt;link do dataverse&gt;. Acesso em: 28 out. 2025.</x:v>
      </x:c>
      <x:c r="T51" s="10" t="str">
        <x:v>Estado de São Paulo – Penitenciárias e Presídios – Casa de Detenção [Texto em pequeno retângulo, recorte de matéria] Com a presença de várias autoridades civis, militares e eclesiásticas, foi realizado na Casa de Detenção de São Paulo um “show” para entretenimento dos presos. Estiveram presentes naquele estabelecimento penal o MM. Juiz de Direito Corregedor dos Presídios e da Polícia Judiciária da Capital, Dr. Renato Laércio Talli; Dr. Omar Cassin, diretor da Divisão Judiciária do Departamento dos Institutos Penais do Estado; Sr. Aurelino Soares da Silva, diretor da Bolsa de Cereais do Estado de São Paulo; e o pároco Pe. Aluízio Pena, da Paróquia São Luiz, com seus assessores. No final do “show”, usou da palavra o Cel. Fernão Guedes de Souza, diretor da Casa de Detenção, que agradeceu, em nome dos 6.500 detentos, a presença das autoridades e do artista Wilson Simonal, além dos demais visitantes. Falou ainda o Cel. Fernão Guedes que, em virtude do exemplar comportamento demonstrado pelos detentos durante o “show”, o Pavilhão Oito voltaria a frequentar a sala de cinema normalmente, já que há vários meses os detentos daquele pavilhão não assistiam projeção cinematográfica, em virtude de faltas disciplinares cometidas anteriormente. DN, 29/9/1977</x:v>
      </x:c>
      <x:c r="U51" s="10" t="str">
        <x:v>ICO</x:v>
      </x:c>
      <x:c r="V51" s="10" t="str">
        <x:v>FOT</x:v>
      </x:c>
      <x:c r="W51" s="10" t="str">
        <x:v>DGZ</x:v>
      </x:c>
      <x:c r="X51" s="10" t="str">
        <x:v>MT0</x:v>
      </x:c>
      <x:c r="Y51" s="10" t="str">
        <x:v>BR-SPAPESP_DASP-PENITPRE-CSDTCARANDIRU.xlsx</x:v>
      </x:c>
      <x:c r="Z51" s="10" t="str">
        <x:v>3055-005</x:v>
      </x:c>
      <x:c r="AA51" s="11" t="n">
        <x:v>38</x:v>
      </x:c>
      <x:c r="AB51" s="10" t="str">
        <x:v>BR-SPAPESP_DASP-PENITPRE-CSDTCARANDIRU.xlsx:3055-005:38</x:v>
      </x:c>
      <x:c r="AC51" s="11" t="n">
        <x:f>COLUMNS(A51:T51)-COUNTBLANK(A51:T51)</x:f>
        <x:v>20</x:v>
      </x:c>
    </x:row>
    <x:row r="52" ht="84" hidden="0" customHeight="1">
      <x:c r="A52" s="10" t="str">
        <x:v>039</x:v>
      </x:c>
      <x:c r="B52" s="10" t="str">
        <x:v>Pátio externo gramado, com muro de contenção e torre de vigilância, no Casa de Detenção de São Paulo no Carandiru</x:v>
      </x:c>
      <x:c r="C52" s="10" t="str">
        <x:v>Item</x:v>
      </x:c>
      <x:c r="D52" s="10" t="str">
        <x:v>s.d</x:v>
      </x:c>
      <x:c r="E52" s="10" t="str">
        <x:v>Gerado pelo Dataverse</x:v>
      </x:c>
      <x:c r="F52" s="10" t="str">
        <x:v>Fotografia digitalizada; preto e branco; suporte em papel fotográfico</x:v>
      </x:c>
      <x:c r="G52" s="10" t="str">
        <x:v>São Paulo, Brasil</x:v>
      </x:c>
      <x:c r="H52" s="10" t="str">
        <x:v>Arquivo Público do Estado de São Paulo, Jornal Diários Associados</x:v>
      </x:c>
      <x:c r="I52" s="10" t="str">
        <x:v>Estado De São Paulo - Penitenciárias e Presídios - Casa de Detenção de São Paulo no Carandiru (Fotografias)</x:v>
      </x:c>
      <x:c r="J52" s="10" t="str">
        <x:v>Caixa: 3055 Folder: 5</x:v>
      </x:c>
      <x:c r="K52" s="10" t="str">
        <x:v>BR-SPAPESP_DASP-PENITPRE-CSDTCARANDIRU_ICO-FOT-DGZ-MT0_3055-005-039</x:v>
      </x:c>
      <x:c r="L52"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52" s="10" t="str">
        <x:v>A fotografia em preto e branco registra um pátio externo amplo e gramado em um dia claro, em região não explicitamente identificada como interior ou exterior à Casa de Detenção. O primeiro plano é dominado por uma área de grama e vegetação, com uma pequena árvore e estruturas baixas no chão (possivelmente tampas de bueiro). O plano de fundo é a estrutura de contenção da prisão: uma muralha alta e sólida circunda o complexo, e acima dela, à direita, ergue-se uma torre de vigilância (guarita) alta e proeminente, um elemento de controle característico. Ao lado da torre, parte de uma edificação prisional é visível. No centro da imagem, próximo à muralha, há um pequeno prédio ou quiosque e algumas crianças reunidas. Estruturas metálicas horizontais e tubulações também são visíveis. A imagem documenta um espaço verde e aberto dentro do complexo, que contrasta com a rigidez da arquitetura de segurança (muros e torre), sugerindo uma área utilizada para lazer.</x:v>
      </x:c>
      <x:c r="N52"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52" s="10" t="str">
        <x:v>Pátio (externo); Gramado; Muralha (contenção); Torre de vigilância; Arquitetura prisional; Carandiru; Lazer (potencial); Vigilância; Estrutura prisional.</x:v>
      </x:c>
      <x:c r="P52" s="10" t="str">
        <x:v>Fotografia (Iconográfico)</x:v>
      </x:c>
      <x:c r="Q52" s="10" t="str">
        <x:v>Digitalização de fotografia em preto e branco (analógica original)</x:v>
      </x:c>
      <x:c r="R52" s="10" t="str">
        <x:v>Figura n – [Pátio externo gramado, com muro de contenção e torre de vigilância, no Casa de Detenção de São Paulo no Carandiru] Fonte: Arquivo Público do Estado de São Paulo, s.d.</x:v>
      </x:c>
      <x:c r="S52" s="10" t="str">
        <x:v>ARQUIVO PÚBLICO DO ESTADO DE SÃO PAULO (Brasil). [Pátio externo gramado, com muro de contenção e torre de vigilância, no Casa de Detenção de São Paulo no Carandiru]. São Paulo, Brasil. s.d s.d s.d. Fotografia digitalizada; preto e branco; suporte em papel fotográfico. Disponível em: &lt;link do dataverse&gt;. Acesso em: 28 out. 2025.</x:v>
      </x:c>
      <x:c r="T52" s="10" t="str">
        <x:v>Não contém</x:v>
      </x:c>
      <x:c r="U52" s="10" t="str">
        <x:v>ICO</x:v>
      </x:c>
      <x:c r="V52" s="10" t="str">
        <x:v>FOT</x:v>
      </x:c>
      <x:c r="W52" s="10" t="str">
        <x:v>DGZ</x:v>
      </x:c>
      <x:c r="X52" s="10" t="str">
        <x:v>MT0</x:v>
      </x:c>
      <x:c r="Y52" s="10" t="str">
        <x:v>BR-SPAPESP_DASP-PENITPRE-CSDTCARANDIRU.xlsx</x:v>
      </x:c>
      <x:c r="Z52" s="10" t="str">
        <x:v>3055-005</x:v>
      </x:c>
      <x:c r="AA52" s="11" t="n">
        <x:v>39</x:v>
      </x:c>
      <x:c r="AB52" s="10" t="str">
        <x:v>BR-SPAPESP_DASP-PENITPRE-CSDTCARANDIRU.xlsx:3055-005:39</x:v>
      </x:c>
      <x:c r="AC52" s="11" t="n">
        <x:f>COLUMNS(A52:T52)-COUNTBLANK(A52:T52)</x:f>
        <x:v>20</x:v>
      </x:c>
    </x:row>
    <x:row r="53" ht="84" hidden="0" customHeight="1">
      <x:c r="A53" s="10" t="str">
        <x:v>040</x:v>
      </x:c>
      <x:c r="B53" s="10" t="str">
        <x:v>Retrato de Gilberto Calixto, detento assassinado por colegas de cela no Carandiru (1978)</x:v>
      </x:c>
      <x:c r="C53" s="10" t="str">
        <x:v>Item</x:v>
      </x:c>
      <x:c r="D53" s="10" t="str">
        <x:v>1978-04-08 00:00:00</x:v>
      </x:c>
      <x:c r="E53" s="10" t="str">
        <x:v>Gerado pelo Dataverse</x:v>
      </x:c>
      <x:c r="F53" s="10" t="str">
        <x:v>Fotografia digitalizada; preto e branco; suporte em papel fotográfico</x:v>
      </x:c>
      <x:c r="G53" s="10" t="str">
        <x:v>São Paulo, Brasil</x:v>
      </x:c>
      <x:c r="H53" s="10" t="str">
        <x:v>Arquivo Público do Estado de São Paulo, Jornal Diários Associados</x:v>
      </x:c>
      <x:c r="I53" s="10" t="str">
        <x:v>Estado De São Paulo - Penitenciárias e Presídios - Casa de Detenção de São Paulo no Carandiru (Fotografias)</x:v>
      </x:c>
      <x:c r="J53" s="10" t="str">
        <x:v>Caixa: 3055 Folder: 5</x:v>
      </x:c>
      <x:c r="K53" s="10" t="str">
        <x:v>BR-SPAPESP_DASP-PENITPRE-CSDTCARANDIRU_ICO-FOT-DGZ-MT0_3055-005-040</x:v>
      </x:c>
      <x:c r="L53"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53" s="10" t="str">
        <x:v>A fotografia em preto e branco é um retrato frontal (tipo mugshot ou foto 3x4) em plano fechado, com fundo claro e neutro. O retratado é um homem (identificado no verso como Gilberto Calixto), com corte de cabelo "militar" ou raspado nas laterais e bigode, vestindo uma camiseta escura. A imagem, por seu formato e foco, é uma foto de identificação institucional (registro de entrada ou prontuário). O verso da fotografia, datado de 8 de abril de 1978, contextualiza a cena com um registro trágico: "Gilberto Calixto, preso da Casa de Detenção morto, pelos colegas de cela." A imagem, portanto, é um documento institucional que se transforma em um registro da violência interna e do assassinato de um detento por outros presos no Carandiru, ocorrido no mesmo dia de Euripedes B. de Azevedo.</x:v>
      </x:c>
      <x:c r="N53"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53" s="10" t="str">
        <x:v>Retrato (identificação); Mugshot; Detento assassinado; Violência carcerária; Homicídio (interno); Gilberto Calixto; Carandiru; Foto de prontuário; 1978.</x:v>
      </x:c>
      <x:c r="P53" s="10" t="str">
        <x:v>Fotografia (Iconográfico)</x:v>
      </x:c>
      <x:c r="Q53" s="10" t="str">
        <x:v>Digitalização de fotografia em preto e branco (analógica original)</x:v>
      </x:c>
      <x:c r="R53" s="10" t="str">
        <x:v>Figura n – [Retrato de Gilberto Calixto, detento assassinado por colegas de cela no Carandiru (1978)] Fonte: Arquivo Público do Estado de São Paulo, 1978.</x:v>
      </x:c>
      <x:c r="S53" s="10" t="str">
        <x:v>ARQUIVO PÚBLICO DO ESTADO DE SÃO PAULO (Brasil). [Retrato de Gilberto Calixto, detento assassinado por colegas de cela no Carandiru (1978)]. São Paulo, Brasil. 08 abr. 1978. Fotografia digitalizada; preto e branco; suporte em papel fotográfico. Disponível em: &lt;link do dataverse&gt;. Acesso em: 28 out. 2025.</x:v>
      </x:c>
      <x:c r="T53" s="10" t="str">
        <x:v>Estado de São Paulo – Penitenciárias e Presídios – Casa de Detenção Carandiru Gilberto Calixto, preso da Casa de Detenção, foi morto pelos colegas de cela. DN, 8/4/1978</x:v>
      </x:c>
      <x:c r="U53" s="10" t="str">
        <x:v>ICO</x:v>
      </x:c>
      <x:c r="V53" s="10" t="str">
        <x:v>FOT</x:v>
      </x:c>
      <x:c r="W53" s="10" t="str">
        <x:v>DGZ</x:v>
      </x:c>
      <x:c r="X53" s="10" t="str">
        <x:v>MT0</x:v>
      </x:c>
      <x:c r="Y53" s="10" t="str">
        <x:v>BR-SPAPESP_DASP-PENITPRE-CSDTCARANDIRU.xlsx</x:v>
      </x:c>
      <x:c r="Z53" s="10" t="str">
        <x:v>3055-005</x:v>
      </x:c>
      <x:c r="AA53" s="11" t="n">
        <x:v>40</x:v>
      </x:c>
      <x:c r="AB53" s="10" t="str">
        <x:v>BR-SPAPESP_DASP-PENITPRE-CSDTCARANDIRU.xlsx:3055-005:40</x:v>
      </x:c>
      <x:c r="AC53" s="11" t="n">
        <x:f>COLUMNS(A53:T53)-COUNTBLANK(A53:T53)</x:f>
        <x:v>20</x:v>
      </x:c>
    </x:row>
    <x:row r="54" ht="84" hidden="0" customHeight="1">
      <x:c r="A54" s="10" t="str">
        <x:v>041</x:v>
      </x:c>
      <x:c r="B54" s="10" t="str">
        <x:v>Retrato de Euripedes B de Azevedo, detento assassinado por colegas de cela no Carandiru (1978)</x:v>
      </x:c>
      <x:c r="C54" s="10" t="str">
        <x:v>Item</x:v>
      </x:c>
      <x:c r="D54" s="10" t="str">
        <x:v>1978-04-08 00:00:00</x:v>
      </x:c>
      <x:c r="E54" s="10" t="str">
        <x:v>Gerado pelo Dataverse</x:v>
      </x:c>
      <x:c r="F54" s="10" t="str">
        <x:v>Fotografia digitalizada; preto e branco; suporte em papel fotográfico</x:v>
      </x:c>
      <x:c r="G54" s="10" t="str">
        <x:v>São Paulo, Brasil</x:v>
      </x:c>
      <x:c r="H54" s="10" t="str">
        <x:v>Arquivo Público do Estado de São Paulo, Jornal Diários Associados</x:v>
      </x:c>
      <x:c r="I54" s="10" t="str">
        <x:v>Estado De São Paulo - Penitenciárias e Presídios - Casa de Detenção de São Paulo no Carandiru (Fotografias)</x:v>
      </x:c>
      <x:c r="J54" s="10" t="str">
        <x:v>Caixa: 3055 Folder: 5</x:v>
      </x:c>
      <x:c r="K54" s="10" t="str">
        <x:v>BR-SPAPESP_DASP-PENITPRE-CSDTCARANDIRU_ICO-FOT-DGZ-MT0_3055-005-041</x:v>
      </x:c>
      <x:c r="L54"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54" s="10" t="str">
        <x:v>A fotografia em preto e branco é um retrato frontal (tipo mugshot ou foto 3x4), com foco no rosto de um homem em um fundo claro e neutro. O retratado é um homem negro (identificado no verso como Euripedes B. de Azevedo), com cabelos curtos, vestindo uma camiseta escura. No canto inferior esquerdo, uma parte visível de uma corrente ou colar é sutilmente percebida. O formato e a pose indicam ser uma foto de identificação institucional (registro de entrada ou prontuário). O verso da fotografia, datado de 8 de abril de 1978, contextualiza a cena com um registro trágico: "Euripedes B. de Azevedo, morto por colegas de cela da Casa de Detenção". A imagem, portanto, é um documento institucional que se torna um registro da violência interna e do assassinato de um detento por outros presos no Carandiru, ocorrido no mesmo dia de Gilberto Calixto.</x:v>
      </x:c>
      <x:c r="N54"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54" s="10" t="str">
        <x:v>Retrato (identificação); Mugshot; Detento assassinado; Violência carcerária; Homicídio (interno); Euripedes B. de Azevedo; Carandiru; Foto de prontuário; 1978.</x:v>
      </x:c>
      <x:c r="P54" s="10" t="str">
        <x:v>Fotografia (Iconográfico)</x:v>
      </x:c>
      <x:c r="Q54" s="10" t="str">
        <x:v>Digitalização de fotografia em preto e branco (analógica original)</x:v>
      </x:c>
      <x:c r="R54" s="10" t="str">
        <x:v>Figura n – [Retrato de Euripedes B de Azevedo, detento assassinado por colegas de cela no Carandiru (1978)] Fonte: Arquivo Público do Estado de São Paulo, 1978.</x:v>
      </x:c>
      <x:c r="S54" s="10" t="str">
        <x:v>ARQUIVO PÚBLICO DO ESTADO DE SÃO PAULO (Brasil). [Retrato de Euripedes B de Azevedo, detento assassinado por colegas de cela no Carandiru (1978)]. São Paulo, Brasil. 08 abr. 1978. Fotografia digitalizada; preto e branco; suporte em papel fotográfico. Disponível em: &lt;link do dataverse&gt;. Acesso em: 28 out. 2025.</x:v>
      </x:c>
      <x:c r="T54" s="10" t="str">
        <x:v>Estado de São Paulo – Penitenciárias e Presídios – Casa de Detenção Carandiru Eurípedes B. de Azevedo, morto por colegas de cela da Casa de Detenção. DN, 8/4/1978</x:v>
      </x:c>
      <x:c r="U54" s="10" t="str">
        <x:v>ICO</x:v>
      </x:c>
      <x:c r="V54" s="10" t="str">
        <x:v>FOT</x:v>
      </x:c>
      <x:c r="W54" s="10" t="str">
        <x:v>DGZ</x:v>
      </x:c>
      <x:c r="X54" s="10" t="str">
        <x:v>MT0</x:v>
      </x:c>
      <x:c r="Y54" s="10" t="str">
        <x:v>BR-SPAPESP_DASP-PENITPRE-CSDTCARANDIRU.xlsx</x:v>
      </x:c>
      <x:c r="Z54" s="10" t="str">
        <x:v>3055-005</x:v>
      </x:c>
      <x:c r="AA54" s="11" t="n">
        <x:v>41</x:v>
      </x:c>
      <x:c r="AB54" s="10" t="str">
        <x:v>BR-SPAPESP_DASP-PENITPRE-CSDTCARANDIRU.xlsx:3055-005:41</x:v>
      </x:c>
      <x:c r="AC54" s="11" t="n">
        <x:f>COLUMNS(A54:T54)-COUNTBLANK(A54:T54)</x:f>
        <x:v>20</x:v>
      </x:c>
    </x:row>
    <x:row r="55" ht="84" hidden="0" customHeight="1">
      <x:c r="A55" s="10" t="str">
        <x:v>042</x:v>
      </x:c>
      <x:c r="B55" s="10" t="str">
        <x:v>Portão principal do Instituto de Regeneração da Casa de Detenção de São Paulo no Carandiru no dia do retorno de foragidos (1972)</x:v>
      </x:c>
      <x:c r="C55" s="10" t="str">
        <x:v>Item</x:v>
      </x:c>
      <x:c r="D55" s="10" t="str">
        <x:v>1972-10-23 00:00:00</x:v>
      </x:c>
      <x:c r="E55" s="10" t="str">
        <x:v>Gerado pelo Dataverse</x:v>
      </x:c>
      <x:c r="F55" s="10" t="str">
        <x:v>Fotografia digitalizada; preto e branco; suporte em papel fotográfico</x:v>
      </x:c>
      <x:c r="G55" s="10" t="str">
        <x:v>São Paulo, Brasil</x:v>
      </x:c>
      <x:c r="H55" s="10" t="str">
        <x:v>Arquivo Público do Estado de São Paulo, Jornal Diários Associados</x:v>
      </x:c>
      <x:c r="I55" s="10" t="str">
        <x:v>Estado De São Paulo - Penitenciárias e Presídios - Casa de Detenção de São Paulo no Carandiru (Fotografias)</x:v>
      </x:c>
      <x:c r="J55" s="10" t="str">
        <x:v>Caixa: 3055 Folder: 5</x:v>
      </x:c>
      <x:c r="K55" s="10" t="str">
        <x:v>BR-SPAPESP_DASP-PENITPRE-CSDTCARANDIRU_ICO-FOT-DGZ-MT0_3055-005-042</x:v>
      </x:c>
      <x:c r="L55"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55" s="10" t="str">
        <x:v>A fotografia em preto e branco registra a fachada e o portão principal monumental da instituição. O frontão de pedra acima do arco de entrada exibe a inscrição "INSTITUTO DE REGENERAÇÃO", nome histórico da Penitenciária do Estado que compunha o Complexo Carandiru. O portão é grande, feito de madeira ou metal, com grades na parte superior. A cena do cotidiano no térreo mostra pessoas em frente ao portão, além de veículos estacionados na rua, incluindo um fusca (com identificação, talvez da polícia ou de serviço) e outros carros. O verso da fotografia, datado de 23 de outubro de 1972, contextualiza a imagem como o registro do "portão principal da Casa de Detenção" e a notícia do "retorno" de dois foragidos.</x:v>
      </x:c>
      <x:c r="N55"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55" s="10" t="str">
        <x:v>Portão principal; Fachada (monumental); Instituto de Regeneração; Foragidos (retorno); Reintegração; Penitenciária do Estado; Casa de Detenção; Carandiru; Arquitetura prisional; 1972.</x:v>
      </x:c>
      <x:c r="P55" s="10" t="str">
        <x:v>Fotografia (Iconográfico)</x:v>
      </x:c>
      <x:c r="Q55" s="10" t="str">
        <x:v>Digitalização de fotografia em preto e branco (analógica original)</x:v>
      </x:c>
      <x:c r="R55" s="10" t="str">
        <x:v>Figura n – [Portão principal do Instituto de Regeneração da Casa de Detenção de São Paulo no Carandiru no dia do retorno de foragidos (1972)] Fonte: Arquivo Público do Estado de São Paulo, 1972.</x:v>
      </x:c>
      <x:c r="S55" s="10" t="str">
        <x:v>ARQUIVO PÚBLICO DO ESTADO DE SÃO PAULO (Brasil). [Portão principal do Instituto de Regeneração da Casa de Detenção de São Paulo no Carandiru no dia do retorno de foragidos (1972)]. São Paulo, Brasil. 23 out. 1972. Fotografia digitalizada; preto e branco; suporte em papel fotográfico. Disponível em: &lt;link do dataverse&gt;. Acesso em: 28 out. 2025.</x:v>
      </x:c>
      <x:c r="T55" s="10" t="str">
        <x:v>Estado de São Paulo – Penitenciárias e Presídios – Casa de Detenção de São Paulo no Carandiru Dois foragidos da penitenciária já estão de volta. Eles visitaram a família e passearam Na foto, o portão principal da Casa de Detenção de São Paulo no Carandiru. DN, 1ª ed., 23/10/1972 – DEC</x:v>
      </x:c>
      <x:c r="U55" s="10" t="str">
        <x:v>ICO</x:v>
      </x:c>
      <x:c r="V55" s="10" t="str">
        <x:v>FOT</x:v>
      </x:c>
      <x:c r="W55" s="10" t="str">
        <x:v>DGZ</x:v>
      </x:c>
      <x:c r="X55" s="10" t="str">
        <x:v>MT0</x:v>
      </x:c>
      <x:c r="Y55" s="10" t="str">
        <x:v>BR-SPAPESP_DASP-PENITPRE-CSDTCARANDIRU.xlsx</x:v>
      </x:c>
      <x:c r="Z55" s="10" t="str">
        <x:v>3055-005</x:v>
      </x:c>
      <x:c r="AA55" s="11" t="n">
        <x:v>42</x:v>
      </x:c>
      <x:c r="AB55" s="10" t="str">
        <x:v>BR-SPAPESP_DASP-PENITPRE-CSDTCARANDIRU.xlsx:3055-005:42</x:v>
      </x:c>
      <x:c r="AC55" s="11" t="n">
        <x:f>COLUMNS(A55:T55)-COUNTBLANK(A55:T55)</x:f>
        <x:v>20</x:v>
      </x:c>
    </x:row>
    <x:row r="56" ht="84" hidden="0" customHeight="1">
      <x:c r="A56" s="10" t="str">
        <x:v>043</x:v>
      </x:c>
      <x:c r="B56" s="10" t="str">
        <x:v>Autoridades na inauguração da nova Casa de Detenção de São Paulo no Carandiru: Secretário de Segurança Carlos Bittencourt e Comandante da Força Pública (1956)</x:v>
      </x:c>
      <x:c r="C56" s="10" t="str">
        <x:v>Item</x:v>
      </x:c>
      <x:c r="D56" s="10" t="str">
        <x:v>12/09/0195</x:v>
      </x:c>
      <x:c r="E56" s="10" t="str">
        <x:v>Gerado pelo Dataverse</x:v>
      </x:c>
      <x:c r="F56" s="10" t="str">
        <x:v>Fotografia digitalizada; preto e branco; suporte em papel fotográfico</x:v>
      </x:c>
      <x:c r="G56" s="10" t="str">
        <x:v>São Paulo, Brasil</x:v>
      </x:c>
      <x:c r="H56" s="10" t="str">
        <x:v>Arquivo Público do Estado de São Paulo, Jornal Diários Associados</x:v>
      </x:c>
      <x:c r="I56" s="10" t="str">
        <x:v>Estado De São Paulo - Penitenciárias e Presídios - Casa de Detenção de São Paulo no Carandiru (Fotografias)</x:v>
      </x:c>
      <x:c r="J56" s="10" t="str">
        <x:v>Caixa: 3055 Folder: 5</x:v>
      </x:c>
      <x:c r="K56" s="10" t="str">
        <x:v>BR-SPAPESP_DASP-PENITPRE-CSDTCARANDIRU_ICO-FOT-DGZ-MT0_3055-005-043</x:v>
      </x:c>
      <x:c r="L56"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56" s="10" t="str">
        <x:v>A fotografia em preto e branco registra a saída de duas autoridades por um portão de grades da Casa de Detenção, em um momento de solenidade. Em primeiro plano, dois homens caminham lado a lado: O militar (à esquerda) veste uniforme de gala/oficial militar completo (identificado no verso como o Comandante da Força Pública, Rubens Teixeira Branco); o civil (à direita) veste terno escuro com gravata, em uma postura formal (identificado como o Secretário de Segurança, Dr. Carlos Eugenio Bittencourt da Fonseca). Eles estão saindo por um portão de grades vertical (típico da arquitetura prisional), que está aberto. O verso da fotografia, datado de 12 de setembro de 1956, é contextualizado como "por ocasião da inauguração da nova Casa de Detenção do Carandirú".</x:v>
      </x:c>
      <x:c r="N56"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56" s="10" t="str">
        <x:v>Inauguração (presídio); Autoridades governamentais; Secretário de Segurança; Comandante da Força Pública; Militar (uniforme); Portão de grades; Casa de Detenção; Carandiru; Evento oficial; 1956.</x:v>
      </x:c>
      <x:c r="P56" s="10" t="str">
        <x:v>Fotografia (Iconográfico)</x:v>
      </x:c>
      <x:c r="Q56" s="10" t="str">
        <x:v>Digitalização de fotografia em preto e branco (analógica original)</x:v>
      </x:c>
      <x:c r="R56" s="10" t="str">
        <x:v>Figura n – [Autoridades na inauguração da nova Casa de Detenção de São Paulo no Carandiru: Secretário de Segurança Carlos Bittencourt e Comandante da Força Pública (1956)] Fonte: Arquivo Público do Estado de São Paulo, 0195.</x:v>
      </x:c>
      <x:c r="S56" s="10" t="str">
        <x:v>ARQUIVO PÚBLICO DO ESTADO DE SÃO PAULO (Brasil). [Autoridades na inauguração da nova Casa de Detenção de São Paulo no Carandiru: Secretário de Segurança Carlos Bittencourt e Comandante da Força Pública (1956)]. São Paulo, Brasil. 12 set. 0195. Fotografia digitalizada; preto e branco; suporte em papel fotográfico. Disponível em: &lt;link do dataverse&gt;. Acesso em: 28 out. 2025.</x:v>
      </x:c>
      <x:c r="T56" s="10" t="str">
        <x:v>Estado de São Paulo – Penitenciárias e Presídios – Casa de Detenção (Carandiru) O secretário de Segurança, Dr. Carlos Eugênio Bittencourt da Fonseca, e o comandante da Força Pública, Rubens Teixeira Branco, em flagrante registrado por ocasião da inauguração da nova Casa de Detenção de São Paulo no Carandiru. Arq., 12/9/1956 – JL Manuscrito: Nova Casa de Detenção Sec. de Segurança Carlos Eugenio Bittencourt da Fonseca e o comandante de Segurança Pública Rubens Teixeira Branco. Visitando os [ilégivel] pelas grandes.</x:v>
      </x:c>
      <x:c r="U56" s="10" t="str">
        <x:v>ICO</x:v>
      </x:c>
      <x:c r="V56" s="10" t="str">
        <x:v>FOT</x:v>
      </x:c>
      <x:c r="W56" s="10" t="str">
        <x:v>DGZ</x:v>
      </x:c>
      <x:c r="X56" s="10" t="str">
        <x:v>MT0</x:v>
      </x:c>
      <x:c r="Y56" s="10" t="str">
        <x:v>BR-SPAPESP_DASP-PENITPRE-CSDTCARANDIRU.xlsx</x:v>
      </x:c>
      <x:c r="Z56" s="10" t="str">
        <x:v>3055-005</x:v>
      </x:c>
      <x:c r="AA56" s="11" t="n">
        <x:v>43</x:v>
      </x:c>
      <x:c r="AB56" s="10" t="str">
        <x:v>BR-SPAPESP_DASP-PENITPRE-CSDTCARANDIRU.xlsx:3055-005:43</x:v>
      </x:c>
      <x:c r="AC56" s="11" t="n">
        <x:f>COLUMNS(A56:T56)-COUNTBLANK(A56:T56)</x:f>
        <x:v>20</x:v>
      </x:c>
    </x:row>
    <x:row r="57" ht="84" hidden="0" customHeight="1">
      <x:c r="A57" s="10" t="str">
        <x:v>044</x:v>
      </x:c>
      <x:c r="B57" s="10" t="str">
        <x:v>Visita do Secretário de Segurança e Comandante da Força Pública ao pavilhão na inauguração da nova Casa de Detenção (1956)</x:v>
      </x:c>
      <x:c r="C57" s="10" t="str">
        <x:v>Item</x:v>
      </x:c>
      <x:c r="D57" s="10" t="str">
        <x:v>1956-09-12 00:00:00</x:v>
      </x:c>
      <x:c r="E57" s="10" t="str">
        <x:v>Gerado pelo Dataverse</x:v>
      </x:c>
      <x:c r="F57" s="10" t="str">
        <x:v>Fotografia digitalizada; preto e branco; suporte em papel fotográfico</x:v>
      </x:c>
      <x:c r="G57" s="10" t="str">
        <x:v>São Paulo, Brasil</x:v>
      </x:c>
      <x:c r="H57" s="10" t="str">
        <x:v>Arquivo Público do Estado de São Paulo, Jornal Diários Associados</x:v>
      </x:c>
      <x:c r="I57" s="10" t="str">
        <x:v>Estado De São Paulo - Penitenciárias e Presídios - Casa de Detenção de São Paulo no Carandiru (Fotografias)</x:v>
      </x:c>
      <x:c r="J57" s="10" t="str">
        <x:v>Caixa: 3055 Folder: 5</x:v>
      </x:c>
      <x:c r="K57" s="10" t="str">
        <x:v>BR-SPAPESP_DASP-PENITPRE-CSDTCARANDIRU_ICO-FOT-DGZ-MT0_3055-005-044</x:v>
      </x:c>
      <x:c r="L57"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57" s="10" t="str">
        <x:v>A fotografia em preto e branco registra uma comitiva de autoridades caminhando em uma área externa do Complexo Carandiru. O plano de fundo é dominado pela fachada lateral de um Pavilhão da prisão, um edifício grande e branco com fileiras simétricas de pequenas janelas. Em primeiro plano, o grupo é liderado por dois homens: o civil (à esquerda) vestido com terno escuro, caminhando em ritmo acelerado (identificado no verso como o Secretário de Segurança, Dr. Carlos Eugenio Bittencourt da Fonseca); o militar (à direita) vestido com uniforme militar de gala, com quepe e insígnias (identificado como o Comandante da Força Pública, Rubens Teixeira Branco). A comitiva é acompanhada por outros oficiais e civis. O verso da fotografia, datado de 12 de setembro de 1956, confirma que a imagem documenta a visita das autoridades à nova Casa de Detenção de São Paulo no Carandiru por ocasião de sua inauguração.</x:v>
      </x:c>
      <x:c r="N57"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57" s="10" t="str">
        <x:v>Inauguração (presídio); Visita oficial; Autoridades governamentais; Secretário de Segurança; Comandante da Força Pública; Pavilhão (prisional); Casa de Detenção; Carandiru; Evento oficial; 1956.</x:v>
      </x:c>
      <x:c r="P57" s="10" t="str">
        <x:v>Fotografia (Iconográfico)</x:v>
      </x:c>
      <x:c r="Q57" s="10" t="str">
        <x:v>Digitalização de fotografia em preto e branco (analógica original)</x:v>
      </x:c>
      <x:c r="R57" s="10" t="str">
        <x:v>Figura n – [Visita do Secretário de Segurança e Comandante da Força Pública ao pavilhão na inauguração da nova Casa de Detenção (1956)] Fonte: Arquivo Público do Estado de São Paulo, 1956.</x:v>
      </x:c>
      <x:c r="S57" s="10" t="str">
        <x:v>ARQUIVO PÚBLICO DO ESTADO DE SÃO PAULO (Brasil). [Visita do Secretário de Segurança e Comandante da Força Pública ao pavilhão na inauguração da nova Casa de Detenção (1956)]. São Paulo, Brasil. 12 set. 1956. Fotografia digitalizada; preto e branco; suporte em papel fotográfico. Disponível em: &lt;link do dataverse&gt;. Acesso em: 28 out. 2025.</x:v>
      </x:c>
      <x:c r="T57" s="10" t="str">
        <x:v>Estado de São Paulo – Penitenciárias e Presídios – Casa de Detenção (Carandiru) O secretário de Segurança, Dr. Carlos Eugênio Bittencourt da Fonseca, e o comandante da Força Pública, Rubens Teixeira Branco, visitam a nova Casa de Detenção de São Paulo no Carandiru por ocasião de sua inauguração. Arq., 12/9/1956 – JL</x:v>
      </x:c>
      <x:c r="U57" s="10" t="str">
        <x:v>ICO</x:v>
      </x:c>
      <x:c r="V57" s="10" t="str">
        <x:v>FOT</x:v>
      </x:c>
      <x:c r="W57" s="10" t="str">
        <x:v>DGZ</x:v>
      </x:c>
      <x:c r="X57" s="10" t="str">
        <x:v>MT0</x:v>
      </x:c>
      <x:c r="Y57" s="10" t="str">
        <x:v>BR-SPAPESP_DASP-PENITPRE-CSDTCARANDIRU.xlsx</x:v>
      </x:c>
      <x:c r="Z57" s="10" t="str">
        <x:v>3055-005</x:v>
      </x:c>
      <x:c r="AA57" s="11" t="n">
        <x:v>44</x:v>
      </x:c>
      <x:c r="AB57" s="10" t="str">
        <x:v>BR-SPAPESP_DASP-PENITPRE-CSDTCARANDIRU.xlsx:3055-005:44</x:v>
      </x:c>
      <x:c r="AC57" s="11" t="n">
        <x:f>COLUMNS(A57:T57)-COUNTBLANK(A57:T57)</x:f>
        <x:v>20</x:v>
      </x:c>
    </x:row>
    <x:row r="58" ht="84" hidden="0" customHeight="1">
      <x:c r="A58" s="10" t="str">
        <x:v>045</x:v>
      </x:c>
      <x:c r="B58" s="10" t="str">
        <x:v>Mãe ou familiar em desespero e incerteza, agarrada à grade da Casa de Detenção durante motim (1964)</x:v>
      </x:c>
      <x:c r="C58" s="10" t="str">
        <x:v>Item</x:v>
      </x:c>
      <x:c r="D58" s="10" t="str">
        <x:v>1964-08-17 00:00:00</x:v>
      </x:c>
      <x:c r="E58" s="10" t="str">
        <x:v>Gerado pelo Dataverse</x:v>
      </x:c>
      <x:c r="F58" s="10" t="str">
        <x:v>Fotografia digitalizada; sépia; suporte em papel fotográfico</x:v>
      </x:c>
      <x:c r="G58" s="10" t="str">
        <x:v>São Paulo, Brasil</x:v>
      </x:c>
      <x:c r="H58" s="10" t="str">
        <x:v>Arquivo Público do Estado de São Paulo, Jornal Diários Associados</x:v>
      </x:c>
      <x:c r="I58" s="10" t="str">
        <x:v>Estado De São Paulo - Penitenciárias e Presídios - Casa de Detenção de São Paulo no Carandiru (Fotografias)</x:v>
      </x:c>
      <x:c r="J58" s="10" t="str">
        <x:v>Caixa: 3055 Folder: 5</x:v>
      </x:c>
      <x:c r="K58" s="10" t="str">
        <x:v>BR-SPAPESP_DASP-PENITPRE-CSDTCARANDIRU_ICO-FOT-DGZ-MT0_3055-005-045</x:v>
      </x:c>
      <x:c r="L58"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58" s="10" t="str">
        <x:v>A fotografia em tom sépia, em um plano fechado e dramático, foca no desespero de uma mulher idosa ou de meia-idade (identificada no verso como "essa senhora" e "mãe/familiar"). A mulher, vestida com um casaco escuro, está com o rosto apoiado nas mãos, olhando através de uma pequena abertura gradeada em uma porta ou parede de metal, em uma tentativa angustiante de comunicação ou visualização. A superfície vertical ao redor da grade é texturizada, e há uma anotação gráfica manuscrita, em formato de rabisco ou linha curva, na parte direita da imagem. O verso da fotografia, datado de 17 de agosto de 1964, contextualiza esta imagem como um "Flagrante colhido durante o motim de presos", onde a senhora gritava o nome do filho em "tomada de desespero, sem saber o que estaria acontecendo". O registro é um poderoso símbolo da dor, incerteza e trauma emocional vividos pelos familiares no cenário de crise da Casa de Detenção. O verso também inclui uma manchete de 1973, "ATRAS DAS GRADES DE UMA CELA, ELES PREFERIRAM A MORTE", sublinhando a temática geral da tragédia no cárcere.</x:v>
      </x:c>
      <x:c r="N58"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58" s="10" t="str">
        <x:v>Desespero (familiar); Mãe de detento; Motim (consequências); Grade (contato); Crise prisional; Dor e incerteza; Mulher (angústia); Casa de Detenção; Carandiru; 1964; Violência.</x:v>
      </x:c>
      <x:c r="P58" s="10" t="str">
        <x:v>Fotografia (Iconográfico)</x:v>
      </x:c>
      <x:c r="Q58" s="10" t="str">
        <x:v>Digitalização de fotografia em sépia (analógica original)</x:v>
      </x:c>
      <x:c r="R58" s="10" t="str">
        <x:v>Figura n – [Mãe ou familiar em desespero e incerteza, agarrada à grade da Casa de Detenção durante motim (1964)] Fonte: Arquivo Público do Estado de São Paulo, 1964.</x:v>
      </x:c>
      <x:c r="S58" s="10" t="str">
        <x:v>ARQUIVO PÚBLICO DO ESTADO DE SÃO PAULO (Brasil). [Mãe ou familiar em desespero e incerteza, agarrada à grade da Casa de Detenção durante motim (1964)]. São Paulo, Brasil. 17 ago. 1964. Fotografia digitalizada; sépia; suporte em papel fotográfico. Disponível em: &lt;link do dataverse&gt;. Acesso em: 28 out. 2025.</x:v>
      </x:c>
      <x:c r="T58" s="10" t="str">
        <x:v>Estado de São Paulo – Penitenciárias e Presídios – Casa de Detenção de São Paulo no Carandiru Motim de ódio e desespero sacudiu a Casa de Detenção Flagrante colhido durante o motim de presos ocorrido na Casa de Detenção na noite do dia 14. [Texto em pequeno retângulo, recorte de matéria] Tomada de desespero, sem saber o que estaria acontecendo com o filho detento, essa senhora, como acontece com dezenas de outras mulheres, agarrada à grade da porta central do presídio, gritava como doida o nome do filho. Era a imagem da dor e da incerteza. DN, 1ª ed., 17/8/1964 – W Atras das grades de uma cela, eles preferiram a morte DN, 2ª ed., 13/2/1973 – IM</x:v>
      </x:c>
      <x:c r="U58" s="10" t="str">
        <x:v>ICO</x:v>
      </x:c>
      <x:c r="V58" s="10" t="str">
        <x:v>FOT</x:v>
      </x:c>
      <x:c r="W58" s="10" t="str">
        <x:v>DGZ</x:v>
      </x:c>
      <x:c r="X58" s="10" t="str">
        <x:v>MT0</x:v>
      </x:c>
      <x:c r="Y58" s="10" t="str">
        <x:v>BR-SPAPESP_DASP-PENITPRE-CSDTCARANDIRU.xlsx</x:v>
      </x:c>
      <x:c r="Z58" s="10" t="str">
        <x:v>3055-005</x:v>
      </x:c>
      <x:c r="AA58" s="11" t="n">
        <x:v>45</x:v>
      </x:c>
      <x:c r="AB58" s="10" t="str">
        <x:v>BR-SPAPESP_DASP-PENITPRE-CSDTCARANDIRU.xlsx:3055-005:45</x:v>
      </x:c>
      <x:c r="AC58" s="11" t="n">
        <x:f>COLUMNS(A58:T58)-COUNTBLANK(A58:T58)</x:f>
        <x:v>20</x:v>
      </x:c>
    </x:row>
    <x:row r="59" ht="84" hidden="0" customHeight="1">
      <x:c r="A59" s="10" t="str">
        <x:v>046</x:v>
      </x:c>
      <x:c r="B59" s="10" t="str">
        <x:v>Mulher no dia de visita pós-rebelião na Casa de Detenção (1964)</x:v>
      </x:c>
      <x:c r="C59" s="10" t="str">
        <x:v>Item</x:v>
      </x:c>
      <x:c r="D59" s="10" t="str">
        <x:v>1964-08-17 00:00:00</x:v>
      </x:c>
      <x:c r="E59" s="10" t="str">
        <x:v>Gerado pelo Dataverse</x:v>
      </x:c>
      <x:c r="F59" s="10" t="str">
        <x:v>Fotografia digitalizada; sépia; suporte em papel fotográfico</x:v>
      </x:c>
      <x:c r="G59" s="10" t="str">
        <x:v>São Paulo, Brasil</x:v>
      </x:c>
      <x:c r="H59" s="10" t="str">
        <x:v>Arquivo Público do Estado de São Paulo, Jornal Diários Associados</x:v>
      </x:c>
      <x:c r="I59" s="10" t="str">
        <x:v>Estado De São Paulo - Penitenciárias e Presídios - Casa de Detenção de São Paulo no Carandiru (Fotografias)</x:v>
      </x:c>
      <x:c r="J59" s="10" t="str">
        <x:v>Caixa: 3055 Folder: 5</x:v>
      </x:c>
      <x:c r="K59" s="10" t="str">
        <x:v>BR-SPAPESP_DASP-PENITPRE-CSDTCARANDIRU_ICO-FOT-DGZ-MT0_3055-005-046</x:v>
      </x:c>
      <x:c r="L59"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59" s="10" t="str">
        <x:v>A fotografia em tom sépia, em plano próximo, registra uma mulher idosa junto a uma porta ou portão da Casa de Detenção. A mulher, vestida com um lenço de bolinhas na cabeça, blusa e saia escura, está de perfil, com uma expressão séria, com as mãos apoiadas ou interagindo com a abertura da porta. A imagem possui molduras verticais escuras nas laterais, como se a cena estivesse sendo vista de um ponto de observação estreito. O verso da fotografia, datado de 17 de agosto de 1964, fornece um contexto narrativo dramático: caracterizando-a como mãe de um detento, tido como causador da rebelião (motim). O texto relata a dificuldade e a discussão que ela teve para entrar na prisão, sendo finalmente autorizada a ver o filho, a quem aconselhou a "não se meter em encrencas". A imagem documenta o esforço e a persistência dos familiares para manter contato, mesmo em um cenário pós-rebelião e violência, sublinhando a dimensão humana e a complexa relação entre o cárcere e a família.</x:v>
      </x:c>
      <x:c r="N59"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59" s="10" t="str">
        <x:v>Mãe de detento; Visita (pós-motim); Motim (causas); Crise prisional; Luta (familiar); Mulher idosa; Regime desumano; Casa de Detenção; Carandiru; 1964; Fotojornalismo.</x:v>
      </x:c>
      <x:c r="P59" s="10" t="str">
        <x:v>Fotografia (Iconográfico)</x:v>
      </x:c>
      <x:c r="Q59" s="10" t="str">
        <x:v>Digitalização de fotografia em sépia (analógica original)</x:v>
      </x:c>
      <x:c r="R59" s="10" t="str">
        <x:v>Figura n – [Mulher no dia de visita pós-rebelião na Casa de Detenção (1964)] Fonte: Arquivo Público do Estado de São Paulo, 1964.</x:v>
      </x:c>
      <x:c r="S59" s="10" t="str">
        <x:v>ARQUIVO PÚBLICO DO ESTADO DE SÃO PAULO (Brasil). [Mulher no dia de visita pós-rebelião na Casa de Detenção (1964)]. São Paulo, Brasil. 17 ago. 1964. Fotografia digitalizada; sépia; suporte em papel fotográfico. Disponível em: &lt;link do dataverse&gt;. Acesso em: 28 out. 2025.</x:v>
      </x:c>
      <x:c r="T59" s="10" t="str">
        <x:v>Detenção do Carandiru Depois do grande motim [Texto em pequeno retângulo, recorte de matéria] Foram os maus-tratos, foi o regime desumano que motivou tudo. E, na madrugada de sábado, estourou a rebelião na Casa de Detenção. Violência inaudita que resultou, conforme se informa, embora sem confirmação, na morte de dois detentos, além de ferimentos em muitos outros prisioneiros que cumprem pena naquele presídio. Mas ontem foi dia de visita, visita que, aliás, foi uma das causas da revolta. O filho desta velha senhora queria vê-la, e não era sempre que deixavam. A velhinha esteve ontem na Detenção. Não queriam novamente deixá-la entrar. Houve discussão. Prevaleceu a sua vontade: ela viu seu filho e aconselhou-o, talvez, para que não “se metesse em encrencas”. Ele prometeu obedecer. Enquanto a velhinha entrava, a polícia prosseguia no inquérito, inquérito que, aliás, pode não provar nada. Quem tem culpa nessas coisas? DN, 2ª ed., 17/8/1964 – CJS</x:v>
      </x:c>
      <x:c r="U59" s="10" t="str">
        <x:v>ICO</x:v>
      </x:c>
      <x:c r="V59" s="10" t="str">
        <x:v>FOT</x:v>
      </x:c>
      <x:c r="W59" s="10" t="str">
        <x:v>DGZ</x:v>
      </x:c>
      <x:c r="X59" s="10" t="str">
        <x:v>MT0</x:v>
      </x:c>
      <x:c r="Y59" s="10" t="str">
        <x:v>BR-SPAPESP_DASP-PENITPRE-CSDTCARANDIRU.xlsx</x:v>
      </x:c>
      <x:c r="Z59" s="10" t="str">
        <x:v>3055-005</x:v>
      </x:c>
      <x:c r="AA59" s="11" t="n">
        <x:v>46</x:v>
      </x:c>
      <x:c r="AB59" s="10" t="str">
        <x:v>BR-SPAPESP_DASP-PENITPRE-CSDTCARANDIRU.xlsx:3055-005:46</x:v>
      </x:c>
      <x:c r="AC59" s="11" t="n">
        <x:f>COLUMNS(A59:T59)-COUNTBLANK(A59:T59)</x:f>
        <x:v>20</x:v>
      </x:c>
    </x:row>
    <x:row r="60" ht="84" hidden="0" customHeight="1">
      <x:c r="A60" s="10" t="str">
        <x:v>047</x:v>
      </x:c>
      <x:c r="B60" s="10" t="str">
        <x:v>Aglomeração de familiares e crianças na entrada da Casa de Detenção para o Natal do Filho do Detento (1965)</x:v>
      </x:c>
      <x:c r="C60" s="10" t="str">
        <x:v>Item</x:v>
      </x:c>
      <x:c r="D60" s="10" t="str">
        <x:v>1965-12-27 00:00:00</x:v>
      </x:c>
      <x:c r="E60" s="10" t="str">
        <x:v>Gerado pelo Dataverse</x:v>
      </x:c>
      <x:c r="F60" s="10" t="str">
        <x:v>Fotografia digitalizada; preto e branco; suporte em papel fotográfico</x:v>
      </x:c>
      <x:c r="G60" s="10" t="str">
        <x:v>São Paulo, Brasil</x:v>
      </x:c>
      <x:c r="H60" s="10" t="str">
        <x:v>Arquivo Público do Estado de São Paulo, Jornal Diários Associados</x:v>
      </x:c>
      <x:c r="I60" s="10" t="str">
        <x:v>Estado De São Paulo - Penitenciárias e Presídios - Casa de Detenção de São Paulo no Carandiru (Fotografias)</x:v>
      </x:c>
      <x:c r="J60" s="10" t="str">
        <x:v>Caixa: 3055 Folder: 5</x:v>
      </x:c>
      <x:c r="K60" s="10" t="str">
        <x:v>BR-SPAPESP_DASP-PENITPRE-CSDTCARANDIRU_ICO-FOT-DGZ-MT0_3055-005-047</x:v>
      </x:c>
      <x:c r="L60"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60" s="10" t="str">
        <x:v>A fotografia em preto e branco registra uma aglomeração massiva de pessoas, predominantemente mulheres e crianças, na entrada da Casa de Detenção. A multidão está voltada para o interior do portão da prisão, que está aberto, sugerindo o acesso a uma área de evento. O portão é largo e de aparência industrial. Em primeiro plano, os rostos de mulheres e crianças revelam a densidade da multidão, enquanto as pessoas se organizam (ou se aglomeram) para a entrada. O verso, que menciona a presença de "10 mil pessoas" e a distribuição de presentes, confirma que o registro é feito no contexto de um evento de grande escala e alta afluência. O verso da fotografia, datado de 27 de dezembro de 1965, contextualiza a cena como o "Natal do Filho do Detento", onde "Os filhos dos detentos tiveram ontem um dia realmente feliz" e receberam presentes.</x:v>
      </x:c>
      <x:c r="N60"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60" s="10" t="str">
        <x:v>Natal (detentos); Festa infantil; Aglomeração (visita); Filhos de detentos; Entrada (evento); Humanização (prisão); Casa de Detenção; Carandiru; 1965; Evento social.</x:v>
      </x:c>
      <x:c r="P60" s="10" t="str">
        <x:v>Fotografia (Iconográfico)</x:v>
      </x:c>
      <x:c r="Q60" s="10" t="str">
        <x:v>Digitalização de fotografia em preto e branco (analógica original)</x:v>
      </x:c>
      <x:c r="R60" s="10" t="str">
        <x:v>Figura n – [Aglomeração de familiares e crianças na entrada da Casa de Detenção para o Natal do Filho do Detento (1965)] Fonte: Arquivo Público do Estado de São Paulo, 1965.</x:v>
      </x:c>
      <x:c r="S60" s="10" t="str">
        <x:v>ARQUIVO PÚBLICO DO ESTADO DE SÃO PAULO (Brasil). [Aglomeração de familiares e crianças na entrada da Casa de Detenção para o Natal do Filho do Detento (1965)]. São Paulo, Brasil. 27 dez. 1965. Fotografia digitalizada; preto e branco; suporte em papel fotográfico. Disponível em: &lt;link do dataverse&gt;. Acesso em: 28 out. 2025.</x:v>
      </x:c>
      <x:c r="T60" s="10" t="str">
        <x:v>Estado de São Paulo – Penitenciárias e Presídios – Casa de Detenção de São Paulo no Carandiru 10 mil pessoas presentes ao Natal do filho do detento [Texto em pequeno retângulo, recorte de legenda ou matéria] Presentes para filhos de detentos – Os filhos dos detentos tiveram ontem um dia realmente feliz. Tiveram o seu Natal. Ganharam presentes. Em fila, em ordem, cada qual esperava a sua vez. DN, 1ª ed., 27/12/1965 – W</x:v>
      </x:c>
      <x:c r="U60" s="10" t="str">
        <x:v>ICO</x:v>
      </x:c>
      <x:c r="V60" s="10" t="str">
        <x:v>FOT</x:v>
      </x:c>
      <x:c r="W60" s="10" t="str">
        <x:v>DGZ</x:v>
      </x:c>
      <x:c r="X60" s="10" t="str">
        <x:v>MT0</x:v>
      </x:c>
      <x:c r="Y60" s="10" t="str">
        <x:v>BR-SPAPESP_DASP-PENITPRE-CSDTCARANDIRU.xlsx</x:v>
      </x:c>
      <x:c r="Z60" s="10" t="str">
        <x:v>3055-005</x:v>
      </x:c>
      <x:c r="AA60" s="11" t="n">
        <x:v>47</x:v>
      </x:c>
      <x:c r="AB60" s="10" t="str">
        <x:v>BR-SPAPESP_DASP-PENITPRE-CSDTCARANDIRU.xlsx:3055-005:47</x:v>
      </x:c>
      <x:c r="AC60" s="11" t="n">
        <x:f>COLUMNS(A60:T60)-COUNTBLANK(A60:T60)</x:f>
        <x:v>20</x:v>
      </x:c>
    </x:row>
    <x:row r="61" ht="84" hidden="0" customHeight="1">
      <x:c r="A61" s="10" t="str">
        <x:v>048</x:v>
      </x:c>
      <x:c r="B61" s="10" t="str">
        <x:v>Apresentação da Banda Marcial de detentos da Casa de Detenção de São Paulo no Carandiru durante visita de delegado da ONU (1961)</x:v>
      </x:c>
      <x:c r="C61" s="10" t="str">
        <x:v>Item</x:v>
      </x:c>
      <x:c r="D61" s="10" t="str">
        <x:v>1961-11-13 00:00:00</x:v>
      </x:c>
      <x:c r="E61" s="10" t="str">
        <x:v>Gerado pelo Dataverse</x:v>
      </x:c>
      <x:c r="F61" s="10" t="str">
        <x:v>Fotografia digitalizada; preto e branco; suporte em papel fotográfico</x:v>
      </x:c>
      <x:c r="G61" s="10" t="str">
        <x:v>São Paulo, Brasil</x:v>
      </x:c>
      <x:c r="H61" s="10" t="str">
        <x:v>Arquivo Público do Estado de São Paulo, Jornal Diários Associados</x:v>
      </x:c>
      <x:c r="I61" s="10" t="str">
        <x:v>Estado De São Paulo - Penitenciárias e Presídios - Casa de Detenção de São Paulo no Carandiru (Fotografias)</x:v>
      </x:c>
      <x:c r="J61" s="10" t="str">
        <x:v>Caixa: 3055 Folder: 5</x:v>
      </x:c>
      <x:c r="K61" s="10" t="str">
        <x:v>BR-SPAPESP_DASP-PENITPRE-CSDTCARANDIRU_ICO-FOT-DGZ-MT0_3055-005-048</x:v>
      </x:c>
      <x:c r="L61"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61" s="10" t="str">
        <x:v>A fotografia em preto e branco registra uma formação da banda marcial de detentos no pátio interno da Casa de Detenção. A cena é enquadrada em um corredor ou pátio de formato retangular, ladeado por prédios com janelas gradeadas (visíveis ao fundo). Em primeiro plano, os músicos (detentos) estão em linha, vestindo uniformes de gala claros com faixas transversais e segurando bandeiras (uma preta, outra com o símbolo do estado de São Paulo). O homem central na linha de frente carrega uma insígnia. No fundo, outros membros da banda e a massa de detentos estão alinhados. O verso da fotografia, datado de 13 de novembro de 1961, contextualiza a cena como uma apresentação da banda marcial para o Sr. Charles Germain, delegado da ONU para o Instituto Latino-Americano de Criminologia.</x:v>
      </x:c>
      <x:c r="N61"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61" s="10" t="str">
        <x:v>Banda marcial; Detentos (uniformizados); Visita oficial; Delegado da ONU; Charles Germain; Organização militarizada; Disciplina prisional; Casa de Detenção; Carandiru; 1961.</x:v>
      </x:c>
      <x:c r="P61" s="10" t="str">
        <x:v>Fotografia (Iconográfico)</x:v>
      </x:c>
      <x:c r="Q61" s="10" t="str">
        <x:v>Digitalização de fotografia em preto e branco (analógica original)</x:v>
      </x:c>
      <x:c r="R61" s="10" t="str">
        <x:v>Figura n – [Apresentação da Banda Marcial de detentos da Casa de Detenção de São Paulo no Carandiru durante visita de delegado da ONU (1961)] Fonte: Arquivo Público do Estado de São Paulo, 1961.</x:v>
      </x:c>
      <x:c r="S61" s="10" t="str">
        <x:v>ARQUIVO PÚBLICO DO ESTADO DE SÃO PAULO (Brasil). [Apresentação da Banda Marcial de detentos da Casa de Detenção de São Paulo no Carandiru durante visita de delegado da ONU (1961)]. São Paulo, Brasil. 13 nov. 1961. Fotografia digitalizada; preto e branco; suporte em papel fotográfico. Disponível em: &lt;link do dataverse&gt;. Acesso em: 28 out. 2025.</x:v>
      </x:c>
      <x:c r="T61" s="10" t="str">
        <x:v>Estado de São Paulo – Penitenciárias e Presídios – Casa de Detenção de São Paulo no Carandiru Penitenciarista da França visitou a Casa de Detenção Na foto, a banda marcial da Casa de Detenção de São Paulo no Carandiru, que executou várias marchas militares durante a visita do Sr. Charles Germain, delegado da ONU para o Instituto Latino-Americano de Criminologia, a esse instituto penal. DN, 1ª ed., 13/11/1961 – ACF</x:v>
      </x:c>
      <x:c r="U61" s="10" t="str">
        <x:v>ICO</x:v>
      </x:c>
      <x:c r="V61" s="10" t="str">
        <x:v>FOT</x:v>
      </x:c>
      <x:c r="W61" s="10" t="str">
        <x:v>DGZ</x:v>
      </x:c>
      <x:c r="X61" s="10" t="str">
        <x:v>MT0</x:v>
      </x:c>
      <x:c r="Y61" s="10" t="str">
        <x:v>BR-SPAPESP_DASP-PENITPRE-CSDTCARANDIRU.xlsx</x:v>
      </x:c>
      <x:c r="Z61" s="10" t="str">
        <x:v>3055-005</x:v>
      </x:c>
      <x:c r="AA61" s="11" t="n">
        <x:v>48</x:v>
      </x:c>
      <x:c r="AB61" s="10" t="str">
        <x:v>BR-SPAPESP_DASP-PENITPRE-CSDTCARANDIRU.xlsx:3055-005:48</x:v>
      </x:c>
      <x:c r="AC61" s="11" t="n">
        <x:f>COLUMNS(A61:T61)-COUNTBLANK(A61:T61)</x:f>
        <x:v>20</x:v>
      </x:c>
    </x:row>
    <x:row r="62" ht="84" hidden="0" customHeight="1">
      <x:c r="A62" s="10" t="str">
        <x:v>049</x:v>
      </x:c>
      <x:c r="B62" s="10" t="str">
        <x:v>Novo pavilhão da Casa de Detenção de São Paulo no Carandiru em construção, com detalhes de arquitetura e maquinário (1960)</x:v>
      </x:c>
      <x:c r="C62" s="10" t="str">
        <x:v>Item</x:v>
      </x:c>
      <x:c r="D62" s="10" t="str">
        <x:v>1960-11-30 00:00:00</x:v>
      </x:c>
      <x:c r="E62" s="10" t="str">
        <x:v>Gerado pelo Dataverse</x:v>
      </x:c>
      <x:c r="F62" s="10" t="str">
        <x:v>Fotografia digitalizada; preto e branco; suporte em papel fotográfico</x:v>
      </x:c>
      <x:c r="G62" s="10" t="str">
        <x:v>São Paulo, Brasil</x:v>
      </x:c>
      <x:c r="H62" s="10" t="str">
        <x:v>Arquivo Público do Estado de São Paulo, Jornal Diários Associados</x:v>
      </x:c>
      <x:c r="I62" s="10" t="str">
        <x:v>Estado De São Paulo - Penitenciárias e Presídios - Casa de Detenção de São Paulo no Carandiru (Fotografias)</x:v>
      </x:c>
      <x:c r="J62" s="10" t="str">
        <x:v>Caixa: 3055 Folder: 5</x:v>
      </x:c>
      <x:c r="K62" s="10" t="str">
        <x:v>BR-SPAPESP_DASP-PENITPRE-CSDTCARANDIRU_ICO-FOT-DGZ-MT0_3055-005-049</x:v>
      </x:c>
      <x:c r="L62"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62" s="10" t="str">
        <x:v>A fotografia em preto e branco registra a arquitetura externa e a área de construção do Novo Pavilhão da Casa de Detenção. O edifício domina o plano de fundo, com sua fachada de múltiplos andares e fileiras simétricas de pequenas janelas quadradas. A área em primeiro plano e o térreo mostram o canteiro de obras, com tijolos e escombros, e um grupo de trabalhadores ou empreiteiros em trajes civis caminhando. O Pavilhão está erguido sobre estruturas mais antigas e improvisadas, onde é visível uma máquina pesada (rolo compressor) e barracões de madeira. O verso da fotografia, datado de 30 de novembro de 1960, contextualiza a imagem com a manchete: "UM MILHÃO DE CRUZEIROS CUSTARÁ CADA CELA DA CASA DE DETENÇÃO". A legenda confirma que o registro é do Novo Pavilhão.</x:v>
      </x:c>
      <x:c r="N62"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62" s="10" t="str">
        <x:v>Construção (Pavilhão); Novo Pavilhão; Arquitetura prisional; Janelas gradeadas; Canteiro de obras; Rolo compressor; Custo (obras); Casa de Detenção; Carandiru; 1960.</x:v>
      </x:c>
      <x:c r="P62" s="10" t="str">
        <x:v>Fotografia (Iconográfico)</x:v>
      </x:c>
      <x:c r="Q62" s="10" t="str">
        <x:v>Digitalização de fotografia em preto e branco (analógica original)</x:v>
      </x:c>
      <x:c r="R62" s="10" t="str">
        <x:v>Figura n – [Novo pavilhão da Casa de Detenção de São Paulo no Carandiru em construção, com detalhes de arquitetura e maquinário (1960)] Fonte: Arquivo Público do Estado de São Paulo, 1960.</x:v>
      </x:c>
      <x:c r="S62" s="10" t="str">
        <x:v>ARQUIVO PÚBLICO DO ESTADO DE SÃO PAULO (Brasil). [Novo pavilhão da Casa de Detenção de São Paulo no Carandiru em construção, com detalhes de arquitetura e maquinário (1960)]. São Paulo, Brasil. 30 nov. 1960. Fotografia digitalizada; preto e branco; suporte em papel fotográfico. Disponível em: &lt;link do dataverse&gt;. Acesso em: 28 out. 2025.</x:v>
      </x:c>
      <x:c r="T62" s="10" t="str">
        <x:v>Estado de São Paulo – Penitenciárias e Presídios – Casa de Detenção de São Paulo no Carandiru Um milhão de cruzeiros custará cada cela da Casa de Detenção Novo pavilhão da Casa de Detenção de São Paulo no Carandiru. Ver. DN, 1ª ed., 30/11/1960 – W</x:v>
      </x:c>
      <x:c r="U62" s="10" t="str">
        <x:v>ICO</x:v>
      </x:c>
      <x:c r="V62" s="10" t="str">
        <x:v>FOT</x:v>
      </x:c>
      <x:c r="W62" s="10" t="str">
        <x:v>DGZ</x:v>
      </x:c>
      <x:c r="X62" s="10" t="str">
        <x:v>MT0</x:v>
      </x:c>
      <x:c r="Y62" s="10" t="str">
        <x:v>BR-SPAPESP_DASP-PENITPRE-CSDTCARANDIRU.xlsx</x:v>
      </x:c>
      <x:c r="Z62" s="10" t="str">
        <x:v>3055-005</x:v>
      </x:c>
      <x:c r="AA62" s="11" t="n">
        <x:v>49</x:v>
      </x:c>
      <x:c r="AB62" s="10" t="str">
        <x:v>BR-SPAPESP_DASP-PENITPRE-CSDTCARANDIRU.xlsx:3055-005:49</x:v>
      </x:c>
      <x:c r="AC62" s="11" t="n">
        <x:f>COLUMNS(A62:T62)-COUNTBLANK(A62:T62)</x:f>
        <x:v>20</x:v>
      </x:c>
    </x:row>
    <x:row r="63" ht="84" hidden="0" customHeight="1">
      <x:c r="A63" s="10" t="str">
        <x:v>050</x:v>
      </x:c>
      <x:c r="B63" s="10" t="str">
        <x:v>Grupo de detentos trabalhadores retornando à Casa de Detenção pelo portão principal (1962)</x:v>
      </x:c>
      <x:c r="C63" s="10" t="str">
        <x:v>Item</x:v>
      </x:c>
      <x:c r="D63" s="10" t="str">
        <x:v>1962-10-18 00:00:00</x:v>
      </x:c>
      <x:c r="E63" s="10" t="str">
        <x:v>Gerado pelo Dataverse</x:v>
      </x:c>
      <x:c r="F63" s="10" t="str">
        <x:v>Fotografia digitalizada; preto e branco; suporte em papel fotográfico</x:v>
      </x:c>
      <x:c r="G63" s="10" t="str">
        <x:v>São Paulo, Brasil</x:v>
      </x:c>
      <x:c r="H63" s="10" t="str">
        <x:v>Arquivo Público do Estado de São Paulo, Jornal Diários Associados</x:v>
      </x:c>
      <x:c r="I63" s="10" t="str">
        <x:v>Estado De São Paulo - Penitenciárias e Presídios - Casa de Detenção de São Paulo no Carandiru (Fotografias)</x:v>
      </x:c>
      <x:c r="J63" s="10" t="str">
        <x:v>Caixa: 3055 Folder: 5</x:v>
      </x:c>
      <x:c r="K63" s="10" t="str">
        <x:v>BR-SPAPESP_DASP-PENITPRE-CSDTCARANDIRU_ICO-FOT-DGZ-MT0_3055-005-050</x:v>
      </x:c>
      <x:c r="L63"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63" s="10" t="str">
        <x:v>A fotografia em preto e branco registra um momento de retorno de detentos pelo portão principal da Casa de Detenção (visivelmente o portão de arco de pedra do antigo Instituto de Regeneração). Um grupo de homens caminha apressadamente pelo calçamento em direção ao interior da prisão. Muitos deles vestem macacões ou uniformes de trabalho de cor clara e carregam objetos. Um dos homens se destaca por usar um chapéu de palha ou aba larga, e a vestimenta de trabalho de alguns parece ter uma numeração ou identificação nas costas. A cena é supervisionada por um agente de segurança uniformizado (com quepe e arma na cintura) em primeiro plano, à direita, que está de costas, observando a entrada. O verso da fotografia, datado de 18 de outubro de 1962, contextualiza a cena como o "retorno do trabalho" dos presos e a discussão sobre o pagamento de "salário profissional". A imagem, portanto, documenta a rotina de trabalho externo e o controle de segurança no momento de retorno dos presos à Penitenciária.</x:v>
      </x:c>
      <x:c r="N63"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63" s="10" t="str">
        <x:v>Trabalho prisional; Retorno (detentos); Uniforme de trabalho; Portão principal; Agente penitenciário; Salário profissional (discussão); Casa de Detenção; Carandiru; 1962.</x:v>
      </x:c>
      <x:c r="P63" s="10" t="str">
        <x:v>Fotografia (Iconográfico)</x:v>
      </x:c>
      <x:c r="Q63" s="10" t="str">
        <x:v>Digitalização de fotografia em preto e branco (analógica original)</x:v>
      </x:c>
      <x:c r="R63" s="10" t="str">
        <x:v>Figura n – [Grupo de detentos trabalhadores retornando à Casa de Detenção pelo portão principal (1962)] Fonte: Arquivo Público do Estado de São Paulo, 1962.</x:v>
      </x:c>
      <x:c r="S63" s="10" t="str">
        <x:v>ARQUIVO PÚBLICO DO ESTADO DE SÃO PAULO (Brasil). [Grupo de detentos trabalhadores retornando à Casa de Detenção pelo portão principal (1962)]. São Paulo, Brasil. 18 out. 1962. Fotografia digitalizada; preto e branco; suporte em papel fotográfico. Disponível em: &lt;link do dataverse&gt;. Acesso em: 28 out. 2025.</x:v>
      </x:c>
      <x:c r="T63" s="10" t="str">
        <x:v>Estado de São Paulo – Penitenciárias e Presídios – Casa de Detenção de São Paulo no Carandiru Preso que trabalha nos presídios vai ganhar salário profissional Presos retornando do trabalho, na Penitenciária – eles agora vão ter salário profissional. O DIPE (Departamento dos Institutos Penais do Estado de São Paulo), órgão encarregado pelo governo do Estado de estudar o aproveitamento do trabalho dos presos, já começou estudos a respeito. Ver. DN, 2ª ed., 18/10/1962 – CJS</x:v>
      </x:c>
      <x:c r="U63" s="10" t="str">
        <x:v>ICO</x:v>
      </x:c>
      <x:c r="V63" s="10" t="str">
        <x:v>FOT</x:v>
      </x:c>
      <x:c r="W63" s="10" t="str">
        <x:v>DGZ</x:v>
      </x:c>
      <x:c r="X63" s="10" t="str">
        <x:v>MT0</x:v>
      </x:c>
      <x:c r="Y63" s="10" t="str">
        <x:v>BR-SPAPESP_DASP-PENITPRE-CSDTCARANDIRU.xlsx</x:v>
      </x:c>
      <x:c r="Z63" s="10" t="str">
        <x:v>3055-005</x:v>
      </x:c>
      <x:c r="AA63" s="11" t="n">
        <x:v>50</x:v>
      </x:c>
      <x:c r="AB63" s="10" t="str">
        <x:v>BR-SPAPESP_DASP-PENITPRE-CSDTCARANDIRU.xlsx:3055-005:50</x:v>
      </x:c>
      <x:c r="AC63" s="11" t="n">
        <x:f>COLUMNS(A63:T63)-COUNTBLANK(A63:T63)</x:f>
        <x:v>20</x:v>
      </x:c>
    </x:row>
    <x:row r="64" ht="84" hidden="0" customHeight="1">
      <x:c r="A64" s="10" t="str">
        <x:v>051</x:v>
      </x:c>
      <x:c r="B64" s="10" t="str">
        <x:v>Festa de Natal para 554 presos no pátio do pavilhão 9, com árvore e decoração festiva (1963)</x:v>
      </x:c>
      <x:c r="C64" s="10" t="str">
        <x:v>Item</x:v>
      </x:c>
      <x:c r="D64" s="10" t="str">
        <x:v>1963-12-22 00:00:00</x:v>
      </x:c>
      <x:c r="E64" s="10" t="str">
        <x:v>Gerado pelo Dataverse</x:v>
      </x:c>
      <x:c r="F64" s="10" t="str">
        <x:v>Fotografia digitalizada; preto e branco; suporte em papel fotográfico</x:v>
      </x:c>
      <x:c r="G64" s="10" t="str">
        <x:v>São Paulo, Brasil</x:v>
      </x:c>
      <x:c r="H64" s="10" t="str">
        <x:v>Arquivo Público do Estado de São Paulo, Jornal Diários Associados</x:v>
      </x:c>
      <x:c r="I64" s="10" t="str">
        <x:v>Estado De São Paulo - Penitenciárias e Presídios - Casa de Detenção de São Paulo no Carandiru (Fotografias)</x:v>
      </x:c>
      <x:c r="J64" s="10" t="str">
        <x:v>Caixa: 3055 Folder: 5</x:v>
      </x:c>
      <x:c r="K64" s="10" t="str">
        <x:v>BR-SPAPESP_DASP-PENITPRE-CSDTCARANDIRU_ICO-FOT-DGZ-MT0_3055-005-051</x:v>
      </x:c>
      <x:c r="L64"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64" s="10" t="str">
        <x:v>A fotografia em preto e branco registra uma celebração de Natal no pátio interno de um pavilhão da Casa de Detenção. A cena é enquadrada no pátio cercado por paredes brancas e múltiplas fileiras de pequenas janelas gradeadas. Uma grande estrela escura está pendurada de forma proeminente no centro superior do pátio, servindo como decoração temática. No primeiro plano, à direita, há um foco em uma árvore de Natal decorada. No pátio, uma multidão de detentos (identificados no verso como 554 presos do Pavilhão 9) está sentada em filas, em trajes claros, assistindo a um evento. No centro do pátio, figuras (autoridades ou organizadores) estão em pé, interagindo com o público. Em primeiro plano, mulheres (organizadoras ou visitantes) estão de costas, observando a celebração. O verso da fotografia, datado de 22 de dezembro de 1963, confirma que a imagem documenta a "festa de Natal" para os presos do Pavilhão 9, organizada por entidades de assistência social.</x:v>
      </x:c>
      <x:c r="N64"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64" s="10" t="str">
        <x:v>Festa de Natal; Detentos (Pavilhão 9); Assistência social; Pátio interno; Decoração (Natal); Estrela (decoração); Distribuição de presentes; Casa de Detenção; Carandiru; 1963.</x:v>
      </x:c>
      <x:c r="P64" s="10" t="str">
        <x:v>Fotografia (Iconográfico)</x:v>
      </x:c>
      <x:c r="Q64" s="10" t="str">
        <x:v>Digitalização de fotografia em preto e branco (analógica original)</x:v>
      </x:c>
      <x:c r="R64" s="10" t="str">
        <x:v>Figura n – [Festa de Natal para 554 presos no pátio do pavilhão 9, com árvore e decoração festiva (1963)] Fonte: Arquivo Público do Estado de São Paulo, 1963.</x:v>
      </x:c>
      <x:c r="S64" s="10" t="str">
        <x:v>ARQUIVO PÚBLICO DO ESTADO DE SÃO PAULO (Brasil). [Festa de Natal para 554 presos no pátio do pavilhão 9, com árvore e decoração festiva (1963)]. São Paulo, Brasil. 22 dez. 1963. Fotografia digitalizada; preto e branco; suporte em papel fotográfico. Disponível em: &lt;link do dataverse&gt;. Acesso em: 28 out. 2025.</x:v>
      </x:c>
      <x:c r="T64" s="10" t="str">
        <x:v>Estado de São Paulo – Penitenciárias e Presídios – Casa de Detenção de São Paulo no Carandiru 554 presos da Casa de Detenção receberam presentes de Natal [Texto em pequeno retângulo, recorte de matéria] Os 554 presos do pavilhão número 9 da Casa de Detenção tiveram, ontem, sua festa de Natal, promovida pela Associação Brasileira de Assistência Jurídica e Social. Cada detento recebeu um presente, conseguido graças à colaboração do comércio e da indústria paulistana. Passaram, assim, algumas horas de alegria e felicidade dentro do mundo triste e silencioso em que vivem. Desde 1960, vem sendo realizada a referida promoção. No flagrante, os detentos reunidos no pátio assistem às comemorações do Natal no pavilhão nove da Casa de Detenção, ontem, dia 21 de dezembro de 1963, quando receberam presentes. DSP, 22/12/1963 – JCM</x:v>
      </x:c>
      <x:c r="U64" s="10" t="str">
        <x:v>ICO</x:v>
      </x:c>
      <x:c r="V64" s="10" t="str">
        <x:v>FOT</x:v>
      </x:c>
      <x:c r="W64" s="10" t="str">
        <x:v>DGZ</x:v>
      </x:c>
      <x:c r="X64" s="10" t="str">
        <x:v>MT0</x:v>
      </x:c>
      <x:c r="Y64" s="10" t="str">
        <x:v>BR-SPAPESP_DASP-PENITPRE-CSDTCARANDIRU.xlsx</x:v>
      </x:c>
      <x:c r="Z64" s="10" t="str">
        <x:v>3055-005</x:v>
      </x:c>
      <x:c r="AA64" s="11" t="n">
        <x:v>51</x:v>
      </x:c>
      <x:c r="AB64" s="10" t="str">
        <x:v>BR-SPAPESP_DASP-PENITPRE-CSDTCARANDIRU.xlsx:3055-005:51</x:v>
      </x:c>
      <x:c r="AC64" s="11" t="n">
        <x:f>COLUMNS(A64:T64)-COUNTBLANK(A64:T64)</x:f>
        <x:v>20</x:v>
      </x:c>
    </x:row>
    <x:row r="65" ht="84" hidden="0" customHeight="1">
      <x:c r="A65" s="10" t="str">
        <x:v>052</x:v>
      </x:c>
      <x:c r="B65" s="10" t="str">
        <x:v>Foto Pavilhões 2, 5 e 8 – banda e familiares (27.12.1965)</x:v>
      </x:c>
      <x:c r="C65" s="10" t="str">
        <x:v>Item</x:v>
      </x:c>
      <x:c r="D65" s="10" t="str">
        <x:v>1965-12-27 00:00:00</x:v>
      </x:c>
      <x:c r="E65" s="10" t="str">
        <x:v>Gerado pelo Dataverse</x:v>
      </x:c>
      <x:c r="F65" s="10" t="str">
        <x:v>Fotografia digitalizada; preto e branco; suporte em papel fotográfico</x:v>
      </x:c>
      <x:c r="G65" s="10" t="str">
        <x:v>São Paulo, Brasil</x:v>
      </x:c>
      <x:c r="H65" s="10" t="str">
        <x:v>Arquivo Público do Estado de São Paulo, Jornal Diários Associados</x:v>
      </x:c>
      <x:c r="I65" s="10" t="str">
        <x:v>Estado De São Paulo - Penitenciárias e Presídios - Casa de Detenção de São Paulo no Carandiru (Fotografias)</x:v>
      </x:c>
      <x:c r="J65" s="10" t="str">
        <x:v>Caixa: 3055 Folder: 5</x:v>
      </x:c>
      <x:c r="K65" s="10" t="str">
        <x:v>BR-SPAPESP_DASP-PENITPRE-CSDTCARANDIRU_ICO-FOT-DGZ-MT0_3055-005-052</x:v>
      </x:c>
      <x:c r="L65"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65" s="10" t="str">
        <x:v>A fotografia em preto e branco registra a enorme afluência de visitantes na entrada do Complexo Carandiru durante a celebração do Natal. A cena é uma visão de rua/pátio com a fachada dos pavilhões ao fundo. No centro e primeiro plano, mulheres (mães) e crianças estão em uma extensa fila, muitas carregando sacolas (não visíveis, mas inferidas pelo contexto de visita). Mulheres com expressões sérias e ambiente decorado com guirlandas e fitas escuras (e possivelmente bandeiras). À esquerda, uma banda marcial (membros com uniformes de gala claros e instrumentos de sopro) está em formação, indicando a solenidade do evento. O verso da fotografia, datado de 27 de dezembro de 1965, confirma que a imagem documenta o evento de "Natal do Filho do Detento", que atraiu "Mais de 10 mil pessoas", resultou em "Extensas filas" e contribuiu para a distribuição de presentes para 4 mil crianças.</x:v>
      </x:c>
      <x:c r="N65"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65" s="10" t="str">
        <x:v>Natal (detentos); Filhos de detentos; Mulheres (família de preso); Fila (visita); Banda marcial; Decoração festiva; Aglomeração; Evento social; Casa de Detenção; Carandiru; 1965.</x:v>
      </x:c>
      <x:c r="P65" s="10" t="str">
        <x:v>Fotografia (Iconográfico)</x:v>
      </x:c>
      <x:c r="Q65" s="10" t="str">
        <x:v>Digitalização de fotografia em preto e branco (analógica original)</x:v>
      </x:c>
      <x:c r="R65" s="10" t="str">
        <x:v>Figura n – [Foto Pavilhões 2, 5 e 8 – banda e familiares (27.12.1965)] Fonte: Arquivo Público do Estado de São Paulo, 1965.</x:v>
      </x:c>
      <x:c r="S65" s="10" t="str">
        <x:v>ARQUIVO PÚBLICO DO ESTADO DE SÃO PAULO (Brasil). [Foto Pavilhões 2, 5 e 8 – banda e familiares (27.12.1965)]. São Paulo, Brasil. 27 dez. 1965. Fotografia digitalizada; preto e branco; suporte em papel fotográfico. Disponível em: &lt;link do dataverse&gt;. Acesso em: 28 out. 2025.</x:v>
      </x:c>
      <x:c r="T65" s="10" t="str">
        <x:v>Estado de São Paulo – Penitenciárias e Presídios – Casa de Detenção de São Paulo no Carandiru 10 mil pessoas presentes ao Natal do filho do detento [Recorte 1] Mais de 10 mil pessoas na CD – Mais de 10 mil pessoas acorreram ontem à Casa de Detenção. Era o dia de Natal do filho do detento. DN, 1ª ed., 27/12/1965 – W [Recorte 2] Mais de 10 mil pessoas estiveram em visita ontem à Casa de Detenção de São Paulo para festejar o Natal do filho do detento. Precisamente 4 mil crianças receberam presentes. Desde às 8 horas, os portões da CD foram abertos à visitação pública. Extensas filas se formaram com o objetivo de conhecer aquele estabelecimento penal e participar da festa.</x:v>
      </x:c>
      <x:c r="U65" s="10" t="str">
        <x:v>ICO</x:v>
      </x:c>
      <x:c r="V65" s="10" t="str">
        <x:v>FOT</x:v>
      </x:c>
      <x:c r="W65" s="10" t="str">
        <x:v>DGZ</x:v>
      </x:c>
      <x:c r="X65" s="10" t="str">
        <x:v>MT0</x:v>
      </x:c>
      <x:c r="Y65" s="10" t="str">
        <x:v>BR-SPAPESP_DASP-PENITPRE-CSDTCARANDIRU.xlsx</x:v>
      </x:c>
      <x:c r="Z65" s="10" t="str">
        <x:v>3055-005</x:v>
      </x:c>
      <x:c r="AA65" s="11" t="n">
        <x:v>52</x:v>
      </x:c>
      <x:c r="AB65" s="10" t="str">
        <x:v>BR-SPAPESP_DASP-PENITPRE-CSDTCARANDIRU.xlsx:3055-005:52</x:v>
      </x:c>
      <x:c r="AC65" s="11" t="n">
        <x:f>COLUMNS(A65:T65)-COUNTBLANK(A65:T65)</x:f>
        <x:v>20</x:v>
      </x:c>
    </x:row>
    <x:row r="66" ht="84" hidden="0" customHeight="1">
      <x:c r="A66" s="10" t="str">
        <x:v>053</x:v>
      </x:c>
      <x:c r="B66" s="10" t="str">
        <x:v>Confusão e tensão na entrada da Casa de Detenção após incidentes entre detentos e guardas (1964)</x:v>
      </x:c>
      <x:c r="C66" s="10" t="str">
        <x:v>Item</x:v>
      </x:c>
      <x:c r="D66" s="10" t="str">
        <x:v>1964-07-03 00:00:00</x:v>
      </x:c>
      <x:c r="E66" s="10" t="str">
        <x:v>Gerado pelo Dataverse</x:v>
      </x:c>
      <x:c r="F66" s="10" t="str">
        <x:v>Fotografia digitalizada; preto e branco; suporte em papel fotográfico</x:v>
      </x:c>
      <x:c r="G66" s="10" t="str">
        <x:v>São Paulo, Brasil</x:v>
      </x:c>
      <x:c r="H66" s="10" t="str">
        <x:v>Arquivo Público do Estado de São Paulo, Jornal Diários Associados</x:v>
      </x:c>
      <x:c r="I66" s="10" t="str">
        <x:v>Estado De São Paulo - Penitenciárias e Presídios - Casa de Detenção de São Paulo no Carandiru (Fotografias)</x:v>
      </x:c>
      <x:c r="J66" s="10" t="str">
        <x:v>Caixa: 3055 Folder: 5</x:v>
      </x:c>
      <x:c r="K66" s="10" t="str">
        <x:v>BR-SPAPESP_DASP-PENITPRE-CSDTCARANDIRU_ICO-FOT-DGZ-MT0_3055-005-053</x:v>
      </x:c>
      <x:c r="L66"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66" s="10" t="str">
        <x:v>A fotografia em preto e branco, em plano fechado, registra um momento de grande confusão e tensão em uma área de controle (portaria ou entrada) da Casa de Detenção. Várias pessoas estão aglomeradas, com as figuras em primeiro plano (duas mulheres, vistas de costas) parecendo pressionar ou ser pressionadas. Há a presença de agentes de segurança ou militares (um deles visto de costas, vestindo uniforme), e de homens em trajes civis (alguns com expressões de susto ou curiosidade). No canto superior esquerdo, grades escuras indicam o controle do acesso. A proximidade e a desordem das figuras sugerem um tumulto ou incidente no local. O verso da fotografia, datado de 3 de julho de 1964, contextualiza a cena com a manchete sensacionalista sobre a "MILIONÁRIA PRESA" e a descrição de uma "tremenda confusão" e "incidentes [...] entre detentos e guardas do presídio".</x:v>
      </x:c>
      <x:c r="N66"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66" s="10" t="str">
        <x:v>Tumulto (prisão); Confusão; Incidentes (guarda/detento); Tensão; Aglomeração (entrada); Milionária presa (notícia); Casa de Detenção; Carandiru; 1964; Violência.</x:v>
      </x:c>
      <x:c r="P66" s="10" t="str">
        <x:v>Fotografia (Iconográfico)</x:v>
      </x:c>
      <x:c r="Q66" s="10" t="str">
        <x:v>Digitalização de fotografia em preto e branco (analógica original)</x:v>
      </x:c>
      <x:c r="R66" s="10" t="str">
        <x:v>Figura n – [Confusão e tensão na entrada da Casa de Detenção após incidentes entre detentos e guardas (1964)] Fonte: Arquivo Público do Estado de São Paulo, 1964.</x:v>
      </x:c>
      <x:c r="S66" s="10" t="str">
        <x:v>ARQUIVO PÚBLICO DO ESTADO DE SÃO PAULO (Brasil). [Confusão e tensão na entrada da Casa de Detenção após incidentes entre detentos e guardas (1964)]. São Paulo, Brasil. 03 jul. 1964. Fotografia digitalizada; preto e branco; suporte em papel fotográfico. Disponível em: &lt;link do dataverse&gt;. Acesso em: 28 out. 2025.</x:v>
      </x:c>
      <x:c r="T66" s="10" t="str">
        <x:v>Estado de São Paulo – Penitenciárias e Presídios – Casa de Detenção de São Paulo no Carandiru Milionária presa implantou terror na Casa de Detenção Tremenda confusão se originou na Casa de Detenção, na tarde de ontem, durante os incidentes ali registrados entre detentos e guardas do presídio. DN, 2ª ed., 3/7/1964 – W</x:v>
      </x:c>
      <x:c r="U66" s="10" t="str">
        <x:v>ICO</x:v>
      </x:c>
      <x:c r="V66" s="10" t="str">
        <x:v>FOT</x:v>
      </x:c>
      <x:c r="W66" s="10" t="str">
        <x:v>DGZ</x:v>
      </x:c>
      <x:c r="X66" s="10" t="str">
        <x:v>MT0</x:v>
      </x:c>
      <x:c r="Y66" s="10" t="str">
        <x:v>BR-SPAPESP_DASP-PENITPRE-CSDTCARANDIRU.xlsx</x:v>
      </x:c>
      <x:c r="Z66" s="10" t="str">
        <x:v>3055-005</x:v>
      </x:c>
      <x:c r="AA66" s="11" t="n">
        <x:v>53</x:v>
      </x:c>
      <x:c r="AB66" s="10" t="str">
        <x:v>BR-SPAPESP_DASP-PENITPRE-CSDTCARANDIRU.xlsx:3055-005:53</x:v>
      </x:c>
      <x:c r="AC66" s="11" t="n">
        <x:f>COLUMNS(A66:T66)-COUNTBLANK(A66:T66)</x:f>
        <x:v>20</x:v>
      </x:c>
    </x:row>
    <x:row r="67" ht="84" hidden="0" customHeight="1">
      <x:c r="A67" s="10" t="str">
        <x:v>054</x:v>
      </x:c>
      <x:c r="B67" s="10" t="str">
        <x:v>Profissionais da imprensa se aglomeram junto ao portão gradeado em busca de informes sobre a fuga de detento no Carandiru (1960)</x:v>
      </x:c>
      <x:c r="C67" s="10" t="str">
        <x:v>Item</x:v>
      </x:c>
      <x:c r="D67" s="10" t="str">
        <x:v>1960-05-21 00:00:00</x:v>
      </x:c>
      <x:c r="E67" s="10" t="str">
        <x:v>Gerado pelo Dataverse</x:v>
      </x:c>
      <x:c r="F67" s="10" t="str">
        <x:v>Fotografia digitalizada; preto e branco; suporte em papel fotográfico</x:v>
      </x:c>
      <x:c r="G67" s="10" t="str">
        <x:v>São Paulo, Brasil</x:v>
      </x:c>
      <x:c r="H67" s="10" t="str">
        <x:v>Arquivo Público do Estado de São Paulo, Jornal Diários Associados</x:v>
      </x:c>
      <x:c r="I67" s="10" t="str">
        <x:v>Estado De São Paulo - Penitenciárias e Presídios - Casa de Detenção de São Paulo no Carandiru (Fotografias)</x:v>
      </x:c>
      <x:c r="J67" s="10" t="str">
        <x:v>Caixa: 3055 Folder: 5</x:v>
      </x:c>
      <x:c r="K67" s="10" t="str">
        <x:v>BR-SPAPESP_DASP-PENITPRE-CSDTCARANDIRU_ICO-FOT-DGZ-MT0_3055-005-054</x:v>
      </x:c>
      <x:c r="L67"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67" s="10" t="str">
        <x:v>A fotografia em preto e branco registra um momento de aglomeração e busca por informação junto a um portão de grades da Penitenciária do Carandiru, aparentemente durante a noite ou em ambiente pouco iluminado. A cena mostra a interação tensa entre os profissionais de segurança (agentes ou policiais com uniformes e quepe) e um grupo de homens em trajes civis (identificados no verso como profissionais da imprensa). Os jornalistas se agrupam nas grades, tentando obter informações, enquanto os agentes mantêm a ordem e o controle. A presença das grades ao centro simboliza a barreira entre o cárcere (o incidente) e o mundo externo (a imprensa). O verso da fotografia, datado de 21 de maio de 1960, contextualiza a cena como um "Flagrante tomado em frente aos portões" após a fuga do presidiário William Alves da Silva, implicado no Motim da Ilha Anchieta.</x:v>
      </x:c>
      <x:c r="N67"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67" s="10" t="str">
        <x:v>Fuga (detento); Imprensa (aglomeração); Fotojornalismo; Portão de grades; Segurança prisional; Agentes (policiais); William Alves da Silva; Motim Ilha Anchieta; Penitenciária Carandiru; 1960.</x:v>
      </x:c>
      <x:c r="P67" s="10" t="str">
        <x:v>Fotografia (Iconográfico)</x:v>
      </x:c>
      <x:c r="Q67" s="10" t="str">
        <x:v>Digitalização de fotografia em preto e branco (analógica original)</x:v>
      </x:c>
      <x:c r="R67" s="10" t="str">
        <x:v>Figura n – [Profissionais da imprensa se aglomeram junto ao portão gradeado em busca de informes sobre a fuga de detento no Carandiru (1960)] Fonte: Arquivo Público do Estado de São Paulo, 1960.</x:v>
      </x:c>
      <x:c r="S67" s="10" t="str">
        <x:v>ARQUIVO PÚBLICO DO ESTADO DE SÃO PAULO (Brasil). [Profissionais da imprensa se aglomeram junto ao portão gradeado em busca de informes sobre a fuga de detento no Carandiru (1960)]. São Paulo, Brasil. 21 mai. 1960. Fotografia digitalizada; preto e branco; suporte em papel fotográfico. Disponível em: &lt;link do dataverse&gt;. Acesso em: 28 out. 2025.</x:v>
      </x:c>
      <x:c r="T67" s="10" t="str">
        <x:v>Estado de São Paulo – Penitenciárias e Presídios – Penitenciária do Carandiru Implicado no motim da Ilha Anchieta fugiu da Penitenciária do Carandiru Em flagrante tomado em frente aos portões da penitenciária, vemos profissionais da imprensa ali se aglomerando a fim de obter informações sobre a fuga do presidiário William Alves da Silva. DN, ed. ún., 21/5/1960 – W</x:v>
      </x:c>
      <x:c r="U67" s="10" t="str">
        <x:v>ICO</x:v>
      </x:c>
      <x:c r="V67" s="10" t="str">
        <x:v>FOT</x:v>
      </x:c>
      <x:c r="W67" s="10" t="str">
        <x:v>DGZ</x:v>
      </x:c>
      <x:c r="X67" s="10" t="str">
        <x:v>MT0</x:v>
      </x:c>
      <x:c r="Y67" s="10" t="str">
        <x:v>BR-SPAPESP_DASP-PENITPRE-CSDTCARANDIRU.xlsx</x:v>
      </x:c>
      <x:c r="Z67" s="10" t="str">
        <x:v>3055-005</x:v>
      </x:c>
      <x:c r="AA67" s="11" t="n">
        <x:v>54</x:v>
      </x:c>
      <x:c r="AB67" s="10" t="str">
        <x:v>BR-SPAPESP_DASP-PENITPRE-CSDTCARANDIRU.xlsx:3055-005:54</x:v>
      </x:c>
      <x:c r="AC67" s="11" t="n">
        <x:f>COLUMNS(A67:T67)-COUNTBLANK(A67:T67)</x:f>
        <x:v>20</x:v>
      </x:c>
    </x:row>
    <x:row r="68" ht="84" hidden="0" customHeight="1">
      <x:c r="A68" s="10" t="str">
        <x:v>055</x:v>
      </x:c>
      <x:c r="B68" s="10" t="str">
        <x:v>Distribuição de presentes de Natal por voluntárias (com decoração natalina e militares) no pavilhão 9 do Carandiru (1963)</x:v>
      </x:c>
      <x:c r="C68" s="10" t="str">
        <x:v>Item</x:v>
      </x:c>
      <x:c r="D68" s="10" t="str">
        <x:v>1963-12-22 00:00:00</x:v>
      </x:c>
      <x:c r="E68" s="10" t="str">
        <x:v>Gerado pelo Dataverse</x:v>
      </x:c>
      <x:c r="F68" s="10" t="str">
        <x:v>Fotografia digitalizada; preto e branco; suporte em papel fotográfico</x:v>
      </x:c>
      <x:c r="G68" s="10" t="str">
        <x:v>São Paulo, Brasil</x:v>
      </x:c>
      <x:c r="H68" s="10" t="str">
        <x:v>Arquivo Público do Estado de São Paulo, Jornal Diários Associados</x:v>
      </x:c>
      <x:c r="I68" s="10" t="str">
        <x:v>Estado De São Paulo - Penitenciárias e Presídios - Casa de Detenção de São Paulo no Carandiru (Fotografias)</x:v>
      </x:c>
      <x:c r="J68" s="10" t="str">
        <x:v>Caixa: 3055 Folder: 5</x:v>
      </x:c>
      <x:c r="K68" s="10" t="str">
        <x:v>BR-SPAPESP_DASP-PENITPRE-CSDTCARANDIRU_ICO-FOT-DGZ-MT0_3055-005-055</x:v>
      </x:c>
      <x:c r="L68"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68" s="10" t="str">
        <x:v>A fotografia em preto e branco registra um momento de distribuição de presentes de Natal no interior da Casa de Detenção. O ambiente está decorado com motivos natalinos (como um personagem bíblico ao fundo). Na área central, uma longa mesa está coberta por pilhas de presentes embrulhados. Mulheres (identificadas como voluntárias da assistência social) estão posicionadas atrás da mesa, distribuindo os presentes. Em primeiro plano e no centro, militares ou agentes penitenciários (de costas, com uniformes e quepe) supervisionam a distribuição. À esquerda, um homem de terno com uma câmera fotográfica registra a cena, confirmando a presença da imprensa ou fotógrafo institucional. O verso da fotografia, datado de 22 de dezembro de 1963, confirma que a imagem documenta a "festa de Natal" para os 554 presos do Pavilhão 9, com a distribuição de presentes promovida pela Associação Brasileira de Assistência Jurídica e Social.</x:v>
      </x:c>
      <x:c r="N68"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68" s="10" t="str">
        <x:v>Festa de Natal; Distribuição de presentes; Voluntariado (assistência social); Decoração natalina; Militares (vigilância); Pavilhão 9; Detentos; Casa de Detenção; Carandiru; 1963.</x:v>
      </x:c>
      <x:c r="P68" s="10" t="str">
        <x:v>Fotografia (Iconográfico)</x:v>
      </x:c>
      <x:c r="Q68" s="10" t="str">
        <x:v>Digitalização de fotografia em preto e branco (analógica original)</x:v>
      </x:c>
      <x:c r="R68" s="10" t="str">
        <x:v>Figura n – [Distribuição de presentes de Natal por voluntárias (com decoração natalina e militares) no pavilhão 9 do Carandiru (1963)] Fonte: Arquivo Público do Estado de São Paulo, 1963.</x:v>
      </x:c>
      <x:c r="S68" s="10" t="str">
        <x:v>ARQUIVO PÚBLICO DO ESTADO DE SÃO PAULO (Brasil). [Distribuição de presentes de Natal por voluntárias (com decoração natalina e militares) no pavilhão 9 do Carandiru (1963)]. São Paulo, Brasil. 22 dez. 1963. Fotografia digitalizada; preto e branco; suporte em papel fotográfico. Disponível em: &lt;link do dataverse&gt;. Acesso em: 28 out. 2025.</x:v>
      </x:c>
      <x:c r="T68" s="10" t="str">
        <x:v>Estado de São Paulo – Penitenciária e Presídios – Casa de Detenção de São Paulo no Carandiru – São Paulo 554 presos da Casa de Detenção receberam presentes de Natal Os 554 presos do pavilhão número 9 da Casa de Detenção tiveram, no dia 21/12/1963, sua festa de Natal, promovida pela Associação Brasileira de Assistência Jurídica e Social. Cada detento recebeu um presente, conseguido graças à colaboração do comércio e da indústria paulistana. Na foto, aspecto da festa. Ver. DSP, 22/12/1963 – CJS</x:v>
      </x:c>
      <x:c r="U68" s="10" t="str">
        <x:v>ICO</x:v>
      </x:c>
      <x:c r="V68" s="10" t="str">
        <x:v>FOT</x:v>
      </x:c>
      <x:c r="W68" s="10" t="str">
        <x:v>DGZ</x:v>
      </x:c>
      <x:c r="X68" s="10" t="str">
        <x:v>MT0</x:v>
      </x:c>
      <x:c r="Y68" s="10" t="str">
        <x:v>BR-SPAPESP_DASP-PENITPRE-CSDTCARANDIRU.xlsx</x:v>
      </x:c>
      <x:c r="Z68" s="10" t="str">
        <x:v>3055-005</x:v>
      </x:c>
      <x:c r="AA68" s="11" t="n">
        <x:v>55</x:v>
      </x:c>
      <x:c r="AB68" s="10" t="str">
        <x:v>BR-SPAPESP_DASP-PENITPRE-CSDTCARANDIRU.xlsx:3055-005:55</x:v>
      </x:c>
      <x:c r="AC68" s="11" t="n">
        <x:f>COLUMNS(A68:T68)-COUNTBLANK(A68:T68)</x:f>
        <x:v>20</x:v>
      </x:c>
    </x:row>
    <x:row r="69" ht="84" hidden="0" customHeight="1">
      <x:c r="A69" s="10" t="str">
        <x:v>056</x:v>
      </x:c>
      <x:c r="B69" s="10" t="str">
        <x:v>Detentos alfaiates trabalhando na confecção e recuperação de roupas na oficina do Carandiru (1964)</x:v>
      </x:c>
      <x:c r="C69" s="10" t="str">
        <x:v>Item</x:v>
      </x:c>
      <x:c r="D69" s="10" t="str">
        <x:v>1964-09-04 00:00:00</x:v>
      </x:c>
      <x:c r="E69" s="10" t="str">
        <x:v>Gerado pelo Dataverse</x:v>
      </x:c>
      <x:c r="F69" s="10" t="str">
        <x:v>Fotografia digitalizada; preto e branco; suporte em papel fotográfico</x:v>
      </x:c>
      <x:c r="G69" s="10" t="str">
        <x:v>São Paulo, Brasil</x:v>
      </x:c>
      <x:c r="H69" s="10" t="str">
        <x:v>Arquivo Público do Estado de São Paulo, Jornal Diários Associados</x:v>
      </x:c>
      <x:c r="I69" s="10" t="str">
        <x:v>Estado De São Paulo - Penitenciárias e Presídios - Casa de Detenção de São Paulo no Carandiru (Fotografias)</x:v>
      </x:c>
      <x:c r="J69" s="10" t="str">
        <x:v>Caixa: 3055 Folder: 5</x:v>
      </x:c>
      <x:c r="K69" s="10" t="str">
        <x:v>BR-SPAPESP_DASP-PENITPRE-CSDTCARANDIRU_ICO-FOT-DGZ-MT0_3055-005-056</x:v>
      </x:c>
      <x:c r="L69"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69" s="10" t="str">
        <x:v>A fotografia em preto e branco registra o trabalho em uma oficina de alfaiataria na Casa de Detenção. Em primeiro plano, uma mesa de trabalho coberta por um tecido claro exibe um ferro de passar antigo e pesado e um recipiente. No fundo, dois detentos estão concentrados, operando máquinas de costura de pedal. O detento à esquerda veste camisa escura, e o à direita veste camisa clara (possivelmente jaleco de trabalho). A iluminação do ambiente é simples, e as máquinas e a postura dos homens indicam um trabalho manual e focado. O verso da fotografia, datado de 4 de setembro de 1964, contextualiza a cena, identificando os homens como "alfaiates" responsáveis pela vestimenta do presídio e o trabalho como a "melhor terapêutica" usada nas prisões do estado.</x:v>
      </x:c>
      <x:c r="N69"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69" s="10" t="str">
        <x:v>Trabalho prisional; Oficina de alfaiataria; Detentos trabalhadores; Máquina de costura; Terapêutica (trabalho); Confecção de roupas; Ressocialização; Casa de Detenção; Carandiru; 1964.</x:v>
      </x:c>
      <x:c r="P69" s="10" t="str">
        <x:v>Fotografia (Iconográfico)</x:v>
      </x:c>
      <x:c r="Q69" s="10" t="str">
        <x:v>Digitalização de fotografia em preto e branco (analógica original)</x:v>
      </x:c>
      <x:c r="R69" s="10" t="str">
        <x:v>Figura n – [Detentos alfaiates trabalhando na confecção e recuperação de roupas na oficina do Carandiru (1964)] Fonte: Arquivo Público do Estado de São Paulo, 1964.</x:v>
      </x:c>
      <x:c r="S69" s="10" t="str">
        <x:v>ARQUIVO PÚBLICO DO ESTADO DE SÃO PAULO (Brasil). [Detentos alfaiates trabalhando na confecção e recuperação de roupas na oficina do Carandiru (1964)]. São Paulo, Brasil. 04 set. 1964. Fotografia digitalizada; preto e branco; suporte em papel fotográfico. Disponível em: &lt;link do dataverse&gt;. Acesso em: 28 out. 2025.</x:v>
      </x:c>
      <x:c r="T69" s="10" t="str">
        <x:v>Estado de São Paulo – Penitenciárias e Presídios – Casa de Detenção de São Paulo no Carandiru Trabalho: melhor terapêutica usada nas prisões do Estado Os alfaiates são os responsáveis pela vestimenta do presídio. Precisam trabalhar muito na confecção e recuperação de roupas. DN, 1ª ed., 4/9/1964 – W</x:v>
      </x:c>
      <x:c r="U69" s="10" t="str">
        <x:v>ICO</x:v>
      </x:c>
      <x:c r="V69" s="10" t="str">
        <x:v>FOT</x:v>
      </x:c>
      <x:c r="W69" s="10" t="str">
        <x:v>DGZ</x:v>
      </x:c>
      <x:c r="X69" s="10" t="str">
        <x:v>MT0</x:v>
      </x:c>
      <x:c r="Y69" s="10" t="str">
        <x:v>BR-SPAPESP_DASP-PENITPRE-CSDTCARANDIRU.xlsx</x:v>
      </x:c>
      <x:c r="Z69" s="10" t="str">
        <x:v>3055-005</x:v>
      </x:c>
      <x:c r="AA69" s="11" t="n">
        <x:v>56</x:v>
      </x:c>
      <x:c r="AB69" s="10" t="str">
        <x:v>BR-SPAPESP_DASP-PENITPRE-CSDTCARANDIRU.xlsx:3055-005:56</x:v>
      </x:c>
      <x:c r="AC69" s="11" t="n">
        <x:f>COLUMNS(A69:T69)-COUNTBLANK(A69:T69)</x:f>
        <x:v>20</x:v>
      </x:c>
    </x:row>
    <x:row r="70" ht="84" hidden="0" customHeight="1">
      <x:c r="A70" s="10" t="str">
        <x:v>057</x:v>
      </x:c>
      <x:c r="B70" s="10" t="str">
        <x:v>Reunião de autoridades e exposição de artesanato (vime) no Carandiru (1962)</x:v>
      </x:c>
      <x:c r="C70" s="10" t="str">
        <x:v>Item</x:v>
      </x:c>
      <x:c r="D70" s="10" t="str">
        <x:v>1962-10-18 00:00:00</x:v>
      </x:c>
      <x:c r="E70" s="10" t="str">
        <x:v>Gerado pelo Dataverse</x:v>
      </x:c>
      <x:c r="F70" s="10" t="str">
        <x:v>Fotografia digitalizada; preto e branco; suporte em papel fotográfico</x:v>
      </x:c>
      <x:c r="G70" s="10" t="str">
        <x:v>São Paulo, Brasil</x:v>
      </x:c>
      <x:c r="H70" s="10" t="str">
        <x:v>Arquivo Público do Estado de São Paulo, Jornal Diários Associados</x:v>
      </x:c>
      <x:c r="I70" s="10" t="str">
        <x:v>Estado De São Paulo - Penitenciárias e Presídios - Casa de Detenção de São Paulo no Carandiru (Fotografias)</x:v>
      </x:c>
      <x:c r="J70" s="10" t="str">
        <x:v>Caixa: 3055 Folder: 5</x:v>
      </x:c>
      <x:c r="K70" s="10" t="str">
        <x:v>BR-SPAPESP_DASP-PENITPRE-CSDTCARANDIRU_ICO-FOT-DGZ-MT0_3055-005-057</x:v>
      </x:c>
      <x:c r="L70"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70" s="10" t="str">
        <x:v>A fotografia em preto e branco registra uma reunião de autoridades e funcionários no interior da Casa de Detenção. O ambiente é um salão ou oficina com piso de madeira escura. O foco principal está no trabalho artesanal dos presos, com diversos móveis e objetos feitos de vime ou junco dispostos em primeiro plano (cadeiras de balanço, mesas laterais e cestos). No centro, um grupo de homens, a maioria vestida de terno (identificados no verso como membros do DIPE e autoridades), está reunido em torno de uma pequena mesa, conversando sobre documentos. Ao fundo, um portão de grades e, no canto direito, um homem em vestimenta de trabalho (possivelmente um detento ou funcionário da oficina) é visível. O verso da fotografia, datado de 18 de outubro de 1962, confirma que a imagem é o "aspecto de uma reunião" sobre o tema do "salário profissional para os condenados que prestam serviços no presídio".</x:v>
      </x:c>
      <x:c r="N70"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70" s="10" t="str">
        <x:v>Trabalho prisional; Salário profissional (discussão); Artesanato (vime); Reunião (DIPE); Autoridades; Detentos (produtividade); Oficinas; Casa de Detenção; Carandiru; 1962.</x:v>
      </x:c>
      <x:c r="P70" s="10" t="str">
        <x:v>Fotografia (Iconográfico)</x:v>
      </x:c>
      <x:c r="Q70" s="10" t="str">
        <x:v>Digitalização de fotografia em preto e branco (analógica original)</x:v>
      </x:c>
      <x:c r="R70" s="10" t="str">
        <x:v>Figura n – [Reunião de autoridades e exposição de artesanato (vime) no Carandiru (1962)] Fonte: Arquivo Público do Estado de São Paulo, 1962.</x:v>
      </x:c>
      <x:c r="S70" s="10" t="str">
        <x:v>ARQUIVO PÚBLICO DO ESTADO DE SÃO PAULO (Brasil). [Reunião de autoridades e exposição de artesanato (vime) no Carandiru (1962)]. São Paulo, Brasil. 18 out. 1962. Fotografia digitalizada; preto e branco; suporte em papel fotográfico. Disponível em: &lt;link do dataverse&gt;. Acesso em: 28 out. 2025.</x:v>
      </x:c>
      <x:c r="T70" s="10" t="str">
        <x:v>Estado de São Paulo – Penitenciária e Presídios – Casa de Detenção de São Paulo no Carandiru Preso que trabalha nos presídios vai ganhar salário profissional O DIPE (Departamento dos Institutos Penais do Estado de São Paulo), órgão encarregado pelo governo do Estado de estudar o aproveitamento do trabalho dos presos, já começou estudos a respeito do salário profissional para os condenados que prestam serviços no presídio. Na foto, aspecto de uma reunião na Casa de Detenção de São Paulo no Carandiru. Ver. DN, 2ª ed., 18/10/1962 – CJS</x:v>
      </x:c>
      <x:c r="U70" s="10" t="str">
        <x:v>ICO</x:v>
      </x:c>
      <x:c r="V70" s="10" t="str">
        <x:v>FOT</x:v>
      </x:c>
      <x:c r="W70" s="10" t="str">
        <x:v>DGZ</x:v>
      </x:c>
      <x:c r="X70" s="10" t="str">
        <x:v>MT0</x:v>
      </x:c>
      <x:c r="Y70" s="10" t="str">
        <x:v>BR-SPAPESP_DASP-PENITPRE-CSDTCARANDIRU.xlsx</x:v>
      </x:c>
      <x:c r="Z70" s="10" t="str">
        <x:v>3055-005</x:v>
      </x:c>
      <x:c r="AA70" s="11" t="n">
        <x:v>57</x:v>
      </x:c>
      <x:c r="AB70" s="10" t="str">
        <x:v>BR-SPAPESP_DASP-PENITPRE-CSDTCARANDIRU.xlsx:3055-005:57</x:v>
      </x:c>
      <x:c r="AC70" s="11" t="n">
        <x:f>COLUMNS(A70:T70)-COUNTBLANK(A70:T70)</x:f>
        <x:v>20</x:v>
      </x:c>
    </x:row>
    <x:row r="71" ht="84" hidden="0" customHeight="1">
      <x:c r="A71" s="10" t="str">
        <x:v>058</x:v>
      </x:c>
      <x:c r="B71" s="10" t="str">
        <x:v>Juristas cariocas visitando e examinando as instalações da Casa de Detenção através das grades (1961)</x:v>
      </x:c>
      <x:c r="C71" s="10" t="str">
        <x:v>Item</x:v>
      </x:c>
      <x:c r="D71" s="10" t="str">
        <x:v>1961-08-24 00:00:00</x:v>
      </x:c>
      <x:c r="E71" s="10" t="str">
        <x:v>Gerado pelo Dataverse</x:v>
      </x:c>
      <x:c r="F71" s="10" t="str">
        <x:v>Fotografia digitalizada; preto e branco; suporte em papel fotográfico</x:v>
      </x:c>
      <x:c r="G71" s="10" t="str">
        <x:v>São Paulo, Brasil</x:v>
      </x:c>
      <x:c r="H71" s="10" t="str">
        <x:v>Arquivo Público do Estado de São Paulo, Jornal Diários Associados</x:v>
      </x:c>
      <x:c r="I71" s="10" t="str">
        <x:v>Estado De São Paulo - Penitenciárias e Presídios - Casa de Detenção de São Paulo no Carandiru (Fotografias)</x:v>
      </x:c>
      <x:c r="J71" s="10" t="str">
        <x:v>Caixa: 3055 Folder: 5</x:v>
      </x:c>
      <x:c r="K71" s="10" t="str">
        <x:v>BR-SPAPESP_DASP-PENITPRE-CSDTCARANDIRU_ICO-FOT-DGZ-MT0_3055-005-058</x:v>
      </x:c>
      <x:c r="L71"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71" s="10" t="str">
        <x:v>A fotografia em preto e branco registra um momento de inspeção ou visita oficial no interior da Casa de Detenção, com a cena enquadrada pelas grades verticais de uma cela ou portão. Um grupo de homens, todos vestidos formalmente com ternos escuros e gravatas (identificados no verso como Juristas Cariocas), está reunido atrás das grades, olhando para o interior do espaço prisional. As grades funcionam como uma barreira física e simbólica entre o grupo de visitantes e o ambiente carcerário. A proximidade dos homens em relação às grades e suas expressões atentas sugerem um exame detalhado das instalações. O verso da fotografia, datado de 24 de agosto de 1961, contextualiza a imagem como a visita dos juristas à Casa de Detenção, que à época era considerada a "mais moderna cadeia pública do mundo" e foi alvo de elogios dos visitantes.</x:v>
      </x:c>
      <x:c r="N71"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71" s="10" t="str">
        <x:v>Visita oficial; Juristas; Grades (inspeção); Autoridades (visita); Arquitetura prisional; Elogio (instituição); Casa de Detenção; Carandiru; 1961.</x:v>
      </x:c>
      <x:c r="P71" s="10" t="str">
        <x:v>Fotografia (Iconográfico)</x:v>
      </x:c>
      <x:c r="Q71" s="10" t="str">
        <x:v>Digitalização de fotografia em preto e branco (analógica original)</x:v>
      </x:c>
      <x:c r="R71" s="10" t="str">
        <x:v>Figura n – [Juristas cariocas visitando e examinando as instalações da Casa de Detenção através das grades (1961)] Fonte: Arquivo Público do Estado de São Paulo, 1961.</x:v>
      </x:c>
      <x:c r="S71" s="10" t="str">
        <x:v>ARQUIVO PÚBLICO DO ESTADO DE SÃO PAULO (Brasil). [Juristas cariocas visitando e examinando as instalações da Casa de Detenção através das grades (1961)]. São Paulo, Brasil. 24 ago. 1961. Fotografia digitalizada; preto e branco; suporte em papel fotográfico. Disponível em: &lt;link do dataverse&gt;. Acesso em: 28 out. 2025.</x:v>
      </x:c>
      <x:c r="T71" s="10" t="str">
        <x:v>Estado de São Paulo – Penitenciárias e Presídios – Casa de Detenção de São Paulo no Carandiru Juristas cariocas boquiabertos ante os presídios paulistas Juristas cariocas em visita à Casa de Detenção de São Paulo no Carandiru, a mais moderna cadeia pública do mundo, teceram elogios à mesma. DN, 1ª ed., 24/8/1961 – ACF</x:v>
      </x:c>
      <x:c r="U71" s="10" t="str">
        <x:v>ICO</x:v>
      </x:c>
      <x:c r="V71" s="10" t="str">
        <x:v>FOT</x:v>
      </x:c>
      <x:c r="W71" s="10" t="str">
        <x:v>DGZ</x:v>
      </x:c>
      <x:c r="X71" s="10" t="str">
        <x:v>MT0</x:v>
      </x:c>
      <x:c r="Y71" s="10" t="str">
        <x:v>BR-SPAPESP_DASP-PENITPRE-CSDTCARANDIRU.xlsx</x:v>
      </x:c>
      <x:c r="Z71" s="10" t="str">
        <x:v>3055-005</x:v>
      </x:c>
      <x:c r="AA71" s="11" t="n">
        <x:v>58</x:v>
      </x:c>
      <x:c r="AB71" s="10" t="str">
        <x:v>BR-SPAPESP_DASP-PENITPRE-CSDTCARANDIRU.xlsx:3055-005:58</x:v>
      </x:c>
      <x:c r="AC71" s="11" t="n">
        <x:f>COLUMNS(A71:T71)-COUNTBLANK(A71:T71)</x:f>
        <x:v>20</x:v>
      </x:c>
    </x:row>
    <x:row r="72" ht="84" hidden="0" customHeight="1">
      <x:c r="A72" s="10" t="str">
        <x:v>059</x:v>
      </x:c>
      <x:c r="B72" s="10" t="str">
        <x:v>Foto Pavilhão 9, solenidade de inauguração (1961)</x:v>
      </x:c>
      <x:c r="C72" s="10" t="str">
        <x:v>Item</x:v>
      </x:c>
      <x:c r="D72" s="10" t="str">
        <x:v>1961-08-09 00:00:00</x:v>
      </x:c>
      <x:c r="E72" s="10" t="str">
        <x:v>Gerado pelo Dataverse</x:v>
      </x:c>
      <x:c r="F72" s="10" t="str">
        <x:v>Fotografia digitalizada; preto e branco; suporte em papel fotográfico</x:v>
      </x:c>
      <x:c r="G72" s="10" t="str">
        <x:v>São Paulo, Brasil</x:v>
      </x:c>
      <x:c r="H72" s="10" t="str">
        <x:v>Arquivo Público do Estado de São Paulo, Jornal Diários Associados</x:v>
      </x:c>
      <x:c r="I72" s="10" t="str">
        <x:v>Estado De São Paulo - Penitenciárias e Presídios - Casa de Detenção de São Paulo no Carandiru (Fotografias)</x:v>
      </x:c>
      <x:c r="J72" s="10" t="str">
        <x:v>Caixa: 3055 Folder: 5</x:v>
      </x:c>
      <x:c r="K72" s="10" t="str">
        <x:v>BR-SPAPESP_DASP-PENITPRE-CSDTCARANDIRU_ICO-FOT-DGZ-MT0_3055-005-059</x:v>
      </x:c>
      <x:c r="L72"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72" s="10" t="str">
        <x:v>A fotografia em preto e branco registra uma solenidade ou inspeção formal em um pátio interno da Casa de Detenção. O espaço é cercado pela arquitetura do presídio, com janelas gradeadas visíveis. A cena está dividida em três grupos principais. À esquerda, uma fila de detentos uniformizados (roupas claras) está em posição de sentido ou desfilando. À direita, um grupo de autoridades e civis (vestindo ternos escuros) observa o evento. No centro, um oficial militar (de uniforme claro) está em pé sobre um pequeno pódio ou tablado, discursando ou comandando a cerimônia, voltado para os detentos. O verso da fotografia, datado de 9 de agosto de 1961, confirma que a imagem documenta o "Aspecto das solenidades inaugurais" de "mais um pavilhão da Casa de Detenção" pelo Governador.</x:v>
      </x:c>
      <x:c r="N72"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72" s="10" t="str">
        <x:v>Inauguração (Pavilhão); Solenidade; Desfile (detentos); Detentos uniformizados; Oficial militar; Autoridades (visita); Pátio (interno); Disciplina prisional; Casa de Detenção; Carandiru; 1961.</x:v>
      </x:c>
      <x:c r="P72" s="10" t="str">
        <x:v>Fotografia (Iconográfico)</x:v>
      </x:c>
      <x:c r="Q72" s="10" t="str">
        <x:v>Digitalização de fotografia em preto e branco (analógica original)</x:v>
      </x:c>
      <x:c r="R72" s="10" t="str">
        <x:v>Figura n – [Foto Pavilhão 9, solenidade de inauguração (1961)] Fonte: Arquivo Público do Estado de São Paulo, 1961.</x:v>
      </x:c>
      <x:c r="S72" s="10" t="str">
        <x:v>ARQUIVO PÚBLICO DO ESTADO DE SÃO PAULO (Brasil). [Foto Pavilhão 9, solenidade de inauguração (1961)]. São Paulo, Brasil. 09 ago. 1961. Fotografia digitalizada; preto e branco; suporte em papel fotográfico. Disponível em: &lt;link do dataverse&gt;. Acesso em: 28 out. 2025.</x:v>
      </x:c>
      <x:c r="T72" s="10" t="str">
        <x:v>Estado de São Paulo – Penitenciárias e Presídios – Casa de Detenção de São Paulo no Carandiru Governador inaugurou ontem mais um pavilhão da Casa de Detenção Aspecto das solenidades inaugurais de mais um pavilhão da Casa de Detenção, no bairro do Carandiru. DN, 1ª ed., 9/8/1961 – ACF</x:v>
      </x:c>
      <x:c r="U72" s="10" t="str">
        <x:v>ICO</x:v>
      </x:c>
      <x:c r="V72" s="10" t="str">
        <x:v>FOT</x:v>
      </x:c>
      <x:c r="W72" s="10" t="str">
        <x:v>DGZ</x:v>
      </x:c>
      <x:c r="X72" s="10" t="str">
        <x:v>MT0</x:v>
      </x:c>
      <x:c r="Y72" s="10" t="str">
        <x:v>BR-SPAPESP_DASP-PENITPRE-CSDTCARANDIRU.xlsx</x:v>
      </x:c>
      <x:c r="Z72" s="10" t="str">
        <x:v>3055-005</x:v>
      </x:c>
      <x:c r="AA72" s="11" t="n">
        <x:v>59</x:v>
      </x:c>
      <x:c r="AB72" s="10" t="str">
        <x:v>BR-SPAPESP_DASP-PENITPRE-CSDTCARANDIRU.xlsx:3055-005:59</x:v>
      </x:c>
      <x:c r="AC72" s="11" t="n">
        <x:f>COLUMNS(A72:T72)-COUNTBLANK(A72:T72)</x:f>
        <x:v>20</x:v>
      </x:c>
    </x:row>
    <x:row r="73" ht="84" hidden="0" customHeight="1">
      <x:c r="A73" s="10" t="str">
        <x:v>060</x:v>
      </x:c>
      <x:c r="B73" s="10" t="str">
        <x:v>“Soldados de serviço” nas muralhas (12.11.1956)</x:v>
      </x:c>
      <x:c r="C73" s="10" t="str">
        <x:v>Item</x:v>
      </x:c>
      <x:c r="D73" s="10" t="str">
        <x:v>1956-09-12 00:00:00</x:v>
      </x:c>
      <x:c r="E73" s="10" t="str">
        <x:v>Gerado pelo Dataverse</x:v>
      </x:c>
      <x:c r="F73" s="10" t="str">
        <x:v>Fotografia digitalizada; preto e branco; suporte em papel fotográfico</x:v>
      </x:c>
      <x:c r="G73" s="10" t="str">
        <x:v>São Paulo, Brasil</x:v>
      </x:c>
      <x:c r="H73" s="10" t="str">
        <x:v>Arquivo Público do Estado de São Paulo, Jornal Diários Associados</x:v>
      </x:c>
      <x:c r="I73" s="10" t="str">
        <x:v>Estado De São Paulo - Penitenciárias e Presídios - Casa de Detenção de São Paulo no Carandiru (Fotografias)</x:v>
      </x:c>
      <x:c r="J73" s="10" t="str">
        <x:v>Caixa: 3055 Folder: 5</x:v>
      </x:c>
      <x:c r="K73" s="10" t="str">
        <x:v>BR-SPAPESP_DASP-PENITPRE-CSDTCARANDIRU_ICO-FOT-DGZ-MT0_3055-005-060</x:v>
      </x:c>
      <x:c r="L73"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73" s="10" t="str">
        <x:v>A fotografia em preto e branco registra um momento de vigilância e segurança externa no Complexo Carandiru. A cena é capturada de um ponto de vista elevado, mostrando dois soldados ou agentes de segurança no topo de uma muralha ou parapeito. O soldado em primeiro plano está voltado para a esquerda, usando quepe, uniforme e, de forma proeminente, segura um rifle e porta uma baioneta/faca no cinto. Ele aponta o dedo indicador para longe, em um gesto de comando ou indicação. O segundo soldado, à direita, está de costas, usando capacete. O plano de fundo é dominado pela fachada lateral de um Pavilhão da prisão, com suas janelas em fileiras. O verso da fotografia, datado de 12 de setembro de 1956, confirma que a imagem mostra "Soldados de serviço nas muralhas da nova Casa de Detenção do Carandirú".</x:v>
      </x:c>
      <x:c r="N73"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73" s="10" t="str">
        <x:v>Vigilância; Soldados (serviço); Muralha (segurança); Rifle; Baioneta; Arquitetura prisional; Muro de contenção; Força Pública; Casa de Detenção; Carandiru; 1956.</x:v>
      </x:c>
      <x:c r="P73" s="10" t="str">
        <x:v>Fotografia (Iconográfico)</x:v>
      </x:c>
      <x:c r="Q73" s="10" t="str">
        <x:v>Digitalização de fotografia em preto e branco (analógica original)</x:v>
      </x:c>
      <x:c r="R73" s="10" t="str">
        <x:v>Figura n – [“Soldados de serviço” nas muralhas (12.11.1956)] Fonte: Arquivo Público do Estado de São Paulo, 1956.</x:v>
      </x:c>
      <x:c r="S73" s="10" t="str">
        <x:v>ARQUIVO PÚBLICO DO ESTADO DE SÃO PAULO (Brasil). [“Soldados de serviço” nas muralhas (12.11.1956)]. São Paulo, Brasil. 12 set. 1956. Fotografia digitalizada; preto e branco; suporte em papel fotográfico. Disponível em: &lt;link do dataverse&gt;. Acesso em: 28 out. 2025.</x:v>
      </x:c>
      <x:c r="T73" s="10" t="str">
        <x:v>Estado de São Paulo – Penitenciárias e Presídios – Casa de Detenção – Carandiru Soldados de serviço nas muralhas da nova Casa de Detenção de São Paulo no Carandiru. Arq., 12/9/1956 – JL</x:v>
      </x:c>
      <x:c r="U73" s="10" t="str">
        <x:v>ICO</x:v>
      </x:c>
      <x:c r="V73" s="10" t="str">
        <x:v>FOT</x:v>
      </x:c>
      <x:c r="W73" s="10" t="str">
        <x:v>DGZ</x:v>
      </x:c>
      <x:c r="X73" s="10" t="str">
        <x:v>MT0</x:v>
      </x:c>
      <x:c r="Y73" s="10" t="str">
        <x:v>BR-SPAPESP_DASP-PENITPRE-CSDTCARANDIRU.xlsx</x:v>
      </x:c>
      <x:c r="Z73" s="10" t="str">
        <x:v>3055-005</x:v>
      </x:c>
      <x:c r="AA73" s="11" t="n">
        <x:v>60</x:v>
      </x:c>
      <x:c r="AB73" s="10" t="str">
        <x:v>BR-SPAPESP_DASP-PENITPRE-CSDTCARANDIRU.xlsx:3055-005:60</x:v>
      </x:c>
      <x:c r="AC73" s="11" t="n">
        <x:f>COLUMNS(A73:T73)-COUNTBLANK(A73:T73)</x:f>
        <x:v>20</x:v>
      </x:c>
    </x:row>
    <x:row r="74" ht="84" hidden="0" customHeight="1">
      <x:c r="A74" s="10" t="str">
        <x:v>061</x:v>
      </x:c>
      <x:c r="B74" s="10" t="str">
        <x:v>Solenidade de inauguração do pavilhão nº 9 da Casa de Detenção de São Paulo no Carandiru com banda marcial e presos em formação (1961)</x:v>
      </x:c>
      <x:c r="C74" s="10" t="str">
        <x:v>Item</x:v>
      </x:c>
      <x:c r="D74" s="10" t="str">
        <x:v>1961-08-09 00:00:00</x:v>
      </x:c>
      <x:c r="E74" s="10" t="str">
        <x:v>Gerado pelo Dataverse</x:v>
      </x:c>
      <x:c r="F74" s="10" t="str">
        <x:v>Fotografia digitalizada; preto e branco; suporte em papel fotográfico</x:v>
      </x:c>
      <x:c r="G74" s="10" t="str">
        <x:v>São Paulo, Brasil</x:v>
      </x:c>
      <x:c r="H74" s="10" t="str">
        <x:v>Arquivo Público do Estado de São Paulo, Jornal Diários Associados</x:v>
      </x:c>
      <x:c r="I74" s="10" t="str">
        <x:v>Estado De São Paulo - Penitenciárias e Presídios - Casa de Detenção de São Paulo no Carandiru (Fotografias)</x:v>
      </x:c>
      <x:c r="J74" s="10" t="str">
        <x:v>Caixa: 3055 Folder: 5</x:v>
      </x:c>
      <x:c r="K74" s="10" t="str">
        <x:v>BR-SPAPESP_DASP-PENITPRE-CSDTCARANDIRU_ICO-FOT-DGZ-MT0_3055-005-061</x:v>
      </x:c>
      <x:c r="L74"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74" s="10" t="str">
        <x:v>A fotografia em preto e branco registra uma solenidade formal de inauguração no pátio interno do Pavilhão nº 9 da Casa de Detenção, em um ambiente de arquitetura austera. O pátio é circundado por edifícios de múltiplos andares que se fecham em forma de U, com inúmeras janelas gradeadas. No centro do pátio, há três grupos principais: 1) à esquerda e ao centro, um grupo de detentos está em formação, usando roupas claras (uniformes); 2) no centro-direito, uma banda marcial (membros tocando instrumentos de sopro) está alinhada; 3) no centro, figuras de autoridades (em trajes civis escuros) estão reunidas, inspecionando ou presidindo a cerimônia. A presença de bandeiras na área da formação reforça o caráter oficial do evento. O verso da fotografia, datado de 9 de agosto de 1961, confirma que a imagem é o "Aspecto do pavilhão nº 9" e documenta sua inauguração pelo Governador Carvalho Pinto.</x:v>
      </x:c>
      <x:c r="N74"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74" s="10" t="str">
        <x:v>Inauguração (Pavilhão 9); Solenidade; Banda marcial; Detentos uniformizados; Pátio (interno); Arquitetura prisional; Governador Carvalho Pinto; Casa de Detenção; Carandiru; 1961.</x:v>
      </x:c>
      <x:c r="P74" s="10" t="str">
        <x:v>Fotografia (Iconográfico)</x:v>
      </x:c>
      <x:c r="Q74" s="10" t="str">
        <x:v>Digitalização de fotografia em preto e branco (analógica original)</x:v>
      </x:c>
      <x:c r="R74" s="10" t="str">
        <x:v>Figura n – [Solenidade de inauguração do pavilhão nº 9 da Casa de Detenção de São Paulo no Carandiru com banda marcial e presos em formação (1961)] Fonte: Arquivo Público do Estado de São Paulo, 1961.</x:v>
      </x:c>
      <x:c r="S74" s="10" t="str">
        <x:v>ARQUIVO PÚBLICO DO ESTADO DE SÃO PAULO (Brasil). [Solenidade de inauguração do pavilhão nº 9 da Casa de Detenção de São Paulo no Carandiru com banda marcial e presos em formação (1961)]. São Paulo, Brasil. 09 ago. 1961. Fotografia digitalizada; preto e branco; suporte em papel fotográfico. Disponível em: &lt;link do dataverse&gt;. Acesso em: 28 out. 2025.</x:v>
      </x:c>
      <x:c r="T74" s="10" t="str">
        <x:v>Estado de São Paulo – Penitenciárias e Presídios – Casa de Detenção de São Paulo no Carandiru Governador inaugurou ontem mais um pavilhão na Casa de Detenção Aspecto do pavilhão nº 9 da nova Casa de Detenção desta capital, inaugurado ontem pelo governador Carvalho Pinto. DSP, 9/8/1961 – WJP</x:v>
      </x:c>
      <x:c r="U74" s="10" t="str">
        <x:v>ICO</x:v>
      </x:c>
      <x:c r="V74" s="10" t="str">
        <x:v>FOT</x:v>
      </x:c>
      <x:c r="W74" s="10" t="str">
        <x:v>DGZ</x:v>
      </x:c>
      <x:c r="X74" s="10" t="str">
        <x:v>MT0</x:v>
      </x:c>
      <x:c r="Y74" s="10" t="str">
        <x:v>BR-SPAPESP_DASP-PENITPRE-CSDTCARANDIRU.xlsx</x:v>
      </x:c>
      <x:c r="Z74" s="10" t="str">
        <x:v>3055-005</x:v>
      </x:c>
      <x:c r="AA74" s="11" t="n">
        <x:v>61</x:v>
      </x:c>
      <x:c r="AB74" s="10" t="str">
        <x:v>BR-SPAPESP_DASP-PENITPRE-CSDTCARANDIRU.xlsx:3055-005:61</x:v>
      </x:c>
      <x:c r="AC74" s="11" t="n">
        <x:f>COLUMNS(A74:T74)-COUNTBLANK(A74:T74)</x:f>
        <x:v>20</x:v>
      </x:c>
    </x:row>
    <x:row r="75" ht="84" hidden="0" customHeight="1">
      <x:c r="A75" s="10" t="str">
        <x:v>062</x:v>
      </x:c>
      <x:c r="B75" s="10" t="str">
        <x:v>Repórter e militares inspecionando o arsenal de armas artesanais e drogas apreendidas após motim no Carandiru (1964)</x:v>
      </x:c>
      <x:c r="C75" s="10" t="str">
        <x:v>Item</x:v>
      </x:c>
      <x:c r="D75" s="10" t="str">
        <x:v>1964-07-06 00:00:00</x:v>
      </x:c>
      <x:c r="E75" s="10" t="str">
        <x:v>Gerado pelo Dataverse</x:v>
      </x:c>
      <x:c r="F75" s="10" t="str">
        <x:v>Fotografia digitalizada; preto e branco; suporte em papel fotográfico</x:v>
      </x:c>
      <x:c r="G75" s="10" t="str">
        <x:v>São Paulo, Brasil</x:v>
      </x:c>
      <x:c r="H75" s="10" t="str">
        <x:v>Arquivo Público do Estado de São Paulo, Jornal Diários Associados</x:v>
      </x:c>
      <x:c r="I75" s="10" t="str">
        <x:v>Estado De São Paulo - Penitenciárias e Presídios - Casa de Detenção de São Paulo no Carandiru (Fotografias)</x:v>
      </x:c>
      <x:c r="J75" s="10" t="str">
        <x:v>Caixa: 3055 Folder: 5</x:v>
      </x:c>
      <x:c r="K75" s="10" t="str">
        <x:v>BR-SPAPESP_DASP-PENITPRE-CSDTCARANDIRU_ICO-FOT-DGZ-MT0_3055-005-062</x:v>
      </x:c>
      <x:c r="L75"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75" s="10" t="str">
        <x:v>A fotografia em preto e branco, em plano fechado, registra um momento de inspeção e apreensão de materiais ilícitos no interior da Casa de Detenção. O foco principal é um homem em trajes civis (identificado no verso como o repórter Mário de Oliveira), que está agachado em uma mesa ou superfície, manipulando diversos objetos. Espalhados, estão materiais que se assemelham a armas artesanais (como pontas e cabos de metal, estiletes, e tubos), confirmando a apreensão de "facas, estiletes de aço e drogas" mencionada no verso. O repórter é auxiliado por outros homens, incluindo um em uniforme militar com capacete de obras (militar da Força Pública) à direita, e outros em trajes escuros. O verso da fotografia, datado de 6 de julho de 1964, contextualiza a cena como a verificação das "provas da negligência da antiga direção" após a ocupação da prisão por milicianos da Força Pública. A imagem, portanto, documenta a descoberta do arsenal de armas improvisadas e a crise de segurança que levou à queda da antiga direção.</x:v>
      </x:c>
      <x:c r="N75"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75" s="10" t="str">
        <x:v>Apreensão (armas/drogas); Armas artesanais; Estiletes; Repórter (Mário de Oliveira); Ocupação militar; Negligência (direção); Motim (consequências); Violência carcerária; Casa de Detenção; Carandiru; 1964.</x:v>
      </x:c>
      <x:c r="P75" s="10" t="str">
        <x:v>Fotografia (Iconográfico)</x:v>
      </x:c>
      <x:c r="Q75" s="10" t="str">
        <x:v>Digitalização de fotografia em preto e branco (analógica original)</x:v>
      </x:c>
      <x:c r="R75" s="10" t="str">
        <x:v>Figura n – [Repórter e militares inspecionando o arsenal de armas artesanais e drogas apreendidas após motim no Carandiru (1964)] Fonte: Arquivo Público do Estado de São Paulo, 1964.</x:v>
      </x:c>
      <x:c r="S75" s="10" t="str">
        <x:v>ARQUIVO PÚBLICO DO ESTADO DE SÃO PAULO (Brasil). [Repórter e militares inspecionando o arsenal de armas artesanais e drogas apreendidas após motim no Carandiru (1964)]. São Paulo, Brasil. 06 jul. 1964. Fotografia digitalizada; preto e branco; suporte em papel fotográfico. Disponível em: &lt;link do dataverse&gt;. Acesso em: 28 out. 2025.</x:v>
      </x:c>
      <x:c r="T75" s="10" t="str">
        <x:v>Estado de São Paulo – Penitenciárias e Presídios – Casa de Detenção de São Paulo no Carandiru Verdadeiras bacanais na Casa de Detenção Juntamente com milicianos da Força Pública, que ocuparam a Casa de Detenção em consequência do motim ocorrido no fim da última semana, o repórter "Associado" Mário de Oliveira verificou a prova da negligência da antiga direção do presídio, encabeçada pelo Sr. João Tavares da Silva. Facas, estiletes de aço e drogas foram encontradas em grande quantidade. DN, 1ª ed., 6/7/1964 – WJP Ex-diretor da Detenção afirma: "Fui deposto por 200 soldados" DN, 1ª ed., 8/7/1964 – WJP</x:v>
      </x:c>
      <x:c r="U75" s="10" t="str">
        <x:v>ICO</x:v>
      </x:c>
      <x:c r="V75" s="10" t="str">
        <x:v>FOT</x:v>
      </x:c>
      <x:c r="W75" s="10" t="str">
        <x:v>DGZ</x:v>
      </x:c>
      <x:c r="X75" s="10" t="str">
        <x:v>MT0</x:v>
      </x:c>
      <x:c r="Y75" s="10" t="str">
        <x:v>BR-SPAPESP_DASP-PENITPRE-CSDTCARANDIRU.xlsx</x:v>
      </x:c>
      <x:c r="Z75" s="10" t="str">
        <x:v>3055-005</x:v>
      </x:c>
      <x:c r="AA75" s="11" t="n">
        <x:v>62</x:v>
      </x:c>
      <x:c r="AB75" s="10" t="str">
        <x:v>BR-SPAPESP_DASP-PENITPRE-CSDTCARANDIRU.xlsx:3055-005:62</x:v>
      </x:c>
      <x:c r="AC75" s="11" t="n">
        <x:f>COLUMNS(A75:T75)-COUNTBLANK(A75:T75)</x:f>
        <x:v>20</x:v>
      </x:c>
    </x:row>
    <x:row r="76" ht="84" hidden="0" customHeight="1">
      <x:c r="A76" s="10" t="str">
        <x:v>063</x:v>
      </x:c>
      <x:c r="B76" s="10" t="str">
        <x:v>Missa inaugural da Capela de Nossa Senhora Aparecida, com a presença de Dom Paulo Rolim Loureiro e centenas de detentos (1961)</x:v>
      </x:c>
      <x:c r="C76" s="10" t="str">
        <x:v>Item</x:v>
      </x:c>
      <x:c r="D76" s="10" t="str">
        <x:v>1961-09-09 00:00:00</x:v>
      </x:c>
      <x:c r="E76" s="10" t="str">
        <x:v>Gerado pelo Dataverse</x:v>
      </x:c>
      <x:c r="F76" s="10" t="str">
        <x:v>Fotografia digitalizada; preto e branco; suporte em papel fotográfico</x:v>
      </x:c>
      <x:c r="G76" s="10" t="str">
        <x:v>São Paulo, Brasil</x:v>
      </x:c>
      <x:c r="H76" s="10" t="str">
        <x:v>Arquivo Público do Estado de São Paulo, Jornal Diários Associados</x:v>
      </x:c>
      <x:c r="I76" s="10" t="str">
        <x:v>Estado De São Paulo - Penitenciárias e Presídios - Casa de Detenção de São Paulo no Carandiru (Fotografias)</x:v>
      </x:c>
      <x:c r="J76" s="10" t="str">
        <x:v>Caixa: 3055 Folder: 5</x:v>
      </x:c>
      <x:c r="K76" s="10" t="str">
        <x:v>BR-SPAPESP_DASP-PENITPRE-CSDTCARANDIRU_ICO-FOT-DGZ-MT0_3055-005-063</x:v>
      </x:c>
      <x:c r="L76"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76" s="10" t="str">
        <x:v>A fotografia em preto e branco, capturada em plano alto (aéreo), registra uma missa ou solenidade religiosa no pátio interno da Casa de Detenção. Uma multidão de detentos está reunida e organizada em filas, preenchendo o pátio central. O cenário é delimitado por pilares e corredores laterais. No centro da cena, à frente, uma figura vestindo trajes eclesiásticos brancos (identificada no verso como Dom Paulo Rolim Loureiro), preside a cerimônia. Os detentos estão vestidos de forma variada (camisas claras, casacos escuros), com as mãos juntas ou em atitude de respeito. Ao fundo, uma estrutura (possivelmente o altar da capela) é visível. O verso da fotografia, datado de 9 de setembro de 1961, confirma que a imagem é o registro da "benção inaugural da capela de Nossa Senhora Aparecida", que foi construída pelos próprios presos. O texto destaca a presença de Dom Paulo Rolim Loureiro e o bom acabamento da obra.</x:v>
      </x:c>
      <x:c r="N76"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76" s="10" t="str">
        <x:v>Missa inaugural; Solenidade religiosa; Dom Paulo Rolim Loureiro; Capela (inauguração); Detentos (em fila); Fé e religiosidade; Construção (detentos); Casa de Detenção; Carandiru; 1961.</x:v>
      </x:c>
      <x:c r="P76" s="10" t="str">
        <x:v>Fotografia (Iconográfico)</x:v>
      </x:c>
      <x:c r="Q76" s="10" t="str">
        <x:v>Digitalização de fotografia em preto e branco (analógica original)</x:v>
      </x:c>
      <x:c r="R76" s="10" t="str">
        <x:v>Figura n – [Missa inaugural da Capela de Nossa Senhora Aparecida, com a presença de Dom Paulo Rolim Loureiro e centenas de detentos (1961)] Fonte: Arquivo Público do Estado de São Paulo, 1961.</x:v>
      </x:c>
      <x:c r="S76" s="10" t="str">
        <x:v>ARQUIVO PÚBLICO DO ESTADO DE SÃO PAULO (Brasil). [Missa inaugural da Capela de Nossa Senhora Aparecida, com a presença de Dom Paulo Rolim Loureiro e centenas de detentos (1961)]. São Paulo, Brasil. 09 set. 1961. Fotografia digitalizada; preto e branco; suporte em papel fotográfico. Disponível em: &lt;link do dataverse&gt;. Acesso em: 28 out. 2025.</x:v>
      </x:c>
      <x:c r="T76" s="10" t="str">
        <x:v>Estado de São Paulo Penitenciárias e presídios – Casa de Detenção de São Paulo no Carandiru – (São Paulo) Inaugurada a capela do pavilhão nº oito da Casa de Detenção. Contrita e respeitosamente, toda a população carcerária da Casa de Detenção de São Paulo no Carandiru assiste à missa inaugural do pavilhão número oito. DN., ed. única, 9/9/1961 acf.</x:v>
      </x:c>
      <x:c r="U76" s="10" t="str">
        <x:v>ICO</x:v>
      </x:c>
      <x:c r="V76" s="10" t="str">
        <x:v>FOT</x:v>
      </x:c>
      <x:c r="W76" s="10" t="str">
        <x:v>DGZ</x:v>
      </x:c>
      <x:c r="X76" s="10" t="str">
        <x:v>MT0</x:v>
      </x:c>
      <x:c r="Y76" s="10" t="str">
        <x:v>BR-SPAPESP_DASP-PENITPRE-CSDTCARANDIRU.xlsx</x:v>
      </x:c>
      <x:c r="Z76" s="10" t="str">
        <x:v>3055-005</x:v>
      </x:c>
      <x:c r="AA76" s="11" t="n">
        <x:v>63</x:v>
      </x:c>
      <x:c r="AB76" s="10" t="str">
        <x:v>BR-SPAPESP_DASP-PENITPRE-CSDTCARANDIRU.xlsx:3055-005:63</x:v>
      </x:c>
      <x:c r="AC76" s="11" t="n">
        <x:f>COLUMNS(A76:T76)-COUNTBLANK(A76:T76)</x:f>
        <x:v>20</x:v>
      </x:c>
    </x:row>
    <x:row r="77" ht="84" hidden="0" customHeight="1">
      <x:c r="A77" s="10" t="str">
        <x:v>064</x:v>
      </x:c>
      <x:c r="B77" s="10" t="str">
        <x:v>Soldados armados e em posto de vigilância no topo da muralha da nova Casa de Detenção (1956)</x:v>
      </x:c>
      <x:c r="C77" s="10" t="str">
        <x:v>Item</x:v>
      </x:c>
      <x:c r="D77" s="10" t="str">
        <x:v>1956-09-12 00:00:00</x:v>
      </x:c>
      <x:c r="E77" s="10" t="str">
        <x:v>Gerado pelo Dataverse</x:v>
      </x:c>
      <x:c r="F77" s="10" t="str">
        <x:v>Fotografia digitalizada; preto e branco; suporte em papel fotográfico</x:v>
      </x:c>
      <x:c r="G77" s="10" t="str">
        <x:v>São Paulo, Brasil</x:v>
      </x:c>
      <x:c r="H77" s="10" t="str">
        <x:v>Arquivo Público do Estado de São Paulo, Jornal Diários Associados</x:v>
      </x:c>
      <x:c r="I77" s="10" t="str">
        <x:v>Estado De São Paulo - Penitenciárias e Presídios - Casa de Detenção de São Paulo no Carandiru (Fotografias)</x:v>
      </x:c>
      <x:c r="J77" s="10" t="str">
        <x:v>Caixa: 3055 Folder: 5</x:v>
      </x:c>
      <x:c r="K77" s="10" t="str">
        <x:v>BR-SPAPESP_DASP-PENITPRE-CSDTCARANDIRU_ICO-FOT-DGZ-MT0_3055-005-064</x:v>
      </x:c>
      <x:c r="L77"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77" s="10" t="str">
        <x:v>A fotografia em preto e branco registra um momento de vigilância e segurança ostensiva no topo da muralha da nova Casa de Detenção. Dois soldados ou agentes de segurança estão posicionados no parapeito de concreto, em uma plataforma elevada. O militar em primeiro plano está virado para a lateral, segurando um rifle e portando uma faca/baioneta no cinto, e veste uniforme militar com quepe. O segundo agente, à esquerda, está de lado, usando capacete. O plano de fundo é o céu aberto, e o muro de concreto em ângulo reforça o aspecto de contenção e controle de segurança. O verso da fotografia, datado de 12 de setembro de 1956, confirma que a imagem documenta a "Muralha da nova Casa de Detenção do Carandirú".</x:v>
      </x:c>
      <x:c r="N77"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77" s="10" t="str">
        <x:v>Vigilância; Muralha (segurança); Soldados (serviço); Rifle; Posto de controle; Força Pública; Arquitetura prisional; Muro de contenção; Casa de Detenção; Carandiru; 1956.</x:v>
      </x:c>
      <x:c r="P77" s="10" t="str">
        <x:v>Fotografia (Iconográfico)</x:v>
      </x:c>
      <x:c r="Q77" s="10" t="str">
        <x:v>Digitalização de fotografia em preto e branco (analógica original)</x:v>
      </x:c>
      <x:c r="R77" s="10" t="str">
        <x:v>Figura n – [Soldados armados e em posto de vigilância no topo da muralha da nova Casa de Detenção (1956)] Fonte: Arquivo Público do Estado de São Paulo, 1956.</x:v>
      </x:c>
      <x:c r="S77" s="10" t="str">
        <x:v>ARQUIVO PÚBLICO DO ESTADO DE SÃO PAULO (Brasil). [Soldados armados e em posto de vigilância no topo da muralha da nova Casa de Detenção (1956)]. São Paulo, Brasil. 12 set. 1956. Fotografia digitalizada; preto e branco; suporte em papel fotográfico. Disponível em: &lt;link do dataverse&gt;. Acesso em: 28 out. 2025.</x:v>
      </x:c>
      <x:c r="T77" s="10" t="str">
        <x:v>Estado de São Paulo – Penitenciárias e Presídios – Casa de Detenção (Carandiru) Muralha da nova Casa de Detenção de São Paulo no Carandiru. Arq., 12/9/1956 – JL</x:v>
      </x:c>
      <x:c r="U77" s="10" t="str">
        <x:v>ICO</x:v>
      </x:c>
      <x:c r="V77" s="10" t="str">
        <x:v>FOT</x:v>
      </x:c>
      <x:c r="W77" s="10" t="str">
        <x:v>DGZ</x:v>
      </x:c>
      <x:c r="X77" s="10" t="str">
        <x:v>MT0</x:v>
      </x:c>
      <x:c r="Y77" s="10" t="str">
        <x:v>BR-SPAPESP_DASP-PENITPRE-CSDTCARANDIRU.xlsx</x:v>
      </x:c>
      <x:c r="Z77" s="10" t="str">
        <x:v>3055-005</x:v>
      </x:c>
      <x:c r="AA77" s="11" t="n">
        <x:v>64</x:v>
      </x:c>
      <x:c r="AB77" s="10" t="str">
        <x:v>BR-SPAPESP_DASP-PENITPRE-CSDTCARANDIRU.xlsx:3055-005:64</x:v>
      </x:c>
      <x:c r="AC77" s="11" t="n">
        <x:f>COLUMNS(A77:T77)-COUNTBLANK(A77:T77)</x:f>
        <x:v>20</x:v>
      </x:c>
    </x:row>
    <x:row r="78" ht="84" hidden="0" customHeight="1">
      <x:c r="A78" s="10" t="str">
        <x:v>065</x:v>
      </x:c>
      <x:c r="B78" s="10" t="str">
        <x:v>Foto Pavilhão 8, inauguração da capela (1961)</x:v>
      </x:c>
      <x:c r="C78" s="10" t="str">
        <x:v>Item</x:v>
      </x:c>
      <x:c r="D78" s="10" t="str">
        <x:v>1961-09-09 00:00:00</x:v>
      </x:c>
      <x:c r="E78" s="10" t="str">
        <x:v>Gerado pelo Dataverse</x:v>
      </x:c>
      <x:c r="F78" s="10" t="str">
        <x:v>Fotografia digitalizada; preto e branco; suporte em papel fotográfico</x:v>
      </x:c>
      <x:c r="G78" s="10" t="str">
        <x:v>São Paulo, Brasil</x:v>
      </x:c>
      <x:c r="H78" s="10" t="str">
        <x:v>Arquivo Público do Estado de São Paulo, Jornal Diários Associados</x:v>
      </x:c>
      <x:c r="I78" s="10" t="str">
        <x:v>Estado De São Paulo - Penitenciárias e Presídios - Casa de Detenção de São Paulo no Carandiru (Fotografias)</x:v>
      </x:c>
      <x:c r="J78" s="10" t="str">
        <x:v>Caixa: 3055 Folder: 5</x:v>
      </x:c>
      <x:c r="K78" s="10" t="str">
        <x:v>BR-SPAPESP_DASP-PENITPRE-CSDTCARANDIRU_ICO-FOT-DGZ-MT0_3055-005-065</x:v>
      </x:c>
      <x:c r="L78"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78" s="10" t="str">
        <x:v>A fotografia em preto e branco, capturada em plano alto (aéreo), registra uma missa ou solenidade religiosa no pátio interno de um pavilhão da Casa de Detenção. Uma multidão de detentos está reunida e organizada em filas no pátio, que é delimitado por edifícios com arcadas e corredores laterais. No centro da multidão, uma figura vestindo trajes eclesiásticos claros e escuros (o sacerdote) preside a cerimônia, caminhando no corredor central. Os detentos estão vestidos com camisas e casacos, predominantemente em tons escuros e claros, e estão em atitude de respeito e concentração. A disposição da população carcerária, em grandes números, é organizada, o que o verso descreve como "Contrita e respeitosamente". O verso da fotografia, datado de 9 de setembro de 1961, confirma que a imagem documenta a "missa inaugural do Pavilhão número oito" após a inauguração da capela no local.</x:v>
      </x:c>
      <x:c r="N78"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78" s="10" t="str">
        <x:v>Missa inaugural; Solenidade religiosa; Sacerdote; Detentos (população); Pavilhão 8; Disciplina prisional; Religião (prisão); Aglomeração; Casa de Detenção; Carandiru; 1961.</x:v>
      </x:c>
      <x:c r="P78" s="10" t="str">
        <x:v>Fotografia (Iconográfico)</x:v>
      </x:c>
      <x:c r="Q78" s="10" t="str">
        <x:v>Digitalização de fotografia em preto e branco (analógica original)</x:v>
      </x:c>
      <x:c r="R78" s="10" t="str">
        <x:v>Figura n – [Foto Pavilhão 8, inauguração da capela (1961)] Fonte: Arquivo Público do Estado de São Paulo, 1961.</x:v>
      </x:c>
      <x:c r="S78" s="10" t="str">
        <x:v>ARQUIVO PÚBLICO DO ESTADO DE SÃO PAULO (Brasil). [Foto Pavilhão 8, inauguração da capela (1961)]. São Paulo, Brasil. 09 set. 1961. Fotografia digitalizada; preto e branco; suporte em papel fotográfico. Disponível em: &lt;link do dataverse&gt;. Acesso em: 28 out. 2025.</x:v>
      </x:c>
      <x:c r="T78" s="10" t="str">
        <x:v>Estado de São Paulo – Penitenciárias e Presídios – Casa de Detenção de São Paulo no Carandiru (São Paulo) Inaugurada a capela do pavilhão número oito da Casa de Detenção Contrita e respeitosamente, toda a população carcerária da Casa de Detenção de São Paulo no Carandiru assistiu à missa inaugural do Pavilhão número oito. DN, ed. única, 9/9/1961 – ACF</x:v>
      </x:c>
      <x:c r="U78" s="10" t="str">
        <x:v>ICO</x:v>
      </x:c>
      <x:c r="V78" s="10" t="str">
        <x:v>FOT</x:v>
      </x:c>
      <x:c r="W78" s="10" t="str">
        <x:v>DGZ</x:v>
      </x:c>
      <x:c r="X78" s="10" t="str">
        <x:v>MT0</x:v>
      </x:c>
      <x:c r="Y78" s="10" t="str">
        <x:v>BR-SPAPESP_DASP-PENITPRE-CSDTCARANDIRU.xlsx</x:v>
      </x:c>
      <x:c r="Z78" s="10" t="str">
        <x:v>3055-005</x:v>
      </x:c>
      <x:c r="AA78" s="11" t="n">
        <x:v>65</x:v>
      </x:c>
      <x:c r="AB78" s="10" t="str">
        <x:v>BR-SPAPESP_DASP-PENITPRE-CSDTCARANDIRU.xlsx:3055-005:65</x:v>
      </x:c>
      <x:c r="AC78" s="11" t="n">
        <x:f>COLUMNS(A78:T78)-COUNTBLANK(A78:T78)</x:f>
        <x:v>20</x:v>
      </x:c>
    </x:row>
    <x:row r="79" ht="84" hidden="0" customHeight="1">
      <x:c r="A79" s="10" t="str">
        <x:v>066</x:v>
      </x:c>
      <x:c r="B79" s="10" t="str">
        <x:v>Placas de obras da Casa de Detenção e do Departamento de Obras Públicas (DOP) durante a gestão do Governador Jânio Quadros (1957)</x:v>
      </x:c>
      <x:c r="C79" s="10" t="str">
        <x:v>Item</x:v>
      </x:c>
      <x:c r="D79" s="10" t="str">
        <x:v>1957-12-11 00:00:00</x:v>
      </x:c>
      <x:c r="E79" s="10" t="str">
        <x:v>Gerado pelo Dataverse</x:v>
      </x:c>
      <x:c r="F79" s="10" t="str">
        <x:v>Fotografia digitalizada; preto e branco; suporte em papel fotográfico</x:v>
      </x:c>
      <x:c r="G79" s="10" t="str">
        <x:v>São Paulo, Brasil</x:v>
      </x:c>
      <x:c r="H79" s="10" t="str">
        <x:v>Arquivo Público do Estado de São Paulo, Jornal Diários Associados</x:v>
      </x:c>
      <x:c r="I79" s="10" t="str">
        <x:v>Estado De São Paulo - Penitenciárias e Presídios - Casa de Detenção de São Paulo no Carandiru (Fotografias)</x:v>
      </x:c>
      <x:c r="J79" s="10" t="str">
        <x:v>Caixa: 3055 Folder: 5</x:v>
      </x:c>
      <x:c r="K79" s="10" t="str">
        <x:v>BR-SPAPESP_DASP-PENITPRE-CSDTCARANDIRU_ICO-FOT-DGZ-MT0_3055-005-066</x:v>
      </x:c>
      <x:c r="L79"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79" s="10" t="str">
        <x:v>A fotografia em preto e branco registra um conjunto de grandes placas de obras em um canteiro de construção da Casa de Detenção. O foco está na placa central branca, que identifica a administração responsável: "OBRAS DO GOVERNO DO ESTADO DE S. PAULO / GOVERNADOR JANIO QUADROS", e lista autoridades como o Secretário da Viação, J. V. de Faria Lima, e o Diretor Pietro J. G. Ghirardi. Outras placas (pretas e escuras) indicam que se trata de "OBRAS DA CASA DE DETENÇÃO" e citam o D.O.P. (Departamento de Obras Públicas) e empresas de construção (como Piemonte Fanganiello). O verso da fotografia, datado de 11 de dezembro de 1957, contextualiza a imagem de forma crítica, lamentando que as obras "não tiveram prosseguimento na atual" administração (Jânio Quadros, que assumiu em 1955), resultando na conclusão de apenas dois dos sete edifícios planejados.</x:v>
      </x:c>
      <x:c r="N79"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79" s="10" t="str">
        <x:v>Obras (presídio); Placa de construção; Governador Jânio Quadros; DOP (Departamento de Obras Públicas); J.V. de Faria Lima; Pietro Ghirardi; Paralisação (obras); Casa de Detenção; Carandiru; 1957.</x:v>
      </x:c>
      <x:c r="P79" s="10" t="str">
        <x:v>Fotografia (Iconográfico)</x:v>
      </x:c>
      <x:c r="Q79" s="10" t="str">
        <x:v>Digitalização de fotografia em preto e branco (analógica original)</x:v>
      </x:c>
      <x:c r="R79" s="10" t="str">
        <x:v>Figura n – [Placas de obras da Casa de Detenção e do Departamento de Obras Públicas (DOP) durante a gestão do Governador Jânio Quadros (1957)] Fonte: Arquivo Público do Estado de São Paulo, 1957.</x:v>
      </x:c>
      <x:c r="S79" s="10" t="str">
        <x:v>ARQUIVO PÚBLICO DO ESTADO DE SÃO PAULO (Brasil). [Placas de obras da Casa de Detenção e do Departamento de Obras Públicas (DOP) durante a gestão do Governador Jânio Quadros (1957)]. São Paulo, Brasil. 11 dez. 1957. Fotografia digitalizada; preto e branco; suporte em papel fotográfico. Disponível em: &lt;link do dataverse&gt;. Acesso em: 28 out. 2025.</x:v>
      </x:c>
      <x:c r="T79" s="10" t="str">
        <x:v>Estado de São Paulo – Penitenciárias e Presídios – Casa de Detenção Ficou na estrutura o maior conjunto carcerário da nova Casa de Detenção Placas inúteis, que nada dizem, pois as obras da nova Casa de Detenção, iniciadas na administração anterior, não tiveram prosseguimento na atual. Apenas foram terminados dois dos sete edifícios. DN, 2ª ed., 11/12/1957 – JL</x:v>
      </x:c>
      <x:c r="U79" s="10" t="str">
        <x:v>ICO</x:v>
      </x:c>
      <x:c r="V79" s="10" t="str">
        <x:v>FOT</x:v>
      </x:c>
      <x:c r="W79" s="10" t="str">
        <x:v>DGZ</x:v>
      </x:c>
      <x:c r="X79" s="10" t="str">
        <x:v>MT0</x:v>
      </x:c>
      <x:c r="Y79" s="10" t="str">
        <x:v>BR-SPAPESP_DASP-PENITPRE-CSDTCARANDIRU.xlsx</x:v>
      </x:c>
      <x:c r="Z79" s="10" t="str">
        <x:v>3055-005</x:v>
      </x:c>
      <x:c r="AA79" s="11" t="n">
        <x:v>66</x:v>
      </x:c>
      <x:c r="AB79" s="10" t="str">
        <x:v>BR-SPAPESP_DASP-PENITPRE-CSDTCARANDIRU.xlsx:3055-005:66</x:v>
      </x:c>
      <x:c r="AC79" s="11" t="n">
        <x:f>COLUMNS(A79:T79)-COUNTBLANK(A79:T79)</x:f>
        <x:v>20</x:v>
      </x:c>
    </x:row>
    <x:row r="80" ht="84" hidden="0" customHeight="1">
      <x:c r="A80" s="10" t="str">
        <x:v>067</x:v>
      </x:c>
      <x:c r="B80" s="10" t="str">
        <x:v>Fachada, 12.09.1956. Legenda indica reutilização em 1965</x:v>
      </x:c>
      <x:c r="C80" s="10" t="str">
        <x:v>Item</x:v>
      </x:c>
      <x:c r="D80" s="10" t="str">
        <x:v>1956-09-12 00:00:00</x:v>
      </x:c>
      <x:c r="E80" s="10" t="str">
        <x:v>Gerado pelo Dataverse</x:v>
      </x:c>
      <x:c r="F80" s="10" t="str">
        <x:v>Fotografia digitalizada; preto e branco; suporte em papel fotográfico</x:v>
      </x:c>
      <x:c r="G80" s="10" t="str">
        <x:v>São Paulo, Brasil</x:v>
      </x:c>
      <x:c r="H80" s="10" t="str">
        <x:v>Arquivo Público do Estado de São Paulo, Jornal Diários Associados</x:v>
      </x:c>
      <x:c r="I80" s="10" t="str">
        <x:v>Estado De São Paulo - Penitenciárias e Presídios - Casa de Detenção de São Paulo no Carandiru (Fotografias)</x:v>
      </x:c>
      <x:c r="J80" s="10" t="str">
        <x:v>Caixa: 3055 Folder: 5</x:v>
      </x:c>
      <x:c r="K80" s="10" t="str">
        <x:v>BR-SPAPESP_DASP-PENITPRE-CSDTCARANDIRU_ICO-FOT-DGZ-MT0_3055-005-067</x:v>
      </x:c>
      <x:c r="L80"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80" s="10" t="str">
        <x:v>A fotografia em preto e branco registra a fachada iluminada e a entrada principal da Casa de Detenção à noite, sugerindo um momento de urgência ou de movimentação fora do horário padrão. O letreiro "CASA DE DETENÇÃO" é proeminente no alto da estrutura. A fachada é caracterizada por grandes janelas gradeadas. Em primeiro plano, no lado direito, um carro escuro está estacionado. Há figuras de pessoas reunidas próximas à porta de acesso. O verso da fotografia possui duas legendas. A primeira identifica a foto como o "Pátio interno" (o que é contestado pela arquitetura que se assemelha a uma fachada/portaria) da nova Casa de Detenção, com data de arquivo em 12/9/1956. A segunda legenda é uma manchete de 14/11/1965: "OS FRIOS MUROS DE CONCRETO".</x:v>
      </x:c>
      <x:c r="N80"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80" s="10" t="str">
        <x:v>Fachada (prédio); Entrada principal; Vigilância noturna; Carro (serviço/imprensa); Arquitetura prisional; Muros de concreto; Casa de Detenção; Carandiru; 1956; 1965.</x:v>
      </x:c>
      <x:c r="P80" s="10" t="str">
        <x:v>Fotografia (Iconográfico)</x:v>
      </x:c>
      <x:c r="Q80" s="10" t="str">
        <x:v>Digitalização de fotografia em preto e branco (analógica original)</x:v>
      </x:c>
      <x:c r="R80" s="10" t="str">
        <x:v>Figura n – [Fachada, 12.09.1956. Legenda indica reutilização em 1965] Fonte: Arquivo Público do Estado de São Paulo, 1956.</x:v>
      </x:c>
      <x:c r="S80" s="10" t="str">
        <x:v>ARQUIVO PÚBLICO DO ESTADO DE SÃO PAULO (Brasil). [Fachada, 12.09.1956. Legenda indica reutilização em 1965]. São Paulo, Brasil. 12 set. 1956. Fotografia digitalizada; preto e branco; suporte em papel fotográfico. Disponível em: &lt;link do dataverse&gt;. Acesso em: 28 out. 2025.</x:v>
      </x:c>
      <x:c r="T80" s="10" t="str">
        <x:v>Estado de São Paulo – Penitenciárias e Presídios – Casa de Detenção (Carandiru) Pátio interno da nova Casa de Detenção de São Paulo no Carandiru. Os frios muros de concreto Arq., 12/9/1956 – JL DSP, Supl. Bairros, 14/11/1965 – DRB</x:v>
      </x:c>
      <x:c r="U80" s="10" t="str">
        <x:v>ICO</x:v>
      </x:c>
      <x:c r="V80" s="10" t="str">
        <x:v>FOT</x:v>
      </x:c>
      <x:c r="W80" s="10" t="str">
        <x:v>DGZ</x:v>
      </x:c>
      <x:c r="X80" s="10" t="str">
        <x:v>MT0</x:v>
      </x:c>
      <x:c r="Y80" s="10" t="str">
        <x:v>BR-SPAPESP_DASP-PENITPRE-CSDTCARANDIRU.xlsx</x:v>
      </x:c>
      <x:c r="Z80" s="10" t="str">
        <x:v>3055-005</x:v>
      </x:c>
      <x:c r="AA80" s="11" t="n">
        <x:v>67</x:v>
      </x:c>
      <x:c r="AB80" s="10" t="str">
        <x:v>BR-SPAPESP_DASP-PENITPRE-CSDTCARANDIRU.xlsx:3055-005:67</x:v>
      </x:c>
      <x:c r="AC80" s="11" t="n">
        <x:f>COLUMNS(A80:T80)-COUNTBLANK(A80:T80)</x:f>
        <x:v>20</x:v>
      </x:c>
    </x:row>
    <x:row r="81" ht="84" hidden="0" customHeight="1">
      <x:c r="A81" s="10" t="str">
        <x:v>68F</x:v>
      </x:c>
      <x:c r="B81" s="10" t="str">
        <x:v>Diretor (Coronel Fernão Guedes) e oficiais inspecionando o pátio do pavilhão Nove após a tentativa de fuga no Carandiru (1973)</x:v>
      </x:c>
      <x:c r="C81" s="10" t="str">
        <x:v>Item</x:v>
      </x:c>
      <x:c r="D81" s="10" t="str">
        <x:v>1973-11-07 00:00:00</x:v>
      </x:c>
      <x:c r="E81" s="10" t="str">
        <x:v>Gerado pelo Dataverse</x:v>
      </x:c>
      <x:c r="F81" s="10" t="str">
        <x:v>Fotografia digitalizada; preto e branco; suporte em papel fotográfico</x:v>
      </x:c>
      <x:c r="G81" s="10" t="str">
        <x:v>São Paulo, Brasil</x:v>
      </x:c>
      <x:c r="H81" s="10" t="str">
        <x:v>Arquivo Público do Estado de São Paulo, Jornal Diários Associados</x:v>
      </x:c>
      <x:c r="I81" s="10" t="str">
        <x:v>Estado De São Paulo - Penitenciárias e Presídios - Casa de Detenção de São Paulo no Carandiru (Fotografias)</x:v>
      </x:c>
      <x:c r="J81" s="10" t="str">
        <x:v>Caixa: 3055 Folder: 5</x:v>
      </x:c>
      <x:c r="K81" s="10" t="str">
        <x:v>BR-SPAPESP_DASP-PENITPRE-CSDTCARANDIRU_ICO-FOT-DGZ-MT0_3055-005-068F</x:v>
      </x:c>
      <x:c r="L81"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81" s="10" t="str">
        <x:v>A fotografia em preto e branco registra um momento de inspeção e controle militar/oficial no pátio interno de um pavilhão da Casa de Detenção. O enquadramento, feito por baixo de uma cobertura (teto), cria uma moldura escura para o pátio central, que é cercado por um edifício branco de múltiplos andares com janelas gradeadas. Figuras de militares e agentes de segurança (em uniformes escuros e chapéus/quepe) estão reunidas no pátio. A figura central, que está de costas (provavelmente o Diretor Coronel Fernão Guedes), aponta o braço estendido para o pátio, em um gesto de comando ou indicação. O verso da fotografia, datado de 7 de novembro de 1973, contextualiza a cena como o período imediatamente posterior a uma "tentativa de fuga" no presídio. O texto menciona o envolvimento do Coronel Fernão Guedes, Diretor da Casa de Detenção, no esclarecimento do incidente que envolveu presos recolhidos do Pavilhão Nove.</x:v>
      </x:c>
      <x:c r="N81"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81" s="10" t="str">
        <x:v>Tentativa de fuga; Motim (rebelião); Coronel Fernão Guedes; Diretor prisional; Inspeção militar; Pátio (interno); Pavilhão Nove; Crise prisional; Casa de Detenção; Carandiru; 1973.</x:v>
      </x:c>
      <x:c r="P81" s="10" t="str">
        <x:v>Fotografia (Iconográfico)</x:v>
      </x:c>
      <x:c r="Q81" s="10" t="str">
        <x:v>Digitalização de fotografia em preto e branco (analógica original)</x:v>
      </x:c>
      <x:c r="R81" s="10" t="str">
        <x:v>Figura n – [Diretor (Coronel Fernão Guedes) e oficiais inspecionando o pátio do pavilhão Nove após a tentativa de fuga no Carandiru (1973)] Fonte: Arquivo Público do Estado de São Paulo, 1973.</x:v>
      </x:c>
      <x:c r="S81" s="10" t="str">
        <x:v>ARQUIVO PÚBLICO DO ESTADO DE SÃO PAULO (Brasil). [Diretor (Coronel Fernão Guedes) e oficiais inspecionando o pátio do pavilhão Nove após a tentativa de fuga no Carandiru (1973)]. São Paulo, Brasil. 07 nov. 1973. Fotografia digitalizada; preto e branco; suporte em papel fotográfico. Disponível em: &lt;link do dataverse&gt;. Acesso em: 28 out. 2025.</x:v>
      </x:c>
      <x:c r="T81" s="10" t="str">
        <x:v>Estado de São Paulo – Penitenciárias e Presídios – Casa de Detenção Carandiru Enquanto o edifício era rigorosamente vigiado na ala externa, o diretor da Casa de Detenção sufocava o movimento de fuga. [Texto em pequeno retângulo, recorte de matéria] A rapidez com que explodiu e foi dominada uma tentativa de fuga, segunda-feira à noite, na Casa de Detenção, deu origem a informações desencontradas sobre uma rebelião naquele presídio, sem que, até ontem à tarde, tivesse sido revelado o que realmente acontecera. No entanto, o coronel Fernão Guedes, diretor da Casa de Detenção, esclareceria, no final do dia, o incidente que envolveu-o diretamente, mais três presos recolhidos do Pavilhão Nove, e outras seis pessoas, entre funcionários e detentos. DN, 1ª ed., 7/11/1973 – MBC</x:v>
      </x:c>
      <x:c r="U81" s="10" t="str">
        <x:v>ICO</x:v>
      </x:c>
      <x:c r="V81" s="10" t="str">
        <x:v>FOT</x:v>
      </x:c>
      <x:c r="W81" s="10" t="str">
        <x:v>DGZ</x:v>
      </x:c>
      <x:c r="X81" s="10" t="str">
        <x:v>MT0</x:v>
      </x:c>
      <x:c r="Y81" s="10" t="str">
        <x:v>BR-SPAPESP_DASP-PENITPRE-CSDTCARANDIRU.xlsx</x:v>
      </x:c>
      <x:c r="Z81" s="10" t="str">
        <x:v>3055-005</x:v>
      </x:c>
      <x:c r="AA81" s="11" t="n">
        <x:v>68</x:v>
      </x:c>
      <x:c r="AB81" s="10" t="str">
        <x:v>BR-SPAPESP_DASP-PENITPRE-CSDTCARANDIRU.xlsx:3055-005:68</x:v>
      </x:c>
      <x:c r="AC81" s="11" t="n">
        <x:f>COLUMNS(A81:T81)-COUNTBLANK(A81:T81)</x:f>
        <x:v>20</x:v>
      </x:c>
    </x:row>
    <x:row r="82" ht="84" hidden="0" customHeight="1">
      <x:c r="A82" s="10" t="str">
        <x:v>069</x:v>
      </x:c>
      <x:c r="B82" s="10" t="str">
        <x:v>“Soldados de serviço” nas muralhas (12.11.1956)</x:v>
      </x:c>
      <x:c r="C82" s="10" t="str">
        <x:v>Item</x:v>
      </x:c>
      <x:c r="D82" s="10" t="str">
        <x:v>1956-09-12 00:00:00</x:v>
      </x:c>
      <x:c r="E82" s="10" t="str">
        <x:v>Gerado pelo Dataverse</x:v>
      </x:c>
      <x:c r="F82" s="10" t="str">
        <x:v>Fotografia digitalizada; preto e branco; suporte em papel fotográfico</x:v>
      </x:c>
      <x:c r="G82" s="10" t="str">
        <x:v>São Paulo, Brasil</x:v>
      </x:c>
      <x:c r="H82" s="10" t="str">
        <x:v>Arquivo Público do Estado de São Paulo, Jornal Diários Associados</x:v>
      </x:c>
      <x:c r="I82" s="10" t="str">
        <x:v>Estado De São Paulo - Penitenciárias e Presídios - Casa de Detenção de São Paulo no Carandiru (Fotografias)</x:v>
      </x:c>
      <x:c r="J82" s="10" t="str">
        <x:v>Caixa: 3055 Folder: 5</x:v>
      </x:c>
      <x:c r="K82" s="10" t="str">
        <x:v>BR-SPAPESP_DASP-PENITPRE-CSDTCARANDIRU_ICO-FOT-DGZ-MT0_3055-005-069</x:v>
      </x:c>
      <x:c r="L82"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82" s="10" t="str">
        <x:v>A fotografia em preto e branco registra um momento de vigilância ostensiva no perímetro externo do Complexo Carandiru. A cena é capturada no topo da muralha de concreto, mostrando um soldado ou agente de segurança parado em posição de guarda na estreita passarela. O agente está de perfil, vestindo uniforme militar com capacete e segurando um rifle com baioneta ou faca acoplada. A altura do muro sugere uma grande separação entre o interior e o exterior. Ao fundo, no canto superior direito, parte de um dos pavilhões é visível. O verso da fotografia, datado de 12 de setembro de 1956, confirma que a imagem documenta a "Muralha externa da nova Casa de Detenção do Carandirú".</x:v>
      </x:c>
      <x:c r="N82"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82" s="10" t="str">
        <x:v>Vigilância; Muralha externa; Soldado (serviço); Rifle; Arquitetura prisional; Muro de contenção; Segurança perimetral; Casa de Detenção; Carandiru; 1956.</x:v>
      </x:c>
      <x:c r="P82" s="10" t="str">
        <x:v>Fotografia (Iconográfico)</x:v>
      </x:c>
      <x:c r="Q82" s="10" t="str">
        <x:v>Digitalização de fotografia em preto e branco (analógica original)</x:v>
      </x:c>
      <x:c r="R82" s="10" t="str">
        <x:v>Figura n – [“Soldados de serviço” nas muralhas (12.11.1956)] Fonte: Arquivo Público do Estado de São Paulo, 1956.</x:v>
      </x:c>
      <x:c r="S82" s="10" t="str">
        <x:v>ARQUIVO PÚBLICO DO ESTADO DE SÃO PAULO (Brasil). [“Soldados de serviço” nas muralhas (12.11.1956)]. São Paulo, Brasil. 12 set. 1956. Fotografia digitalizada; preto e branco; suporte em papel fotográfico. Disponível em: &lt;link do dataverse&gt;. Acesso em: 28 out. 2025.</x:v>
      </x:c>
      <x:c r="T82" s="10" t="str">
        <x:v>Estado de São Paulo – Penitenciárias e Presídios – Casa de Detenção – São Paulo (Carandiru) Muralha externa da nova Casa de Detenção de São Paulo no Carandiru. Arq., 12/9/1956 – JL</x:v>
      </x:c>
      <x:c r="U82" s="10" t="str">
        <x:v>ICO</x:v>
      </x:c>
      <x:c r="V82" s="10" t="str">
        <x:v>FOT</x:v>
      </x:c>
      <x:c r="W82" s="10" t="str">
        <x:v>DGZ</x:v>
      </x:c>
      <x:c r="X82" s="10" t="str">
        <x:v>MT0</x:v>
      </x:c>
      <x:c r="Y82" s="10" t="str">
        <x:v>BR-SPAPESP_DASP-PENITPRE-CSDTCARANDIRU.xlsx</x:v>
      </x:c>
      <x:c r="Z82" s="10" t="str">
        <x:v>3055-005</x:v>
      </x:c>
      <x:c r="AA82" s="11" t="n">
        <x:v>69</x:v>
      </x:c>
      <x:c r="AB82" s="10" t="str">
        <x:v>BR-SPAPESP_DASP-PENITPRE-CSDTCARANDIRU.xlsx:3055-005:69</x:v>
      </x:c>
      <x:c r="AC82" s="11" t="n">
        <x:f>COLUMNS(A82:T82)-COUNTBLANK(A82:T82)</x:f>
        <x:v>20</x:v>
      </x:c>
    </x:row>
    <x:row r="83" ht="84" hidden="0" customHeight="1">
      <x:c r="A83" s="10" t="str">
        <x:v>070</x:v>
      </x:c>
      <x:c r="B83" s="10" t="str">
        <x:v>Grupo de soldados armados em formação no Pátio da Casa da Guarda, na inauguração da Casa de Detenção (1956)</x:v>
      </x:c>
      <x:c r="C83" s="10" t="str">
        <x:v>Item</x:v>
      </x:c>
      <x:c r="D83" s="10" t="str">
        <x:v>1956-09-12 00:00:00</x:v>
      </x:c>
      <x:c r="E83" s="10" t="str">
        <x:v>Gerado pelo Dataverse</x:v>
      </x:c>
      <x:c r="F83" s="10" t="str">
        <x:v>Fotografia digitalizada; preto e branco; suporte em papel fotográfico</x:v>
      </x:c>
      <x:c r="G83" s="10" t="str">
        <x:v>São Paulo, Brasil</x:v>
      </x:c>
      <x:c r="H83" s="10" t="str">
        <x:v>Arquivo Público do Estado de São Paulo, Jornal Diários Associados</x:v>
      </x:c>
      <x:c r="I83" s="10" t="str">
        <x:v>Estado De São Paulo - Penitenciárias e Presídios - Casa de Detenção de São Paulo no Carandiru (Fotografias)</x:v>
      </x:c>
      <x:c r="J83" s="10" t="str">
        <x:v>Caixa: 3055 Folder: 5</x:v>
      </x:c>
      <x:c r="K83" s="10" t="str">
        <x:v>BR-SPAPESP_DASP-PENITPRE-CSDTCARANDIRU_ICO-FOT-DGZ-MT0_3055-005-070</x:v>
      </x:c>
      <x:c r="L83"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83" s="10" t="str">
        <x:v>A fotografia em preto e branco registra um momento de formação e prontidão militar no que o verso identifica como o "Pátio da Casa da Guarda" da nova Casa de Detenção. Em primeiro plano, o pátio tem o chão de paralelepípedos ou tijolos, e grandes colunas laterais em concreto (estrutura do prédio). No centro, um grupo de soldados está reunido em formação, usando uniformes militares e capacetes, e portando armas longas (rifles), sugerindo uma inspeção, treinamento ou momento de prontidão. Ao fundo, um muro alto com uma passarela de metal em cima delimita o espaço. O verso da fotografia, datado de 12 de setembro de 1956, confirma que a imagem documenta o Pátio da Casa da Guarda por ocasião da inauguração.</x:v>
      </x:c>
      <x:c r="N83"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83" s="10" t="str">
        <x:v>Pátio Casa da Guarda; Formação militar; Soldados (prontidão); Armas (rifles); Inauguração (presídio); Força Pública; Vigilância; Casa de Detenção; Carandiru; 1956.</x:v>
      </x:c>
      <x:c r="P83" s="10" t="str">
        <x:v>Fotografia (Iconográfico)</x:v>
      </x:c>
      <x:c r="Q83" s="10" t="str">
        <x:v>Digitalização de fotografia em preto e branco (analógica original)</x:v>
      </x:c>
      <x:c r="R83" s="10" t="str">
        <x:v>Figura n – [Grupo de soldados armados em formação no Pátio da Casa da Guarda, na inauguração da Casa de Detenção (1956)] Fonte: Arquivo Público do Estado de São Paulo, 1956.</x:v>
      </x:c>
      <x:c r="S83" s="10" t="str">
        <x:v>ARQUIVO PÚBLICO DO ESTADO DE SÃO PAULO (Brasil). [Grupo de soldados armados em formação no Pátio da Casa da Guarda, na inauguração da Casa de Detenção (1956)]. São Paulo, Brasil. 12 set. 1956. Fotografia digitalizada; preto e branco; suporte em papel fotográfico. Disponível em: &lt;link do dataverse&gt;. Acesso em: 28 out. 2025.</x:v>
      </x:c>
      <x:c r="T83" s="10" t="str">
        <x:v>Estado de São Paulo – Penitenciárias e Presídios – Casa de Detenção – São Paulo (Carandiru) Pátio da Casa da Guarda, da nova Casa de Detenção de São Paulo no Carandiru. Arq., 12/9/1956 – JL</x:v>
      </x:c>
      <x:c r="U83" s="10" t="str">
        <x:v>ICO</x:v>
      </x:c>
      <x:c r="V83" s="10" t="str">
        <x:v>FOT</x:v>
      </x:c>
      <x:c r="W83" s="10" t="str">
        <x:v>DGZ</x:v>
      </x:c>
      <x:c r="X83" s="10" t="str">
        <x:v>MT0</x:v>
      </x:c>
      <x:c r="Y83" s="10" t="str">
        <x:v>BR-SPAPESP_DASP-PENITPRE-CSDTCARANDIRU.xlsx</x:v>
      </x:c>
      <x:c r="Z83" s="10" t="str">
        <x:v>3055-005</x:v>
      </x:c>
      <x:c r="AA83" s="11" t="n">
        <x:v>70</x:v>
      </x:c>
      <x:c r="AB83" s="10" t="str">
        <x:v>BR-SPAPESP_DASP-PENITPRE-CSDTCARANDIRU.xlsx:3055-005:70</x:v>
      </x:c>
      <x:c r="AC83" s="11" t="n">
        <x:f>COLUMNS(A83:T83)-COUNTBLANK(A83:T83)</x:f>
        <x:v>20</x:v>
      </x:c>
    </x:row>
    <x:row r="84" ht="84" hidden="0" customHeight="1">
      <x:c r="A84" s="10" t="str">
        <x:v>071</x:v>
      </x:c>
      <x:c r="B84" s="10" t="str">
        <x:v>Guarda (soldado) armado em serviço de vigilância na passarela dos muros da Casa de Detenção (1956)</x:v>
      </x:c>
      <x:c r="C84" s="10" t="str">
        <x:v>Item</x:v>
      </x:c>
      <x:c r="D84" s="10" t="str">
        <x:v>1956-09-12 00:00:00</x:v>
      </x:c>
      <x:c r="E84" s="10" t="str">
        <x:v>Gerado pelo Dataverse</x:v>
      </x:c>
      <x:c r="F84" s="10" t="str">
        <x:v>Fotografia digitalizada; preto e branco; suporte em papel fotográfico</x:v>
      </x:c>
      <x:c r="G84" s="10" t="str">
        <x:v>São Paulo, Brasil</x:v>
      </x:c>
      <x:c r="H84" s="10" t="str">
        <x:v>Arquivo Público do Estado de São Paulo, Jornal Diários Associados</x:v>
      </x:c>
      <x:c r="I84" s="10" t="str">
        <x:v>Estado De São Paulo - Penitenciárias e Presídios - Casa de Detenção de São Paulo no Carandiru (Fotografias)</x:v>
      </x:c>
      <x:c r="J84" s="10" t="str">
        <x:v>Caixa: 3055 Folder: 5</x:v>
      </x:c>
      <x:c r="K84" s="10" t="str">
        <x:v>BR-SPAPESP_DASP-PENITPRE-CSDTCARANDIRU_ICO-FOT-DGZ-MT0_3055-005-071</x:v>
      </x:c>
      <x:c r="L84"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84" s="10" t="str">
        <x:v>A fotografia em preto e branco registra um agente de segurança em serviço de vigilância em um ponto alto da prisão. A cena é capturada de baixo, focando no agente, que está de costas, em pé em uma passarela estreita (possivelmente uma ponte ou rampa de acesso). O agente veste uniforme militar escuro, usa capacete e carrega um rifle com bandoleira nas costas, enfatizando a prontidão e o estado de alerta. O guarda está cercado por grades e corrimãos laterais. O fundo mostra a estrutura rígida dos muros de concreto sob o céu aberto. O registro mostra a vigilância perimetral do complexo. O verso da fotografia, datado de 12 de setembro de 1956, confirma que a imagem documenta os "Múros de vigilancia da nova Casa de Detenção do Carandirú".</x:v>
      </x:c>
      <x:c r="N84"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84" s="10" t="str">
        <x:v>Vigilância; Muro de contenção; Soldado (serviço); Guarda armado; Passarela (vigilância); Rifle; Segurança perimetral; Casa de Detenção; Carandiru; 1956.</x:v>
      </x:c>
      <x:c r="P84" s="10" t="str">
        <x:v>Fotografia (Iconográfico)</x:v>
      </x:c>
      <x:c r="Q84" s="10" t="str">
        <x:v>Digitalização de fotografia em preto e branco (analógica original)</x:v>
      </x:c>
      <x:c r="R84" s="10" t="str">
        <x:v>Figura n – [Guarda (soldado) armado em serviço de vigilância na passarela dos muros da Casa de Detenção (1956)] Fonte: Arquivo Público do Estado de São Paulo, 1956.</x:v>
      </x:c>
      <x:c r="S84" s="10" t="str">
        <x:v>ARQUIVO PÚBLICO DO ESTADO DE SÃO PAULO (Brasil). [Guarda (soldado) armado em serviço de vigilância na passarela dos muros da Casa de Detenção (1956)]. São Paulo, Brasil. 12 set. 1956. Fotografia digitalizada; preto e branco; suporte em papel fotográfico. Disponível em: &lt;link do dataverse&gt;. Acesso em: 28 out. 2025.</x:v>
      </x:c>
      <x:c r="T84" s="10" t="str">
        <x:v>Estado de São Paulo – Penitenciárias e Presídios – Casa de Detenção (Carandiru) Muros de vigilância da nova Casa de Detenção de São Paulo no Carandiru. Arq., 12/9/1956 – JL</x:v>
      </x:c>
      <x:c r="U84" s="10" t="str">
        <x:v>ICO</x:v>
      </x:c>
      <x:c r="V84" s="10" t="str">
        <x:v>FOT</x:v>
      </x:c>
      <x:c r="W84" s="10" t="str">
        <x:v>DGZ</x:v>
      </x:c>
      <x:c r="X84" s="10" t="str">
        <x:v>MT0</x:v>
      </x:c>
      <x:c r="Y84" s="10" t="str">
        <x:v>BR-SPAPESP_DASP-PENITPRE-CSDTCARANDIRU.xlsx</x:v>
      </x:c>
      <x:c r="Z84" s="10" t="str">
        <x:v>3055-005</x:v>
      </x:c>
      <x:c r="AA84" s="11" t="n">
        <x:v>71</x:v>
      </x:c>
      <x:c r="AB84" s="10" t="str">
        <x:v>BR-SPAPESP_DASP-PENITPRE-CSDTCARANDIRU.xlsx:3055-005:71</x:v>
      </x:c>
      <x:c r="AC84" s="11" t="n">
        <x:f>COLUMNS(A84:T84)-COUNTBLANK(A84:T84)</x:f>
        <x:v>20</x:v>
      </x:c>
    </x:row>
    <x:row r="85" ht="84" hidden="0" customHeight="1">
      <x:c r="A85" s="10" t="str">
        <x:v>072</x:v>
      </x:c>
      <x:c r="B85" s="10" t="str">
        <x:v>Agentes em guarita de vigilância em frente às janelas do pavilhão, durante evento esportivo no Carandiru (1969)</x:v>
      </x:c>
      <x:c r="C85" s="10" t="str">
        <x:v>Item</x:v>
      </x:c>
      <x:c r="D85" s="10" t="str">
        <x:v>1969-08-27 00:00:00</x:v>
      </x:c>
      <x:c r="E85" s="10" t="str">
        <x:v>Gerado pelo Dataverse</x:v>
      </x:c>
      <x:c r="F85" s="10" t="str">
        <x:v>Fotografia digitalizada; preto e branco; suporte em papel fotográfico</x:v>
      </x:c>
      <x:c r="G85" s="10" t="str">
        <x:v>São Paulo, Brasil</x:v>
      </x:c>
      <x:c r="H85" s="10" t="str">
        <x:v>Arquivo Público do Estado de São Paulo, Jornal Diários Associados</x:v>
      </x:c>
      <x:c r="I85" s="10" t="str">
        <x:v>Estado De São Paulo - Penitenciárias e Presídios - Casa de Detenção de São Paulo no Carandiru (Fotografias)</x:v>
      </x:c>
      <x:c r="J85" s="10" t="str">
        <x:v>Caixa: 3055 Folder: 5</x:v>
      </x:c>
      <x:c r="K85" s="10" t="str">
        <x:v>BR-SPAPESP_DASP-PENITPRE-CSDTCARANDIRU_ICO-FOT-DGZ-MT0_3055-005-072</x:v>
      </x:c>
      <x:c r="L85"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85" s="10" t="str">
        <x:v>A fotografia em preto e branco, com foco suave ou desfocado, registra a passagem de uma pessoa por um portão de grades em uma área interna de controle da Casa de Detenção. A figura, vista de costas, veste uma camisa ou jaleco claro. Ele atravessa um portão de segurança de barras de ferro, que está parcialmente aberto. Em primeiro plano, uma estrutura de metal desfocada, talvez um carrinho ou objeto de rotina, ocupa o rodapé. O verso da fotografia, datado de 21 de junho de 1979, contextualiza esta cena em um cenário de crise e revolta, pois a "extinção do Projeto JUS aumentou a revolta dos presos" na Detenção. A imagem, portanto, documenta a rotina de controle e circulação de pessoal em um ambiente de alta tensão institucional, provavelmente logo após ou durante a manifestação de descontentamento dos detentos.</x:v>
      </x:c>
      <x:c r="N85"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85" s="10" t="str">
        <x:v>Guarita de vigilância; Agentes de segurança; Controle (prisão); Janelas gradeadas; Pavilhão (prisional); Evento esportivo (contexto); Casa de Detenção; Carandiru; 1969; 1977.</x:v>
      </x:c>
      <x:c r="P85" s="10" t="str">
        <x:v>Fotografia (Iconográfico)</x:v>
      </x:c>
      <x:c r="Q85" s="10" t="str">
        <x:v>Digitalização de fotografia em preto e branco (analógica original)</x:v>
      </x:c>
      <x:c r="R85" s="10" t="str">
        <x:v>Figura n – [Agentes em guarita de vigilância em frente às janelas do pavilhão, durante evento esportivo no Carandiru (1969)] Fonte: Arquivo Público do Estado de São Paulo, 1969.</x:v>
      </x:c>
      <x:c r="S85" s="10" t="str">
        <x:v>ARQUIVO PÚBLICO DO ESTADO DE SÃO PAULO (Brasil). [Agentes em guarita de vigilância em frente às janelas do pavilhão, durante evento esportivo no Carandiru (1969)]. São Paulo, Brasil. 27 ago. 1969. Fotografia digitalizada; preto e branco; suporte em papel fotográfico. Disponível em: &lt;link do dataverse&gt;. Acesso em: 28 out. 2025.</x:v>
      </x:c>
      <x:c r="T85" s="10" t="str">
        <x:v>Estado de São Paulo – Penitenciária e Presídios – Casa de Detenção Dado é o palco da Detenção Quase três mil detentos assistiram, ontem, ao jogo "Santos" versus "Palmeiras", no campo da Detenção, pelo torneio "Fernando José Fernandes". DN, 2ª ed., 27/8/1969 – GRL DSP, 26/5/1977 – DCP</x:v>
      </x:c>
      <x:c r="U85" s="10" t="str">
        <x:v>ICO</x:v>
      </x:c>
      <x:c r="V85" s="10" t="str">
        <x:v>FOT</x:v>
      </x:c>
      <x:c r="W85" s="10" t="str">
        <x:v>DGZ</x:v>
      </x:c>
      <x:c r="X85" s="10" t="str">
        <x:v>MT0</x:v>
      </x:c>
      <x:c r="Y85" s="10" t="str">
        <x:v>BR-SPAPESP_DASP-PENITPRE-CSDTCARANDIRU.xlsx</x:v>
      </x:c>
      <x:c r="Z85" s="10" t="str">
        <x:v>3055-005</x:v>
      </x:c>
      <x:c r="AA85" s="11" t="n">
        <x:v>72</x:v>
      </x:c>
      <x:c r="AB85" s="10" t="str">
        <x:v>BR-SPAPESP_DASP-PENITPRE-CSDTCARANDIRU.xlsx:3055-005:72</x:v>
      </x:c>
      <x:c r="AC85" s="11" t="n">
        <x:f>COLUMNS(A85:T85)-COUNTBLANK(A85:T85)</x:f>
        <x:v>20</x:v>
      </x:c>
    </x:row>
    <x:row r="86" ht="84" hidden="0" customHeight="1">
      <x:c r="A86" s="10" t="str">
        <x:v>073</x:v>
      </x:c>
      <x:c r="B86" s="10" t="str">
        <x:v>Foto Pavilhão 9, pátio interno (1961)</x:v>
      </x:c>
      <x:c r="C86" s="10" t="str">
        <x:v>Item</x:v>
      </x:c>
      <x:c r="D86" s="10" t="str">
        <x:v>1961-06-19 00:00:00</x:v>
      </x:c>
      <x:c r="E86" s="10" t="str">
        <x:v>Gerado pelo Dataverse</x:v>
      </x:c>
      <x:c r="F86" s="10" t="str">
        <x:v>Fotografia digitalizada; preto e branco; suporte em papel fotográfico</x:v>
      </x:c>
      <x:c r="G86" s="10" t="str">
        <x:v>São Paulo, Brasil</x:v>
      </x:c>
      <x:c r="H86" s="10" t="str">
        <x:v>Arquivo Público do Estado de São Paulo, Jornal Diários Associados</x:v>
      </x:c>
      <x:c r="I86" s="10" t="str">
        <x:v>Estado De São Paulo - Penitenciárias e Presídios - Casa de Detenção de São Paulo no Carandiru (Fotografias)</x:v>
      </x:c>
      <x:c r="J86" s="10" t="str">
        <x:v>Caixa: 3055 Folder: 5</x:v>
      </x:c>
      <x:c r="K86" s="10" t="str">
        <x:v>BR-SPAPESP_DASP-PENITPRE-CSDTCARANDIRU_ICO-FOT-DGZ-MT0_3055-005-073</x:v>
      </x:c>
      <x:c r="L86"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86" s="10" t="str">
        <x:v>A fotografia em preto e branco registra a arquitetura interna, austera e monumental de um pavilhão da nova Casa de Detenção de São Paulo no Carandiru. A cena, capturada de um ângulo baixo, mostra um pátio interno vazio (quadrado ou retangular) cercado por paredes brancas. As fachadas são dominadas por fileiras horizontais e verticais de pequenas janelas gradeadas, que se repetem em múltiplos andares, enfatizando a rigidez e a natureza celular da construção. O pavimento térreo é sustentado por colunas, criando uma área de sombra. O ambiente, desprovido de pessoas, transmite uma sensação de contenção e isolamento. O verso da fotografia, datado de 19 de junho de 1961, contextualiza a imagem como uma "vista parcial do edifício da nova Casa de Detenção", que estava sendo construída em função do plano de extinção da antiga Casa de Detenção da Av. Tiradentes.</x:v>
      </x:c>
      <x:c r="N86"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86" s="10" t="str">
        <x:v>Arquitetura prisional; Pavilhão (prisional); Extinção Presídio Tiradentes; Nova Casa de Detenção; Janelas gradeadas; Pátio interno; Casa de Detenção; Carandiru; 1961.</x:v>
      </x:c>
      <x:c r="P86" s="10" t="str">
        <x:v>Fotografia (Iconográfico)</x:v>
      </x:c>
      <x:c r="Q86" s="10" t="str">
        <x:v>Digitalização de fotografia em preto e branco (analógica original)</x:v>
      </x:c>
      <x:c r="R86" s="10" t="str">
        <x:v>Figura n – [Foto Pavilhão 9, pátio interno (1961)] Fonte: Arquivo Público do Estado de São Paulo, 1961.</x:v>
      </x:c>
      <x:c r="S86" s="10" t="str">
        <x:v>ARQUIVO PÚBLICO DO ESTADO DE SÃO PAULO (Brasil). [Foto Pavilhão 9, pátio interno (1961)]. São Paulo, Brasil. 19 jun. 1961. Fotografia digitalizada; preto e branco; suporte em papel fotográfico. Disponível em: &lt;link do dataverse&gt;. Acesso em: 28 out. 2025.</x:v>
      </x:c>
      <x:c r="T86" s="10" t="str">
        <x:v>Estado de São Paulo – Penitenciárias e Presídios – Casa de Detenção de São Paulo no Carandiru Casa de Detenção da Av. Tiradentes será extinta Uma vista parcial do edifício da nova Casa de Detenção de São Paulo, no Carandiru. DN, 1ª ed., 19/6/1961 – ACF</x:v>
      </x:c>
      <x:c r="U86" s="10" t="str">
        <x:v>ICO</x:v>
      </x:c>
      <x:c r="V86" s="10" t="str">
        <x:v>FOT</x:v>
      </x:c>
      <x:c r="W86" s="10" t="str">
        <x:v>DGZ</x:v>
      </x:c>
      <x:c r="X86" s="10" t="str">
        <x:v>MT0</x:v>
      </x:c>
      <x:c r="Y86" s="10" t="str">
        <x:v>BR-SPAPESP_DASP-PENITPRE-CSDTCARANDIRU.xlsx</x:v>
      </x:c>
      <x:c r="Z86" s="10" t="str">
        <x:v>3055-005</x:v>
      </x:c>
      <x:c r="AA86" s="11" t="n">
        <x:v>73</x:v>
      </x:c>
      <x:c r="AB86" s="10" t="str">
        <x:v>BR-SPAPESP_DASP-PENITPRE-CSDTCARANDIRU.xlsx:3055-005:73</x:v>
      </x:c>
      <x:c r="AC86" s="11" t="n">
        <x:f>COLUMNS(A86:T86)-COUNTBLANK(A86:T86)</x:f>
        <x:v>20</x:v>
      </x:c>
    </x:row>
    <x:row r="87" ht="84" hidden="0" customHeight="1">
      <x:c r="A87" s="10" t="str">
        <x:v>074</x:v>
      </x:c>
      <x:c r="B87" s="10" t="str">
        <x:v>Pavilhão 2 e Edifício da administração em obras (1954)</x:v>
      </x:c>
      <x:c r="C87" s="10" t="str">
        <x:v>Item</x:v>
      </x:c>
      <x:c r="D87" s="10" t="str">
        <x:v>1954-12-28 00:00:00</x:v>
      </x:c>
      <x:c r="E87" s="10" t="str">
        <x:v>Gerado pelo Dataverse</x:v>
      </x:c>
      <x:c r="F87" s="10" t="str">
        <x:v>Fotografia digitalizada; sépia; suporte em papel fotográfico</x:v>
      </x:c>
      <x:c r="G87" s="10" t="str">
        <x:v>São Paulo, Brasil</x:v>
      </x:c>
      <x:c r="H87" s="10" t="str">
        <x:v>Arquivo Público do Estado de São Paulo, Jornal Diários Associados</x:v>
      </x:c>
      <x:c r="I87" s="10" t="str">
        <x:v>Estado De São Paulo - Penitenciárias e Presídios - Casa de Detenção de São Paulo no Carandiru (Fotografias)</x:v>
      </x:c>
      <x:c r="J87" s="10" t="str">
        <x:v>Caixa: 3055 Folder: 5</x:v>
      </x:c>
      <x:c r="K87" s="10" t="str">
        <x:v>BR-SPAPESP_DASP-PENITPRE-CSDTCARANDIRU_ICO-FOT-DGZ-MT0_3055-005-074</x:v>
      </x:c>
      <x:c r="L87"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87" s="10" t="str">
        <x:v>A fotografia em tom sépia registra a fase inicial da construção do complexo penitenciário, identificada no verso como a "nova Casa de Detenção" no Carandiru. A imagem mostra a vasta estrutura de concreto e madeira (andaimes e escoramento) do futuro Pavilhão, que se estende por múltiplos andares e é o elemento central do plano. Guindastes ou torres de construção estão visíveis à esquerda. O primeiro plano é composto por um terreno baldio, com vegetação baixa e acúmulo de água (possivelmente um pântano ou área alagada), indicando que o local ainda era periférico e estava sendo preparado para a urbanização. O contraste entre a natureza bruta do terreno e a complexidade da estrutura de concreto ressalta a magnitude da obra. O verso da fotografia, datado de 28 de dezembro de 1954, confirma que a imagem é um "aspecto da nova Casa de Detenção, em construção".</x:v>
      </x:c>
      <x:c r="N87"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87" s="10" t="str">
        <x:v>Construção (presídio); Estrutura (concreto); Andaimes; Nova Casa de Detenção; Obra (penitenciária); Terreno (Carandiru); Arquitetura prisional; Expansão; 1954.</x:v>
      </x:c>
      <x:c r="P87" s="10" t="str">
        <x:v>Fotografia (Iconográfico)</x:v>
      </x:c>
      <x:c r="Q87" s="10" t="str">
        <x:v>Digitalização de fotografia em sépia (analógica original)</x:v>
      </x:c>
      <x:c r="R87" s="10" t="str">
        <x:v>Figura n – [Pavilhão 2 e Edifício da administração em obras (1954)] Fonte: Arquivo Público do Estado de São Paulo, 1954.</x:v>
      </x:c>
      <x:c r="S87" s="10" t="str">
        <x:v>ARQUIVO PÚBLICO DO ESTADO DE SÃO PAULO (Brasil). [Pavilhão 2 e Edifício da administração em obras (1954)]. São Paulo, Brasil. 28 dez. 1954. Fotografia digitalizada; sépia; suporte em papel fotográfico. Disponível em: &lt;link do dataverse&gt;. Acesso em: 28 out. 2025.</x:v>
      </x:c>
      <x:c r="T87" s="10" t="str">
        <x:v>Estado de S. Paulo – Penitenciárias e Presídios – Casa de Detenção de São Paulo no Carandiru A nova Casa de Detenção Na foto, um aspecto da nova Casa de Detenção, em construção nos terrenos da Penitenciária do Estado, no Carandiru. DN, 2ª ed., 28/12/1954 – JL</x:v>
      </x:c>
      <x:c r="U87" s="10" t="str">
        <x:v>ICO</x:v>
      </x:c>
      <x:c r="V87" s="10" t="str">
        <x:v>FOT</x:v>
      </x:c>
      <x:c r="W87" s="10" t="str">
        <x:v>DGZ</x:v>
      </x:c>
      <x:c r="X87" s="10" t="str">
        <x:v>MT0</x:v>
      </x:c>
      <x:c r="Y87" s="10" t="str">
        <x:v>BR-SPAPESP_DASP-PENITPRE-CSDTCARANDIRU.xlsx</x:v>
      </x:c>
      <x:c r="Z87" s="10" t="str">
        <x:v>3055-005</x:v>
      </x:c>
      <x:c r="AA87" s="11" t="n">
        <x:v>74</x:v>
      </x:c>
      <x:c r="AB87" s="10" t="str">
        <x:v>BR-SPAPESP_DASP-PENITPRE-CSDTCARANDIRU.xlsx:3055-005:74</x:v>
      </x:c>
      <x:c r="AC87" s="11" t="n">
        <x:f>COLUMNS(A87:T87)-COUNTBLANK(A87:T87)</x:f>
        <x:v>20</x:v>
      </x:c>
    </x:row>
    <x:row r="88" ht="84" hidden="0" customHeight="1">
      <x:c r="A88" s="10" t="str">
        <x:v>075</x:v>
      </x:c>
      <x:c r="B88" s="10" t="str">
        <x:v>Edifício da administração em obras (1954)</x:v>
      </x:c>
      <x:c r="C88" s="10" t="str">
        <x:v>Item</x:v>
      </x:c>
      <x:c r="D88" s="10" t="str">
        <x:v>1954-12-28 00:00:00</x:v>
      </x:c>
      <x:c r="E88" s="10" t="str">
        <x:v>Gerado pelo Dataverse</x:v>
      </x:c>
      <x:c r="F88" s="10" t="str">
        <x:v>Fotografia digitalizada; sépia; suporte em papel fotográfico</x:v>
      </x:c>
      <x:c r="G88" s="10" t="str">
        <x:v>São Paulo, Brasil</x:v>
      </x:c>
      <x:c r="H88" s="10" t="str">
        <x:v>Arquivo Público do Estado de São Paulo, Jornal Diários Associados</x:v>
      </x:c>
      <x:c r="I88" s="10" t="str">
        <x:v>Estado De São Paulo - Penitenciárias e Presídios - Casa de Detenção de São Paulo no Carandiru (Fotografias)</x:v>
      </x:c>
      <x:c r="J88" s="10" t="str">
        <x:v>Caixa: 3055 Folder: 5</x:v>
      </x:c>
      <x:c r="K88" s="10" t="str">
        <x:v>BR-SPAPESP_DASP-PENITPRE-CSDTCARANDIRU_ICO-FOT-DGZ-MT0_3055-005-075</x:v>
      </x:c>
      <x:c r="L88"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88" s="10" t="str">
        <x:v>A fotografia em tom sépia registra a estrutura em esqueleto de concreto armado do que viria a ser o Pavilhão da Casa de Detenção, em uma etapa inicial da obra. A construção de múltiplos andares, com seus pilares e lajes aparentes, domina o centro da imagem. Guindastes ou torres de madeira para içamento de material (andaimes) estão visíveis à direita, reforçando o cenário de canteiro de obras. O chão, em primeiro plano, é composto por terra e materiais de construção, e o terreno circundante é rústico. A imagem é um registro focado na arquitetura bruta e funcional que estava sendo erguida. O verso da fotografia, datado de 28 de dezembro de 1954, confirma que a imagem é um "aspecto da nova Casa de Detenção em construção" nos terrenos da Penitenciária do Estado, no Carandiru.</x:v>
      </x:c>
      <x:c r="N88"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88" s="10" t="str">
        <x:v>Construção (Pavilhão); Estrutura de concreto; Nova Casa de Detenção; Canteiro de obras; Andaimes; Arquitetura prisional; Expansão; Carandiru; 1954.</x:v>
      </x:c>
      <x:c r="P88" s="10" t="str">
        <x:v>Fotografia (Iconográfico)</x:v>
      </x:c>
      <x:c r="Q88" s="10" t="str">
        <x:v>Digitalização de fotografia em sépia (analógica original)</x:v>
      </x:c>
      <x:c r="R88" s="10" t="str">
        <x:v>Figura n – [Edifício da administração em obras (1954)] Fonte: Arquivo Público do Estado de São Paulo, 1954.</x:v>
      </x:c>
      <x:c r="S88" s="10" t="str">
        <x:v>ARQUIVO PÚBLICO DO ESTADO DE SÃO PAULO (Brasil). [Edifício da administração em obras (1954)]. São Paulo, Brasil. 28 dez. 1954. Fotografia digitalizada; sépia; suporte em papel fotográfico. Disponível em: &lt;link do dataverse&gt;. Acesso em: 28 out. 2025.</x:v>
      </x:c>
      <x:c r="T88" s="10" t="str">
        <x:v>Estado de São Paulo – Penitenciárias e Presídios – Casa de Detenção de São Paulo no Carandiru A nova Detenção Na foto, um aspecto da nova Casa de Detenção em construção nos terrenos da Penitenciária do Estado, no Carandiru. DN, 2ª ed., 28/12/1954 – JL</x:v>
      </x:c>
      <x:c r="U88" s="10" t="str">
        <x:v>ICO</x:v>
      </x:c>
      <x:c r="V88" s="10" t="str">
        <x:v>FOT</x:v>
      </x:c>
      <x:c r="W88" s="10" t="str">
        <x:v>DGZ</x:v>
      </x:c>
      <x:c r="X88" s="10" t="str">
        <x:v>MT0</x:v>
      </x:c>
      <x:c r="Y88" s="10" t="str">
        <x:v>BR-SPAPESP_DASP-PENITPRE-CSDTCARANDIRU.xlsx</x:v>
      </x:c>
      <x:c r="Z88" s="10" t="str">
        <x:v>3055-005</x:v>
      </x:c>
      <x:c r="AA88" s="11" t="n">
        <x:v>75</x:v>
      </x:c>
      <x:c r="AB88" s="10" t="str">
        <x:v>BR-SPAPESP_DASP-PENITPRE-CSDTCARANDIRU.xlsx:3055-005:75</x:v>
      </x:c>
      <x:c r="AC88" s="11" t="n">
        <x:f>COLUMNS(A88:T88)-COUNTBLANK(A88:T88)</x:f>
        <x:v>20</x:v>
      </x:c>
    </x:row>
    <x:row r="89" ht="84" hidden="0" customHeight="1">
      <x:c r="A89" s="10" t="str">
        <x:v>076</x:v>
      </x:c>
      <x:c r="B89" s="10" t="str">
        <x:v>Visita de inspeção de autoridades ao pavilhão em construção, com a estrutura aparente de madeira e concreto (1960)</x:v>
      </x:c>
      <x:c r="C89" s="10" t="str">
        <x:v>Item</x:v>
      </x:c>
      <x:c r="D89" s="10" t="str">
        <x:v>1960-11-20 00:00:00</x:v>
      </x:c>
      <x:c r="E89" s="10" t="str">
        <x:v>Gerado pelo Dataverse</x:v>
      </x:c>
      <x:c r="F89" s="10" t="str">
        <x:v>Fotografia digitalizada; preto e branco; suporte em papel fotográfico</x:v>
      </x:c>
      <x:c r="G89" s="10" t="str">
        <x:v>São Paulo, Brasil</x:v>
      </x:c>
      <x:c r="H89" s="10" t="str">
        <x:v>Arquivo Público do Estado de São Paulo, Jornal Diários Associados</x:v>
      </x:c>
      <x:c r="I89" s="10" t="str">
        <x:v>Estado De São Paulo - Penitenciárias e Presídios - Casa de Detenção de São Paulo no Carandiru (Fotografias)</x:v>
      </x:c>
      <x:c r="J89" s="10" t="str">
        <x:v>Caixa: 3055 Folder: 5</x:v>
      </x:c>
      <x:c r="K89" s="10" t="str">
        <x:v>BR-SPAPESP_DASP-PENITPRE-CSDTCARANDIRU_ICO-FOT-DGZ-MT0_3055-005-076</x:v>
      </x:c>
      <x:c r="L89"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89" s="10" t="str">
        <x:v>A fotografia em preto e branco registra uma visita de inspeção de autoridades ou técnicos em um canteiro de obras da Casa de Detenção. O elemento central é um Pavilhão em construção, com sua estrutura de concreto e madeira (escoramentos e fôrmas) visível, sublinhando o estágio avançado, porém ainda inacabado, da obra. O pavimento térreo e as janelas revelam a dimensão do prédio. Em primeiro plano, um grupo de homens, a maioria vestida de terno, caminha de costas para a câmera em direção ao prédio, inspecionando o trabalho. No topo da estrutura, operários (ou detentos trabalhadores) são visíveis. O chão é de terra e há entulhos e materiais de construção espalhados. O verso da fotografia, datado de 20 de novembro de 1960, contextualiza a imagem com uma descrição detalhada do projeto dos nove pavilhões (incluindo o Pavilhão celular, hospital e trabalho) e o custo da obra, que abrigaria 2.400 detentos.</x:v>
      </x:c>
      <x:c r="N89"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89" s="10" t="str">
        <x:v>Canteiro de obras; Visita técnica; Inspeção (autoridades); Estrutura de concreto; Pavilhão (construção); Projeto arquitetônico; Custo (obras); Casa de Detenção; Carandiru; 1960.</x:v>
      </x:c>
      <x:c r="P89" s="10" t="str">
        <x:v>Fotografia (Iconográfico)</x:v>
      </x:c>
      <x:c r="Q89" s="10" t="str">
        <x:v>Digitalização de fotografia em preto e branco (analógica original)</x:v>
      </x:c>
      <x:c r="R89" s="10" t="str">
        <x:v>Figura n – [Visita de inspeção de autoridades ao pavilhão em construção, com a estrutura aparente de madeira e concreto (1960)] Fonte: Arquivo Público do Estado de São Paulo, 1960.</x:v>
      </x:c>
      <x:c r="S89" s="10" t="str">
        <x:v>ARQUIVO PÚBLICO DO ESTADO DE SÃO PAULO (Brasil). [Visita de inspeção de autoridades ao pavilhão em construção, com a estrutura aparente de madeira e concreto (1960)]. São Paulo, Brasil. 20 nov. 1960. Fotografia digitalizada; preto e branco; suporte em papel fotográfico. Disponível em: &lt;link do dataverse&gt;. Acesso em: 28 out. 2025.</x:v>
      </x:c>
      <x:c r="T89" s="10" t="str">
        <x:v>Estado de São Paulo – Penitenciárias e Presídios – Casa de Detenção de São Paulo no Carandiru Um milhão de cruzeiros custará cada cela da Casa de Detenção [Texto em pequeno retângulo, recorte de matéria] Os nove pavilhões têm o seguinte destino: o número 1 - a Chefia, Casa da Guarda, portaria, etc.; o pavilhão número 2 está sendo ocupado por homens; o pavilhão número três será ocupado pela administração; o pavilhão número 4 destinar-se-á ao hospital; o n.º 5 será o pavilhão celular; o número 6, pavilhão de trabalho, onde se situarão a lavanderia, cinema, capela, etc.; finalmente, os pavilhões ns. 7, 8 e 9 serão celulares, cada um com 558 celas individuais. Ao todo o novo conjunto, cujo termo geral está previsto para o ano de 1962, abrigará uma população carcerária de 2.400 detentos. A obra custará um bilião e 100 milhões de cruzeiros, correspondendo a cada cela um milhão de cruzeiro! Ver DN, 1a Ed., 20/11/1960 acf</x:v>
      </x:c>
      <x:c r="U89" s="10" t="str">
        <x:v>ICO</x:v>
      </x:c>
      <x:c r="V89" s="10" t="str">
        <x:v>FOT</x:v>
      </x:c>
      <x:c r="W89" s="10" t="str">
        <x:v>DGZ</x:v>
      </x:c>
      <x:c r="X89" s="10" t="str">
        <x:v>MT0</x:v>
      </x:c>
      <x:c r="Y89" s="10" t="str">
        <x:v>BR-SPAPESP_DASP-PENITPRE-CSDTCARANDIRU.xlsx</x:v>
      </x:c>
      <x:c r="Z89" s="10" t="str">
        <x:v>3055-005</x:v>
      </x:c>
      <x:c r="AA89" s="11" t="n">
        <x:v>76</x:v>
      </x:c>
      <x:c r="AB89" s="10" t="str">
        <x:v>BR-SPAPESP_DASP-PENITPRE-CSDTCARANDIRU.xlsx:3055-005:76</x:v>
      </x:c>
      <x:c r="AC89" s="11" t="n">
        <x:f>COLUMNS(A89:T89)-COUNTBLANK(A89:T89)</x:f>
        <x:v>20</x:v>
      </x:c>
    </x:row>
    <x:row r="90" ht="84" hidden="0" customHeight="1">
      <x:c r="A90" s="10" t="str">
        <x:v>077</x:v>
      </x:c>
      <x:c r="B90" s="10" t="str">
        <x:v>Foto Pavilhão 9, pátio interno em construção (1960)</x:v>
      </x:c>
      <x:c r="C90" s="10" t="str">
        <x:v>Item</x:v>
      </x:c>
      <x:c r="D90" s="10" t="str">
        <x:v>1960-11-30 00:00:00</x:v>
      </x:c>
      <x:c r="E90" s="10" t="str">
        <x:v>Gerado pelo Dataverse</x:v>
      </x:c>
      <x:c r="F90" s="10" t="str">
        <x:v>Fotografia digitalizada; preto e branco; suporte em papel fotográfico</x:v>
      </x:c>
      <x:c r="G90" s="10" t="str">
        <x:v>São Paulo, Brasil</x:v>
      </x:c>
      <x:c r="H90" s="10" t="str">
        <x:v>Arquivo Público do Estado de São Paulo, Jornal Diários Associados</x:v>
      </x:c>
      <x:c r="I90" s="10" t="str">
        <x:v>Estado De São Paulo - Penitenciárias e Presídios - Casa de Detenção de São Paulo no Carandiru (Fotografias)</x:v>
      </x:c>
      <x:c r="J90" s="10" t="str">
        <x:v>Caixa: 3055 Folder: 5</x:v>
      </x:c>
      <x:c r="K90" s="10" t="str">
        <x:v>BR-SPAPESP_DASP-PENITPRE-CSDTCARANDIRU_ICO-FOT-DGZ-MT0_3055-005-077</x:v>
      </x:c>
      <x:c r="L90"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90" s="10" t="str">
        <x:v>A fotografia em preto e branco registra o interior de um Pavilhão em construção, proporcionando uma visão do pátio interno e da estrutura celular inacabada. O ângulo é dramático, focado na estrutura de madeira (andaimes e escoramento) que se eleva por vários andares, dando a impressão de um labirinto de tábuas e vigas, reforçando a magnitude da obra. O chão está coberto de entulho e materiais de construção, e, em primeiro plano à direita, há uma pilha de tubulações de concreto ou cerâmica. O verso da fotografia, datado de 30 de novembro de 1960, contextualiza a imagem, afirmando que ela dá uma ideia de como se encontram "adiantadas as obras do pavilhão numero nove" e citando o alto custo de "UM MILHÃO DE CRUZEIROS" por cela.</x:v>
      </x:c>
      <x:c r="N90"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90" s="10" t="str">
        <x:v>Construção (Pavilhão 9); Andaimes; Estrutura de madeira; Tubulações (obra); Canteiro de obras; Alto custo (cela); Arquitetura prisional; Casa de Detenção; Carandiru; 1960.</x:v>
      </x:c>
      <x:c r="P90" s="10" t="str">
        <x:v>Fotografia (Iconográfico)</x:v>
      </x:c>
      <x:c r="Q90" s="10" t="str">
        <x:v>Digitalização de fotografia em preto e branco (analógica original)</x:v>
      </x:c>
      <x:c r="R90" s="10" t="str">
        <x:v>Figura n – [Foto Pavilhão 9, pátio interno em construção (1960)] Fonte: Arquivo Público do Estado de São Paulo, 1960.</x:v>
      </x:c>
      <x:c r="S90" s="10" t="str">
        <x:v>ARQUIVO PÚBLICO DO ESTADO DE SÃO PAULO (Brasil). [Foto Pavilhão 9, pátio interno em construção (1960)]. São Paulo, Brasil. 30 nov. 1960. Fotografia digitalizada; preto e branco; suporte em papel fotográfico. Disponível em: &lt;link do dataverse&gt;. Acesso em: 28 out. 2025.</x:v>
      </x:c>
      <x:c r="T90" s="10" t="str">
        <x:v>Estado de São Paulo – Penitenciárias e Presídios – Casa de Detenção de São Paulo no Carandiru Um milhão de cruzeiros custará cada cela da Casa de Detenção [Texto em pequeno retângulo, recorte de legenda ou matéria] Esta foto dá uma idéia de como se encontram adiantadas as obras do pavilhão numero nove DN, 1a. Ed. 30/11/1960 W/</x:v>
      </x:c>
      <x:c r="U90" s="10" t="str">
        <x:v>ICO</x:v>
      </x:c>
      <x:c r="V90" s="10" t="str">
        <x:v>FOT</x:v>
      </x:c>
      <x:c r="W90" s="10" t="str">
        <x:v>DGZ</x:v>
      </x:c>
      <x:c r="X90" s="10" t="str">
        <x:v>MT0</x:v>
      </x:c>
      <x:c r="Y90" s="10" t="str">
        <x:v>BR-SPAPESP_DASP-PENITPRE-CSDTCARANDIRU.xlsx</x:v>
      </x:c>
      <x:c r="Z90" s="10" t="str">
        <x:v>3055-005</x:v>
      </x:c>
      <x:c r="AA90" s="11" t="n">
        <x:v>77</x:v>
      </x:c>
      <x:c r="AB90" s="10" t="str">
        <x:v>BR-SPAPESP_DASP-PENITPRE-CSDTCARANDIRU.xlsx:3055-005:77</x:v>
      </x:c>
      <x:c r="AC90" s="11" t="n">
        <x:f>COLUMNS(A90:T90)-COUNTBLANK(A90:T90)</x:f>
        <x:v>20</x:v>
      </x:c>
    </x:row>
    <x:row r="91" ht="84" hidden="0" customHeight="1">
      <x:c r="A91" s="10" t="str">
        <x:v>078</x:v>
      </x:c>
      <x:c r="B91" s="10" t="str">
        <x:v>Pavilhão nº 2 da nova Casa de Detenção de São Paulo no Carandiru</x:v>
      </x:c>
      <x:c r="C91" s="10" t="str">
        <x:v>Item</x:v>
      </x:c>
      <x:c r="D91" s="10" t="str">
        <x:v>1960-08-23 00:00:00</x:v>
      </x:c>
      <x:c r="E91" s="10" t="str">
        <x:v>Gerado pelo Dataverse</x:v>
      </x:c>
      <x:c r="F91" s="10" t="str">
        <x:v>Fotografia digitalizada; preto e branco; suporte em papel fotográfico</x:v>
      </x:c>
      <x:c r="G91" s="10" t="str">
        <x:v>São Paulo, Brasil</x:v>
      </x:c>
      <x:c r="H91" s="10" t="str">
        <x:v>Arquivo Público do Estado de São Paulo, Jornal Diários Associados</x:v>
      </x:c>
      <x:c r="I91" s="10" t="str">
        <x:v>Estado De São Paulo - Penitenciárias e Presídios - Casa de Detenção de São Paulo no Carandiru (Fotografias)</x:v>
      </x:c>
      <x:c r="J91" s="10" t="str">
        <x:v>Caixa: 3055 Folder: 5</x:v>
      </x:c>
      <x:c r="K91" s="10" t="str">
        <x:v>BR-SPAPESP_DASP-PENITPRE-CSDTCARANDIRU_ICO-FOT-DGZ-MT0_3055-005-078</x:v>
      </x:c>
      <x:c r="L91"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91" s="10" t="str">
        <x:v>A fotografia em preto e branco registra a fachada externa e lateral do pavilhão nº 8 da Casa de Detenção. O edifício é reto e contém paredes brancas. A entrada principal ou central possui colunas verticais que formam um pórtico. As janelas, distribuídas em fileiras, são pequenas e gradeadas. O primeiro plano é um terreno de terra batida e vegetação rasteira, indicando que a área ao redor da nova construção ainda não estava urbanizada. O verso da fotografia, datado de 23 de agosto de 1960, contextualiza a imagem com a manchete: "PAVILHÃO NUMERO 8 DA CASA DE DETENÇÃO SERÁ INAUGURADO HOJE".</x:v>
      </x:c>
      <x:c r="N91"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91" s="10" t="str">
        <x:v>Pavilhão 8; Arquitetura prisional; Fachada (edifício); Inauguração (presídio); Colunas (estrutura); Janelas gradeadas; Casa de Detenção; Carandiru; Expansão; 1960.</x:v>
      </x:c>
      <x:c r="P91" s="10" t="str">
        <x:v>Fotografia (Iconográfico)</x:v>
      </x:c>
      <x:c r="Q91" s="10" t="str">
        <x:v>Digitalização de fotografia em preto e branco (analógica original)</x:v>
      </x:c>
      <x:c r="R91" s="10" t="str">
        <x:v>Figura n – [Pavilhão nº 2 da nova Casa de Detenção de São Paulo no Carandiru] Fonte: Arquivo Público do Estado de São Paulo, 1960.</x:v>
      </x:c>
      <x:c r="S91" s="10" t="str">
        <x:v>ARQUIVO PÚBLICO DO ESTADO DE SÃO PAULO (Brasil). [Pavilhão nº 2 da nova Casa de Detenção de São Paulo no Carandiru]. São Paulo, Brasil. 23 ago. 1960. Fotografia digitalizada; preto e branco; suporte em papel fotográfico. Disponível em: &lt;link do dataverse&gt;. Acesso em: 28 out. 2025.</x:v>
      </x:c>
      <x:c r="T91" s="10" t="str">
        <x:v>Nota: trata-se do pavilhão 2. A legenda e a foto discrepam aqui. Legenda original: Estado de São Paulo – Penitenciárias e Presídios – Casa de Detenção de São Paulo no Carandiru Pavilhão número 8 da Casa de Detenção será inaugurado hoje Pavilhão numero 8 da nova Casa de Detenção de São Paulo no Carandiru DSP 23/8/1960 W/</x:v>
      </x:c>
      <x:c r="U91" s="10" t="str">
        <x:v>ICO</x:v>
      </x:c>
      <x:c r="V91" s="10" t="str">
        <x:v>FOT</x:v>
      </x:c>
      <x:c r="W91" s="10" t="str">
        <x:v>DGZ</x:v>
      </x:c>
      <x:c r="X91" s="10" t="str">
        <x:v>MT0</x:v>
      </x:c>
      <x:c r="Y91" s="10" t="str">
        <x:v>BR-SPAPESP_DASP-PENITPRE-CSDTCARANDIRU.xlsx</x:v>
      </x:c>
      <x:c r="Z91" s="10" t="str">
        <x:v>3055-005</x:v>
      </x:c>
      <x:c r="AA91" s="11" t="n">
        <x:v>78</x:v>
      </x:c>
      <x:c r="AB91" s="10" t="str">
        <x:v>BR-SPAPESP_DASP-PENITPRE-CSDTCARANDIRU.xlsx:3055-005:78</x:v>
      </x:c>
      <x:c r="AC91" s="11" t="n">
        <x:f>COLUMNS(A91:T91)-COUNTBLANK(A91:T91)</x:f>
        <x:v>20</x:v>
      </x:c>
    </x:row>
    <x:row r="92" ht="84" hidden="0" customHeight="1">
      <x:c r="A92" s="10" t="str">
        <x:v>079</x:v>
      </x:c>
      <x:c r="B92" s="10" t="str">
        <x:v>Pavilhão 8 inaugurado hoje (23.08.1960)</x:v>
      </x:c>
      <x:c r="C92" s="10" t="str">
        <x:v>Item</x:v>
      </x:c>
      <x:c r="D92" s="10" t="str">
        <x:v>1960-08-23 00:00:00</x:v>
      </x:c>
      <x:c r="E92" s="10" t="str">
        <x:v>Gerado pelo Dataverse</x:v>
      </x:c>
      <x:c r="F92" s="10" t="str">
        <x:v>Fotografia digitalizada; preto e branco; suporte em papel fotográfico</x:v>
      </x:c>
      <x:c r="G92" s="10" t="str">
        <x:v>São Paulo, Brasil</x:v>
      </x:c>
      <x:c r="H92" s="10" t="str">
        <x:v>Arquivo Público do Estado de São Paulo, Jornal Diários Associados</x:v>
      </x:c>
      <x:c r="I92" s="10" t="str">
        <x:v>Estado De São Paulo - Penitenciárias e Presídios - Casa de Detenção de São Paulo no Carandiru (Fotografias)</x:v>
      </x:c>
      <x:c r="J92" s="10" t="str">
        <x:v>Caixa: 3055 Folder: 5</x:v>
      </x:c>
      <x:c r="K92" s="10" t="str">
        <x:v>BR-SPAPESP_DASP-PENITPRE-CSDTCARANDIRU_ICO-FOT-DGZ-MT0_3055-005-079</x:v>
      </x:c>
      <x:c r="L92"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92" s="10" t="str">
        <x:v>A fotografia em preto e branco registra a fachada externa e lateral do Pavilhão Nº 8, um dos novos edifícios da Casa de Detenção de São Paulo no Carandiru. O pavilhão é uma estrutura grande e retilínea, com quatro andares e inúmeras janelas quadradas e simétricas que se repetem ao longo de toda a fachada. O primeiro plano ainda revela o ambiente pós-construção, com um barracão ou estrutura de apoio rudimentar no térreo (talvez uma oficina ou depósito). Objetos e materiais de construção, como rolos e blocos, estão no chão, e um pequeno grupo de homens (operários ou fiscais) caminha no primeiro plano, indicando que a área ao redor ainda estava em fase de organização ou acabamento. O verso da fotografia, datado de 23 de agosto de 1960, confirma que a imagem é do "Pavilhão nº 8 da nova Casa de Detenção de São Paulo no Carandiru", por ocasião de sua inauguração.</x:v>
      </x:c>
      <x:c r="N92"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92" s="10" t="str">
        <x:v>Vista do Pavilhão Nº 8 recém-construído, com vestígios do canteiro de obras no térreo da Casa de Detenção (1960).</x:v>
      </x:c>
      <x:c r="P92" s="10" t="str">
        <x:v>Fotografia (Iconográfico)</x:v>
      </x:c>
      <x:c r="Q92" s="10" t="str">
        <x:v>Digitalização de fotografia em preto e branco (analógica original)</x:v>
      </x:c>
      <x:c r="R92" s="10" t="str">
        <x:v>Figura n – [Pavilhão 8 inaugurado hoje (23.08.1960)] Fonte: Arquivo Público do Estado de São Paulo, 1960.</x:v>
      </x:c>
      <x:c r="S92" s="10" t="str">
        <x:v>ARQUIVO PÚBLICO DO ESTADO DE SÃO PAULO (Brasil). [Pavilhão 8 inaugurado hoje (23.08.1960)]. São Paulo, Brasil. 23 ago. 1960. Fotografia digitalizada; preto e branco; suporte em papel fotográfico. Disponível em: &lt;link do dataverse&gt;. Acesso em: 28 out. 2025.</x:v>
      </x:c>
      <x:c r="T92" s="10" t="str">
        <x:v>Estado de São Paulo – Penitenciárias e Presídios – Casa de Detenção de São Paulo no Carandiru Pavilhão nº 8 da nova Casa de Detenção de São Paulo no Carandiru. Vd. DSP, 23/8/1960 – W</x:v>
      </x:c>
      <x:c r="U92" s="10" t="str">
        <x:v>ICO</x:v>
      </x:c>
      <x:c r="V92" s="10" t="str">
        <x:v>FOT</x:v>
      </x:c>
      <x:c r="W92" s="10" t="str">
        <x:v>DGZ</x:v>
      </x:c>
      <x:c r="X92" s="10" t="str">
        <x:v>MT0</x:v>
      </x:c>
      <x:c r="Y92" s="10" t="str">
        <x:v>BR-SPAPESP_DASP-PENITPRE-CSDTCARANDIRU.xlsx</x:v>
      </x:c>
      <x:c r="Z92" s="10" t="str">
        <x:v>3055-005</x:v>
      </x:c>
      <x:c r="AA92" s="11" t="n">
        <x:v>79</x:v>
      </x:c>
      <x:c r="AB92" s="10" t="str">
        <x:v>BR-SPAPESP_DASP-PENITPRE-CSDTCARANDIRU.xlsx:3055-005:79</x:v>
      </x:c>
      <x:c r="AC92" s="11" t="n">
        <x:f>COLUMNS(A92:T92)-COUNTBLANK(A92:T92)</x:f>
        <x:v>20</x:v>
      </x:c>
    </x:row>
    <x:row r="93" ht="84" hidden="0" customHeight="1">
      <x:c r="A93" s="10" t="str">
        <x:v>080</x:v>
      </x:c>
      <x:c r="B93" s="10" t="str">
        <x:v>Máquina de estaqueamento em operação no terreno da nova Casa de Detenção, com a vizinhança ao fundo (1952)</x:v>
      </x:c>
      <x:c r="C93" s="10" t="str">
        <x:v>Item</x:v>
      </x:c>
      <x:c r="D93" s="10" t="str">
        <x:v>1952-06-05 00:00:00</x:v>
      </x:c>
      <x:c r="E93" s="10" t="str">
        <x:v>Gerado pelo Dataverse</x:v>
      </x:c>
      <x:c r="F93" s="10" t="str">
        <x:v>Fotografia digitalizada; preto e branco; suporte em papel fotográfico</x:v>
      </x:c>
      <x:c r="G93" s="10" t="str">
        <x:v>São Paulo, Brasil</x:v>
      </x:c>
      <x:c r="H93" s="10" t="str">
        <x:v>Arquivo Público do Estado de São Paulo, Jornal Diários Associados</x:v>
      </x:c>
      <x:c r="I93" s="10" t="str">
        <x:v>Estado De São Paulo - Penitenciárias e Presídios - Casa de Detenção de São Paulo no Carandiru (Fotografias)</x:v>
      </x:c>
      <x:c r="J93" s="10" t="str">
        <x:v>Caixa: 3055 Folder: 5</x:v>
      </x:c>
      <x:c r="K93" s="10" t="str">
        <x:v>BR-SPAPESP_DASP-PENITPRE-CSDTCARANDIRU_ICO-FOT-DGZ-MT0_3055-005-080</x:v>
      </x:c>
      <x:c r="L93"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93" s="10" t="str">
        <x:v>A fotografia em preto e branco registra a fase inicial das obras (estaqueamento) da nova Casa de Detenção de São Paulo no Carandiru. O foco central está em uma máquina de estaqueamento (bate-estacas), com sua torre de metal, em operação no terreno que seria a fundação do complexo. Ao redor da máquina, há operários e estruturas de fundação de madeira (gabaritos). O primeiro plano é de terra batida e escombros, indicando um canteiro de obras. Ao fundo, casas e edificações de bairro residencial e uma placa de outdoor (propaganda) são visíveis, contrastando a vida urbana externa com a área de construção da prisão. O verso da fotografia, datado de 5 de junho de 1952, contextualiza a cena como uma visita de reportagem às obras da nova Casa de Detenção, destacando o "estaqueamento" em ritmo acelerado.</x:v>
      </x:c>
      <x:c r="N93"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93" s="10" t="str">
        <x:v>Estaqueamento; Construção (nova Casa de Detenção); Obra (penitenciária); Bate-estacas; Fundação (engenharia); Terreno; Reportagem (visita); Casa de Detenção; Carandiru; 1952.</x:v>
      </x:c>
      <x:c r="P93" s="10" t="str">
        <x:v>Fotografia (Iconográfico)</x:v>
      </x:c>
      <x:c r="Q93" s="10" t="str">
        <x:v>Digitalização de fotografia em preto e branco (analógica original)</x:v>
      </x:c>
      <x:c r="R93" s="10" t="str">
        <x:v>Figura n – [Máquina de estaqueamento em operação no terreno da nova Casa de Detenção, com a vizinhança ao fundo (1952)] Fonte: Arquivo Público do Estado de São Paulo, 1952.</x:v>
      </x:c>
      <x:c r="S93" s="10" t="str">
        <x:v>ARQUIVO PÚBLICO DO ESTADO DE SÃO PAULO (Brasil). [Máquina de estaqueamento em operação no terreno da nova Casa de Detenção, com a vizinhança ao fundo (1952)]. São Paulo, Brasil. 05 jun. 1952. Fotografia digitalizada; preto e branco; suporte em papel fotográfico. Disponível em: &lt;link do dataverse&gt;. Acesso em: 28 out. 2025.</x:v>
      </x:c>
      <x:c r="T93" s="10" t="str">
        <x:v>E. S. Paulo Penitenciárias e Presídios - Casa de Detenção de São Paulo no Carandiru A reportagem do "Diario da Noite" esteve ontem, dia 4 do corrente, em visita às obras da nova Casa de Detenção, que vêm sendo levadas a efeito no Carandiru. A foto fixa um aspecto das obras de estaqueamento, que prosseguem em ritmo acelerado, a fim de que o edifício possa ficar pronto no prazo previsto. Arq. 5/6/52 - (Ver "Diario da Noite" dia 5/6/52 - 2a ed.)</x:v>
      </x:c>
      <x:c r="U93" s="10" t="str">
        <x:v>ICO</x:v>
      </x:c>
      <x:c r="V93" s="10" t="str">
        <x:v>FOT</x:v>
      </x:c>
      <x:c r="W93" s="10" t="str">
        <x:v>DGZ</x:v>
      </x:c>
      <x:c r="X93" s="10" t="str">
        <x:v>MT0</x:v>
      </x:c>
      <x:c r="Y93" s="10" t="str">
        <x:v>BR-SPAPESP_DASP-PENITPRE-CSDTCARANDIRU.xlsx</x:v>
      </x:c>
      <x:c r="Z93" s="10" t="str">
        <x:v>3055-005</x:v>
      </x:c>
      <x:c r="AA93" s="11" t="n">
        <x:v>80</x:v>
      </x:c>
      <x:c r="AB93" s="10" t="str">
        <x:v>BR-SPAPESP_DASP-PENITPRE-CSDTCARANDIRU.xlsx:3055-005:80</x:v>
      </x:c>
      <x:c r="AC93" s="11" t="n">
        <x:f>COLUMNS(A93:T93)-COUNTBLANK(A93:T93)</x:f>
        <x:v>20</x:v>
      </x:c>
    </x:row>
    <x:row r="94" ht="84" hidden="0" customHeight="1">
      <x:c r="A94" s="10" t="str">
        <x:v>081</x:v>
      </x:c>
      <x:c r="B94" s="10" t="str">
        <x:v>Estaqueamento, detalhe (1952)</x:v>
      </x:c>
      <x:c r="C94" s="10" t="str">
        <x:v>Item</x:v>
      </x:c>
      <x:c r="D94" s="10" t="str">
        <x:v>1952-06-05 00:00:00</x:v>
      </x:c>
      <x:c r="E94" s="10" t="str">
        <x:v>Gerado pelo Dataverse</x:v>
      </x:c>
      <x:c r="F94" s="10" t="str">
        <x:v>Fotografia digitalizada; preto e branco; suporte em papel fotográfico</x:v>
      </x:c>
      <x:c r="G94" s="10" t="str">
        <x:v>São Paulo, Brasil</x:v>
      </x:c>
      <x:c r="H94" s="10" t="str">
        <x:v>Arquivo Público do Estado de São Paulo, Jornal Diários Associados</x:v>
      </x:c>
      <x:c r="I94" s="10" t="str">
        <x:v>Estado De São Paulo - Penitenciárias e Presídios - Casa de Detenção de São Paulo no Carandiru (Fotografias)</x:v>
      </x:c>
      <x:c r="J94" s="10" t="str">
        <x:v>Caixa: 3055 Folder: 5</x:v>
      </x:c>
      <x:c r="K94" s="10" t="str">
        <x:v>BR-SPAPESP_DASP-PENITPRE-CSDTCARANDIRU_ICO-FOT-DGZ-MT0_3055-005-081</x:v>
      </x:c>
      <x:c r="L94"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94" s="10" t="str">
        <x:v>A fotografia em preto e branco registra a fase inicial e fundamental da construção da nova Casa de Detenção, focada na preparação do terreno (estaqueamento). O primeiro plano é um vasto terreno baldio, com vegetação rasteira e terra solta, e com estruturas baixas de madeira e fundações. No centro, destaca-se uma máquina de estaqueamento (bate-estacas), com sua estrutura alta e pontiaguda, indicando a concretização das fundações do futuro complexo. Ao fundo, há operários, caminhões e outras edificações que marcam a transição do local de um terreno rural para uma área de construção. O verso da fotografia, datado de 5 de junho de 1952, contextualiza a imagem como uma visita de reportagem às obras da nova Casa de Detenção. O texto enfatiza o "aspecto das obras de estaqueamento, que prosseguem em ritmo acelerado".</x:v>
      </x:c>
      <x:c r="N94"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94" s="10" t="str">
        <x:v>Estaqueamento; Construção (nova Casa de Detenção); Obra (penitenciária); Bate-estacas; Terreno; Operários; Fundação (engenharia); Reportagem (visita); Casa de Detenção; Carandiru; 1952.</x:v>
      </x:c>
      <x:c r="P94" s="10" t="str">
        <x:v>Fotografia (Iconográfico)</x:v>
      </x:c>
      <x:c r="Q94" s="10" t="str">
        <x:v>Digitalização de fotografia em preto e branco (analógica original)</x:v>
      </x:c>
      <x:c r="R94" s="10" t="str">
        <x:v>Figura n – [ Estaqueamento, detalhe (1952)] Fonte: Arquivo Público do Estado de São Paulo, 1952.</x:v>
      </x:c>
      <x:c r="S94" s="10" t="str">
        <x:v>ARQUIVO PÚBLICO DO ESTADO DE SÃO PAULO (Brasil). [ Estaqueamento, detalhe (1952)]. São Paulo, Brasil. 05 jun. 1952. Fotografia digitalizada; preto e branco; suporte em papel fotográfico. Disponível em: &lt;link do dataverse&gt;. Acesso em: 28 out. 2025.</x:v>
      </x:c>
      <x:c r="T94" s="10" t="str">
        <x:v>Adiantadas as obras da nova Casa de Detenção – em junho de 1953 serão entregues dois pavilhões E. S. Paulo – Penitenciárias e Presídios – Casa de Detenção de São Paulo no Carandiru A reportagem do Diário da Noite esteve ontem, dia 4 do corrente, em visita às obras da nova Casa de Detenção, que vem sendo levadas a efeito no Carandiru. A foto fixa um dos flagrantes da visita, vendo-se um aspecto das obras de estaqueamento, que prosseguem em ritmo acelerado, a fim de que o edifício possa ficar pronto no prazo previsto. DN, 2ª ed., 5/6/1952 – CL</x:v>
      </x:c>
      <x:c r="U94" s="10" t="str">
        <x:v>ICO</x:v>
      </x:c>
      <x:c r="V94" s="10" t="str">
        <x:v>FOT</x:v>
      </x:c>
      <x:c r="W94" s="10" t="str">
        <x:v>DGZ</x:v>
      </x:c>
      <x:c r="X94" s="10" t="str">
        <x:v>MT0</x:v>
      </x:c>
      <x:c r="Y94" s="10" t="str">
        <x:v>BR-SPAPESP_DASP-PENITPRE-CSDTCARANDIRU.xlsx</x:v>
      </x:c>
      <x:c r="Z94" s="10" t="str">
        <x:v>3055-005</x:v>
      </x:c>
      <x:c r="AA94" s="11" t="n">
        <x:v>81</x:v>
      </x:c>
      <x:c r="AB94" s="10" t="str">
        <x:v>BR-SPAPESP_DASP-PENITPRE-CSDTCARANDIRU.xlsx:3055-005:81</x:v>
      </x:c>
      <x:c r="AC94" s="11" t="n">
        <x:f>COLUMNS(A94:T94)-COUNTBLANK(A94:T94)</x:f>
        <x:v>20</x:v>
      </x:c>
    </x:row>
    <x:row r="95" ht="84" hidden="0" customHeight="1">
      <x:c r="A95" s="10" t="str">
        <x:v>082</x:v>
      </x:c>
      <x:c r="B95" s="10" t="str">
        <x:v>Repórter, operários e empreiteiros (1952)</x:v>
      </x:c>
      <x:c r="C95" s="10" t="str">
        <x:v>Item</x:v>
      </x:c>
      <x:c r="D95" s="10" t="str">
        <x:v>1952-06-05 00:00:00</x:v>
      </x:c>
      <x:c r="E95" s="10" t="str">
        <x:v>Gerado pelo Dataverse</x:v>
      </x:c>
      <x:c r="F95" s="10" t="str">
        <x:v>Fotografia digitalizada; preto e branco; suporte em papel fotográfico</x:v>
      </x:c>
      <x:c r="G95" s="10" t="str">
        <x:v>São Paulo, Brasil</x:v>
      </x:c>
      <x:c r="H95" s="10" t="str">
        <x:v>Arquivo Público do Estado de São Paulo, Jornal Diários Associados</x:v>
      </x:c>
      <x:c r="I95" s="10" t="str">
        <x:v>Estado De São Paulo - Penitenciárias e Presídios - Casa de Detenção de São Paulo no Carandiru (Fotografias)</x:v>
      </x:c>
      <x:c r="J95" s="10" t="str">
        <x:v>Caixa: 3055 Folder: 5</x:v>
      </x:c>
      <x:c r="K95" s="10" t="str">
        <x:v>BR-SPAPESP_DASP-PENITPRE-CSDTCARANDIRU_ICO-FOT-DGZ-MT0_3055-005-082</x:v>
      </x:c>
      <x:c r="L95"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95" s="10" t="str">
        <x:v>A fotografia em preto e branco registra um momento de inspeção e reunião em um canteiro de obras da nova Casa de Detenção. O grupo é composto por cerca de dez homens, divididos entre os que vestem trajes civis formais (ternos ou camisas) e os operários/empreiteiros (vestindo camisas de trabalho e chapéus). O verso da fotografia identifica a cena como o repórter examinando a planta do novo edifício, ladeado pelos operários e empreiteiros. O terreno é de terra batida, com escombros no centro da cena. O verso da fotografia, datado de 5 de junho de 1952, confirma que a imagem é um "flagrante da visita" de reportagem às obras da nova Casa de Detenção. O texto menciona que as obras prosseguiam em ritmo acelerado e que a foto fixou o momento em que o repórter inspecionava a planta.</x:v>
      </x:c>
      <x:c r="N95"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95" s="10" t="str">
        <x:v>Canteiro de obras; Repórter (inspeção); Planta (edifício); Operários; Empreiteiros; Construção (nova Casa de Detenção); Fotojornalismo; Casa de Detenção; Carandiru; 1952.</x:v>
      </x:c>
      <x:c r="P95" s="10" t="str">
        <x:v>Fotografia (Iconográfico)</x:v>
      </x:c>
      <x:c r="Q95" s="10" t="str">
        <x:v>Digitalização de fotografia em preto e branco (analógica original)</x:v>
      </x:c>
      <x:c r="R95" s="10" t="str">
        <x:v>Figura n – [Repórter, operários e empreiteiros (1952)] Fonte: Arquivo Público do Estado de São Paulo, 1952.</x:v>
      </x:c>
      <x:c r="S95" s="10" t="str">
        <x:v>ARQUIVO PÚBLICO DO ESTADO DE SÃO PAULO (Brasil). [Repórter, operários e empreiteiros (1952)]. São Paulo, Brasil. 05 jun. 1952. Fotografia digitalizada; preto e branco; suporte em papel fotográfico. Disponível em: &lt;link do dataverse&gt;. Acesso em: 28 out. 2025.</x:v>
      </x:c>
      <x:c r="T95" s="10" t="str">
        <x:v>Adiantadas as obras da nova Casa de Detenção - Em junho de 1953 serão entregues dois pavilhões. - E. S. Paulo Penitenciárias e Presídios - Casa de Detenção de São Paulo no Carandiru A reportagem do "Diario da Noite" esteve ontem, dia 4 do corrente, em visita às obras da nova Casa de Detenção, que vêm sendo levadas a efeito no Carandiru. A foto fixa um dos flagrantes da visita, vendo-se o repórter quando examinava a planta do novo edifício, ladeado por operários e empreiteiros. DN - 2a - 5/6/52 - CL/ -</x:v>
      </x:c>
      <x:c r="U95" s="10" t="str">
        <x:v>ICO</x:v>
      </x:c>
      <x:c r="V95" s="10" t="str">
        <x:v>FOT</x:v>
      </x:c>
      <x:c r="W95" s="10" t="str">
        <x:v>DGZ</x:v>
      </x:c>
      <x:c r="X95" s="10" t="str">
        <x:v>MT0</x:v>
      </x:c>
      <x:c r="Y95" s="10" t="str">
        <x:v>BR-SPAPESP_DASP-PENITPRE-CSDTCARANDIRU.xlsx</x:v>
      </x:c>
      <x:c r="Z95" s="10" t="str">
        <x:v>3055-005</x:v>
      </x:c>
      <x:c r="AA95" s="11" t="n">
        <x:v>82</x:v>
      </x:c>
      <x:c r="AB95" s="10" t="str">
        <x:v>BR-SPAPESP_DASP-PENITPRE-CSDTCARANDIRU.xlsx:3055-005:82</x:v>
      </x:c>
      <x:c r="AC95" s="11" t="n">
        <x:f>COLUMNS(A95:T95)-COUNTBLANK(A95:T95)</x:f>
        <x:v>20</x:v>
      </x:c>
    </x:row>
    <x:row r="96" ht="84" hidden="0" customHeight="1">
      <x:c r="A96" s="10" t="str">
        <x:v>083</x:v>
      </x:c>
      <x:c r="B96" s="10" t="str">
        <x:v>Pavilhões 4, 7 e 9 ao fundo (1978)</x:v>
      </x:c>
      <x:c r="C96" s="10" t="str">
        <x:v>Item</x:v>
      </x:c>
      <x:c r="D96" s="10" t="str">
        <x:v>1978-01-23 00:00:00</x:v>
      </x:c>
      <x:c r="E96" s="10" t="str">
        <x:v>Gerado pelo Dataverse</x:v>
      </x:c>
      <x:c r="F96" s="10" t="str">
        <x:v>Fotografia digitalizada; preto e branco; suporte em papel fotográfico</x:v>
      </x:c>
      <x:c r="G96" s="10" t="str">
        <x:v>São Paulo, Brasil</x:v>
      </x:c>
      <x:c r="H96" s="10" t="str">
        <x:v>Arquivo Público do Estado de São Paulo, Jornal Diários Associados</x:v>
      </x:c>
      <x:c r="I96" s="10" t="str">
        <x:v>Estado De São Paulo - Penitenciárias e Presídios - Casa de Detenção de São Paulo no Carandiru (Fotografias)</x:v>
      </x:c>
      <x:c r="J96" s="10" t="str">
        <x:v>Caixa: 3055 Folder: 5</x:v>
      </x:c>
      <x:c r="K96" s="10" t="str">
        <x:v>BR-SPAPESP_DASP-PENITPRE-CSDTCARANDIRU_ICO-FOT-DGZ-MT0_3055-005-083</x:v>
      </x:c>
      <x:c r="L96"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96" s="10" t="str">
        <x:v>A fotografia em preto e branco registra uma vista panorâmica da arquitetura prisional da Casa de Detenção, destacando a magnitude do complexo. Dois grandes pavilhões de múltiplos andares, com fachadas brancas e múltiplas janelas quadradas e gradeadas, dominam o plano de fundo. O plano inferior e central é ocupado por estruturas de concreto (muros, passarelas e reservatórios), que delimitam áreas e contêm equipamentos de segurança (como refletores em postes curtos). A paisagem é dominada pela rigidez do concreto e pela repetição das formas arquitetônicas. O verso da fotografia, com dados de 1978, contextualiza a cena com a notícia de que os "novos pavilhões 4 e 7 ampliam em 1.300 o número de vagas" para aliviar o problema da superpopulação.</x:v>
      </x:c>
      <x:c r="N96"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96" s="10" t="str">
        <x:v>Arquitetura prisional; Pavilhões (expansão); Superpopulação (alívio); Janelas gradeadas; Estrutura de concreto; Vigilância; Ampliação (vagas); Casa de Detenção; Carandiru; 1978.</x:v>
      </x:c>
      <x:c r="P96" s="10" t="str">
        <x:v>Fotografia (Iconográfico)</x:v>
      </x:c>
      <x:c r="Q96" s="10" t="str">
        <x:v>Digitalização de fotografia em preto e branco (analógica original)</x:v>
      </x:c>
      <x:c r="R96" s="10" t="str">
        <x:v>Figura n – [Pavilhões 4, 7 e 9 ao fundo (1978)] Fonte: Arquivo Público do Estado de São Paulo, 1978.</x:v>
      </x:c>
      <x:c r="S96" s="10" t="str">
        <x:v>ARQUIVO PÚBLICO DO ESTADO DE SÃO PAULO (Brasil). [Pavilhões 4, 7 e 9 ao fundo (1978)]. São Paulo, Brasil. 23 jan. 1978. Fotografia digitalizada; preto e branco; suporte em papel fotográfico. Disponível em: &lt;link do dataverse&gt;. Acesso em: 28 out. 2025.</x:v>
      </x:c>
      <x:c r="T96" s="10" t="str">
        <x:v>Estado de São Paulo - Penitenciárias e Presídios - Casa de Detenção Os novos pavilhões 4 e 7 ampliam em 1.300 o número de vagas da Casa de Detenção de São Paulo, aliviando o problema da superpopulação carcerária. Arq. 23/1/1978 DSP. - 19/5/1978 - naf.</x:v>
      </x:c>
      <x:c r="U96" s="10" t="str">
        <x:v>ICO</x:v>
      </x:c>
      <x:c r="V96" s="10" t="str">
        <x:v>FOT</x:v>
      </x:c>
      <x:c r="W96" s="10" t="str">
        <x:v>DGZ</x:v>
      </x:c>
      <x:c r="X96" s="10" t="str">
        <x:v>MT0</x:v>
      </x:c>
      <x:c r="Y96" s="10" t="str">
        <x:v>BR-SPAPESP_DASP-PENITPRE-CSDTCARANDIRU.xlsx</x:v>
      </x:c>
      <x:c r="Z96" s="10" t="str">
        <x:v>3055-005</x:v>
      </x:c>
      <x:c r="AA96" s="11" t="n">
        <x:v>83</x:v>
      </x:c>
      <x:c r="AB96" s="10" t="str">
        <x:v>BR-SPAPESP_DASP-PENITPRE-CSDTCARANDIRU.xlsx:3055-005:83</x:v>
      </x:c>
      <x:c r="AC96" s="11" t="n">
        <x:f>COLUMNS(A96:T96)-COUNTBLANK(A96:T96)</x:f>
        <x:v>20</x:v>
      </x:c>
    </x:row>
    <x:row r="97" ht="84" hidden="0" customHeight="1">
      <x:c r="A97" s="10" t="str">
        <x:v>084</x:v>
      </x:c>
      <x:c r="B97" s="10" t="str">
        <x:v>Muralhas (12.11.1956)</x:v>
      </x:c>
      <x:c r="C97" s="10" t="str">
        <x:v>Item</x:v>
      </x:c>
      <x:c r="D97" s="10" t="str">
        <x:v>1956-09-12 00:00:00</x:v>
      </x:c>
      <x:c r="E97" s="10" t="str">
        <x:v>Gerado pelo Dataverse</x:v>
      </x:c>
      <x:c r="F97" s="10" t="str">
        <x:v>Fotografia digitalizada; preto e branco; suporte em papel fotográfico</x:v>
      </x:c>
      <x:c r="G97" s="10" t="str">
        <x:v>São Paulo, Brasil</x:v>
      </x:c>
      <x:c r="H97" s="10" t="str">
        <x:v>Arquivo Público do Estado de São Paulo, Jornal Diários Associados</x:v>
      </x:c>
      <x:c r="I97" s="10" t="str">
        <x:v>Estado De São Paulo - Penitenciárias e Presídios - Casa de Detenção de São Paulo no Carandiru (Fotografias)</x:v>
      </x:c>
      <x:c r="J97" s="10" t="str">
        <x:v>Caixa: 3055 Folder: 5</x:v>
      </x:c>
      <x:c r="K97" s="10" t="str">
        <x:v>BR-SPAPESP_DASP-PENITPRE-CSDTCARANDIRU_ICO-FOT-DGZ-MT0_3055-005-084</x:v>
      </x:c>
      <x:c r="L97"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97" s="10" t="str">
        <x:v>A fotografia em preto e branco registra um pátio interno da Casa de Detenção, em um momento que se assemelha a uma inspeção ou fase de organização pós-inauguração. O pátio tem o piso pavimentado e é dominado pela fachada lateral de um Pavilhão à esquerda, com suas fileiras de janelas retangulares e gradeadas. O fundo do pátio é separado por um muro alto de concreto, que sustenta uma passarela. Sobre essa passarela, há caixas ou estruturas gradeadas e, à direita, um guarda/agente de segurança está em pé, em posição de vigilância. No pátio, há um pequeno caminhão de serviço estacionado (carregado com materiais) e um amontoado de tijolos ou pedras no chão. A arquitetura austera e as linhas de contenção são os elementos centrais do registro. O verso da fotografia, datado de 12 de setembro de 1956, confirma que a imagem documenta a "Vista do pateo da nova Casa de Detenção".</x:v>
      </x:c>
      <x:c r="N97"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97" s="10" t="str">
        <x:v>Pátio interno; Pavilhão (prisional); Muro (separação); Guarda (vigilância); Caminhão (serviço); Inauguração (contexto); Arquitetura prisional; Casa de Detenção; Carandiru; 1956.</x:v>
      </x:c>
      <x:c r="P97" s="10" t="str">
        <x:v>Fotografia (Iconográfico)</x:v>
      </x:c>
      <x:c r="Q97" s="10" t="str">
        <x:v>Digitalização de fotografia em preto e branco (analógica original)</x:v>
      </x:c>
      <x:c r="R97" s="10" t="str">
        <x:v>Figura n – [Muralhas (12.11.1956)] Fonte: Arquivo Público do Estado de São Paulo, 1956.</x:v>
      </x:c>
      <x:c r="S97" s="10" t="str">
        <x:v>ARQUIVO PÚBLICO DO ESTADO DE SÃO PAULO (Brasil). [Muralhas (12.11.1956)]. São Paulo, Brasil. 12 set. 1956. Fotografia digitalizada; preto e branco; suporte em papel fotográfico. Disponível em: &lt;link do dataverse&gt;. Acesso em: 28 out. 2025.</x:v>
      </x:c>
      <x:c r="T97" s="10" t="str">
        <x:v>Estado de São Paulo - Penitenciárias e Presídios - Casa de Detenção - S. Paulo - (Carandiru) Vista do pátio da nova Casa de Detenção. Arq. 12/9/956 jl</x:v>
      </x:c>
      <x:c r="U97" s="10" t="str">
        <x:v>ICO</x:v>
      </x:c>
      <x:c r="V97" s="10" t="str">
        <x:v>FOT</x:v>
      </x:c>
      <x:c r="W97" s="10" t="str">
        <x:v>DGZ</x:v>
      </x:c>
      <x:c r="X97" s="10" t="str">
        <x:v>MT0</x:v>
      </x:c>
      <x:c r="Y97" s="10" t="str">
        <x:v>BR-SPAPESP_DASP-PENITPRE-CSDTCARANDIRU.xlsx</x:v>
      </x:c>
      <x:c r="Z97" s="10" t="str">
        <x:v>3055-005</x:v>
      </x:c>
      <x:c r="AA97" s="11" t="n">
        <x:v>84</x:v>
      </x:c>
      <x:c r="AB97" s="10" t="str">
        <x:v>BR-SPAPESP_DASP-PENITPRE-CSDTCARANDIRU.xlsx:3055-005:84</x:v>
      </x:c>
      <x:c r="AC97" s="11" t="n">
        <x:f>COLUMNS(A97:T97)-COUNTBLANK(A97:T97)</x:f>
        <x:v>20</x:v>
      </x:c>
    </x:row>
    <x:row r="98" ht="84" hidden="0" customHeight="1">
      <x:c r="A98" s="10" t="str">
        <x:v>085</x:v>
      </x:c>
      <x:c r="B98" s="10" t="str">
        <x:v>Novo pavilhão da Casa de Detenção de São Paulo no Carandiru em estágio de construção, em meio à crise de superlotação (1959)</x:v>
      </x:c>
      <x:c r="C98" s="10" t="str">
        <x:v>Item</x:v>
      </x:c>
      <x:c r="D98" s="10" t="str">
        <x:v>1959-06-15 00:00:00</x:v>
      </x:c>
      <x:c r="E98" s="10" t="str">
        <x:v>Gerado pelo Dataverse</x:v>
      </x:c>
      <x:c r="F98" s="10" t="str">
        <x:v>Fotografia digitalizada; preto e branco; suporte em papel fotográfico</x:v>
      </x:c>
      <x:c r="G98" s="10" t="str">
        <x:v>São Paulo, Brasil</x:v>
      </x:c>
      <x:c r="H98" s="10" t="str">
        <x:v>Arquivo Público do Estado de São Paulo, Jornal Diários Associados</x:v>
      </x:c>
      <x:c r="I98" s="10" t="str">
        <x:v>Estado De São Paulo - Penitenciárias e Presídios - Casa de Detenção de São Paulo no Carandiru (Fotografias)</x:v>
      </x:c>
      <x:c r="J98" s="10" t="str">
        <x:v>Caixa: 3055 Folder: 5</x:v>
      </x:c>
      <x:c r="K98" s="10" t="str">
        <x:v>BR-SPAPESP_DASP-PENITPRE-CSDTCARANDIRU_ICO-FOT-DGZ-MT0_3055-005-085</x:v>
      </x:c>
      <x:c r="L98"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98" s="10" t="str">
        <x:v>A fotografia em preto e branco registra um Pavilhão da Casa de Detenção em fase avançada de construção, mas ainda inacabado. O edifício de múltiplos andares tem as paredes de tijolos visíveis e múltiplas aberturas de janelas. O topo do prédio ainda apresenta a estrutura de madeira (andaimes/escoramento) para a conclusão do telhado ou andar superior. O plano de fundo é composto por um terreno com vegetação alta (grama e árvores), indicando que o local ainda era periférico. O contraste entre a área bruta e o prédio em construção ressalta a magnitude da obra. O verso da fotografia, datado de 15 de junho de 1959, contextualiza a imagem com uma forte denúncia: "500 DETENTOS DORMEM NO CHÃO POR FALTA DE ESPAÇO E CAMAS", enquanto a nova construção seguia em "ritmo lento".</x:v>
      </x:c>
      <x:c r="N98"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98" s="10" t="str">
        <x:v>Construção (Pavilhão); Superlotação (denúncia); Ritmo lento (obras); Crise humanitária; Tijolos (estrutura); Andaimes; Casa de Detenção; Carandiru; 1959.</x:v>
      </x:c>
      <x:c r="P98" s="10" t="str">
        <x:v>Fotografia (Iconográfico)</x:v>
      </x:c>
      <x:c r="Q98" s="10" t="str">
        <x:v>Digitalização de fotografia em preto e branco (analógica original)</x:v>
      </x:c>
      <x:c r="R98" s="10" t="str">
        <x:v>Figura n – [Novo pavilhão da Casa de Detenção de São Paulo no Carandiru em estágio de construção, em meio à crise de superlotação (1959)] Fonte: Arquivo Público do Estado de São Paulo, 1959.</x:v>
      </x:c>
      <x:c r="S98" s="10" t="str">
        <x:v>ARQUIVO PÚBLICO DO ESTADO DE SÃO PAULO (Brasil). [Novo pavilhão da Casa de Detenção de São Paulo no Carandiru em estágio de construção, em meio à crise de superlotação (1959)]. São Paulo, Brasil. 15 jun. 1959. Fotografia digitalizada; preto e branco; suporte em papel fotográfico. Disponível em: &lt;link do dataverse&gt;. Acesso em: 28 out. 2025.</x:v>
      </x:c>
      <x:c r="T98" s="10" t="str">
        <x:v>Estado de São Paulo - Penitenciárias e Presídios - Casa de Detenção de São Paulo no Carandiru Casa de Detenção: 500 detentos dormem no chão por falta de espaço e camas Esta é a nova Casa de Detenção que está sendo construída no Carandiru. As obras prosseguem em ritmo lento, muito embora a entrega do prédio esteja marcada para 7 de outubro próximo. DN 2ª Ed. 15/6/1959 W</x:v>
      </x:c>
      <x:c r="U98" s="10" t="str">
        <x:v>ICO</x:v>
      </x:c>
      <x:c r="V98" s="10" t="str">
        <x:v>FOT</x:v>
      </x:c>
      <x:c r="W98" s="10" t="str">
        <x:v>DGZ</x:v>
      </x:c>
      <x:c r="X98" s="10" t="str">
        <x:v>MT0</x:v>
      </x:c>
      <x:c r="Y98" s="10" t="str">
        <x:v>BR-SPAPESP_DASP-PENITPRE-CSDTCARANDIRU.xlsx</x:v>
      </x:c>
      <x:c r="Z98" s="10" t="str">
        <x:v>3055-005</x:v>
      </x:c>
      <x:c r="AA98" s="11" t="n">
        <x:v>85</x:v>
      </x:c>
      <x:c r="AB98" s="10" t="str">
        <x:v>BR-SPAPESP_DASP-PENITPRE-CSDTCARANDIRU.xlsx:3055-005:85</x:v>
      </x:c>
      <x:c r="AC98" s="11" t="n">
        <x:f>COLUMNS(A98:T98)-COUNTBLANK(A98:T98)</x:f>
        <x:v>20</x:v>
      </x:c>
    </x:row>
    <x:row r="99" ht="84" hidden="0" customHeight="1">
      <x:c r="A99" s="10" t="str">
        <x:v>086</x:v>
      </x:c>
      <x:c r="B99" s="10" t="str">
        <x:v>Estaqueamento, plano aberto (1952)</x:v>
      </x:c>
      <x:c r="C99" s="10" t="str">
        <x:v>Item</x:v>
      </x:c>
      <x:c r="D99" s="10" t="str">
        <x:v>1952-06-05 00:00:00</x:v>
      </x:c>
      <x:c r="E99" s="10" t="str">
        <x:v>Gerado pelo Dataverse</x:v>
      </x:c>
      <x:c r="F99" s="10" t="str">
        <x:v>Fotografia digitalizada; preto e branco; suporte em papel fotográfico</x:v>
      </x:c>
      <x:c r="G99" s="10" t="str">
        <x:v>São Paulo, Brasil</x:v>
      </x:c>
      <x:c r="H99" s="10" t="str">
        <x:v>Arquivo Público do Estado de São Paulo, Jornal Diários Associados</x:v>
      </x:c>
      <x:c r="I99" s="10" t="str">
        <x:v>Estado De São Paulo - Penitenciárias e Presídios - Casa de Detenção de São Paulo no Carandiru (Fotografias)</x:v>
      </x:c>
      <x:c r="J99" s="10" t="str">
        <x:v>Caixa: 3055 Folder: 5</x:v>
      </x:c>
      <x:c r="K99" s="10" t="str">
        <x:v>BR-SPAPESP_DASP-PENITPRE-CSDTCARANDIRU_ICO-FOT-DGZ-MT0_3055-005-086</x:v>
      </x:c>
      <x:c r="L99"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99" s="10" t="str">
        <x:v>A fotografia em preto e branco registra a fase inicial da construção da nova Casa de Detenção, focada no preparo do terreno e nas fundações. O terreno está nivelado, com as estruturas de fundação de concreto e madeira (gabaritos e fôrmas) visíveis em primeiro plano. O elemento central é uma máquina de estaqueamento (bate-estacas), com sua torre de madeira, indicando o trabalho de estabilização do solo. Há figuras de operários no canteiro de obras. O plano de fundo é composto por edificações urbanas, sugerindo a proximidade com o bairro e a presença da infraestrutura urbana (postes e fiação). O verso da fotografia, datado de 5 de junho de 1952, contextualiza a imagem como "Um aspecto das obras da nova CASA DE DETENÇÃO", que prosseguiam em "ritmo acelerado".</x:v>
      </x:c>
      <x:c r="N99"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99" s="10" t="str">
        <x:v>Estaqueamento; Construção (nova Casa de Detenção); Fundações (obra); Máquina (bate-estacas); Canteiro de obras; Ritmo acelerado; Casa de Detenção; Carandiru; 1952.</x:v>
      </x:c>
      <x:c r="P99" s="10" t="str">
        <x:v>Fotografia (Iconográfico)</x:v>
      </x:c>
      <x:c r="Q99" s="10" t="str">
        <x:v>Digitalização de fotografia em preto e branco (analógica original)</x:v>
      </x:c>
      <x:c r="R99" s="10" t="str">
        <x:v>Figura n – [Estaqueamento, plano aberto (1952)] Fonte: Arquivo Público do Estado de São Paulo, 1952.</x:v>
      </x:c>
      <x:c r="S99" s="10" t="str">
        <x:v>ARQUIVO PÚBLICO DO ESTADO DE SÃO PAULO (Brasil). [Estaqueamento, plano aberto (1952)]. São Paulo, Brasil. 05 jun. 1952. Fotografia digitalizada; preto e branco; suporte em papel fotográfico. Disponível em: &lt;link do dataverse&gt;. Acesso em: 28 out. 2025.</x:v>
      </x:c>
      <x:c r="T99" s="10" t="str">
        <x:v>E.S.P. - Penitenciárias e Presídios - Casa de Detenção de São Paulo no Carandiru Um aspecto das obras da nova Casa de Detenção, que vêm sendo levadas a efeito no Carandiru, e que prosseguem em ritmo acelerado. Arq. 5/6/52 - CL/ - (Ver "Diario da Noite" dia 5/6/52 - 2a. Ed.)</x:v>
      </x:c>
      <x:c r="U99" s="10" t="str">
        <x:v>ICO</x:v>
      </x:c>
      <x:c r="V99" s="10" t="str">
        <x:v>FOT</x:v>
      </x:c>
      <x:c r="W99" s="10" t="str">
        <x:v>DGZ</x:v>
      </x:c>
      <x:c r="X99" s="10" t="str">
        <x:v>MT0</x:v>
      </x:c>
      <x:c r="Y99" s="10" t="str">
        <x:v>BR-SPAPESP_DASP-PENITPRE-CSDTCARANDIRU.xlsx</x:v>
      </x:c>
      <x:c r="Z99" s="10" t="str">
        <x:v>3055-005</x:v>
      </x:c>
      <x:c r="AA99" s="11" t="n">
        <x:v>86</x:v>
      </x:c>
      <x:c r="AB99" s="10" t="str">
        <x:v>BR-SPAPESP_DASP-PENITPRE-CSDTCARANDIRU.xlsx:3055-005:86</x:v>
      </x:c>
      <x:c r="AC99" s="11" t="n">
        <x:f>COLUMNS(A99:T99)-COUNTBLANK(A99:T99)</x:f>
        <x:v>20</x:v>
      </x:c>
    </x:row>
    <x:row r="100" ht="84" hidden="0" customHeight="1">
      <x:c r="A100" s="10" t="str">
        <x:v>087</x:v>
      </x:c>
      <x:c r="B100" s="10" t="str">
        <x:v>Edificação auxiliar do pavilhão nº 8, com estilo de telhado em duas águas e janelas arqueadas, no Carandiru (1960)</x:v>
      </x:c>
      <x:c r="C100" s="10" t="str">
        <x:v>Item</x:v>
      </x:c>
      <x:c r="D100" s="10" t="str">
        <x:v>1960-08-23 00:00:00</x:v>
      </x:c>
      <x:c r="E100" s="10" t="str">
        <x:v>Gerado pelo Dataverse</x:v>
      </x:c>
      <x:c r="F100" s="10" t="str">
        <x:v>Fotografia digitalizada; preto e branco; suporte em papel fotográfico</x:v>
      </x:c>
      <x:c r="G100" s="10" t="str">
        <x:v>São Paulo, Brasil</x:v>
      </x:c>
      <x:c r="H100" s="10" t="str">
        <x:v>Arquivo Público do Estado de São Paulo, Jornal Diários Associados</x:v>
      </x:c>
      <x:c r="I100" s="10" t="str">
        <x:v>Estado De São Paulo - Penitenciárias e Presídios - Casa de Detenção de São Paulo no Carandiru (Fotografias)</x:v>
      </x:c>
      <x:c r="J100" s="10" t="str">
        <x:v>Caixa: 3055 Folder: 5</x:v>
      </x:c>
      <x:c r="K100" s="10" t="str">
        <x:v>BR-SPAPESP_DASP-PENITPRE-CSDTCARANDIRU_ICO-FOT-DGZ-MT0_3055-005-087</x:v>
      </x:c>
      <x:c r="L100"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100" s="10" t="str">
        <x:v>A fotografia em preto e branco registra a vista externa de uma edificação auxiliar ou dependência pertencente ao Complexo Carandiru. O prédio, de arquitetura simples e paredes brancas, destaca-se pelo telhado em duas águas e pelas janelas com formato de arco (na parte frontal) e janelas retangulares simples (na lateral). A edificação está localizada em um terreno elevado e circundada por vegetação. Na entrada, há um pequeno grupo de figuras (funcionários ou trabalhadores) e gradis de proteção, sugerindo que o prédio é recém-construído ou estava em fase de acabamento/organização. O verso da fotografia, datado de 23 de agosto de 1960, contextualiza a imagem como "Uma das dependencias do pavilhão nº 8 da nova Casa de Detenção de São Paulo no Carandiru".</x:v>
      </x:c>
      <x:c r="N100"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00" s="10" t="str">
        <x:v>Dependência (Pavilhão 8); Arquitetura auxiliar; Edificação (serviço); Janelas arqueadas; Construção (acabamento); Casa de Detenção; Carandiru; 1960.</x:v>
      </x:c>
      <x:c r="P100" s="10" t="str">
        <x:v>Fotografia (Iconográfico)</x:v>
      </x:c>
      <x:c r="Q100" s="10" t="str">
        <x:v>Digitalização de fotografia em preto e branco (analógica original)</x:v>
      </x:c>
      <x:c r="R100" s="10" t="str">
        <x:v>Figura n – [Edificação auxiliar do pavilhão nº 8, com estilo de telhado em duas águas e janelas arqueadas, no Carandiru (1960)] Fonte: Arquivo Público do Estado de São Paulo, 1960.</x:v>
      </x:c>
      <x:c r="S100" s="10" t="str">
        <x:v>ARQUIVO PÚBLICO DO ESTADO DE SÃO PAULO (Brasil). [Edificação auxiliar do pavilhão nº 8, com estilo de telhado em duas águas e janelas arqueadas, no Carandiru (1960)]. São Paulo, Brasil. 23 ago. 1960. Fotografia digitalizada; preto e branco; suporte em papel fotográfico. Disponível em: &lt;link do dataverse&gt;. Acesso em: 28 out. 2025.</x:v>
      </x:c>
      <x:c r="T100" s="10" t="str">
        <x:v>Estado de São Paulo - Penitenciárias e Presídios - Casa de Detenção de São Paulo no Carandiru Uma das dependências do pavilhão nº 8 da nova Casa de Detenção de São Paulo no Carandiru. Vd. DSP 23/8/1960 W/</x:v>
      </x:c>
      <x:c r="U100" s="10" t="str">
        <x:v>ICO</x:v>
      </x:c>
      <x:c r="V100" s="10" t="str">
        <x:v>FOT</x:v>
      </x:c>
      <x:c r="W100" s="10" t="str">
        <x:v>DGZ</x:v>
      </x:c>
      <x:c r="X100" s="10" t="str">
        <x:v>MT0</x:v>
      </x:c>
      <x:c r="Y100" s="10" t="str">
        <x:v>BR-SPAPESP_DASP-PENITPRE-CSDTCARANDIRU.xlsx</x:v>
      </x:c>
      <x:c r="Z100" s="10" t="str">
        <x:v>3055-005</x:v>
      </x:c>
      <x:c r="AA100" s="11" t="n">
        <x:v>87</x:v>
      </x:c>
      <x:c r="AB100" s="10" t="str">
        <x:v>BR-SPAPESP_DASP-PENITPRE-CSDTCARANDIRU.xlsx:3055-005:87</x:v>
      </x:c>
      <x:c r="AC100" s="11" t="n">
        <x:f>COLUMNS(A100:T100)-COUNTBLANK(A100:T100)</x:f>
        <x:v>20</x:v>
      </x:c>
    </x:row>
    <x:row r="101" ht="84" hidden="0" customHeight="1">
      <x:c r="A101" s="10" t="str">
        <x:v>088</x:v>
      </x:c>
      <x:c r="B101" s="10" t="str">
        <x:v>Pavilhão 2 já pronto batizado com fuga, 5.7.1956</x:v>
      </x:c>
      <x:c r="C101" s="10" t="str">
        <x:v>Item</x:v>
      </x:c>
      <x:c r="D101" s="10" t="str">
        <x:v>1956-07-05 00:00:00</x:v>
      </x:c>
      <x:c r="E101" s="10" t="str">
        <x:v>Gerado pelo Dataverse</x:v>
      </x:c>
      <x:c r="F101" s="10" t="str">
        <x:v>Fotografia digitalizada; preto e branco; suporte em papel fotográfico</x:v>
      </x:c>
      <x:c r="G101" s="10" t="str">
        <x:v>São Paulo, Brasil</x:v>
      </x:c>
      <x:c r="H101" s="10" t="str">
        <x:v>Arquivo Público do Estado de São Paulo, Jornal Diários Associados</x:v>
      </x:c>
      <x:c r="I101" s="10" t="str">
        <x:v>Estado De São Paulo - Penitenciárias e Presídios - Casa de Detenção de São Paulo no Carandiru (Fotografias)</x:v>
      </x:c>
      <x:c r="J101" s="10" t="str">
        <x:v>Caixa: 3055 Folder: 5</x:v>
      </x:c>
      <x:c r="K101" s="10" t="str">
        <x:v>BR-SPAPESP_DASP-PENITPRE-CSDTCARANDIRU_ICO-FOT-DGZ-MT0_3055-005-088</x:v>
      </x:c>
      <x:c r="L101"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101" s="10" t="str">
        <x:v>A fotografia em preto e branco registra o edifício da administração da nova Casa de Detenção. O prédio é uma estrutura de dois andares com fachada, caracterizada por colunas verticais (pórtico) e janelas retangulares, contrastando com o Pavilhão de múltiplos andares em construção visível ao fundo. O primeiro plano é um terreno irregular e enlameado, com marcas de pneus, que ainda funciona como canteiro de obras. Há caminhões de serviço e materiais de construção, com pequenas figuras de operários/funcionários. O verso da fotografia possui duas legendas. A primeira, datada de 5 de julho de 1956, identifica o prédio em primeiro plano como a Administração e menciona a "primeira fuga" da nova Casa de Detenção. A segunda, de 1º de agosto de 1959, denuncia a superlotação.</x:v>
      </x:c>
      <x:c r="N101"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01" s="10" t="str">
        <x:v>Edifício (administração); Canteiro de obras; Primeira fuga; Superlotação (denúncia); Crise carcerária; Caminhão de serviço; Casa de Detenção; Carandiru; 1956; 1959.</x:v>
      </x:c>
      <x:c r="P101" s="10" t="str">
        <x:v>Fotografia (Iconográfico)</x:v>
      </x:c>
      <x:c r="Q101" s="10" t="str">
        <x:v>Digitalização de fotografia em preto e branco (analógica original)</x:v>
      </x:c>
      <x:c r="R101" s="10" t="str">
        <x:v>Figura n – [Pavilhão 2 já pronto batizado com fuga, 5.7.1956] Fonte: Arquivo Público do Estado de São Paulo, 1956.</x:v>
      </x:c>
      <x:c r="S101" s="10" t="str">
        <x:v>ARQUIVO PÚBLICO DO ESTADO DE SÃO PAULO (Brasil). [Pavilhão 2 já pronto batizado com fuga, 5.7.1956]. São Paulo, Brasil. 05 jul. 1956. Fotografia digitalizada; preto e branco; suporte em papel fotográfico. Disponível em: &lt;link do dataverse&gt;. Acesso em: 28 out. 2025.</x:v>
      </x:c>
      <x:c r="T101" s="10" t="str">
        <x:v>Estado de São Paulo - Penitenciárias e Presídios - Casa de Detenção - Carandiru "Batizada" a nova Casa de Detenção com a primeira fuga de um detento Neste edifício funcionará a administração do novo prédio da Casa de Detenção. Ao fundo, vê-se o pavilhão já pronto, que deveria ser a seção de mulheres e foi adaptado para receber os detentos perigosos. D. N. 2a. Ed. 5/7/956 jl 2.800 marginais recolhidos em pavilhões que cabem apenas 700 DN ed. un. - 1/8/1959 dr</x:v>
      </x:c>
      <x:c r="U101" s="10" t="str">
        <x:v>ICO</x:v>
      </x:c>
      <x:c r="V101" s="10" t="str">
        <x:v>FOT</x:v>
      </x:c>
      <x:c r="W101" s="10" t="str">
        <x:v>DGZ</x:v>
      </x:c>
      <x:c r="X101" s="10" t="str">
        <x:v>MT0</x:v>
      </x:c>
      <x:c r="Y101" s="10" t="str">
        <x:v>BR-SPAPESP_DASP-PENITPRE-CSDTCARANDIRU.xlsx</x:v>
      </x:c>
      <x:c r="Z101" s="10" t="str">
        <x:v>3055-005</x:v>
      </x:c>
      <x:c r="AA101" s="11" t="n">
        <x:v>88</x:v>
      </x:c>
      <x:c r="AB101" s="10" t="str">
        <x:v>BR-SPAPESP_DASP-PENITPRE-CSDTCARANDIRU.xlsx:3055-005:88</x:v>
      </x:c>
      <x:c r="AC101" s="11" t="n">
        <x:f>COLUMNS(A101:T101)-COUNTBLANK(A101:T101)</x:f>
        <x:v>20</x:v>
      </x:c>
    </x:row>
    <x:row r="102" ht="84" hidden="0" customHeight="1">
      <x:c r="A102" s="10" t="str">
        <x:v>001</x:v>
      </x:c>
      <x:c r="B102" s="10" t="str">
        <x:v>Casa de costura da Casa de Detenção após descoberta de túnel de fuga.</x:v>
      </x:c>
      <x:c r="C102" s="10" t="str">
        <x:v>Item</x:v>
      </x:c>
      <x:c r="D102" s="10" t="str">
        <x:v>1977-02-01 00:00:00</x:v>
      </x:c>
      <x:c r="E102" s="10" t="str">
        <x:v>Gerado pelo Dataverse</x:v>
      </x:c>
      <x:c r="F102" s="10" t="str">
        <x:v>Fotografia digitalizada; preto e branco; suporte em papel fotográfico</x:v>
      </x:c>
      <x:c r="G102" s="10" t="str">
        <x:v>São Paulo, Brasil</x:v>
      </x:c>
      <x:c r="H102" s="10" t="str">
        <x:v>Arquivo Público do Estado de São Paulo, Jornal Diários Associados</x:v>
      </x:c>
      <x:c r="I102" s="10" t="str">
        <x:v>Estado De São Paulo - Penitenciárias e Presídios - Casa de Detenção de São Paulo no Carandiru (Fotografias)</x:v>
      </x:c>
      <x:c r="J102" s="10" t="str">
        <x:v>Caixa: 2767 Folder: 11</x:v>
      </x:c>
      <x:c r="K102" s="10" t="str">
        <x:v>BR-SPAPESP_DASP-PENITPRE-CSDTCARANDIRU_ICO-FOT-DGZ-MT02767-011-001</x:v>
      </x:c>
      <x:c r="L102"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102" s="10" t="str">
        <x:v>A fotografia registra um ambiente interno da prisão, possivelmente uma oficina de costura ou cela, em estado de completa desordem. Observam-se mesas com máquinas de costura, amontoados de tecidos brancos, roupas e objetos pessoais espalhados pelo chão e sobre os móveis. O local foi cenário de uma tentativa de fuga onde 19 detentos construíram um túnel de 18 metros.</x:v>
      </x:c>
      <x:c r="N102"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02" s="10" t="str">
        <x:v>Casa de Detenção; Carandiru; Tentativa de fuga; Túnel; Oficina de costura; Desordem.</x:v>
      </x:c>
      <x:c r="P102" s="10" t="str">
        <x:v>Fotografia (Iconográfico)</x:v>
      </x:c>
      <x:c r="Q102" s="10" t="str">
        <x:v>Digitalização de fotografia em preto e branco (analógica original)</x:v>
      </x:c>
      <x:c r="R102" s="10" t="str">
        <x:v>Figura n – [Casa de costura da Casa de Detenção após descoberta de túnel de fuga.] Fonte: Arquivo Público do Estado de São Paulo, 1977.</x:v>
      </x:c>
      <x:c r="S102" s="10" t="str">
        <x:v>ARQUIVO PÚBLICO DO ESTADO DE SÃO PAULO (Brasil). [Casa de costura da Casa de Detenção após descoberta de túnel de fuga.]. São Paulo, Brasil. 01 fev. 1977. Fotografia digitalizada; preto e branco; suporte em papel fotográfico. Disponível em: &lt;link do dataverse&gt;. Acesso em: 28 out. 2025.</x:v>
      </x:c>
      <x:c r="T102" s="10" t="str">
        <x:v>ESTADO DE SÃO PAULO - PENITENCIARIA E PRESIDIOS - CASA DE DETENÇÃO 19 detentos da Casa de Detenção, construiram um tunel de 18 metros de cumprimentos numa tentativa de fuga DN. 1/2/1977</x:v>
      </x:c>
      <x:c r="U102" s="10" t="str">
        <x:v>ICO</x:v>
      </x:c>
      <x:c r="V102" s="10" t="str">
        <x:v>FOT</x:v>
      </x:c>
      <x:c r="W102" s="10" t="str">
        <x:v>DGZ</x:v>
      </x:c>
      <x:c r="X102" s="10" t="str">
        <x:v>MT0</x:v>
      </x:c>
      <x:c r="Y102" s="10" t="str">
        <x:v>BR-SPAPESP_DASP-PENITPRE-CSDTCARANDIRU.xlsx</x:v>
      </x:c>
      <x:c r="Z102" s="10" t="str">
        <x:v>2767-011</x:v>
      </x:c>
      <x:c r="AA102" s="11" t="n">
        <x:v>2</x:v>
      </x:c>
      <x:c r="AB102" s="10" t="str">
        <x:v>BR-SPAPESP_DASP-PENITPRE-CSDTCARANDIRU.xlsx:2767-011:2</x:v>
      </x:c>
      <x:c r="AC102" s="11" t="n">
        <x:f>COLUMNS(A102:T102)-COUNTBLANK(A102:T102)</x:f>
        <x:v>20</x:v>
      </x:c>
    </x:row>
    <x:row r="103" ht="84" hidden="0" customHeight="1">
      <x:c r="A103" s="10" t="str">
        <x:v>002</x:v>
      </x:c>
      <x:c r="B103" s="10" t="str">
        <x:v>Celas isoladas da Casa de Detenção</x:v>
      </x:c>
      <x:c r="C103" s="10" t="str">
        <x:v>Item</x:v>
      </x:c>
      <x:c r="D103" s="10" t="str">
        <x:v>1955-01-31 00:00:00</x:v>
      </x:c>
      <x:c r="E103" s="10" t="str">
        <x:v>Gerado pelo Dataverse</x:v>
      </x:c>
      <x:c r="F103" s="10" t="str">
        <x:v>Fotografia digitalizada; preto e branco; suporte em papel fotográfico</x:v>
      </x:c>
      <x:c r="G103" s="10" t="str">
        <x:v>São Paulo, Brasil</x:v>
      </x:c>
      <x:c r="H103" s="10" t="str">
        <x:v>Arquivo Público do Estado de São Paulo, Jornal Diários Associados</x:v>
      </x:c>
      <x:c r="I103" s="10" t="str">
        <x:v>Estado De São Paulo - Penitenciárias e Presídios - Casa de Detenção de São Paulo no Carandiru (Fotografias)</x:v>
      </x:c>
      <x:c r="J103" s="10" t="str">
        <x:v>Caixa: 2767 Folder: 11</x:v>
      </x:c>
      <x:c r="K103" s="10" t="str">
        <x:v>BR-SPAPESP_DASP-PENITPRE-CSDTCARANDIRU_ICO-FOT-DGZ-MT0_2767-011-002</x:v>
      </x:c>
      <x:c r="L103"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103" s="10" t="str">
        <x:v>A imagem é enquadrada através de uma grade de ferro em primeiro plano, criando uma perspectiva de confinamento. Observa-se um pátio ou corredor estreito de cimento onde se alinham portas escuras e numeradas (visíveis os números 5 e 7), identificadas como celas de isolamento. Há um grande barril de madeira à esquerda e um tecido pendurado em uma das portas à direita e, possivelmente, roupas à esquerda. Ao fundo, sobre um muro, distinguem-se as cabeças de dois guardas observando.</x:v>
      </x:c>
      <x:c r="N103"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03" s="10" t="str">
        <x:v>Casa de Detenção; Avenida Tiradentes; Celas isoladas; Solitária; Castigo; Maus-tratos; Sistema prisional.</x:v>
      </x:c>
      <x:c r="P103" s="10" t="str">
        <x:v>Fotografia (Iconográfico)</x:v>
      </x:c>
      <x:c r="Q103" s="10" t="str">
        <x:v>Digitalização de fotografia em preto e branco (analógica original)</x:v>
      </x:c>
      <x:c r="R103" s="10" t="str">
        <x:v>Figura n – [Celas isoladas da Casa de Detenção] Fonte: Arquivo Público do Estado de São Paulo, 1955.</x:v>
      </x:c>
      <x:c r="S103" s="10" t="str">
        <x:v>ARQUIVO PÚBLICO DO ESTADO DE SÃO PAULO (Brasil). [Celas isoladas da Casa de Detenção]. São Paulo, Brasil. 31 jan. 1955. Fotografia digitalizada; preto e branco; suporte em papel fotográfico. Disponível em: &lt;link do dataverse&gt;. Acesso em: 28 out. 2025.</x:v>
      </x:c>
      <x:c r="T103" s="10" t="str">
        <x:v>ESTADO DE S.PAULO - PENITENCIARIAS E PRESIDIOS - - CASA DE DETENÇÃO DA AVENIDA TIRADENTES SOL A DEZ CRUZEIROS NA CASA DE DETENÇÃO Na foto, vemos as celas "isoladas" na Casa de Detenção, onde os presos permaneciam esquecidos, sem comida e sem agua, durante meses, saiam, quais bestas humanas, enloquecidos, pela fome e pela sede. Passavam as noites gritando por alimentação. D.N.2a.Ed.31/1/955 jl DN.21/10/1978 NÃO HA BEIJOS NAS VISITAS NA NOVA CASA DE DETENÇÃO DN 1a. Ed. 14/8/1961 W/ PARA QUEM NÃO TEM PENA - DN.2a. Ed. 19/8/1964-cjs.</x:v>
      </x:c>
      <x:c r="U103" s="10" t="str">
        <x:v>ICO</x:v>
      </x:c>
      <x:c r="V103" s="10" t="str">
        <x:v>FOT</x:v>
      </x:c>
      <x:c r="W103" s="10" t="str">
        <x:v>DGZ</x:v>
      </x:c>
      <x:c r="X103" s="10" t="str">
        <x:v>MT0</x:v>
      </x:c>
      <x:c r="Y103" s="10" t="str">
        <x:v>BR-SPAPESP_DASP-PENITPRE-CSDTCARANDIRU.xlsx</x:v>
      </x:c>
      <x:c r="Z103" s="10" t="str">
        <x:v>2767-011</x:v>
      </x:c>
      <x:c r="AA103" s="11" t="n">
        <x:v>3</x:v>
      </x:c>
      <x:c r="AB103" s="10" t="str">
        <x:v>BR-SPAPESP_DASP-PENITPRE-CSDTCARANDIRU.xlsx:2767-011:3</x:v>
      </x:c>
      <x:c r="AC103" s="11" t="n">
        <x:f>COLUMNS(A103:T103)-COUNTBLANK(A103:T103)</x:f>
        <x:v>20</x:v>
      </x:c>
    </x:row>
    <x:row r="104" ht="84" hidden="0" customHeight="1">
      <x:c r="A104" s="10" t="str">
        <x:v>003</x:v>
      </x:c>
      <x:c r="B104" s="10" t="str">
        <x:v>Jornalistas e fotógrafos aglomerados no portão da Casa de Detenção após boato de motim.</x:v>
      </x:c>
      <x:c r="C104" s="10" t="str">
        <x:v>Item</x:v>
      </x:c>
      <x:c r="D104" s="10" t="str">
        <x:v>1964-03-06 00:00:00</x:v>
      </x:c>
      <x:c r="E104" s="10" t="str">
        <x:v>Gerado pelo Dataverse</x:v>
      </x:c>
      <x:c r="F104" s="10" t="str">
        <x:v>Fotografia digitalizada; preto e branco; suporte em papel fotográfico</x:v>
      </x:c>
      <x:c r="G104" s="10" t="str">
        <x:v>São Paulo, Brasil</x:v>
      </x:c>
      <x:c r="H104" s="10" t="str">
        <x:v>Arquivo Público do Estado de São Paulo, Jornal Diários Associados</x:v>
      </x:c>
      <x:c r="I104" s="10" t="str">
        <x:v>Estado De São Paulo - Penitenciárias e Presídios - Casa de Detenção de São Paulo no Carandiru (Fotografias)</x:v>
      </x:c>
      <x:c r="J104" s="10" t="str">
        <x:v>Caixa: 2767 Folder: 11</x:v>
      </x:c>
      <x:c r="K104" s="10" t="str">
        <x:v>BR-SPAPESP_DASP-PENITPRE-CSDTCARANDIRU_ICO-FOT-DGZ-MT0_2767-011-003</x:v>
      </x:c>
      <x:c r="L104"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104" s="10" t="str">
        <x:v>A fotografia registra um grupo de homens de costas, vestidos com ternos, observando o interior do presídio através de um grande portão de ferro gradeado (identificado com o número 2). Trata-se de profissionais da imprensa, sendo possível identificar câmeras fotográficas e equipamentos de flash com lâmpadas nas mãos de alguns, que foram ao local cobrir um suposto motim ou fuga que se revelou ser apenas um boato.</x:v>
      </x:c>
      <x:c r="N104"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04" s="10" t="str">
        <x:v>Casa de Detenção; Carandiru; Imprensa; Jornalistas; Boato; Motim; Portão; Segurança.</x:v>
      </x:c>
      <x:c r="P104" s="10" t="str">
        <x:v>Fotografia (Iconográfico)</x:v>
      </x:c>
      <x:c r="Q104" s="10" t="str">
        <x:v>Digitalização de fotografia em preto e branco (analógica original)</x:v>
      </x:c>
      <x:c r="R104" s="10" t="str">
        <x:v>Figura n – [Jornalistas e fotógrafos aglomerados no portão da Casa de Detenção após boato de motim.] Fonte: Arquivo Público do Estado de São Paulo, 1964.</x:v>
      </x:c>
      <x:c r="S104" s="10" t="str">
        <x:v>ARQUIVO PÚBLICO DO ESTADO DE SÃO PAULO (Brasil). [Jornalistas e fotógrafos aglomerados no portão da Casa de Detenção após boato de motim.]. São Paulo, Brasil. 06 mar. 1964. Fotografia digitalizada; preto e branco; suporte em papel fotográfico. Disponível em: &lt;link do dataverse&gt;. Acesso em: 28 out. 2025.</x:v>
      </x:c>
      <x:c r="T104" s="10" t="str">
        <x:v>ESTADO DE SÃO PAULO - PENITENCIÁRIAS E PRESÍDIOS - CASA DE DETENÇÃO DO CARANDIRÚ - MOTIM NA NOVA CASA DE DETENÇÃO ERA FRUTO DE UM SIMPLES BOATO Ontem anunciou-se uma espetacular fuga da Casa de Detenção. Imediatamente toda a imprensa de São Paulo se deslocou para o local para cobrir o acontecimento. Porém, nada de anormal haviam-se registrado. Tudo não passara de um mal-entendido. DN.1ª Ed., 6/3/1964 - wjp A noticia correu celere. A nova Casa de Detenção estava em pé-de-guerra. Os presos haviam-se amotinado. Não queriam ser recolhidos às celas individuais. Afinal de contas, no antigo estabelecimento penal, andavam à vontade pelo patio, ninguem os incomodava e, essa nova situação não poderia, segundo os detentos, continuar.</x:v>
      </x:c>
      <x:c r="U104" s="10" t="str">
        <x:v>ICO</x:v>
      </x:c>
      <x:c r="V104" s="10" t="str">
        <x:v>FOT</x:v>
      </x:c>
      <x:c r="W104" s="10" t="str">
        <x:v>DGZ</x:v>
      </x:c>
      <x:c r="X104" s="10" t="str">
        <x:v>MT0</x:v>
      </x:c>
      <x:c r="Y104" s="10" t="str">
        <x:v>BR-SPAPESP_DASP-PENITPRE-CSDTCARANDIRU.xlsx</x:v>
      </x:c>
      <x:c r="Z104" s="10" t="str">
        <x:v>2767-011</x:v>
      </x:c>
      <x:c r="AA104" s="11" t="n">
        <x:v>4</x:v>
      </x:c>
      <x:c r="AB104" s="10" t="str">
        <x:v>BR-SPAPESP_DASP-PENITPRE-CSDTCARANDIRU.xlsx:2767-011:4</x:v>
      </x:c>
      <x:c r="AC104" s="11" t="n">
        <x:f>COLUMNS(A104:T104)-COUNTBLANK(A104:T104)</x:f>
        <x:v>20</x:v>
      </x:c>
    </x:row>
    <x:row r="105" ht="84" hidden="0" customHeight="1">
      <x:c r="A105" s="10" t="str">
        <x:v>004</x:v>
      </x:c>
      <x:c r="B105" s="10" t="str">
        <x:v>Campanha de doação de sangue de detentos do Carandiru em convênio com a COLSAN</x:v>
      </x:c>
      <x:c r="C105" s="10" t="str">
        <x:v>Item</x:v>
      </x:c>
      <x:c r="D105" s="10" t="str">
        <x:v>1963-08-05 00:00:00</x:v>
      </x:c>
      <x:c r="E105" s="10" t="str">
        <x:v>Gerado pelo Dataverse</x:v>
      </x:c>
      <x:c r="F105" s="10" t="str">
        <x:v>Fotografia digitalizada; preto e branco; suporte em papel fotográfico</x:v>
      </x:c>
      <x:c r="G105" s="10" t="str">
        <x:v>São Paulo, Brasil</x:v>
      </x:c>
      <x:c r="H105" s="10" t="str">
        <x:v>Arquivo Público do Estado de São Paulo, Jornal Diários Associados</x:v>
      </x:c>
      <x:c r="I105" s="10" t="str">
        <x:v>Estado De São Paulo - Penitenciárias e Presídios - Casa de Detenção de São Paulo no Carandiru (Fotografias)</x:v>
      </x:c>
      <x:c r="J105" s="10" t="str">
        <x:v>Caixa: 2767 Folder: 11</x:v>
      </x:c>
      <x:c r="K105" s="10" t="str">
        <x:v>BR-SPAPESP_DASP-PENITPRE-CSDTCARANDIRU_ICO-FOT-DGZ-MT0_2767-011-004</x:v>
      </x:c>
      <x:c r="L105"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105" s="10" t="str">
        <x:v>A imagem registra o interior de uma ala da Casa de Detenção transformada em enfermaria temporária. Vê-se uma fila de macas de campanha onde detentos, vestidos com uniformes claros e gorros, estão deitados realizando a doação de sangue. Uma enfermeira uniformizada supervisiona o procedimento junto a um dos doadores. Ao fundo, observam-se grades de ferro e outros homens em pé acompanhando a ação.</x:v>
      </x:c>
      <x:c r="N105"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05" s="10" t="str">
        <x:v>Casa de Detenção; Carandiru; Doação de sangue; COLSAN; Solidariedade; Saúde pública; Enfermaria.</x:v>
      </x:c>
      <x:c r="P105" s="10" t="str">
        <x:v>Fotografia (Iconográfico)</x:v>
      </x:c>
      <x:c r="Q105" s="10" t="str">
        <x:v>Digitalização de fotografia em sépia</x:v>
      </x:c>
      <x:c r="R105" s="10" t="str">
        <x:v>Figura n – [Campanha de doação de sangue de detentos do Carandiru em convênio com a COLSAN] Fonte: Arquivo Público do Estado de São Paulo, 1963.</x:v>
      </x:c>
      <x:c r="S105" s="10" t="str">
        <x:v>ARQUIVO PÚBLICO DO ESTADO DE SÃO PAULO (Brasil). [Campanha de doação de sangue de detentos do Carandiru em convênio com a COLSAN]. São Paulo, Brasil. 05 ago. 1963. Fotografia digitalizada; preto e branco; suporte em papel fotográfico. Disponível em: &lt;link do dataverse&gt;. Acesso em: 28 out. 2025.</x:v>
      </x:c>
      <x:c r="T105" s="10" t="str">
        <x:v>ESTADO DE SÃO PAULO - PENITENCIÁRIA E PRESIDÍOS - - CASA DE DETENÇÃO DO CARANDIRÚ - SANGUE SEM CRIME NO CARANDIRÚ Na manhã de hoje, os presidiários do Carandiru, atendendo ao apelo da COLSAN e da Diretoria de Presidios, formaram fila para doar sangue aos hospitais paulistas, muitos dos quais enfrentam permanente dificuldades principalmente quando êxito das intervenções cirurgicas depende de transfusão. Um convenio foi firmado entre COLSAN e a Diretoria de Presidios para a coleta de sangue dos detentos. Acima, o flagrante, desta manhã, no Carandiru. DN.2a.Ed. 5/8/1963-cjs.</x:v>
      </x:c>
      <x:c r="U105" s="10" t="str">
        <x:v>ICO</x:v>
      </x:c>
      <x:c r="V105" s="10" t="str">
        <x:v>FOT</x:v>
      </x:c>
      <x:c r="W105" s="10" t="str">
        <x:v>DGZ</x:v>
      </x:c>
      <x:c r="X105" s="10" t="str">
        <x:v>MT0</x:v>
      </x:c>
      <x:c r="Y105" s="10" t="str">
        <x:v>BR-SPAPESP_DASP-PENITPRE-CSDTCARANDIRU.xlsx</x:v>
      </x:c>
      <x:c r="Z105" s="10" t="str">
        <x:v>2767-011</x:v>
      </x:c>
      <x:c r="AA105" s="11" t="n">
        <x:v>5</x:v>
      </x:c>
      <x:c r="AB105" s="10" t="str">
        <x:v>BR-SPAPESP_DASP-PENITPRE-CSDTCARANDIRU.xlsx:2767-011:5</x:v>
      </x:c>
      <x:c r="AC105" s="11" t="n">
        <x:f>COLUMNS(A105:T105)-COUNTBLANK(A105:T105)</x:f>
        <x:v>20</x:v>
      </x:c>
    </x:row>
    <x:row r="106" ht="84" hidden="0" customHeight="1">
      <x:c r="A106" s="10" t="str">
        <x:v>005</x:v>
      </x:c>
      <x:c r="B106" s="10" t="str">
        <x:v>Ambulância saindo da Casa de Detenção</x:v>
      </x:c>
      <x:c r="C106" s="10" t="str">
        <x:v>Item</x:v>
      </x:c>
      <x:c r="D106" s="10" t="str">
        <x:v>1964-03-06 00:00:00</x:v>
      </x:c>
      <x:c r="E106" s="10" t="str">
        <x:v>Gerado pelo Dataverse</x:v>
      </x:c>
      <x:c r="F106" s="10" t="str">
        <x:v>Fotografia digitalizada; preto e branco; suporte em papel fotográfico</x:v>
      </x:c>
      <x:c r="G106" s="10" t="str">
        <x:v>São Paulo, Brasil</x:v>
      </x:c>
      <x:c r="H106" s="10" t="str">
        <x:v>Arquivo Público do Estado de São Paulo, Jornal Diários Associados</x:v>
      </x:c>
      <x:c r="I106" s="10" t="str">
        <x:v>Estado De São Paulo - Penitenciárias e Presídios - Casa de Detenção de São Paulo no Carandiru (Fotografias)</x:v>
      </x:c>
      <x:c r="J106" s="10" t="str">
        <x:v>Caixa: 2767 Folder: 11</x:v>
      </x:c>
      <x:c r="K106" s="10" t="str">
        <x:v>BR-SPAPESP_DASP-PENITPRE-CSDTCARANDIRU_ICO-FOT-DGZ-MT0_2767-011-005</x:v>
      </x:c>
      <x:c r="L106"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106" s="10" t="str">
        <x:v>A fotografia registra a fachada externa da Casa de Detenção, caracterizada por janelas com grades horizontais. Pelo portão principal, vê-se uma ambulância saindo do presídio. Nas laterais do pátio externo, grupos de homens em trajes sociais (repórteres) observam a cena; à esquerda, um deles segura equipamentos fotográficos. O verso indica que a saída precipitada deste veículo alimentou a falsa impressão de gravidade de um motim, que era, na verdade, um boato.</x:v>
      </x:c>
      <x:c r="N106"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06" s="10" t="str">
        <x:v>Casa de Detenção; Carandiru; Imprensa; Ambulância; Boato; Motim; Jornalismo.</x:v>
      </x:c>
      <x:c r="P106" s="10" t="str">
        <x:v>Fotografia (Iconográfico)</x:v>
      </x:c>
      <x:c r="Q106" s="10" t="str">
        <x:v>Digitalização de fotografia em preto e branco (analógica original)</x:v>
      </x:c>
      <x:c r="R106" s="10" t="str">
        <x:v>Figura n – [Ambulância saindo da Casa de Detenção] Fonte: Arquivo Público do Estado de São Paulo, 1964.</x:v>
      </x:c>
      <x:c r="S106" s="10" t="str">
        <x:v>ARQUIVO PÚBLICO DO ESTADO DE SÃO PAULO (Brasil). [Ambulância saindo da Casa de Detenção]. São Paulo, Brasil. 06 mar. 1964. Fotografia digitalizada; preto e branco; suporte em papel fotográfico. Disponível em: &lt;link do dataverse&gt;. Acesso em: 28 out. 2025.</x:v>
      </x:c>
      <x:c r="T106" s="10" t="str">
        <x:v>ESTADO DE SÃO PAULO - PENITENCIÁRIAS E PRESÍDIOS - CASA DE DETENÇÃO DO CARANDIRÚ - MOTIM NA NOVA CASA DE DETENÇÃO ERA FRUTO DE UM SIMPLES BOATO A noticia de que um motim de presos eclodira na nova Casa de Detenção do Carandirú, fez com que grande numeros de reporteres para ali se deslocassem a fim de documentarem os fatos. Entretanto, tudo não passou de um simples boato, pois tudo éra calmo naquele presídio. A saida precipitada, e quase ás escondidas de uma ambulância pelo portão principal, como vemos na foto, deu aos reporteres, a impressão de qual grave ali se passava. Contudo, momentos depois, o diretor do presídio desmentia as noticias de que houvera motim de presos. DN. 1a Ed., 6/3/1964 - wjp.</x:v>
      </x:c>
      <x:c r="U106" s="10" t="str">
        <x:v>ICO</x:v>
      </x:c>
      <x:c r="V106" s="10" t="str">
        <x:v>FOT</x:v>
      </x:c>
      <x:c r="W106" s="10" t="str">
        <x:v>DGZ</x:v>
      </x:c>
      <x:c r="X106" s="10" t="str">
        <x:v>MT0</x:v>
      </x:c>
      <x:c r="Y106" s="10" t="str">
        <x:v>BR-SPAPESP_DASP-PENITPRE-CSDTCARANDIRU.xlsx</x:v>
      </x:c>
      <x:c r="Z106" s="10" t="str">
        <x:v>2767-011</x:v>
      </x:c>
      <x:c r="AA106" s="11" t="n">
        <x:v>6</x:v>
      </x:c>
      <x:c r="AB106" s="10" t="str">
        <x:v>BR-SPAPESP_DASP-PENITPRE-CSDTCARANDIRU.xlsx:2767-011:6</x:v>
      </x:c>
      <x:c r="AC106" s="11" t="n">
        <x:f>COLUMNS(A106:T106)-COUNTBLANK(A106:T106)</x:f>
        <x:v>20</x:v>
      </x:c>
    </x:row>
    <x:row r="107" ht="84" hidden="0" customHeight="1">
      <x:c r="A107" s="10" t="str">
        <x:v>006</x:v>
      </x:c>
      <x:c r="B107" s="10" t="str">
        <x:v>Aspecto interno e limpeza do letreiro no pátio da Casa de Detenção de São Paulo na Avenida Tiradentes.</x:v>
      </x:c>
      <x:c r="C107" s="10" t="str">
        <x:v>Item</x:v>
      </x:c>
      <x:c r="D107" s="10" t="str">
        <x:v>1944-09-23 00:00:00</x:v>
      </x:c>
      <x:c r="E107" s="10" t="str">
        <x:v>Gerado pelo Dataverse</x:v>
      </x:c>
      <x:c r="F107" s="10" t="str">
        <x:v>Fotografia digitalizada; preto e branco; suporte em papel fotográfico</x:v>
      </x:c>
      <x:c r="G107" s="10" t="str">
        <x:v>São Paulo, Brasil</x:v>
      </x:c>
      <x:c r="H107" s="10" t="str">
        <x:v>Arquivo Público do Estado de São Paulo, Jornal Diários Associados</x:v>
      </x:c>
      <x:c r="I107" s="10" t="str">
        <x:v>Estado De São Paulo - Penitenciárias e Presídios - Casa de Detenção de São Paulo no Carandiru (Fotografias)</x:v>
      </x:c>
      <x:c r="J107" s="10" t="str">
        <x:v>Caixa: 2767 Folder: 11</x:v>
      </x:c>
      <x:c r="K107" s="10" t="str">
        <x:v>BR-SPAPESP_DASP-PENITPRE-CSDTCARANDIRU_ICO-FOT-DGZ-MT0_2767-011-006</x:v>
      </x:c>
      <x:c r="L107"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107" s="10" t="str">
        <x:v>A imagem registra um pátio pavimentado onde um homem uniformizado utiliza um rodo para limpar ou lavar um grande letreiro pintado no chão com os dizeres "CASA DE DETENÇÃO". À esquerda, escadas de madeira estão apoiadas na parede branca do edifício, sugerindo obras de manutenção ou pintura. Ao fundo, observam-se outras pessoas uniformizadas caminhando e um jardim.</x:v>
      </x:c>
      <x:c r="N107"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07" s="10" t="str">
        <x:v>Casa de Detenção; Avenida Tiradentes; Limpeza; Manutenção; Letreiro; Cotidiano; Aspecto interno.</x:v>
      </x:c>
      <x:c r="P107" s="10" t="str">
        <x:v>Fotografia (Iconográfico)</x:v>
      </x:c>
      <x:c r="Q107" s="10" t="str">
        <x:v>Digitalização de fotografia em preto e branco</x:v>
      </x:c>
      <x:c r="R107" s="10" t="str">
        <x:v>Figura n – [Aspecto interno e limpeza do letreiro no pátio da Casa de Detenção de São Paulo na Avenida Tiradentes.] Fonte: Arquivo Público do Estado de São Paulo, 1944.</x:v>
      </x:c>
      <x:c r="S107" s="10" t="str">
        <x:v>ARQUIVO PÚBLICO DO ESTADO DE SÃO PAULO (Brasil). [Aspecto interno e limpeza do letreiro no pátio da Casa de Detenção de São Paulo na Avenida Tiradentes.]. São Paulo, Brasil. 23 set. 1944. Fotografia digitalizada; preto e branco; suporte em papel fotográfico. Disponível em: &lt;link do dataverse&gt;. Acesso em: 28 out. 2025.</x:v>
      </x:c>
      <x:c r="T107" s="10" t="str">
        <x:v>Um ASPECTO INTERNO DA CASA DE DETENÇÃO EM S.PAULO DN.-2A.-23/9/944 ESTADO DE S.PAULO-PENITENCIARIAS E PRESIDIOS-CASA DE DETENÇÃO DA AV.TIRADENTES ASPECTO INTERNO DA CASA DE DETENÇÃO DN.-2A.-23/9/44</x:v>
      </x:c>
      <x:c r="U107" s="10" t="str">
        <x:v>ICO</x:v>
      </x:c>
      <x:c r="V107" s="10" t="str">
        <x:v>FOT</x:v>
      </x:c>
      <x:c r="W107" s="10" t="str">
        <x:v>DGZ</x:v>
      </x:c>
      <x:c r="X107" s="10" t="str">
        <x:v>MT0</x:v>
      </x:c>
      <x:c r="Y107" s="10" t="str">
        <x:v>BR-SPAPESP_DASP-PENITPRE-CSDTCARANDIRU.xlsx</x:v>
      </x:c>
      <x:c r="Z107" s="10" t="str">
        <x:v>2767-011</x:v>
      </x:c>
      <x:c r="AA107" s="11" t="n">
        <x:v>7</x:v>
      </x:c>
      <x:c r="AB107" s="10" t="str">
        <x:v>BR-SPAPESP_DASP-PENITPRE-CSDTCARANDIRU.xlsx:2767-011:7</x:v>
      </x:c>
      <x:c r="AC107" s="11" t="n">
        <x:f>COLUMNS(A107:T107)-COUNTBLANK(A107:T107)</x:f>
        <x:v>20</x:v>
      </x:c>
    </x:row>
    <x:row r="108" ht="84" hidden="0" customHeight="1">
      <x:c r="A108" s="10" t="str">
        <x:v>007</x:v>
      </x:c>
      <x:c r="B108" s="10" t="str">
        <x:v>Grande aglomeração de detentos no pátio da Casa de Detenção ("Praça de Esportes")</x:v>
      </x:c>
      <x:c r="C108" s="10" t="str">
        <x:v>Item</x:v>
      </x:c>
      <x:c r="D108" s="10" t="str">
        <x:v>1976-12-27 00:00:00</x:v>
      </x:c>
      <x:c r="E108" s="10" t="str">
        <x:v>Gerado pelo Dataverse</x:v>
      </x:c>
      <x:c r="F108" s="10" t="str">
        <x:v>Fotografia digitalizada; preto e branco; suporte em papel fotográfico</x:v>
      </x:c>
      <x:c r="G108" s="10" t="str">
        <x:v>São Paulo, Brasil</x:v>
      </x:c>
      <x:c r="H108" s="10" t="str">
        <x:v>Arquivo Público do Estado de São Paulo, Jornal Diários Associados</x:v>
      </x:c>
      <x:c r="I108" s="10" t="str">
        <x:v>Estado De São Paulo - Penitenciárias e Presídios - Casa de Detenção de São Paulo no Carandiru (Fotografias)</x:v>
      </x:c>
      <x:c r="J108" s="10" t="str">
        <x:v>Caixa: 2767 Folder: 11</x:v>
      </x:c>
      <x:c r="K108" s="10" t="str">
        <x:v>BR-SPAPESP_DASP-PENITPRE-CSDTCARANDIRU_ICO-FOT-DGZ-MT0_2767-011-007</x:v>
      </x:c>
      <x:c r="L108"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108" s="10" t="str">
        <x:v>A fotografia registra uma vista panorâmica de um pátio interno da Casa de Detenção, cercado por altos muros brancos. O espaço está ocupado por uma imensa multidão de detentos sentados em bancos ou arquibancadas, preenchendo quase todo o quadro. Ao fundo, destaca-se uma torre de vigilância e, no muro à direita, é possível ler a inscrição "PRAÇA DE ESPORTES" dentro de um brasão pintado.</x:v>
      </x:c>
      <x:c r="N108"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08" s="10" t="str">
        <x:v>Carandiru; Pátio; Detentos; Aglomeração; Segurança; Praça de Esportes; Sistema prisional.</x:v>
      </x:c>
      <x:c r="P108" s="10" t="str">
        <x:v>Fotografia (Iconográfico)</x:v>
      </x:c>
      <x:c r="Q108" s="10" t="str">
        <x:v>Digitalização de fotografia em preto e branco</x:v>
      </x:c>
      <x:c r="R108" s="10" t="str">
        <x:v>Figura n – [Grande aglomeração de detentos no pátio da Casa de Detenção ("Praça de Esportes")] Fonte: Arquivo Público do Estado de São Paulo, 1976.</x:v>
      </x:c>
      <x:c r="S108" s="10" t="str">
        <x:v>ARQUIVO PÚBLICO DO ESTADO DE SÃO PAULO (Brasil). [Grande aglomeração de detentos no pátio da Casa de Detenção ("Praça de Esportes")]. São Paulo, Brasil. 27 dez. 1976. Fotografia digitalizada; preto e branco; suporte em papel fotográfico. Disponível em: &lt;link do dataverse&gt;. Acesso em: 28 out. 2025.</x:v>
      </x:c>
      <x:c r="T108" s="10" t="str">
        <x:v>ESTADO DE SÃO PAULO = PENITENCIARIAS E PRESIDIOS = CASA DE DETENÇÃO Arq. 27/12/1976 DSP- 2/3/1977-dcc (Anotação manuscrita na vertical à direita: 21 cm de ALTURA)</x:v>
      </x:c>
      <x:c r="U108" s="10" t="str">
        <x:v>ICO</x:v>
      </x:c>
      <x:c r="V108" s="10" t="str">
        <x:v>FOT</x:v>
      </x:c>
      <x:c r="W108" s="10" t="str">
        <x:v>DGZ</x:v>
      </x:c>
      <x:c r="X108" s="10" t="str">
        <x:v>MT0</x:v>
      </x:c>
      <x:c r="Y108" s="10" t="str">
        <x:v>BR-SPAPESP_DASP-PENITPRE-CSDTCARANDIRU.xlsx</x:v>
      </x:c>
      <x:c r="Z108" s="10" t="str">
        <x:v>2767-011</x:v>
      </x:c>
      <x:c r="AA108" s="11" t="n">
        <x:v>8</x:v>
      </x:c>
      <x:c r="AB108" s="10" t="str">
        <x:v>BR-SPAPESP_DASP-PENITPRE-CSDTCARANDIRU.xlsx:2767-011:8</x:v>
      </x:c>
      <x:c r="AC108" s="11" t="n">
        <x:f>COLUMNS(A108:T108)-COUNTBLANK(A108:T108)</x:f>
        <x:v>20</x:v>
      </x:c>
    </x:row>
    <x:row r="109" ht="84" hidden="0" customHeight="1">
      <x:c r="A109" s="10" t="str">
        <x:v>008</x:v>
      </x:c>
      <x:c r="B109" s="10" t="str">
        <x:v>Ação da guarda com cassetetes para sufocar início de rebelião na Casa de Detenção</x:v>
      </x:c>
      <x:c r="C109" s="10" t="str">
        <x:v>Item</x:v>
      </x:c>
      <x:c r="D109" s="10" t="str">
        <x:v>1955-01-21 00:00:00</x:v>
      </x:c>
      <x:c r="E109" s="10" t="str">
        <x:v>Gerado pelo Dataverse</x:v>
      </x:c>
      <x:c r="F109" s="10" t="str">
        <x:v>Fotografia digitalizada; preto e branco; suporte em papel fotográfico</x:v>
      </x:c>
      <x:c r="G109" s="10" t="str">
        <x:v>São Paulo, Brasil</x:v>
      </x:c>
      <x:c r="H109" s="10" t="str">
        <x:v>Arquivo Público do Estado de São Paulo, Jornal Diários Associados</x:v>
      </x:c>
      <x:c r="I109" s="10" t="str">
        <x:v>Estado De São Paulo - Penitenciárias e Presídios - Casa de Detenção de São Paulo no Carandiru (Fotografias)</x:v>
      </x:c>
      <x:c r="J109" s="10" t="str">
        <x:v>Caixa: 2767 Folder: 11</x:v>
      </x:c>
      <x:c r="K109" s="10" t="str">
        <x:v>BR-SPAPESP_DASP-PENITPRE-CSDTCARANDIRU_ICO-FOT-DGZ-MT0_2767-011-008</x:v>
      </x:c>
      <x:c r="L109"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109" s="10" t="str">
        <x:v>A cena é registrada através de grades escuras em primeiro plano (desfocadas), criando a perspectiva de quem está dentro de uma cela ou área confinada. No plano principal, vê-se um veículo policial antigo (camburão) com a inscrição "DEPARTAMENTO DE INVESTIGAÇÕES". Ao lado do veículo e próximo a um portão, um grupo de policiais ou soldados usando capacetes levanta cassetetes, sugerindo um momento de confronto ou repressão a um tumulto.</x:v>
      </x:c>
      <x:c r="N109"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09" s="10" t="str">
        <x:v>Casa de Detenção; Avenida Tiradentes; Rebelião; Polícia; Confronto; Cassetetes; Segurança pública; Motim.</x:v>
      </x:c>
      <x:c r="P109" s="10" t="str">
        <x:v>Fotografia (Iconográfico)</x:v>
      </x:c>
      <x:c r="Q109" s="10" t="str">
        <x:v>Digitalização de fotografia em sépia</x:v>
      </x:c>
      <x:c r="R109" s="10" t="str">
        <x:v>Figura n – [Ação da guarda com cassetetes para sufocar início de rebelião na Casa de Detenção] Fonte: Arquivo Público do Estado de São Paulo, 1955.</x:v>
      </x:c>
      <x:c r="S109" s="10" t="str">
        <x:v>ARQUIVO PÚBLICO DO ESTADO DE SÃO PAULO (Brasil). [Ação da guarda com cassetetes para sufocar início de rebelião na Casa de Detenção]. São Paulo, Brasil. 21 jan. 1955. Fotografia digitalizada; preto e branco; suporte em papel fotográfico. Disponível em: &lt;link do dataverse&gt;. Acesso em: 28 out. 2025.</x:v>
      </x:c>
      <x:c r="T109" s="10" t="str">
        <x:v>ESTADO DE S.PAULO- PENITENCIARIAS E PRESIDIOS - CASA DE DETENÇÃO DA AVENIDA TIRADENTES CINCOENTA PRESOS ATACARAM A GUARDA Para sufocar o inicio de rebelião na manhã de hoje, na Casa de Detenção, os soldados tiveram que fazer uso de seus "casse-tetes". A foto mostra um dos "entreveros" entre soldados e prisioneiros revoltados. D.N.2a.Ed.21/1/955 jl SITUAÇÃO DE PERIGO NA CASA DE DETENÇÃO D.N.2a.Ed.7/2/956 jl</x:v>
      </x:c>
      <x:c r="U109" s="10" t="str">
        <x:v>ICO</x:v>
      </x:c>
      <x:c r="V109" s="10" t="str">
        <x:v>FOT</x:v>
      </x:c>
      <x:c r="W109" s="10" t="str">
        <x:v>DGZ</x:v>
      </x:c>
      <x:c r="X109" s="10" t="str">
        <x:v>MT0</x:v>
      </x:c>
      <x:c r="Y109" s="10" t="str">
        <x:v>BR-SPAPESP_DASP-PENITPRE-CSDTCARANDIRU.xlsx</x:v>
      </x:c>
      <x:c r="Z109" s="10" t="str">
        <x:v>2767-011</x:v>
      </x:c>
      <x:c r="AA109" s="11" t="n">
        <x:v>9</x:v>
      </x:c>
      <x:c r="AB109" s="10" t="str">
        <x:v>BR-SPAPESP_DASP-PENITPRE-CSDTCARANDIRU.xlsx:2767-011:9</x:v>
      </x:c>
      <x:c r="AC109" s="11" t="n">
        <x:f>COLUMNS(A109:T109)-COUNTBLANK(A109:T109)</x:f>
        <x:v>20</x:v>
      </x:c>
    </x:row>
    <x:row r="110" ht="84" hidden="0" customHeight="1">
      <x:c r="A110" s="10" t="str">
        <x:v>009</x:v>
      </x:c>
      <x:c r="B110" s="10" t="str">
        <x:v>Corredor interno das alas deterioradas ("Alas do Inferno") da Casa de Detenção de São Paulo na Avenida Tiradentes.</x:v>
      </x:c>
      <x:c r="C110" s="10" t="str">
        <x:v>Item</x:v>
      </x:c>
      <x:c r="D110" s="10" t="str">
        <x:v>1962-07-06 00:00:00</x:v>
      </x:c>
      <x:c r="E110" s="10" t="str">
        <x:v>Gerado pelo Dataverse</x:v>
      </x:c>
      <x:c r="F110" s="10" t="str">
        <x:v>Fotografia digitalizada; preto e branco; suporte em papel fotográfico</x:v>
      </x:c>
      <x:c r="G110" s="10" t="str">
        <x:v>São Paulo, Brasil</x:v>
      </x:c>
      <x:c r="H110" s="10" t="str">
        <x:v>Arquivo Público do Estado de São Paulo, Jornal Diários Associados</x:v>
      </x:c>
      <x:c r="I110" s="10" t="str">
        <x:v>Estado De São Paulo - Penitenciárias e Presídios - Casa de Detenção de São Paulo no Carandiru (Fotografias)</x:v>
      </x:c>
      <x:c r="J110" s="10" t="str">
        <x:v>Caixa: 2767 Folder: 11</x:v>
      </x:c>
      <x:c r="K110" s="10" t="str">
        <x:v>BR-SPAPESP_DASP-PENITPRE-CSDTCARANDIRU_ICO-FOT-DGZ-MT0_2767-011-009</x:v>
      </x:c>
      <x:c r="L110"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110" s="10" t="str">
        <x:v>A fotografia registra um corredor estreito e sombrio a céu aberto, ladeado por altos muros e fachadas de um edifício prisional em visível estado de degradação. Observam-se janelas com grades pesadas, encanamentos externos verticais e paredes manchadas e descascadas, transmitindo a insalubridade descrita no verso como "pardieiro" e "inferno". O chão de cimento aparenta estar úmido e sujo.</x:v>
      </x:c>
      <x:c r="N110"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10" s="10" t="str">
        <x:v>Casa de Detenção; Avenida Tiradentes; Degradação; Superlotação; Celas da Vergonha; Demolição; Sistema prisional.</x:v>
      </x:c>
      <x:c r="P110" s="10" t="str">
        <x:v>Fotografia (Iconográfico)</x:v>
      </x:c>
      <x:c r="Q110" s="10" t="str">
        <x:v>Digitalização de fotografia em preto e branco</x:v>
      </x:c>
      <x:c r="R110" s="10" t="str">
        <x:v>Figura n – [Corredor interno das alas deterioradas ("Alas do Inferno") da Casa de Detenção de São Paulo na Avenida Tiradentes.] Fonte: Arquivo Público do Estado de São Paulo, 1962.</x:v>
      </x:c>
      <x:c r="S110" s="10" t="str">
        <x:v>ARQUIVO PÚBLICO DO ESTADO DE SÃO PAULO (Brasil). [Corredor interno das alas deterioradas ("Alas do Inferno") da Casa de Detenção de São Paulo na Avenida Tiradentes.]. São Paulo, Brasil. 06 jul. 1962. Fotografia digitalizada; preto e branco; suporte em papel fotográfico. Disponível em: &lt;link do dataverse&gt;. Acesso em: 28 out. 2025.</x:v>
      </x:c>
      <x:c r="T110" s="10" t="str">
        <x:v>ESTADO DE S.PAULO - PENITENCIARIAS E PRESIDIOS = CASA DE DETENÇÃO DA AVENIDA TIRADENTES - "Mortos-vivos no cemiterio da Justiça" Aqui é uma das alas do inferno. Novecentos homens estão sepultados por tras dessas paredes, implorando a Deus um julgamento breve FIM DAS CELAS DA VERGONHA Uma das alas do “inferno” da avenida Tiradentes. Construção centenaria. a Casa de Detenção não tem condições para atender às reais necessidades de uma estrutura penitenciaria que alcançou grande evolução nos ultimos anos. Por isso foi “aposentada” DN. 2a Ed. 6/7/1962 W/ PARDIEIRO DA TIRADENTES ABRIGA MIL PRESIDIÁRIOS DN. 2a. Ed. 12/12/1966 - cv. GOVERNADOR NÃO GOSTA DO QUE VE NO PRESIDIO TIRADENTES E ORDENA A DEMOLIÇÃO DO PREDIO = DN-1a.Ed.28/8/71-dcp.</x:v>
      </x:c>
      <x:c r="U110" s="10" t="str">
        <x:v>ICO</x:v>
      </x:c>
      <x:c r="V110" s="10" t="str">
        <x:v>FOT</x:v>
      </x:c>
      <x:c r="W110" s="10" t="str">
        <x:v>DGZ</x:v>
      </x:c>
      <x:c r="X110" s="10" t="str">
        <x:v>MT0</x:v>
      </x:c>
      <x:c r="Y110" s="10" t="str">
        <x:v>BR-SPAPESP_DASP-PENITPRE-CSDTCARANDIRU.xlsx</x:v>
      </x:c>
      <x:c r="Z110" s="10" t="str">
        <x:v>2767-011</x:v>
      </x:c>
      <x:c r="AA110" s="11" t="n">
        <x:v>10</x:v>
      </x:c>
      <x:c r="AB110" s="10" t="str">
        <x:v>BR-SPAPESP_DASP-PENITPRE-CSDTCARANDIRU.xlsx:2767-011:10</x:v>
      </x:c>
      <x:c r="AC110" s="11" t="n">
        <x:f>COLUMNS(A110:T110)-COUNTBLANK(A110:T110)</x:f>
        <x:v>20</x:v>
      </x:c>
    </x:row>
    <x:row r="111" ht="84" hidden="0" customHeight="1">
      <x:c r="A111" s="10" t="str">
        <x:v>010</x:v>
      </x:c>
      <x:c r="B111" s="10" t="str">
        <x:v>Gráfico do local e rota de fuga de detentos da Casa de Detenção de São Paulo na Avenida Tiradentes.</x:v>
      </x:c>
      <x:c r="C111" s="10" t="str">
        <x:v>Item</x:v>
      </x:c>
      <x:c r="D111" s="10" t="str">
        <x:v>1954-07-31 00:00:00</x:v>
      </x:c>
      <x:c r="E111" s="10" t="str">
        <x:v>Gerado pelo Dataverse</x:v>
      </x:c>
      <x:c r="F111" s="10" t="str">
        <x:v>Fotografia digitalizada; preto e branco; suporte em papel fotográfico</x:v>
      </x:c>
      <x:c r="G111" s="10" t="str">
        <x:v>São Paulo, Brasil</x:v>
      </x:c>
      <x:c r="H111" s="10" t="str">
        <x:v>Arquivo Público do Estado de São Paulo, Jornal Diários Associados</x:v>
      </x:c>
      <x:c r="I111" s="10" t="str">
        <x:v>Estado De São Paulo - Penitenciárias e Presídios - Casa de Detenção de São Paulo no Carandiru (Fotografias)</x:v>
      </x:c>
      <x:c r="J111" s="10" t="str">
        <x:v>Caixa: 2767 Folder: 11</x:v>
      </x:c>
      <x:c r="K111" s="10" t="str">
        <x:v>BR-SPAPESP_DASP-PENITPRE-CSDTCARANDIRU_ICO-FOT-DGZ-MT0_2767-011-010</x:v>
      </x:c>
      <x:c r="L111"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111" s="10" t="str">
        <x:v>A fotografia noturna registra um trecho do muro da prisão, onde se vê um guarda armado em vigília no topo. À direita, observa-se uma estrutura ou andaime de madeira junto a um edifício de tijolos. Sobre a imagem, foi desenhada uma seta gráfica que indica o trajeto vertical realizado pelos detentos Luiz Volante, Manoel da Silva Andrade ("Quinzinho") e José dos Santos ("Ali Baba") durante a fuga.</x:v>
      </x:c>
      <x:c r="N111"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11" s="10" t="str">
        <x:v>Casa de Detenção; Avenida Tiradentes; Fuga; Gráfico; Segurança; Polícia; Ali Baba; Quinzinho; 1954.</x:v>
      </x:c>
      <x:c r="P111" s="10" t="str">
        <x:v>Fotografia (Iconográfico)</x:v>
      </x:c>
      <x:c r="Q111" s="10" t="str">
        <x:v>Digitalização de fotografia em preto e branco</x:v>
      </x:c>
      <x:c r="R111" s="10" t="str">
        <x:v>Figura n – [Gráfico do local e rota de fuga de detentos da Casa de Detenção de São Paulo na Avenida Tiradentes.] Fonte: Arquivo Público do Estado de São Paulo, 1954.</x:v>
      </x:c>
      <x:c r="S111" s="10" t="str">
        <x:v>ARQUIVO PÚBLICO DO ESTADO DE SÃO PAULO (Brasil). [Gráfico do local e rota de fuga de detentos da Casa de Detenção de São Paulo na Avenida Tiradentes.]. São Paulo, Brasil. 31 jul. 1954. Fotografia digitalizada; preto e branco; suporte em papel fotográfico. Disponível em: &lt;link do dataverse&gt;. Acesso em: 28 out. 2025.</x:v>
      </x:c>
      <x:c r="T111" s="10" t="str">
        <x:v>ESTADO DE S. PAULO- PENITENCIARIAS E PRESIDIOS-CASA DE DETENÇÃO AV. TIRADENTES O flagrante apresenta o possivel grafico do local da fuga empreenda pelos detentos da Casa de Detenção , na madrugada de 30/7/954: Luiz Volante , Manoel da Silva Andrade, vulgo "Quinzinho", e José dos Santos vulgo "Ali Baba". DSP, 31/7/954 WSS</x:v>
      </x:c>
      <x:c r="U111" s="10" t="str">
        <x:v>ICO</x:v>
      </x:c>
      <x:c r="V111" s="10" t="str">
        <x:v>FOT</x:v>
      </x:c>
      <x:c r="W111" s="10" t="str">
        <x:v>DGZ</x:v>
      </x:c>
      <x:c r="X111" s="10" t="str">
        <x:v>MT0</x:v>
      </x:c>
      <x:c r="Y111" s="10" t="str">
        <x:v>BR-SPAPESP_DASP-PENITPRE-CSDTCARANDIRU.xlsx</x:v>
      </x:c>
      <x:c r="Z111" s="10" t="str">
        <x:v>2767-011</x:v>
      </x:c>
      <x:c r="AA111" s="11" t="n">
        <x:v>11</x:v>
      </x:c>
      <x:c r="AB111" s="10" t="str">
        <x:v>BR-SPAPESP_DASP-PENITPRE-CSDTCARANDIRU.xlsx:2767-011:11</x:v>
      </x:c>
      <x:c r="AC111" s="11" t="n">
        <x:f>COLUMNS(A111:T111)-COUNTBLANK(A111:T111)</x:f>
        <x:v>20</x:v>
      </x:c>
    </x:row>
    <x:row r="112" ht="84" hidden="0" customHeight="1">
      <x:c r="A112" s="10" t="str">
        <x:v>011</x:v>
      </x:c>
      <x:c r="B112" s="10" t="str">
        <x:v>Gráfico indicando a rota de fuga pelo telhado de detentos da Casa de Detenção.</x:v>
      </x:c>
      <x:c r="C112" s="10" t="str">
        <x:v>Item</x:v>
      </x:c>
      <x:c r="D112" s="10" t="str">
        <x:v>1957-07-28 00:00:00</x:v>
      </x:c>
      <x:c r="E112" s="10" t="str">
        <x:v>Gerado pelo Dataverse</x:v>
      </x:c>
      <x:c r="F112" s="10" t="str">
        <x:v>Fotografia digitalizada; preto e branco; suporte em papel fotográfico</x:v>
      </x:c>
      <x:c r="G112" s="10" t="str">
        <x:v>São Paulo, Brasil</x:v>
      </x:c>
      <x:c r="H112" s="10" t="str">
        <x:v>Arquivo Público do Estado de São Paulo, Jornal Diários Associados</x:v>
      </x:c>
      <x:c r="I112" s="10" t="str">
        <x:v>Estado De São Paulo - Penitenciárias e Presídios - Casa de Detenção de São Paulo no Carandiru (Fotografias)</x:v>
      </x:c>
      <x:c r="J112" s="10" t="str">
        <x:v>Caixa: 2767 Folder: 11</x:v>
      </x:c>
      <x:c r="K112" s="10" t="str">
        <x:v>BR-SPAPESP_DASP-PENITPRE-CSDTCARANDIRU_ICO-FOT-DGZ-MT0_2767-011-011</x:v>
      </x:c>
      <x:c r="L112"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112" s="10" t="str">
        <x:v>A fotografia mostra a fachada lateral externa de um edifício do presídio com várias janelas gradeadas. Sobre a imagem, foi desenhada uma longa seta vertical com padrão zebrado (preto e branco) que aponta do topo do prédio (telhado) até o chão, terminando sobre um monte de pedras ou entulho. O gráfico ilustra o trajeto da fuga realizada pelos detentos após serrarem as grades do banheiro e acessarem o telhado.</x:v>
      </x:c>
      <x:c r="N112"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12" s="10" t="str">
        <x:v>Casa de Detenção; Carandiru; Fuga; Grades serradas; Telhado; Pisa Macio; Gráfico; Segurança.</x:v>
      </x:c>
      <x:c r="P112" s="10" t="str">
        <x:v>Fotografia (Iconográfico)</x:v>
      </x:c>
      <x:c r="Q112" s="10" t="str">
        <x:v>Digitalização de fotografia em preto e branco</x:v>
      </x:c>
      <x:c r="R112" s="10" t="str">
        <x:v>Figura n – [Gráfico indicando a rota de fuga pelo telhado de detentos da Casa de Detenção.] Fonte: Arquivo Público do Estado de São Paulo, 1957.</x:v>
      </x:c>
      <x:c r="S112" s="10" t="str">
        <x:v>ARQUIVO PÚBLICO DO ESTADO DE SÃO PAULO (Brasil). [Gráfico indicando a rota de fuga pelo telhado de detentos da Casa de Detenção.]. São Paulo, Brasil. 28 jul. 1957. Fotografia digitalizada; preto e branco; suporte em papel fotográfico. Disponível em: &lt;link do dataverse&gt;. Acesso em: 28 out. 2025.</x:v>
      </x:c>
      <x:c r="T112" s="10" t="str">
        <x:v>ESTADO DE SÃO PAULO = PENITENCIÁRIAS E PRESIDIOS = Casa de Detenção de São Paulo no Carandiru= SERRARAM AS GRADES DO QUARTO DE BANHO SUGINDO AO TELHADO A seta aponta por onde os detentos Maria Carvalho, vulgo "Pisa Macio" Dalmo dos Santos e Mario Gomes, depois de percorrerem o predio pelo telhado, conseguiram ganhar a rua saindo pelos fundos do presidio . Ocorrencia que teve lugar na madrugada de 28/7/957. DN, Ia.Ed. 28/7/957 W-</x:v>
      </x:c>
      <x:c r="U112" s="10" t="str">
        <x:v>ICO</x:v>
      </x:c>
      <x:c r="V112" s="10" t="str">
        <x:v>FOT</x:v>
      </x:c>
      <x:c r="W112" s="10" t="str">
        <x:v>DGZ</x:v>
      </x:c>
      <x:c r="X112" s="10" t="str">
        <x:v>MT0</x:v>
      </x:c>
      <x:c r="Y112" s="10" t="str">
        <x:v>BR-SPAPESP_DASP-PENITPRE-CSDTCARANDIRU.xlsx</x:v>
      </x:c>
      <x:c r="Z112" s="10" t="str">
        <x:v>2767-011</x:v>
      </x:c>
      <x:c r="AA112" s="11" t="n">
        <x:v>12</x:v>
      </x:c>
      <x:c r="AB112" s="10" t="str">
        <x:v>BR-SPAPESP_DASP-PENITPRE-CSDTCARANDIRU.xlsx:2767-011:12</x:v>
      </x:c>
      <x:c r="AC112" s="11" t="n">
        <x:f>COLUMNS(A112:T112)-COUNTBLANK(A112:T112)</x:f>
        <x:v>20</x:v>
      </x:c>
    </x:row>
    <x:row r="113" ht="84" hidden="0" customHeight="1">
      <x:c r="A113" s="10" t="str">
        <x:v>012</x:v>
      </x:c>
      <x:c r="B113" s="10" t="str">
        <x:v>Fachada da Casa de Detenção mostrando janela utilizada em fuga de detentos.</x:v>
      </x:c>
      <x:c r="C113" s="10" t="str">
        <x:v>Item</x:v>
      </x:c>
      <x:c r="D113" s="10" t="str">
        <x:v>1957-07-28 00:00:00</x:v>
      </x:c>
      <x:c r="E113" s="10" t="str">
        <x:v>Gerado pelo Dataverse</x:v>
      </x:c>
      <x:c r="F113" s="10" t="str">
        <x:v>Fotografia digitalizada; preto e branco; suporte em papel fotográfico</x:v>
      </x:c>
      <x:c r="G113" s="10" t="str">
        <x:v>São Paulo, Brasil</x:v>
      </x:c>
      <x:c r="H113" s="10" t="str">
        <x:v>Arquivo Público do Estado de São Paulo, Jornal Diários Associados</x:v>
      </x:c>
      <x:c r="I113" s="10" t="str">
        <x:v>Estado De São Paulo - Penitenciárias e Presídios - Casa de Detenção de São Paulo no Carandiru (Fotografias)</x:v>
      </x:c>
      <x:c r="J113" s="10" t="str">
        <x:v>Caixa: 2767 Folder: 11</x:v>
      </x:c>
      <x:c r="K113" s="10" t="str">
        <x:v>BR-SPAPESP_DASP-PENITPRE-CSDTCARANDIRU_ICO-FOT-DGZ-MT0_2767-011-012</x:v>
      </x:c>
      <x:c r="L113"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113" s="10" t="str">
        <x:v>A imagem exibe um ângulo em plongée (de baixo para cima) da fachada externa de um edifício do presídio, com várias janelas gradeadas. Na janela superior, vê-se um homem (aparentemente um inspetor ou perito) debruçado, observando o local. Em uma janela logo abaixo, há um tecido pendurado. A fotografia documenta o local por onde três detentos fugiram após serrarem as grades do banheiro.</x:v>
      </x:c>
      <x:c r="N113"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13" s="10" t="str">
        <x:v>Casa de Detenção; Carandiru; Fuga; Grades serradas; Fachada; Perícia; Segurança.</x:v>
      </x:c>
      <x:c r="P113" s="10" t="str">
        <x:v>Fotografia (Iconográfico)</x:v>
      </x:c>
      <x:c r="Q113" s="10" t="str">
        <x:v>Digitalização de fotografia em preto e branco</x:v>
      </x:c>
      <x:c r="R113" s="10" t="str">
        <x:v>Figura n – [Fachada da Casa de Detenção mostrando janela utilizada em fuga de detentos.] Fonte: Arquivo Público do Estado de São Paulo, 1957.</x:v>
      </x:c>
      <x:c r="S113" s="10" t="str">
        <x:v>ARQUIVO PÚBLICO DO ESTADO DE SÃO PAULO (Brasil). [Fachada da Casa de Detenção mostrando janela utilizada em fuga de detentos.]. São Paulo, Brasil. 28 jul. 1957. Fotografia digitalizada; preto e branco; suporte em papel fotográfico. Disponível em: &lt;link do dataverse&gt;. Acesso em: 28 out. 2025.</x:v>
      </x:c>
      <x:c r="T113" s="10" t="str">
        <x:v>ESTADO DE SÃO PAULO = PENITENCIARIAS E PRESIDIOS-Casa de Detenção de São Paulo no Carandiru "SERRARAM AS GRADES DO QUARTO DE BANHO E SUBIRAM AO TELHADO" Na fóto , um dos lados do predio da Casa de Detenção de São Paulo no Carandiru, vendo-se na última janela uma pessoa, confirmando assim, a efetivação da fuga, registrada doming o dia 28/7/957, quando tres perigosos detentos ganharam a rua passando por entre as grades do quarto de banho, as qua is foram serradas. DN.1a.Ed.30/7/957 LD</x:v>
      </x:c>
      <x:c r="U113" s="10" t="str">
        <x:v>ICO</x:v>
      </x:c>
      <x:c r="V113" s="10" t="str">
        <x:v>FOT</x:v>
      </x:c>
      <x:c r="W113" s="10" t="str">
        <x:v>DGZ</x:v>
      </x:c>
      <x:c r="X113" s="10" t="str">
        <x:v>MT0</x:v>
      </x:c>
      <x:c r="Y113" s="10" t="str">
        <x:v>BR-SPAPESP_DASP-PENITPRE-CSDTCARANDIRU.xlsx</x:v>
      </x:c>
      <x:c r="Z113" s="10" t="str">
        <x:v>2767-011</x:v>
      </x:c>
      <x:c r="AA113" s="11" t="n">
        <x:v>13</x:v>
      </x:c>
      <x:c r="AB113" s="10" t="str">
        <x:v>BR-SPAPESP_DASP-PENITPRE-CSDTCARANDIRU.xlsx:2767-011:13</x:v>
      </x:c>
      <x:c r="AC113" s="11" t="n">
        <x:f>COLUMNS(A113:T113)-COUNTBLANK(A113:T113)</x:f>
        <x:v>20</x:v>
      </x:c>
    </x:row>
    <x:row r="114" ht="84" hidden="0" customHeight="1">
      <x:c r="A114" s="10" t="str">
        <x:v>013</x:v>
      </x:c>
      <x:c r="B114" s="10" t="str">
        <x:v>Inauguração do Pavilhão 2 (casa da guarda, muralha e cimento curando), 1956</x:v>
      </x:c>
      <x:c r="C114" s="10" t="str">
        <x:v>Item</x:v>
      </x:c>
      <x:c r="D114" s="10" t="str">
        <x:v>1956-09-12 00:00:00</x:v>
      </x:c>
      <x:c r="E114" s="10" t="str">
        <x:v>Gerado pelo Dataverse</x:v>
      </x:c>
      <x:c r="F114" s="10" t="str">
        <x:v>Fotografia digitalizada; preto e branco; suporte em papel fotográfico</x:v>
      </x:c>
      <x:c r="G114" s="10" t="str">
        <x:v>São Paulo, Brasil</x:v>
      </x:c>
      <x:c r="H114" s="10" t="str">
        <x:v>Arquivo Público do Estado de São Paulo, Jornal Diários Associados</x:v>
      </x:c>
      <x:c r="I114" s="10" t="str">
        <x:v>Estado De São Paulo - Penitenciárias e Presídios - Casa de Detenção de São Paulo no Carandiru (Fotografias)</x:v>
      </x:c>
      <x:c r="J114" s="10" t="str">
        <x:v>Caixa: 2767 Folder: 11</x:v>
      </x:c>
      <x:c r="K114" s="10" t="str">
        <x:v>BR-SPAPESP_DASP-PENITPRE-CSDTCARANDIRU_ICO-FOT-DGZ-MT0_2767-011-013</x:v>
      </x:c>
      <x:c r="L114"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114" s="10" t="str">
        <x:v>Fotografia em preto e branco, capturada em plano médio a partir do interior de um grande portão aberto, cujas grades laterais emolduram a cena. No centro do Pátio da Casa da Guarda, observa-se um contingente de aproximadamente quinze soldados ou agentes de segurança em formação e movimentação. Os guardas vestem uniformes militares completos, incluindo capacetes de proteção e botas. Alguns portam armas longas (rifles). À direita, um oficial em posição de comando está de costas, apontando o braço em direção ao fundo do pátio. O cenário é delimitado por um muro alto de concreto com marcas de infiltração, encimado por uma grade de proteção ou passarela de vigilância. A imagem documenta a rotina de segurança e a presença da Força Pública no complexo logo após sua inauguração.</x:v>
      </x:c>
      <x:c r="N114"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14" s="10" t="str">
        <x:v>Casa da Guarda; Vigilância armada; Soldados; Formação militar; Muro de contenção; Casa de Detenção; Carandiru; São Paulo;</x:v>
      </x:c>
      <x:c r="P114" s="10" t="str">
        <x:v>Fotografia (Iconográfico)</x:v>
      </x:c>
      <x:c r="Q114" s="10" t="str">
        <x:v>Digitalização de fotografia em preto e branco (analógica original)</x:v>
      </x:c>
      <x:c r="R114" s="10" t="str">
        <x:v>Figura n – [Inauguração do Pavilhão 2 (casa da guarda, muralha e cimento curando), 1956] Fonte: Arquivo Público do Estado de São Paulo, 1956.</x:v>
      </x:c>
      <x:c r="S114" s="10" t="str">
        <x:v>ARQUIVO PÚBLICO DO ESTADO DE SÃO PAULO (Brasil). [Inauguração do Pavilhão 2 (casa da guarda, muralha e cimento curando), 1956]. São Paulo, Brasil. 12 set. 1956. Fotografia digitalizada; preto e branco; suporte em papel fotográfico. Disponível em: &lt;link do dataverse&gt;. Acesso em: 28 out. 2025.</x:v>
      </x:c>
      <x:c r="T114" s="10" t="str">
        <x:v>"ESTADO DE SÃO PAULO - PENITENCIÁRIAS E PRESIDIOS - CASA DE DETENÇÃO (CARANDIRÚ)" "Pateo da Casa da Guarda da nova Casa de Detenção do Carandirú." "Arq. 12/9/956 jl" [Manuscrito invertido]: "Pateo da casa da guarda Nova Casa de Detenção"</x:v>
      </x:c>
      <x:c r="U114" s="10" t="str">
        <x:v>ICO</x:v>
      </x:c>
      <x:c r="V114" s="10" t="str">
        <x:v>FOT</x:v>
      </x:c>
      <x:c r="W114" s="10" t="str">
        <x:v>DGZ</x:v>
      </x:c>
      <x:c r="X114" s="10" t="str">
        <x:v>MT0</x:v>
      </x:c>
      <x:c r="Y114" s="10" t="str">
        <x:v>BR-SPAPESP_DASP-PENITPRE-CSDTCARANDIRU.xlsx</x:v>
      </x:c>
      <x:c r="Z114" s="10" t="str">
        <x:v>2767-011</x:v>
      </x:c>
      <x:c r="AA114" s="11" t="n">
        <x:v>14</x:v>
      </x:c>
      <x:c r="AB114" s="10" t="str">
        <x:v>BR-SPAPESP_DASP-PENITPRE-CSDTCARANDIRU.xlsx:2767-011:14</x:v>
      </x:c>
      <x:c r="AC114" s="11" t="n">
        <x:f>COLUMNS(A114:T114)-COUNTBLANK(A114:T114)</x:f>
        <x:v>20</x:v>
      </x:c>
    </x:row>
    <x:row r="115" ht="84" hidden="0" customHeight="1">
      <x:c r="A115" s="10" t="str">
        <x:v>014</x:v>
      </x:c>
      <x:c r="B115" s="10" t="str">
        <x:v>Vista externa da cela 14 da Casa de Detenção assinalada após fuga de Deolindo Bianchetti.</x:v>
      </x:c>
      <x:c r="C115" s="10" t="str">
        <x:v>Item</x:v>
      </x:c>
      <x:c r="D115" s="10" t="str">
        <x:v>1954-06-03 00:00:00</x:v>
      </x:c>
      <x:c r="E115" s="10" t="str">
        <x:v>Gerado pelo Dataverse</x:v>
      </x:c>
      <x:c r="F115" s="10" t="str">
        <x:v>Fotografia digitalizada; preto e branco; suporte em papel fotográfico</x:v>
      </x:c>
      <x:c r="G115" s="10" t="str">
        <x:v>São Paulo, Brasil</x:v>
      </x:c>
      <x:c r="H115" s="10" t="str">
        <x:v>Arquivo Público do Estado de São Paulo, Jornal Diários Associados</x:v>
      </x:c>
      <x:c r="I115" s="10" t="str">
        <x:v>Estado De São Paulo - Penitenciárias e Presídios - Casa de Detenção de São Paulo no Carandiru (Fotografias)</x:v>
      </x:c>
      <x:c r="J115" s="10" t="str">
        <x:v>Caixa: 2767 Folder: 11</x:v>
      </x:c>
      <x:c r="K115" s="10" t="str">
        <x:v>BR-SPAPESP_DASP-PENITPRE-CSDTCARANDIRU_ICO-FOT-DGZ-MT0_2767-011-014</x:v>
      </x:c>
      <x:c r="L115"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115" s="10" t="str">
        <x:v>A fotografia mostra o complexo externo da Casa de Detenção, com destaque para uma torre cilíndrica de vigilância ao fundo. Em primeiro plano, observam-se andaimes de madeira e muros de tijolos. Uma seta preta desenhada sobre a foto aponta para uma janela gradeada específica no térreo (a cela 14), indicando o local de origem de uma fuga de nove detentos através de uma galeria escavada.</x:v>
      </x:c>
      <x:c r="N115"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15" s="10" t="str">
        <x:v>Casa de Detenção; Avenida Tiradentes; Fuga; Deolindo Bianchetti; Cela 14; Galeria; Túnel; Andaimes.</x:v>
      </x:c>
      <x:c r="P115" s="10" t="str">
        <x:v>Fotografia (Iconográfico)</x:v>
      </x:c>
      <x:c r="Q115" s="10" t="str">
        <x:v>Digitalização de fotografia em sépia</x:v>
      </x:c>
      <x:c r="R115" s="10" t="str">
        <x:v>Figura n – [Vista externa da cela 14 da Casa de Detenção assinalada após fuga de Deolindo Bianchetti.] Fonte: Arquivo Público do Estado de São Paulo, 1954.</x:v>
      </x:c>
      <x:c r="S115" s="10" t="str">
        <x:v>ARQUIVO PÚBLICO DO ESTADO DE SÃO PAULO (Brasil). [Vista externa da cela 14 da Casa de Detenção assinalada após fuga de Deolindo Bianchetti.]. São Paulo, Brasil. 03 jun. 1954. Fotografia digitalizada; preto e branco; suporte em papel fotográfico. Disponível em: &lt;link do dataverse&gt;. Acesso em: 28 out. 2025.</x:v>
      </x:c>
      <x:c r="T115" s="10" t="str">
        <x:v>ESTADO DE SÃO PAULO-PENITENCIARIAS E PRESIDIOS-CASA DE DETENÇÃO DA AV.TIRADENTES PREMEDITADA HA LONGO TEMPO A FUGA DE HOJE NA DETENÇÃO Assinalada pela flecha ve-se a cela 14 da Casa de Detenção, de onde Deolindo Bianchetti, e mais oito companheiros conseguiram fugir através de uma galeria por eles aberta e que dava para os fundos do presidio, no dia 3-6-54. D.N. 2a. Ed. 3-6-54. HL. FALTA VERBA PARA A NOVA DETENÇÃO D.N.2a.Ed.30/7/954 jl (Anotações manuscritas: "Cela 14 : pg"; "Ref: manchete ult. pg (Fuga Detenção)")</x:v>
      </x:c>
      <x:c r="U115" s="10" t="str">
        <x:v>ICO</x:v>
      </x:c>
      <x:c r="V115" s="10" t="str">
        <x:v>FOT</x:v>
      </x:c>
      <x:c r="W115" s="10" t="str">
        <x:v>DGZ</x:v>
      </x:c>
      <x:c r="X115" s="10" t="str">
        <x:v>MT0</x:v>
      </x:c>
      <x:c r="Y115" s="10" t="str">
        <x:v>BR-SPAPESP_DASP-PENITPRE-CSDTCARANDIRU.xlsx</x:v>
      </x:c>
      <x:c r="Z115" s="10" t="str">
        <x:v>2767-011</x:v>
      </x:c>
      <x:c r="AA115" s="11" t="n">
        <x:v>15</x:v>
      </x:c>
      <x:c r="AB115" s="10" t="str">
        <x:v>BR-SPAPESP_DASP-PENITPRE-CSDTCARANDIRU.xlsx:2767-011:15</x:v>
      </x:c>
      <x:c r="AC115" s="11" t="n">
        <x:f>COLUMNS(A115:T115)-COUNTBLANK(A115:T115)</x:f>
        <x:v>20</x:v>
      </x:c>
    </x:row>
    <x:row r="116" ht="84" hidden="0" customHeight="1">
      <x:c r="A116" s="10" t="str">
        <x:v>015</x:v>
      </x:c>
      <x:c r="B116" s="10" t="str">
        <x:v>Movimentação de policiais e civis na Casa de Detenção após descoberta de plano de evasão.</x:v>
      </x:c>
      <x:c r="C116" s="10" t="str">
        <x:v>Item</x:v>
      </x:c>
      <x:c r="D116" s="10" t="str">
        <x:v>1947-07-12 00:00:00</x:v>
      </x:c>
      <x:c r="E116" s="10" t="str">
        <x:v>Gerado pelo Dataverse</x:v>
      </x:c>
      <x:c r="F116" s="10" t="str">
        <x:v>Fotografia digitalizada; preto e branco; suporte em papel fotográfico</x:v>
      </x:c>
      <x:c r="G116" s="10" t="str">
        <x:v>São Paulo, Brasil</x:v>
      </x:c>
      <x:c r="H116" s="10" t="str">
        <x:v>Arquivo Público do Estado de São Paulo, Jornal Diários Associados</x:v>
      </x:c>
      <x:c r="I116" s="10" t="str">
        <x:v>Estado De São Paulo - Penitenciárias e Presídios - Casa de Detenção de São Paulo no Carandiru (Fotografias)</x:v>
      </x:c>
      <x:c r="J116" s="10" t="str">
        <x:v>Caixa: 2767 Folder: 11</x:v>
      </x:c>
      <x:c r="K116" s="10" t="str">
        <x:v>BR-SPAPESP_DASP-PENITPRE-CSDTCARANDIRU_ICO-FOT-DGZ-MT0_2767-011-015</x:v>
      </x:c>
      <x:c r="L116"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116" s="10" t="str">
        <x:v>A fotografia registra uma área externa do presídio junto a um portão de ferro. No nível do solo, vê-se um grupo de homens em trajes sociais (possivelmente autoridades ou inspetores) conversando. Ao fundo, num plano elevado, um soldado armado faz a guarda. No topo do edifício à esquerda (telhado), dois homens aparecem debruçados na beirada, possivelmente inspecionando o local de uma tentativa de fuga ou realizando reparos.</x:v>
      </x:c>
      <x:c r="N116"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16" s="10" t="str">
        <x:v>Casa de Detenção; Avenida Tiradentes; Motim; Plano de evasão; Policiamento; Segurança; Inspeção.</x:v>
      </x:c>
      <x:c r="P116" s="10" t="str">
        <x:v>Fotografia (Iconográfico)</x:v>
      </x:c>
      <x:c r="Q116" s="10" t="str">
        <x:v>Digitalização de fotografia em preto e branco</x:v>
      </x:c>
      <x:c r="R116" s="10" t="str">
        <x:v>Figura n – [Movimentação de policiais e civis na Casa de Detenção após descoberta de plano de evasão.] Fonte: Arquivo Público do Estado de São Paulo, 1947.</x:v>
      </x:c>
      <x:c r="S116" s="10" t="str">
        <x:v>ARQUIVO PÚBLICO DO ESTADO DE SÃO PAULO (Brasil). [Movimentação de policiais e civis na Casa de Detenção após descoberta de plano de evasão.]. São Paulo, Brasil. 12 jul. 1947. Fotografia digitalizada; preto e branco; suporte em papel fotográfico. Disponível em: &lt;link do dataverse&gt;. Acesso em: 28 out. 2025.</x:v>
      </x:c>
      <x:c r="T116" s="10" t="str">
        <x:v>DIÁRIOS ASSOCIADOS - S. PAULO Departamento Fotografico Data 12 7 47 Fotografo Paulo Assunto Casa de Detenção (Texto datilografado): NÃO ESCAPOU NENHUM DETENTO NO MOTIM.-AUDACIOSO PLANO DE EVASÃO DOS PRESOS.- ESTADO DE S.PAULO-PENIT.PRESIDIOS-CASA DE DETENÇÃO DA AVENIDA TIRADENTES VARIOS SOLDADOS FORAM DISTRIBUIDOS COM ARMAS EMBALADAS PELAS PLATAFORMAS INTERNAS, A FIM DE REFORÇAR O POLICIAMENTO NA CASA DE DETENÇÃO DN.-1A.-25/5/948 PB. (Anotação manuscrita sobre o texto): Plano de evasão</x:v>
      </x:c>
      <x:c r="U116" s="10" t="str">
        <x:v>ICO</x:v>
      </x:c>
      <x:c r="V116" s="10" t="str">
        <x:v>FOT</x:v>
      </x:c>
      <x:c r="W116" s="10" t="str">
        <x:v>DGZ</x:v>
      </x:c>
      <x:c r="X116" s="10" t="str">
        <x:v>MT0</x:v>
      </x:c>
      <x:c r="Y116" s="10" t="str">
        <x:v>BR-SPAPESP_DASP-PENITPRE-CSDTCARANDIRU.xlsx</x:v>
      </x:c>
      <x:c r="Z116" s="10" t="str">
        <x:v>2767-011</x:v>
      </x:c>
      <x:c r="AA116" s="11" t="n">
        <x:v>16</x:v>
      </x:c>
      <x:c r="AB116" s="10" t="str">
        <x:v>BR-SPAPESP_DASP-PENITPRE-CSDTCARANDIRU.xlsx:2767-011:16</x:v>
      </x:c>
      <x:c r="AC116" s="11" t="n">
        <x:f>COLUMNS(A116:T116)-COUNTBLANK(A116:T116)</x:f>
        <x:v>20</x:v>
      </x:c>
    </x:row>
    <x:row r="117" ht="84" hidden="0" customHeight="1">
      <x:c r="A117" s="10" t="str">
        <x:v>016</x:v>
      </x:c>
      <x:c r="B117" s="10" t="str">
        <x:v>Partida de futebol e minuto de silêncio durante torneio na Penitenciária do Estado.</x:v>
      </x:c>
      <x:c r="C117" s="10" t="str">
        <x:v>Item</x:v>
      </x:c>
      <x:c r="D117" s="10" t="str">
        <x:v>1961-02-27 00:00:00</x:v>
      </x:c>
      <x:c r="E117" s="10" t="str">
        <x:v>Gerado pelo Dataverse</x:v>
      </x:c>
      <x:c r="F117" s="10" t="str">
        <x:v>Fotografia digitalizada; preto e branco; suporte em papel fotográfico</x:v>
      </x:c>
      <x:c r="G117" s="10" t="str">
        <x:v>São Paulo, Brasil</x:v>
      </x:c>
      <x:c r="H117" s="10" t="str">
        <x:v>Arquivo Público do Estado de São Paulo, Jornal Diários Associados</x:v>
      </x:c>
      <x:c r="I117" s="10" t="str">
        <x:v>Estado De São Paulo - Penitenciárias e Presídios - Casa de Detenção de São Paulo no Carandiru (Fotografias)</x:v>
      </x:c>
      <x:c r="J117" s="10" t="str">
        <x:v>Caixa: 2767 Folder: 11</x:v>
      </x:c>
      <x:c r="K117" s="10" t="str">
        <x:v>BR-SPAPESP_DASP-PENITPRE-CSDTCARANDIRU_ICO-FOT-DGZ-MT0_2767-011-016</x:v>
      </x:c>
      <x:c r="L117"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117" s="10" t="str">
        <x:v>A fotografia panorâmica registra um campo de futebol gramado dentro dos muros do complexo prisional. No gramado, jogadores disputam uma partida. Na lateral do campo, dezenas de detentos uniformizados de branco assistem ao jogo sentados em blocos de concreto improvisados como arquibancada. Ao fundo, destacam-se os altos muros de segurança e uma torre de vigilância à direita. O primeiro plano exibe algumas plantas ornamentais.</x:v>
      </x:c>
      <x:c r="N117"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17" s="10" t="str">
        <x:v>Penitenciária do Estado; Futebol; Esporte; Torneio; Recreação; Ressocialização; Presidiários.</x:v>
      </x:c>
      <x:c r="P117" s="10" t="str">
        <x:v>Fotografia (Iconográfico)</x:v>
      </x:c>
      <x:c r="Q117" s="10" t="str">
        <x:v>Digitalização de fotografia em preto e branco</x:v>
      </x:c>
      <x:c r="R117" s="10" t="str">
        <x:v>Figura n – [Partida de futebol e minuto de silêncio durante torneio na Penitenciária do Estado.] Fonte: Arquivo Público do Estado de São Paulo, 1961.</x:v>
      </x:c>
      <x:c r="S117" s="10" t="str">
        <x:v>ARQUIVO PÚBLICO DO ESTADO DE SÃO PAULO (Brasil). [Partida de futebol e minuto de silêncio durante torneio na Penitenciária do Estado.]. São Paulo, Brasil. 27 fev. 1961. Fotografia digitalizada; preto e branco; suporte em papel fotográfico. Disponível em: &lt;link do dataverse&gt;. Acesso em: 28 out. 2025.</x:v>
      </x:c>
      <x:c r="T117" s="10" t="str">
        <x:v>ESTADO DE SÃO PAULO - PENITENCIARIAS E PRESIDIOS - PENITENCIARIA DO ESTADO - SECÇÃO MASCULINA FUTEBOL UNE E DIVERTE PRESIDIÁRIOS DANDO-LHES SENSO DE RESPONSABILIDADE - Ao iniciar-se o jogo entre os clubes que participaram do torneio interno, fez-se um minuto de silencio em homenagem à memoria do filho do juiz Raul Nobre D.N.2a.Ed.-27/2/961 naf</x:v>
      </x:c>
      <x:c r="U117" s="10" t="str">
        <x:v>ICO</x:v>
      </x:c>
      <x:c r="V117" s="10" t="str">
        <x:v>FOT</x:v>
      </x:c>
      <x:c r="W117" s="10" t="str">
        <x:v>DGZ</x:v>
      </x:c>
      <x:c r="X117" s="10" t="str">
        <x:v>MT0</x:v>
      </x:c>
      <x:c r="Y117" s="10" t="str">
        <x:v>BR-SPAPESP_DASP-PENITPRE-CSDTCARANDIRU.xlsx</x:v>
      </x:c>
      <x:c r="Z117" s="10" t="str">
        <x:v>2767-011</x:v>
      </x:c>
      <x:c r="AA117" s="11" t="n">
        <x:v>17</x:v>
      </x:c>
      <x:c r="AB117" s="10" t="str">
        <x:v>BR-SPAPESP_DASP-PENITPRE-CSDTCARANDIRU.xlsx:2767-011:17</x:v>
      </x:c>
      <x:c r="AC117" s="11" t="n">
        <x:f>COLUMNS(A117:T117)-COUNTBLANK(A117:T117)</x:f>
        <x:v>20</x:v>
      </x:c>
    </x:row>
    <x:row r="118" ht="84" hidden="0" customHeight="1">
      <x:c r="A118" s="10" t="str">
        <x:v>017</x:v>
      </x:c>
      <x:c r="B118" s="10" t="str">
        <x:v>Av. Tiradentes (1939)</x:v>
      </x:c>
      <x:c r="C118" s="10" t="str">
        <x:v>Item</x:v>
      </x:c>
      <x:c r="D118" s="10" t="str">
        <x:v>1939-04-11 00:00:00</x:v>
      </x:c>
      <x:c r="E118" s="10" t="str">
        <x:v>Gerado pelo Dataverse</x:v>
      </x:c>
      <x:c r="F118" s="10" t="str">
        <x:v>Fotografia digitalizada; sépia; suporte em papel fotográfico</x:v>
      </x:c>
      <x:c r="G118" s="10" t="str">
        <x:v>São Paulo, Brasil</x:v>
      </x:c>
      <x:c r="H118" s="10" t="str">
        <x:v>Arquivo Público do Estado de São Paulo, Jornal Diários Associados</x:v>
      </x:c>
      <x:c r="I118" s="10" t="str">
        <x:v>Estado De São Paulo - Penitenciárias e Presídios - Casa de Detenção de São Paulo no Carandiru (Fotografias)</x:v>
      </x:c>
      <x:c r="J118" s="10" t="str">
        <x:v>Caixa: 2767 Folder: 11</x:v>
      </x:c>
      <x:c r="K118" s="10" t="str">
        <x:v>BR-SPAPESP_DASP-PENITPRE-CSDTCARANDIRU_ICO-FOT-DGZ-MT0_2767-011-017</x:v>
      </x:c>
      <x:c r="L118"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118" s="10" t="str">
        <x:v>Fotografia em tom sépia da fachada frontal do edifício da antiga Cadeia Pública de São Paulo, localizada na Avenida Tiradentes. A imagem destaca o portão principal em arco ladeado por colunas e muros com gradis metálicos e janelas gradeadas no pavimento superior. Em primeiro plano, na rua de paralelepípedos, observam-se dois automóveis antigos estacionados. O verso da fotografia associa o local à fuga do detento Hamleto Gino Meneghetti ocorrida em 1915.</x:v>
      </x:c>
      <x:c r="N118"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18" s="10" t="str">
        <x:v>Casa de Detenção; Avenida Tiradentes; Cadeia Pública; Arquitetura Prisional; São Paulo; Meneghetti.</x:v>
      </x:c>
      <x:c r="P118" s="10" t="str">
        <x:v>Fotografia (Iconográfico)</x:v>
      </x:c>
      <x:c r="Q118" s="10" t="str">
        <x:v>Digitalização de fotografia em sépia (analógica original)</x:v>
      </x:c>
      <x:c r="R118" s="10" t="str">
        <x:v>Figura n – [Av. Tiradentes (1939)] Fonte: Arquivo Público do Estado de São Paulo, 1939.</x:v>
      </x:c>
      <x:c r="S118" s="10" t="str">
        <x:v>ARQUIVO PÚBLICO DO ESTADO DE SÃO PAULO (Brasil). [Av. Tiradentes (1939)]. São Paulo, Brasil. 11 abr. 1939. Fotografia digitalizada; sépia; suporte em papel fotográfico. Disponível em: &lt;link do dataverse&gt;. Acesso em: 28 out. 2025.</x:v>
      </x:c>
      <x:c r="T118" s="10" t="str">
        <x:v>"ESTADO DE SÃO PAULO — PENITENCIARIAS E PRESIDIOS — CASA DE DETENÇÃO DA AVENIDA TIRADENTES" "EDIFICIO DA CADEIA PUBLICA DE S. PAULO." "SP. 11.4.939" "MENEGHETTI CONTA A HISTORIA DE MENEGHETTI" "Antiga Casa de Detenção de São Paulo, de onde Hamleto Gino Meneghetti fugiu espetacularmente em 1915, inteiramente nú." "DN. — 2a. — 26/3/52 — CL/.-"</x:v>
      </x:c>
      <x:c r="U118" s="10" t="str">
        <x:v>ICO</x:v>
      </x:c>
      <x:c r="V118" s="10" t="str">
        <x:v>FOT</x:v>
      </x:c>
      <x:c r="W118" s="10" t="str">
        <x:v>DGZ</x:v>
      </x:c>
      <x:c r="X118" s="10" t="str">
        <x:v>MT0</x:v>
      </x:c>
      <x:c r="Y118" s="10" t="str">
        <x:v>BR-SPAPESP_DASP-PENITPRE-CSDTCARANDIRU.xlsx</x:v>
      </x:c>
      <x:c r="Z118" s="10" t="str">
        <x:v>2767-011</x:v>
      </x:c>
      <x:c r="AA118" s="11" t="n">
        <x:v>18</x:v>
      </x:c>
      <x:c r="AB118" s="10" t="str">
        <x:v>BR-SPAPESP_DASP-PENITPRE-CSDTCARANDIRU.xlsx:2767-011:18</x:v>
      </x:c>
      <x:c r="AC118" s="11" t="n">
        <x:f>COLUMNS(A118:T118)-COUNTBLANK(A118:T118)</x:f>
        <x:v>20</x:v>
      </x:c>
    </x:row>
    <x:row r="119" ht="84" hidden="0" customHeight="1">
      <x:c r="A119" s="10" t="str">
        <x:v>018</x:v>
      </x:c>
      <x:c r="B119" s="10" t="str">
        <x:v>Reclusos da Casa de Detenção formados no pátio comemorando decreto de liberdade de J.K.</x:v>
      </x:c>
      <x:c r="C119" s="10" t="str">
        <x:v>Item</x:v>
      </x:c>
      <x:c r="D119" s="10" t="str">
        <x:v>1961-02-01 00:00:00</x:v>
      </x:c>
      <x:c r="E119" s="10" t="str">
        <x:v>Gerado pelo Dataverse</x:v>
      </x:c>
      <x:c r="F119" s="10" t="str">
        <x:v>Fotografia digitalizada; preto e branco; suporte em papel fotográfico</x:v>
      </x:c>
      <x:c r="G119" s="10" t="str">
        <x:v>São Paulo, Brasil</x:v>
      </x:c>
      <x:c r="H119" s="10" t="str">
        <x:v>Arquivo Público do Estado de São Paulo, Jornal Diários Associados</x:v>
      </x:c>
      <x:c r="I119" s="10" t="str">
        <x:v>Estado De São Paulo - Penitenciárias e Presídios - Casa de Detenção de São Paulo no Carandiru (Fotografias)</x:v>
      </x:c>
      <x:c r="J119" s="10" t="str">
        <x:v>Caixa: 2767 Folder: 11</x:v>
      </x:c>
      <x:c r="K119" s="10" t="str">
        <x:v>BR-SPAPESP_DASP-PENITPRE-CSDTCARANDIRU_ICO-FOT-DGZ-MT0_2767-011-018</x:v>
      </x:c>
      <x:c r="L119"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119" s="10" t="str">
        <x:v>A fotografia registra uma solenidade no pátio interno da Casa de Detenção, cercado por edifícios de vários andares com janelas gradeadas. Uma grande multidão de detentos, vestindo uniformes claros, está perfilada em formação organizada. Em primeiro plano (à esquerda), vê-se um músico tocando trompete e, abaixo, outras pessoas (civis e possivelmente autoridades) observando de uma balaustrada, marcando a cerimônia de comemoração pela liberdade concedida pelo decreto presidencial.</x:v>
      </x:c>
      <x:c r="N119"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19" s="10" t="str">
        <x:v>Casa de Detenção; Avenida Tiradentes; Juscelino Kubitschek; Decreto; Liberdade; Solenidade; Pátio; Formatura.</x:v>
      </x:c>
      <x:c r="P119" s="10" t="str">
        <x:v>Fotografia (Iconográfico)</x:v>
      </x:c>
      <x:c r="Q119" s="10" t="str">
        <x:v>Digitalização de fotografia em preto e branco</x:v>
      </x:c>
      <x:c r="R119" s="10" t="str">
        <x:v>Figura n – [Reclusos da Casa de Detenção formados no pátio comemorando decreto de liberdade de J.K.] Fonte: Arquivo Público do Estado de São Paulo, 1961.</x:v>
      </x:c>
      <x:c r="S119" s="10" t="str">
        <x:v>ARQUIVO PÚBLICO DO ESTADO DE SÃO PAULO (Brasil). [Reclusos da Casa de Detenção formados no pátio comemorando decreto de liberdade de J.K.]. São Paulo, Brasil. 01 fev. 1961. Fotografia digitalizada; preto e branco; suporte em papel fotográfico. Disponível em: &lt;link do dataverse&gt;. Acesso em: 28 out. 2025.</x:v>
      </x:c>
      <x:c r="T119" s="10" t="str">
        <x:v>ESTADO DE SÃO PAULO-PENITENCIARIAS E PRESIDIOS - CASA DE DETENÇÃO DA AVENIDA TIRADENTES DECRETO DE J.K. COMEMORADO POR MAIS DE 600 RECLUSOS. Reclusos formados no pateo da Casa de Detenção da Avenida Tiradentes. Os mesmos foram colocados em liberdade por decreto assinado por Juscelino Kubitscheck de Oliveira no seu ultimo dia de mandato na presidência da República. DN., 1a Ed., 1/2/961 acf</x:v>
      </x:c>
      <x:c r="U119" s="10" t="str">
        <x:v>ICO</x:v>
      </x:c>
      <x:c r="V119" s="10" t="str">
        <x:v>FOT</x:v>
      </x:c>
      <x:c r="W119" s="10" t="str">
        <x:v>DGZ</x:v>
      </x:c>
      <x:c r="X119" s="10" t="str">
        <x:v>MT0</x:v>
      </x:c>
      <x:c r="Y119" s="10" t="str">
        <x:v>BR-SPAPESP_DASP-PENITPRE-CSDTCARANDIRU.xlsx</x:v>
      </x:c>
      <x:c r="Z119" s="10" t="str">
        <x:v>2767-011</x:v>
      </x:c>
      <x:c r="AA119" s="11" t="n">
        <x:v>19</x:v>
      </x:c>
      <x:c r="AB119" s="10" t="str">
        <x:v>BR-SPAPESP_DASP-PENITPRE-CSDTCARANDIRU.xlsx:2767-011:19</x:v>
      </x:c>
      <x:c r="AC119" s="11" t="n">
        <x:f>COLUMNS(A119:T119)-COUNTBLANK(A119:T119)</x:f>
        <x:v>20</x:v>
      </x:c>
    </x:row>
    <x:row r="120" ht="84" hidden="0" customHeight="1">
      <x:c r="A120" s="10" t="str">
        <x:v>019</x:v>
      </x:c>
      <x:c r="B120" s="10" t="str">
        <x:v>Detalhe da construção da muralha. 5.7.1956</x:v>
      </x:c>
      <x:c r="C120" s="10" t="str">
        <x:v>Item</x:v>
      </x:c>
      <x:c r="D120" s="10" t="str">
        <x:v>1956-07-05 00:00:00</x:v>
      </x:c>
      <x:c r="E120" s="10" t="str">
        <x:v>Gerado pelo Dataverse</x:v>
      </x:c>
      <x:c r="F120" s="10" t="str">
        <x:v>Fotografia digitalizada; preto e branco; suporte em papel fotográfico</x:v>
      </x:c>
      <x:c r="G120" s="10" t="str">
        <x:v>São Paulo, Brasil</x:v>
      </x:c>
      <x:c r="H120" s="10" t="str">
        <x:v>Arquivo Público do Estado de São Paulo, Jornal Diários Associados</x:v>
      </x:c>
      <x:c r="I120" s="10" t="str">
        <x:v>Estado De São Paulo - Penitenciárias e Presídios - Casa de Detenção de São Paulo no Carandiru (Fotografias)</x:v>
      </x:c>
      <x:c r="J120" s="10" t="str">
        <x:v>Caixa: 2767 Folder: 11</x:v>
      </x:c>
      <x:c r="K120" s="10" t="str">
        <x:v>BR-SPAPESP_DASP-PENITPRE-CSDTCARANDIRU_ICO-FOT-DGZ-MT0_2767-011-019</x:v>
      </x:c>
      <x:c r="L120"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120" s="10" t="str">
        <x:v>Registro das obras de levantamento de uma muralha de contenção (paredão) destinada a evitar evasões da unidade prisional. A imagem revela um operário trabalhando em uma complexa estrutura de andaimes e fôrmas de madeira para concreto, tendo ao fundo a fachada superior de um pavilhão carcerário com janelas gradeadas.</x:v>
      </x:c>
      <x:c r="N120"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20" s="10" t="str">
        <x:v>Casa de Detenção; Carandiru; Construção civil; Muralha; Segurança prisional; Evasão de detentos.</x:v>
      </x:c>
      <x:c r="P120" s="10" t="str">
        <x:v>Fotografia (Iconográfico)</x:v>
      </x:c>
      <x:c r="Q120" s="10" t="str">
        <x:v>Digitalização de fotografia em preto e branco (analógica original)</x:v>
      </x:c>
      <x:c r="R120" s="10" t="str">
        <x:v>Figura n – [Detalhe da construção da muralha. 5.7.1956] Fonte: Arquivo Público do Estado de São Paulo, 1956.</x:v>
      </x:c>
      <x:c r="S120" s="10" t="str">
        <x:v>ARQUIVO PÚBLICO DO ESTADO DE SÃO PAULO (Brasil). [Detalhe da construção da muralha. 5.7.1956]. São Paulo, Brasil. 05 jul. 1956. Fotografia digitalizada; preto e branco; suporte em papel fotográfico. Disponível em: &lt;link do dataverse&gt;. Acesso em: 28 out. 2025.</x:v>
      </x:c>
      <x:c r="T120" s="10" t="str">
        <x:v>ESTA DO DE SÃO PAULO — PENITENCIÁRIAS E PRESIDIOS — CASA DE DETENÇÃO — CARANDIRU 'BATIZADA' A NOVA CASA DE DETENÇÃO COM A PRIMEIRA FUGA DE UM DETENTO Para evitar evasões da Casa de Detenção, está-se levantando um gigantesco paredão, conforme mostra a foto, que revela ainda os dois ultimos pavimentos do conjunto carcerário. D.N. 2a. Ed. 5/7/956 jl</x:v>
      </x:c>
      <x:c r="U120" s="10" t="str">
        <x:v>ICO</x:v>
      </x:c>
      <x:c r="V120" s="10" t="str">
        <x:v>FOT</x:v>
      </x:c>
      <x:c r="W120" s="10" t="str">
        <x:v>DGZ</x:v>
      </x:c>
      <x:c r="X120" s="10" t="str">
        <x:v>MT0</x:v>
      </x:c>
      <x:c r="Y120" s="10" t="str">
        <x:v>BR-SPAPESP_DASP-PENITPRE-CSDTCARANDIRU.xlsx</x:v>
      </x:c>
      <x:c r="Z120" s="10" t="str">
        <x:v>2767-011</x:v>
      </x:c>
      <x:c r="AA120" s="11" t="n">
        <x:v>20</x:v>
      </x:c>
      <x:c r="AB120" s="10" t="str">
        <x:v>BR-SPAPESP_DASP-PENITPRE-CSDTCARANDIRU.xlsx:2767-011:20</x:v>
      </x:c>
      <x:c r="AC120" s="11" t="n">
        <x:f>COLUMNS(A120:T120)-COUNTBLANK(A120:T120)</x:f>
        <x:v>20</x:v>
      </x:c>
    </x:row>
    <x:row r="121" ht="132" hidden="0" customHeight="1">
      <x:c r="A121" s="10" t="str">
        <x:v>020</x:v>
      </x:c>
      <x:c r="B121" s="10" t="str">
        <x:v>Foto da muralha, com recorte de jornal no verso</x:v>
      </x:c>
      <x:c r="C121" s="10" t="str">
        <x:v>Item</x:v>
      </x:c>
      <x:c r="D121" s="10" t="str">
        <x:v>1969-11-12 00:00:00</x:v>
      </x:c>
      <x:c r="E121" s="10" t="str">
        <x:v>Gerado pelo Dataverse</x:v>
      </x:c>
      <x:c r="F121" s="10" t="str">
        <x:v>Fotografia digitalizada; sépia; suporte em papel fotográfico</x:v>
      </x:c>
      <x:c r="G121" s="10" t="str">
        <x:v>São Paulo, Brasil</x:v>
      </x:c>
      <x:c r="H121" s="10" t="str">
        <x:v>Arquivo Público do Estado de São Paulo, Jornal Diários Associados</x:v>
      </x:c>
      <x:c r="I121" s="10" t="str">
        <x:v>Estado De São Paulo - Penitenciárias e Presídios - Casa de Detenção de São Paulo no Carandiru (Fotografias)</x:v>
      </x:c>
      <x:c r="J121" s="10" t="str">
        <x:v>Caixa: 2767 Folder: 11</x:v>
      </x:c>
      <x:c r="K121" s="10" t="str">
        <x:v>BR-SPAPESP_DASP-PENITPRE-CSDTCARANDIRU_ICO-FOT-DGZ-MT0_2767-011-020</x:v>
      </x:c>
      <x:c r="L121" s="10" t="str">
        <x: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x:v>
      </x:c>
      <x:c r="M121" s="10" t="str">
        <x:v>A fotografia registra a arquitetura externa da Casa de Detenção de São Paulo no Carandiru, exibindo em primeiro plano uma alta muralha de concreto com uma luminária instalada. Sobre a muralha, observa-se a silhueta de homem em posição de observação. Ao fundo, ergue-se a fachada de um pavilhão carcerário com duas fileiras de janelas pequenas e gradeadas. No plano inferior, há folhagens que cobrem parte da base da muralha.</x:v>
      </x:c>
      <x:c r="N121"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21" s="10" t="str">
        <x:v>Casa de Detenção; Carandiru; Superlotação carcerária; Vigilância; Muralha; Arquitetura prisional.</x:v>
      </x:c>
      <x:c r="P121" s="10" t="str">
        <x:v>Fotografia (Iconográfico)</x:v>
      </x:c>
      <x:c r="Q121" s="10" t="str">
        <x:v>Digitalização de fotografia em sépia (analógica original)</x:v>
      </x:c>
      <x:c r="R121" s="10" t="str">
        <x:v>Figura n – [Foto da muralha, com recorte de jornal no verso] Fonte: Arquivo Público do Estado de São Paulo, 1969.</x:v>
      </x:c>
      <x:c r="S121" s="10" t="str">
        <x:v>ARQUIVO PÚBLICO DO ESTADO DE SÃO PAULO (Brasil). [Foto da muralha, com recorte de jornal no verso]. São Paulo, Brasil. 12 nov. 1969. Fotografia digitalizada; sépia; suporte em papel fotográfico. Disponível em: &lt;link do dataverse&gt;. Acesso em: 28 out. 2025.</x:v>
      </x:c>
      <x:c r="T121" s="10" t="str">
        <x:v>ESTADO DE SÃO PAULO — PENITENCIARIAS E PRESIDIOS = Casa de Detenção de São Paulo no Carandiru) PRESIDIOS NÃO COMPORTAM MAIS PRESOS Foi assinado ontem, pelo governador Abreu Sodré um decreto instituindo grupo de trabalho para estudar o problema penitenciário no Estado. Diariamente em São Paulo são presas mais de cem pessoas entre homens e mulheres, e há trinta mil mandados de prisão nas mãos da Justiça para serem cumpridos. Existem atualmente 12 mil presos que abarrotam os presidios da Capital. CASA DE DETENÇÃO A respeito do problema falou o diretor da Casa de Detenção sr. Fernão Guedes de Souza: “Existem diversas medidas a longo prazo que estão sendo estudadas há algum tempo como a construção de um nôvo presidio. Mas tornou-se necessário devido ao grande numero de prisões efetuadas diariamente, uma solução mais rápida”. A respeito do presidio e da contribuição esclareceu: “Esta detenção, foi construida para acomodar 2.200 presos, mas o numero que abriga no momento é de 4.101. O movimento diário pode ser baseado no de ontem, que recebeu 33 presos e libertou apenas 14. Estou fornecendo para o dr. Alexandrino de Almeida Prado Sampaio, corregedor geral da policia e presidios dados estatisticos que o orientem no seu trabalho. Um dos dados é esse: A população carcerária de 1.o de janeiro de 1968 era de 2.488, em janeiro de 69 era de 2.924, e atualmente é de 4.101. Por aí pode-se ter uma idéia exata dêsse espantoso aumento que provocou uma superlotação de todos os presidios”. PRESOS POLITICOS Um problema que surgiu recentemente foi a prisão de elementos subversivos que só na Casa de Detenção são 57. Estes elementos, declarou o sr. Fernão Guedes, “precisam ser removidos pois são presos que requerem tratamento especial, e não temos condições para isso devido ao excesso de detidos”. O problema não é só da Casa de Detenção, no presidio feminino também há a mesma promiscuidade oriunda do numero elevado de presidiárias. DN. 1ª Ed. 12/11/969-MBO CASA DE DETENÇÃO FOI PREVISTA PARA 2.500 PRESOS. JÁ TEM 5.127 DN. 2a. Ed. 26/10/1972 im</x:v>
      </x:c>
      <x:c r="U121" s="10" t="str">
        <x:v>ICO</x:v>
      </x:c>
      <x:c r="V121" s="10" t="str">
        <x:v>FOT</x:v>
      </x:c>
      <x:c r="W121" s="10" t="str">
        <x:v>DGZ</x:v>
      </x:c>
      <x:c r="X121" s="10" t="str">
        <x:v>MT0</x:v>
      </x:c>
      <x:c r="Y121" s="10" t="str">
        <x:v>BR-SPAPESP_DASP-PENITPRE-CSDTCARANDIRU.xlsx</x:v>
      </x:c>
      <x:c r="Z121" s="10" t="str">
        <x:v>2767-011</x:v>
      </x:c>
      <x:c r="AA121" s="11" t="n">
        <x:v>21</x:v>
      </x:c>
      <x:c r="AB121" s="10" t="str">
        <x:v>BR-SPAPESP_DASP-PENITPRE-CSDTCARANDIRU.xlsx:2767-011:21</x:v>
      </x:c>
      <x:c r="AC121" s="11" t="n">
        <x:f>COLUMNS(A121:T121)-COUNTBLANK(A121:T121)</x:f>
        <x:v>20</x:v>
      </x:c>
    </x:row>
    <x:row r="122" ht="84" hidden="0" customHeight="1">
      <x:c r="A122" s="10" t="str">
        <x:v>001</x:v>
      </x:c>
      <x:c r="B122" s="10" t="str">
        <x:v>Soldados da Força Pública em operação de recaptura de detentos evadidos em Vila Guilherme.</x:v>
      </x:c>
      <x:c r="C122" s="10" t="str">
        <x:v>Item</x:v>
      </x:c>
      <x:c r="D122" s="10" t="str">
        <x:v>1954-08-02 00:00:00</x:v>
      </x:c>
      <x:c r="E122" s="10" t="str">
        <x:v>Gerado pelo Dataverse</x:v>
      </x:c>
      <x:c r="F122" s="10" t="str">
        <x:v>Fotografia digitalizada; preto e branco; suporte em papel fotográfico</x:v>
      </x:c>
      <x:c r="G122" s="10" t="str">
        <x:v>São Paulo, Brasil</x:v>
      </x:c>
      <x:c r="H122" s="10" t="str">
        <x:v>Arquivo Público do Estado de São Paulo, Jornal Diários Associados</x:v>
      </x:c>
      <x:c r="I122" s="10" t="str">
        <x:v>Estado De São Paulo - Penitenciárias e Presídios - Casa de Detenção de São Paulo no Carandiru (Fotografias)</x:v>
      </x:c>
      <x:c r="J122" s="10" t="str">
        <x:v>Caixa: 2776 Folder: 012</x:v>
      </x:c>
      <x:c r="K122" s="10" t="str">
        <x:v>BR-SPAPESP_DASP-PENITPRE-CSDTCARANDIRU_ICO-FOT-DGZ-MT0_2776-012-001</x:v>
      </x:c>
      <x:c r="L122" s="10" t="str">
        <x: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pesquisa de Maíra Rocha Machado, Bianca Tavolari e Maira Rosín (2025)[1].</x:v>
      </x:c>
      <x:c r="M122" s="10" t="str">
        <x:v>A fotografia registra uma "batida" policial em uma área de vegetação e terreno acidentado. Em primeiro plano, dois soldados da Força Pública, usando capacetes e uniformes, portam metralhadoras em posição de prontidão. Eles parecem cercar ou inspecionar uma estrutura de madeira rústica parcialmente coberta por folhagens. Ao fundo, observam-se roupas penduradas em um varal e mais vegetação.</x:v>
      </x:c>
      <x:c r="N122"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22" s="10" t="str">
        <x:v>Casa de Detenção; Avenida Tiradentes; Força Pública; Recaptura; Vila Guilherme; Quinzinho; Ali Babá; Soldados; Fuga.</x:v>
      </x:c>
      <x:c r="P122" s="10" t="str">
        <x:v>Fotografia (Iconográfico)</x:v>
      </x:c>
      <x:c r="Q122" s="10" t="str">
        <x:v>Digitalização de fotografia em preto e branco (analógica original)</x:v>
      </x:c>
      <x:c r="R122" s="10" t="str">
        <x:v>Figura n – [Soldados da Força Pública em operação de recaptura de detentos evadidos em Vila Guilherme.] Fonte: Arquivo Público do Estado de São Paulo, 1954.</x:v>
      </x:c>
      <x:c r="S122" s="10" t="str">
        <x:v>ARQUIVO PÚBLICO DO ESTADO DE SÃO PAULO (Brasil). [Soldados da Força Pública em operação de recaptura de detentos evadidos em Vila Guilherme.]. São Paulo, Brasil. 02 ago. 1954. Fotografia digitalizada; preto e branco; suporte em papel fotográfico. Disponível em: &lt;link do dataverse&gt;. Acesso em: 28 out. 2025.</x:v>
      </x:c>
      <x:c r="T122" s="10" t="str">
        <x:v>ESTADO DE SÃO PAULO - PENITENCIARIAS E PRESIDIOS - CASA DE DETENÇÃO DA AVENIDA TIRADENTES Na foto, aspecto da "batida" efetuada pelos soldados da Força Publica, chefiados pelo delegado Nicolau Mario Centola, dia 1/8/954, em Vila Guilherme, onde recapturaram Manuel Silva Andrade, o popular "Quinzinho", um dos evadidos dia 30/7/954, juntamente com Luis Volante e José dos Santos, vulgo "Ali Babá". DN. 1a. Ed. 2/8/954 fm.</x:v>
      </x:c>
      <x:c r="U122" s="10" t="str">
        <x:v>ICO</x:v>
      </x:c>
      <x:c r="V122" s="10" t="str">
        <x:v>FOT</x:v>
      </x:c>
      <x:c r="W122" s="10" t="str">
        <x:v>DGZ</x:v>
      </x:c>
      <x:c r="X122" s="10" t="str">
        <x:v>MT0</x:v>
      </x:c>
      <x:c r="Y122" s="10" t="str">
        <x:v>BR-SPAPESP_DASP-PENITPRE-CSDTCARANDIRU.xlsx</x:v>
      </x:c>
      <x:c r="Z122" s="10" t="str">
        <x:v>2776-012</x:v>
      </x:c>
      <x:c r="AA122" s="11" t="n">
        <x:v>2</x:v>
      </x:c>
      <x:c r="AB122" s="10" t="str">
        <x:v>BR-SPAPESP_DASP-PENITPRE-CSDTCARANDIRU.xlsx:2776-012:2</x:v>
      </x:c>
      <x:c r="AC122" s="11" t="n">
        <x:f>COLUMNS(A122:T122)-COUNTBLANK(A122:T122)</x:f>
        <x:v>20</x:v>
      </x:c>
    </x:row>
    <x:row r="123" ht="84" hidden="0" customHeight="1">
      <x:c r="A123" s="10" t="str">
        <x:v>002</x:v>
      </x:c>
      <x:c r="B123" s="10" t="str">
        <x:v>Delegado Nicolau Mario Centola em operação de recaptura do detento "Quinzinho" em Vila Guilherme.</x:v>
      </x:c>
      <x:c r="C123" s="10" t="str">
        <x:v>Item</x:v>
      </x:c>
      <x:c r="D123" s="10" t="str">
        <x:v>1954-08-02 00:00:00</x:v>
      </x:c>
      <x:c r="E123" s="10" t="str">
        <x:v>Gerado pelo Dataverse</x:v>
      </x:c>
      <x:c r="F123" s="10" t="str">
        <x:v>Fotografia digitalizada; preto e branco; suporte em papel fotográfico</x:v>
      </x:c>
      <x:c r="G123" s="10" t="str">
        <x:v>São Paulo, Brasil</x:v>
      </x:c>
      <x:c r="H123" s="10" t="str">
        <x:v>Arquivo Público do Estado de São Paulo, Jornal Diários Associados</x:v>
      </x:c>
      <x:c r="I123" s="10" t="str">
        <x:v>Estado De São Paulo - Penitenciárias e Presídios - Casa de Detenção de São Paulo no Carandiru (Fotografias)</x:v>
      </x:c>
      <x:c r="J123" s="10" t="str">
        <x:v>Caixa: 2776 Folder: 012</x:v>
      </x:c>
      <x:c r="K123" s="10" t="str">
        <x:v>BR-SPAPESP_DASP-PENITPRE-CSDTCARANDIRU_ICO-FOT-DGZ-MT0_2776-012-002</x:v>
      </x:c>
      <x:c r="L123" s="10" t="str">
        <x: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pesquisa de Maíra Rocha Machado, Bianca Tavolari e Maira Rosín (2025)[1].</x:v>
      </x:c>
      <x:c r="M123" s="10" t="str">
        <x:v>O registro fotográfico apresenta o delegado Nicolau Mario Centola em ação durante uma "batida" policial em Vila Guilherme. O delegado, trajando terno escuro e chapéu, é capturado em movimento, empunhando o que parece ser uma submetralhadora. Ele se encontra próximo a uma cerca rústica de madeira e arame farpado, em um terreno com vegetação densa ao fundo. A diligência visava a recaptura de Manuel Silva Andrade, o "Quinzinho", fugitivo da Casa de Detenção de São Paulo na Avenida Tiradentes.</x:v>
      </x:c>
      <x:c r="N123"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23" s="10" t="str">
        <x:v>Casa de Detenção; Avenida Tiradentes; Recaptura; Vila Guilherme; Quinzinho; Delegado Nicolau Mario Centola; Polícia; Fuga.</x:v>
      </x:c>
      <x:c r="P123" s="10" t="str">
        <x:v>Fotografia (Iconográfico)</x:v>
      </x:c>
      <x:c r="Q123" s="10" t="str">
        <x:v>Digitalização de fotografia em preto e branco (analógica original)</x:v>
      </x:c>
      <x:c r="R123" s="10" t="str">
        <x:v>Figura n – [Delegado Nicolau Mario Centola em operação de recaptura do detento "Quinzinho" em Vila Guilherme.] Fonte: Arquivo Público do Estado de São Paulo, 1954.</x:v>
      </x:c>
      <x:c r="S123" s="10" t="str">
        <x:v>ARQUIVO PÚBLICO DO ESTADO DE SÃO PAULO (Brasil). [Delegado Nicolau Mario Centola em operação de recaptura do detento "Quinzinho" em Vila Guilherme.]. São Paulo, Brasil. 02 ago. 1954. Fotografia digitalizada; preto e branco; suporte em papel fotográfico. Disponível em: &lt;link do dataverse&gt;. Acesso em: 28 out. 2025.</x:v>
      </x:c>
      <x:c r="T123" s="10" t="str">
        <x:v>ESTADO DE S. PAULO - PENITENCIARIAS E PRESIDIOS - CASA DE DETENÇÃO AVENIDA TIRADENTES O delegado Nicolau Mario Centola em Vila Guilherme, por ocasião da recaptura de Manuel Silva Andrade, o popular "Quinzinho", um dos evadidos do dia 30/7/954, em companhia de Luis Volante e José dos Santos (Ali Babá). A "batida" da Policia teve êxito, pois dia 1/8/954 foi recapturado o perigo delinquente. DN. 1a. Ed. 2/8/954 fm.</x:v>
      </x:c>
      <x:c r="U123" s="10" t="str">
        <x:v>ICO</x:v>
      </x:c>
      <x:c r="V123" s="10" t="str">
        <x:v>FOT</x:v>
      </x:c>
      <x:c r="W123" s="10" t="str">
        <x:v>DGZ</x:v>
      </x:c>
      <x:c r="X123" s="10" t="str">
        <x:v>MT0</x:v>
      </x:c>
      <x:c r="Y123" s="10" t="str">
        <x:v>BR-SPAPESP_DASP-PENITPRE-CSDTCARANDIRU.xlsx</x:v>
      </x:c>
      <x:c r="Z123" s="10" t="str">
        <x:v>2776-012</x:v>
      </x:c>
      <x:c r="AA123" s="11" t="n">
        <x:v>3</x:v>
      </x:c>
      <x:c r="AB123" s="10" t="str">
        <x:v>BR-SPAPESP_DASP-PENITPRE-CSDTCARANDIRU.xlsx:2776-012:3</x:v>
      </x:c>
      <x:c r="AC123" s="11" t="n">
        <x:f>COLUMNS(A123:T123)-COUNTBLANK(A123:T123)</x:f>
        <x:v>20</x:v>
      </x:c>
    </x:row>
    <x:row r="124" ht="84" hidden="0" customHeight="1">
      <x:c r="A124" s="10" t="str">
        <x:v>003</x:v>
      </x:c>
      <x:c r="B124" s="10" t="str">
        <x:v>Patrulhas da Força Pública vasculhando imediações após fuga da Casa de Detenção de São Paulo na Avenida Tiradentes.</x:v>
      </x:c>
      <x:c r="C124" s="10" t="str">
        <x:v>Item</x:v>
      </x:c>
      <x:c r="D124" s="10" t="str">
        <x:v>1954-06-03 00:00:00</x:v>
      </x:c>
      <x:c r="E124" s="10" t="str">
        <x:v>Gerado pelo Dataverse</x:v>
      </x:c>
      <x:c r="F124" s="10" t="str">
        <x:v>Fotografia digitalizada; preto e branco; suporte em papel fotográfico</x:v>
      </x:c>
      <x:c r="G124" s="10" t="str">
        <x:v>São Paulo, Brasil</x:v>
      </x:c>
      <x:c r="H124" s="10" t="str">
        <x:v>Arquivo Público do Estado de São Paulo, Jornal Diários Associados</x:v>
      </x:c>
      <x:c r="I124" s="10" t="str">
        <x:v>Estado De São Paulo - Penitenciárias e Presídios - Casa de Detenção de São Paulo no Carandiru (Fotografias)</x:v>
      </x:c>
      <x:c r="J124" s="10" t="str">
        <x:v>Caixa: 2776 Folder: 012</x:v>
      </x:c>
      <x:c r="K124" s="10" t="str">
        <x:v>BR-SPAPESP_DASP-PENITPRE-CSDTCARANDIRU_ICO-FOT-DGZ-MT0_2776-012-003</x:v>
      </x:c>
      <x:c r="L124" s="10" t="str">
        <x: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pesquisa de Maíra Rocha Machado, Bianca Tavolari e Maira Rosín (2025)[1].</x:v>
      </x:c>
      <x:c r="M124" s="10" t="str">
        <x:v>A fotografia registra uma operação de busca noturna ou em ambiente de baixa luminosidade em uma área com vegetação densa, destacando-se várias palmeiras. No centro da imagem, dois soldados da Força Pública (F.P.), usando capacetes e portando armas longas, são vistos em posição de incursão e prontidão, realizando a varredura do terreno. A ação faz parte das buscas iniciadas após uma "fuga espetacular" de presos ocorrida na madrugada daquele dia.</x:v>
      </x:c>
      <x:c r="N124"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24" s="10" t="str">
        <x:v>Casa de Detenção; Avenida Tiradentes; Força Pública; Fuga; Busca; Patrulha; Incursão; 1954.</x:v>
      </x:c>
      <x:c r="P124" s="10" t="str">
        <x:v>Fotografia (Iconográfico)</x:v>
      </x:c>
      <x:c r="Q124" s="10" t="str">
        <x:v>Digitalização de fotografia em preto e branco (analógica original)</x:v>
      </x:c>
      <x:c r="R124" s="10" t="str">
        <x:v>Figura n – [Patrulhas da Força Pública vasculhando imediações após fuga da Casa de Detenção de São Paulo na Avenida Tiradentes.] Fonte: Arquivo Público do Estado de São Paulo, 1954.</x:v>
      </x:c>
      <x:c r="S124" s="10" t="str">
        <x:v>ARQUIVO PÚBLICO DO ESTADO DE SÃO PAULO (Brasil). [Patrulhas da Força Pública vasculhando imediações após fuga da Casa de Detenção de São Paulo na Avenida Tiradentes.]. São Paulo, Brasil. 03 jun. 1954. Fotografia digitalizada; preto e branco; suporte em papel fotográfico. Disponível em: &lt;link do dataverse&gt;. Acesso em: 28 out. 2025.</x:v>
      </x:c>
      <x:c r="T124" s="10" t="str">
        <x:v>ESTADO DE SÃO PAULO - PENITENCIARIAS E PRESIDIOS - CASA DE DETENÇÃO DA AVENIDA TIRADENTES FUGA ESPETACULAR DE PRESOS DA DETENÇÃO Durante a madrugada de 3/6/954, presos de uma das celas do presidio da Av. Tiradentes, conseguiram evadir-se. Na foto, vemos patrulhas da F.P. vasculhando as imediações do presidio. DN, Ia. Ed. 3/6/954 WSS BRASIL - PENITENCIARIAS E PRESIDIOS - CASA DE DETENÇÃO DA AVENIDA TIRADENTES</x:v>
      </x:c>
      <x:c r="U124" s="10" t="str">
        <x:v>ICO</x:v>
      </x:c>
      <x:c r="V124" s="10" t="str">
        <x:v>FOT</x:v>
      </x:c>
      <x:c r="W124" s="10" t="str">
        <x:v>DGZ</x:v>
      </x:c>
      <x:c r="X124" s="10" t="str">
        <x:v>MT0</x:v>
      </x:c>
      <x:c r="Y124" s="10" t="str">
        <x:v>BR-SPAPESP_DASP-PENITPRE-CSDTCARANDIRU.xlsx</x:v>
      </x:c>
      <x:c r="Z124" s="10" t="str">
        <x:v>2776-012</x:v>
      </x:c>
      <x:c r="AA124" s="11" t="n">
        <x:v>4</x:v>
      </x:c>
      <x:c r="AB124" s="10" t="str">
        <x:v>BR-SPAPESP_DASP-PENITPRE-CSDTCARANDIRU.xlsx:2776-012:4</x:v>
      </x:c>
      <x:c r="AC124" s="11" t="n">
        <x:f>COLUMNS(A124:T124)-COUNTBLANK(A124:T124)</x:f>
        <x:v>20</x:v>
      </x:c>
    </x:row>
    <x:row r="125" ht="84" hidden="0" customHeight="1">
      <x:c r="A125" s="10" t="str">
        <x:v>004</x:v>
      </x:c>
      <x:c r="B125" s="10" t="str">
        <x:v>Repórter entrevistando detentos da célula 32 sobre apreensão de maconha na Casa de Detenção.</x:v>
      </x:c>
      <x:c r="C125" s="10" t="str">
        <x:v>Item</x:v>
      </x:c>
      <x:c r="D125" s="10" t="str">
        <x:v>1954-10-29 00:00:00</x:v>
      </x:c>
      <x:c r="E125" s="10" t="str">
        <x:v>Gerado pelo Dataverse</x:v>
      </x:c>
      <x:c r="F125" s="10" t="str">
        <x:v>Fotografia digitalizada; preto e branco; suporte em papel fotográfico</x:v>
      </x:c>
      <x:c r="G125" s="10" t="str">
        <x:v>São Paulo, Brasil</x:v>
      </x:c>
      <x:c r="H125" s="10" t="str">
        <x:v>Arquivo Público do Estado de São Paulo, Jornal Diários Associados</x:v>
      </x:c>
      <x:c r="I125" s="10" t="str">
        <x:v>Estado De São Paulo - Penitenciárias e Presídios - Casa de Detenção de São Paulo no Carandiru (Fotografias)</x:v>
      </x:c>
      <x:c r="J125" s="10" t="str">
        <x:v>Caixa: 2776 Folder: 012</x:v>
      </x:c>
      <x:c r="K125" s="10" t="str">
        <x:v>BR-SPAPESP_DASP-PENITPRE-CSDTCARANDIRU_ICO-FOT-DGZ-MT0_2776-012-004</x:v>
      </x:c>
      <x:c r="L125" s="10" t="str">
        <x: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pesquisa de Maíra Rocha Machado, Bianca Tavolari e Maira Rosín (2025)[1].</x:v>
      </x:c>
      <x:c r="M125" s="10" t="str">
        <x:v>A fotografia registra, em plano médio e de perfil, um repórter de costas vestindo terno enquanto conversa com detentos através de uma abertura gradeada em uma porta de cela. No topo da porta, o número "32" está pintado de forma rústica em branco. Através das grades, veem-se os rostos de três detentos que olham em direção ao jornalista; um deles veste um gorro claro. A cena ilustra a apuração jornalística sobre a descoberta de cigarros de maconha na cela.</x:v>
      </x:c>
      <x:c r="N125"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25" s="10" t="str">
        <x:v>Casa de Detenção; Avenida Tiradentes; Tráfico de drogas; Repórter; Entrevista; Detentos; Investigação.</x:v>
      </x:c>
      <x:c r="P125" s="10" t="str">
        <x:v>Fotografia (Iconográfico)</x:v>
      </x:c>
      <x:c r="Q125" s="10" t="str">
        <x:v>Digitalização de fotografia em preto e branco (analógica original)</x:v>
      </x:c>
      <x:c r="R125" s="10" t="str">
        <x:v>Figura n – [Repórter entrevistando detentos da célula 32 sobre apreensão de maconha na Casa de Detenção.] Fonte: Arquivo Público do Estado de São Paulo, 1954.</x:v>
      </x:c>
      <x:c r="S125" s="10" t="str">
        <x:v>ARQUIVO PÚBLICO DO ESTADO DE SÃO PAULO (Brasil). [Repórter entrevistando detentos da célula 32 sobre apreensão de maconha na Casa de Detenção.]. São Paulo, Brasil. 29 out. 1954. Fotografia digitalizada; preto e branco; suporte em papel fotográfico. Disponível em: &lt;link do dataverse&gt;. Acesso em: 28 out. 2025.</x:v>
      </x:c>
      <x:c r="T125" s="10" t="str">
        <x:v>ESTADO DE S. PAULO - PENITENCIARIAS E PRESIDIOS - CASA DE DETENÇÃO - AVENIDA TIRADENTES PRESIDIARIOS CASTIGADOS POR TRAFICO DE MACONHA O reporter conversou com os presos do cubiculo 32 da Casa de Detenção, sobre o caso dos cigarros com maconha encontrados com os presos. Dois deles assumem a responsabilidade da transgressão e inocentam seus sete companheiros de cela. D.N. 2a. Ed. 29/10/954 jl (Anotações manuscritas): Cela 32 : pg; Manchete Pr.; transfere I</x:v>
      </x:c>
      <x:c r="U125" s="10" t="str">
        <x:v>ICO</x:v>
      </x:c>
      <x:c r="V125" s="10" t="str">
        <x:v>FOT</x:v>
      </x:c>
      <x:c r="W125" s="10" t="str">
        <x:v>DGZ</x:v>
      </x:c>
      <x:c r="X125" s="10" t="str">
        <x:v>MT0</x:v>
      </x:c>
      <x:c r="Y125" s="10" t="str">
        <x:v>BR-SPAPESP_DASP-PENITPRE-CSDTCARANDIRU.xlsx</x:v>
      </x:c>
      <x:c r="Z125" s="10" t="str">
        <x:v>2776-012</x:v>
      </x:c>
      <x:c r="AA125" s="11" t="n">
        <x:v>5</x:v>
      </x:c>
      <x:c r="AB125" s="10" t="str">
        <x:v>BR-SPAPESP_DASP-PENITPRE-CSDTCARANDIRU.xlsx:2776-012:5</x:v>
      </x:c>
      <x:c r="AC125" s="11" t="n">
        <x:f>COLUMNS(A125:T125)-COUNTBLANK(A125:T125)</x:f>
        <x:v>20</x:v>
      </x:c>
    </x:row>
    <x:row r="126" ht="84" hidden="0" customHeight="1">
      <x:c r="A126" s="10" t="str">
        <x:v>005</x:v>
      </x:c>
      <x:c r="B126" s="10" t="str">
        <x:v>Reconstituição gráfica da fuga de nove detentos por túnel sob a muralha.</x:v>
      </x:c>
      <x:c r="C126" s="10" t="str">
        <x:v>Item</x:v>
      </x:c>
      <x:c r="D126" s="10" t="str">
        <x:v>1960-03-07 00:00:00</x:v>
      </x:c>
      <x:c r="E126" s="10" t="str">
        <x:v>Gerado pelo Dataverse</x:v>
      </x:c>
      <x:c r="F126" s="10" t="str">
        <x:v>Fotografia digitalizada; preto e branco; suporte em papel fotográfico</x:v>
      </x:c>
      <x:c r="G126" s="10" t="str">
        <x:v>São Paulo, Brasil</x:v>
      </x:c>
      <x:c r="H126" s="10" t="str">
        <x:v>Arquivo Público do Estado de São Paulo, Jornal Diários Associados</x:v>
      </x:c>
      <x:c r="I126" s="10" t="str">
        <x:v>Estado De São Paulo - Penitenciárias e Presídios - Casa de Detenção de São Paulo no Carandiru (Fotografias)</x:v>
      </x:c>
      <x:c r="J126" s="10" t="str">
        <x:v>Caixa: 2776 Folder: 012</x:v>
      </x:c>
      <x:c r="K126" s="10" t="str">
        <x:v>BR-SPAPESP_DASP-PENITPRE-CSDTCARANDIRU_ICO-FOT-DGZ-MT0_2776-012-005</x:v>
      </x:c>
      <x:c r="L126" s="10" t="str">
        <x: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pesquisa de Maíra Rocha Machado, Bianca Tavolari e Maira Rosín (2025)[1].</x:v>
      </x:c>
      <x:c r="M126" s="10" t="str">
        <x:v>A fotografia registra, em ângulo de baixo para cima, a imensa muralha de concreto da Casa de Detenção. No topo do muro, observa-se uma guarita de vigilância. Sobre a imagem, foram inseridas marcações técnicas: uma seta preta que desce da guarita em direção ao chão e um "X" branco no canto inferior direito, indicando o local de saída de um túnel de 12 metros cavado pelos detentos. A foto foi utilizada pela imprensa para demonstrar a suposta negligência dos guardas, que teriam visão privilegiada do ponto de evasão.</x:v>
      </x:c>
      <x:c r="N126"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26" s="10" t="str">
        <x:v>Casa de Detenção; Avenida Tiradentes; Muralha; Fuga; Túnel; Guarita; Reconstituição; Negligência policial; Nelson Veiga.</x:v>
      </x:c>
      <x:c r="P126" s="10" t="str">
        <x:v>Fotografia (Iconográfico)</x:v>
      </x:c>
      <x:c r="Q126" s="10" t="str">
        <x:v>Digitalização de fotografia em preto e branco (analógica original)</x:v>
      </x:c>
      <x:c r="R126" s="10" t="str">
        <x:v>Figura n – [Reconstituição gráfica da fuga de nove detentos por túnel sob a muralha.] Fonte: Arquivo Público do Estado de São Paulo, 1960.</x:v>
      </x:c>
      <x:c r="S126" s="10" t="str">
        <x:v>ARQUIVO PÚBLICO DO ESTADO DE SÃO PAULO (Brasil). [Reconstituição gráfica da fuga de nove detentos por túnel sob a muralha.]. São Paulo, Brasil. 07 mar. 1960. Fotografia digitalizada; preto e branco; suporte em papel fotográfico. Disponível em: &lt;link do dataverse&gt;. Acesso em: 28 out. 2025.</x:v>
      </x:c>
      <x:c r="T126" s="10" t="str">
        <x:v>ESTADO DE S. PAULO - PENITENCIARIAS E PRESIDIOS - CASA DE DETENÇÃO DA AVENIDA TIRADENTES ORDEM PARA MATAR NA CAÇA AOS NOVE BANDIDOS EM FUGA As autoridades policiais estão preparadas para dar caça aos malfeitores que conseguiram, de forma espetacular, construindo um tunel de aproximadamente 12 metros, fugir da Casa de Detenção, às primeiras horas da manhã de ontem. A ordem transmitida aos agentes encarregados da perseguição que está sendo movida aos celerados é taxativa: prisão a qualquer preço. Em se tratando de perigosos marginais, tudo indica que poderá correr sangue durante a caçada humana, pois alguns dos evadidos são elementos de extrema periculosidade que irão defender a liberdade obtida a golpes de tenacidade, com o emprego de resistência armada. Já ficou caracterizada a negligência de três milicianos, responsáveis pela guarda da muralha (foto), que tinham ampla visão do local de saída do tunel, não podendo passar despercebida uma cena como a que reconstituímos na foto, do momento em que cada detento deixava a passagem subterrânea. (Leia reportagem de Nelson Veiga, na última pagina) D.N. 2a. Ed. 7/3/1960 jl</x:v>
      </x:c>
      <x:c r="U126" s="10" t="str">
        <x:v>ICO</x:v>
      </x:c>
      <x:c r="V126" s="10" t="str">
        <x:v>FOT</x:v>
      </x:c>
      <x:c r="W126" s="10" t="str">
        <x:v>DGZ</x:v>
      </x:c>
      <x:c r="X126" s="10" t="str">
        <x:v>MT0</x:v>
      </x:c>
      <x:c r="Y126" s="10" t="str">
        <x:v>BR-SPAPESP_DASP-PENITPRE-CSDTCARANDIRU.xlsx</x:v>
      </x:c>
      <x:c r="Z126" s="10" t="str">
        <x:v>2776-012</x:v>
      </x:c>
      <x:c r="AA126" s="11" t="n">
        <x:v>6</x:v>
      </x:c>
      <x:c r="AB126" s="10" t="str">
        <x:v>BR-SPAPESP_DASP-PENITPRE-CSDTCARANDIRU.xlsx:2776-012:6</x:v>
      </x:c>
      <x:c r="AC126" s="11" t="n">
        <x:f>COLUMNS(A126:T126)-COUNTBLANK(A126:T126)</x:f>
        <x:v>20</x:v>
      </x:c>
    </x:row>
    <x:row r="127" ht="84" hidden="0" customHeight="1">
      <x:c r="A127" s="10" t="str">
        <x:v>006</x:v>
      </x:c>
      <x:c r="B127" s="10" t="str">
        <x:v>Vista aérea com marcação gráfica da etapa 5 da "fuga em cinco tempos".</x:v>
      </x:c>
      <x:c r="C127" s="10" t="str">
        <x:v>Item</x:v>
      </x:c>
      <x:c r="D127" s="10" t="str">
        <x:v>1960-03-08 00:00:00</x:v>
      </x:c>
      <x:c r="E127" s="10" t="str">
        <x:v>Gerado pelo Dataverse</x:v>
      </x:c>
      <x:c r="F127" s="10" t="str">
        <x:v>Fotografia digitalizada; preto e branco; suporte em papel fotográfico</x:v>
      </x:c>
      <x:c r="G127" s="10" t="str">
        <x:v>São Paulo, Brasil</x:v>
      </x:c>
      <x:c r="H127" s="10" t="str">
        <x:v>Arquivo Público do Estado de São Paulo, Jornal Diários Associados</x:v>
      </x:c>
      <x:c r="I127" s="10" t="str">
        <x:v>Estado De São Paulo - Penitenciárias e Presídios - Casa de Detenção de São Paulo no Carandiru (Fotografias)</x:v>
      </x:c>
      <x:c r="J127" s="10" t="str">
        <x:v>Caixa: 2776 Folder: 012</x:v>
      </x:c>
      <x:c r="K127" s="10" t="str">
        <x:v>BR-SPAPESP_DASP-PENITPRE-CSDTCARANDIRU_ICO-FOT-DGZ-MT0_2776-012-006</x:v>
      </x:c>
      <x:c r="L127" s="10" t="str">
        <x: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pesquisa de Maíra Rocha Machado, Bianca Tavolari e Maira Rosín (2025)[1].</x:v>
      </x:c>
      <x:c r="M127" s="10" t="str">
        <x:v>A fotografia, capturada de um ângulo elevado, apresenta uma vista panorâmica das imediações da Casa de Detenção de São Paulo na Avenida Tiradentes. Sobre a imagem, foi inserida uma linha pontilhada horizontal que atravessa o pátio interno e termina em um círculo com o número "5", indicando a quinta etapa da rota de fuga utilizada pelos detentos. Em primeiro plano, veem-se telhados e muros; à direita, uma via pública com carros da época e árvores.</x:v>
      </x:c>
      <x:c r="N127"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27" s="10" t="str">
        <x:v>Casa de Detenção; Avenida Tiradentes; Fuga; Reconstituição; Urbanismo; "Fuga em cinco tempos"; Logística de fuga.</x:v>
      </x:c>
      <x:c r="P127" s="10" t="str">
        <x:v>Fotografia (Iconográfico)</x:v>
      </x:c>
      <x:c r="Q127" s="10" t="str">
        <x:v>Digitalização de fotografia em preto e branco (analógica original)</x:v>
      </x:c>
      <x:c r="R127" s="10" t="str">
        <x:v>Figura n – [Vista aérea com marcação gráfica da etapa 5 da "fuga em cinco tempos".] Fonte: Arquivo Público do Estado de São Paulo, 1960.</x:v>
      </x:c>
      <x:c r="S127" s="10" t="str">
        <x:v>ARQUIVO PÚBLICO DO ESTADO DE SÃO PAULO (Brasil). [Vista aérea com marcação gráfica da etapa 5 da "fuga em cinco tempos".]. São Paulo, Brasil. 08 mar. 1960. Fotografia digitalizada; preto e branco; suporte em papel fotográfico. Disponível em: &lt;link do dataverse&gt;. Acesso em: 28 out. 2025.</x:v>
      </x:c>
      <x:c r="T127" s="10" t="str">
        <x:v>ESTADO DE PAULO= PENITENCIARIAS E PRESIDIOS - CASA DE DETENÇÃO DA AVENIDA TIRADENTES A FUGA EM CINCO TEMPOS D.N.2a.Ed.8/3/960 jl</x:v>
      </x:c>
      <x:c r="U127" s="10" t="str">
        <x:v>ICO</x:v>
      </x:c>
      <x:c r="V127" s="10" t="str">
        <x:v>FOT</x:v>
      </x:c>
      <x:c r="W127" s="10" t="str">
        <x:v>DGZ</x:v>
      </x:c>
      <x:c r="X127" s="10" t="str">
        <x:v>MT0</x:v>
      </x:c>
      <x:c r="Y127" s="10" t="str">
        <x:v>BR-SPAPESP_DASP-PENITPRE-CSDTCARANDIRU.xlsx</x:v>
      </x:c>
      <x:c r="Z127" s="10" t="str">
        <x:v>2776-012</x:v>
      </x:c>
      <x:c r="AA127" s="11" t="n">
        <x:v>7</x:v>
      </x:c>
      <x:c r="AB127" s="10" t="str">
        <x:v>BR-SPAPESP_DASP-PENITPRE-CSDTCARANDIRU.xlsx:2776-012:7</x:v>
      </x:c>
      <x:c r="AC127" s="11" t="n">
        <x:f>COLUMNS(A127:T127)-COUNTBLANK(A127:T127)</x:f>
        <x:v>20</x:v>
      </x:c>
    </x:row>
    <x:row r="128" ht="120" hidden="0" customHeight="1">
      <x:c r="A128" s="10" t="str">
        <x:v>007</x:v>
      </x:c>
      <x:c r="B128" s="10" t="str">
        <x:v>Reconstituição fotográfica aérea com marcação das etapas (1 a 4) da "fuga em cinco tempos"</x:v>
      </x:c>
      <x:c r="C128" s="10" t="str">
        <x:v>Item</x:v>
      </x:c>
      <x:c r="D128" s="10" t="str">
        <x:v>1960-03-08 00:00:00</x:v>
      </x:c>
      <x:c r="E128" s="10" t="str">
        <x:v>Gerado pelo Dataverse</x:v>
      </x:c>
      <x:c r="F128" s="10" t="str">
        <x:v>Fotografia digitalizada; preto e branco; suporte em papel fotográfico</x:v>
      </x:c>
      <x:c r="G128" s="10" t="str">
        <x:v>São Paulo, Brasil</x:v>
      </x:c>
      <x:c r="H128" s="10" t="str">
        <x:v>Arquivo Público do Estado de São Paulo, Jornal Diários Associados</x:v>
      </x:c>
      <x:c r="I128" s="10" t="str">
        <x:v>Estado De São Paulo - Penitenciárias e Presídios - Casa de Detenção de São Paulo no Carandiru (Fotografias)</x:v>
      </x:c>
      <x:c r="J128" s="10" t="str">
        <x:v>Caixa: 2776 Folder: 012</x:v>
      </x:c>
      <x:c r="K128" s="10" t="str">
        <x:v>BR-SPAPESP_DASP-PENITPRE-CSDTCARANDIRU_ICO-FOT-DGZ-MT0_2776-012-007</x:v>
      </x:c>
      <x:c r="L128" s="10" t="str">
        <x: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pesquisa de Maíra Rocha Machado, Bianca Tavolari e Maira Rosín (2025)[1].</x:v>
      </x:c>
      <x:c r="M128" s="10" t="str">
        <x:v>A fotografia panorâmica, registrada de um ponto elevado, apresenta o complexo da Casa de Detenção e as dependências vizinhas do Quartel da Força Pública. Sobre a imagem, uma linha tracejada conecta círculos numerados de 1 a 4, reconstituindo o trajeto de fuga de nove detentos: partindo do "Xadrez 17" no Primeiro Pavilhão (1), passando por um buraco sob a muralha (2), atravessando o pátio interno (3) e alcançando cercado ou porteira de madeira (4) antes do obstáculo final para a Rua Ribeiro de Lima. Ao fundo, observa-se a arquitetura de época dos edifícios prisionais e a malha urbana circundante com veículos e árvores.</x:v>
      </x:c>
      <x:c r="N128"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28" s="10" t="str">
        <x:v>Casa de Detenção; Avenida Tiradentes; Fuga; Reconstituição; Força Pública; Xadrez 17; Rua Ribeiro de Lima; Nelson Veiga; Walter Freitas.</x:v>
      </x:c>
      <x:c r="P128" s="10" t="str">
        <x:v>Fotografia (Iconográfico)</x:v>
      </x:c>
      <x:c r="Q128" s="10" t="str">
        <x:v>Digitalização de fotografia em preto e branco (analógica original)</x:v>
      </x:c>
      <x:c r="R128" s="10" t="str">
        <x:v>Figura n – [Reconstituição fotográfica aérea com marcação das etapas (1 a 4) da "fuga em cinco tempos"] Fonte: Arquivo Público do Estado de São Paulo, 1960.</x:v>
      </x:c>
      <x:c r="S128" s="10" t="str">
        <x:v>ARQUIVO PÚBLICO DO ESTADO DE SÃO PAULO (Brasil). [Reconstituição fotográfica aérea com marcação das etapas (1 a 4) da "fuga em cinco tempos"]. São Paulo, Brasil. 08 mar. 1960. Fotografia digitalizada; preto e branco; suporte em papel fotográfico. Disponível em: &lt;link do dataverse&gt;. Acesso em: 28 out. 2025.</x:v>
      </x:c>
      <x:c r="T128" s="10" t="str">
        <x:v>ESTADO DE S. PAULO — PENITENCIARIAS E PRESIDIOS — CASA DE DETENÇÃO DA AVENIDA TIRADENTES A FUGA EM CINCO TEMPOS A sensacional fuga levada a efeito por nove perigosos marginais que se encontravam recolhidos na Casa de Detenção à disposição da Justiça, continua na ordem do dia. Os fugitivos estão em liberdade e a policia está desorientada, sem uma pista para descobrir o paradeiro dos bandidos. Os pormenores sobre o plano de evasão ainda não estão devidamente esclarecidos, presumindo-se que tenha havido a conivencia de terceiros na elaboração dos principais detalhes da arrojada fuga. O reporter-fotografico Walter Freitas, na tarde de ontem, conseguiu reproduzir, em imagem, os principais lances da espetacular evasão, enumerando, em pormenores fotograficos, o percurso feito pelos nove marginais, desde o momento em que abandonaram o xadrez 17, onde teve inicio o tunel, que estão assim representados: 1) Local em que se localiza o xadrez 17 do Primeiro Pavilhão, de onde sairam os detentos, passando, no buraco, sob o corredor e a muralha da ala direita do presídio; 2) Os fugitivos, ganhando o outro lado do presidio, uma area pertencente ao antigo CIM da Força Publica, sairam do buraco à frente da muralha, onde os soldados ali postados deveriam, forçosamente, pressentir qualquer anormalidade; 3) O patio interno do Quartel da Força Publica foi a terceira etapa dos evasores, que passaram, novamente, por uma area limpa, de cuja murada se têm ampla visão; 4) Pulando uma porteira de madeira, ainda no interior de uma escada de madeira que estava jogada no lixo; 5) Levando a escada, os fugitivos a encostaram ao muro que representava o ultimo obstaculo para obter a liberdade definitiva. Um a um, saltaram o muro, de pouco mais de dois metros de altura, pulando para a rua Ribeiro de Lima. (Leia reportagem de Nelson Veiga, na ultima pagina). D.N.2a.Ed.8/3/960 jl</x:v>
      </x:c>
      <x:c r="U128" s="10" t="str">
        <x:v>ICO</x:v>
      </x:c>
      <x:c r="V128" s="10" t="str">
        <x:v>FOT</x:v>
      </x:c>
      <x:c r="W128" s="10" t="str">
        <x:v>DGZ</x:v>
      </x:c>
      <x:c r="X128" s="10" t="str">
        <x:v>MT0</x:v>
      </x:c>
      <x:c r="Y128" s="10" t="str">
        <x:v>BR-SPAPESP_DASP-PENITPRE-CSDTCARANDIRU.xlsx</x:v>
      </x:c>
      <x:c r="Z128" s="10" t="str">
        <x:v>2776-012</x:v>
      </x:c>
      <x:c r="AA128" s="11" t="n">
        <x:v>8</x:v>
      </x:c>
      <x:c r="AB128" s="10" t="str">
        <x:v>BR-SPAPESP_DASP-PENITPRE-CSDTCARANDIRU.xlsx:2776-012:8</x:v>
      </x:c>
      <x:c r="AC128" s="11" t="n">
        <x:f>COLUMNS(A128:T128)-COUNTBLANK(A128:T128)</x:f>
        <x:v>20</x:v>
      </x:c>
    </x:row>
    <x:row r="129" ht="84" hidden="0" customHeight="1">
      <x:c r="A129" s="10" t="str">
        <x:v>008</x:v>
      </x:c>
      <x:c r="B129" s="10" t="str">
        <x:v>Celebração de missa para detentos e visitantes na Casa de Detenção de São Paulo na Avenida Tiradentes.</x:v>
      </x:c>
      <x:c r="C129" s="10" t="str">
        <x:v>Item</x:v>
      </x:c>
      <x:c r="D129" s="10" t="str">
        <x:v>1964-03-13 00:00:00</x:v>
      </x:c>
      <x:c r="E129" s="10" t="str">
        <x:v>Gerado pelo Dataverse</x:v>
      </x:c>
      <x:c r="F129" s="10" t="str">
        <x:v>Fotografia digitalizada; preto e branco; suporte em papel fotográfico</x:v>
      </x:c>
      <x:c r="G129" s="10" t="str">
        <x:v>São Paulo, Brasil</x:v>
      </x:c>
      <x:c r="H129" s="10" t="str">
        <x:v>Arquivo Público do Estado de São Paulo, Jornal Diários Associados</x:v>
      </x:c>
      <x:c r="I129" s="10" t="str">
        <x:v>Estado De São Paulo - Penitenciárias e Presídios - Casa de Detenção de São Paulo no Carandiru (Fotografias)</x:v>
      </x:c>
      <x:c r="J129" s="10" t="str">
        <x:v>Caixa: 2776 Folder: 012</x:v>
      </x:c>
      <x:c r="K129" s="10" t="str">
        <x:v>BR-SPAPESP_DASP-PENITPRE-CSDTCARANDIRU_ICO-FOT-DGZ-MT0_2776-012-008</x:v>
      </x:c>
      <x:c r="L129" s="10" t="str">
        <x: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pesquisa de Maíra Rocha Machado, Bianca Tavolari e Maira Rosín (2025)[1].</x:v>
      </x:c>
      <x:c r="M129" s="10" t="str">
        <x:v>A fotografia registra a realização de uma missa católica no complexo prisional. Em primeiro plano, vê-se o celebrante de costas, trajando paramentos litúrgicos e segurando um cálice sobre o altar, onde repousa um missal aberto sobre uma almofada. À frente do altar, sentados, encontram-se duas mulheres (uma delas usando uma mantilha branca) e um homem em traje formal. Ao fundo, uma grande multidão de detentos acompanha a cerimônia em pé em um pátio interno, ladeado por edifícios do presídio e uma chaminé alta.</x:v>
      </x:c>
      <x:c r="N129"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29" s="10" t="str">
        <x:v>Digitalização de fotografia em preto e branco (analógica original)</x:v>
      </x:c>
      <x:c r="P129" s="10" t="str">
        <x:v>Fotografia (Iconográfico)</x:v>
      </x:c>
      <x:c r="Q129" s="10" t="str">
        <x:v>Digitalização de fotografia em preto e branco (analógica original)</x:v>
      </x:c>
      <x:c r="R129" s="10" t="str">
        <x:v>Figura n – [Celebração de missa para detentos e visitantes na Casa de Detenção de São Paulo na Avenida Tiradentes.] Fonte: Arquivo Público do Estado de São Paulo, 1964.</x:v>
      </x:c>
      <x:c r="S129" s="10" t="str">
        <x:v>ARQUIVO PÚBLICO DO ESTADO DE SÃO PAULO (Brasil). [Celebração de missa para detentos e visitantes na Casa de Detenção de São Paulo na Avenida Tiradentes.]. São Paulo, Brasil. 13 mar. 1964. Fotografia digitalizada; preto e branco; suporte em papel fotográfico. Disponível em: &lt;link do dataverse&gt;. Acesso em: 28 out. 2025.</x:v>
      </x:c>
      <x:c r="T129" s="10" t="str">
        <x:v>ESTADO DE S. Paulo- PENITENCIÁRIA E PRESÍDIOS - CASA DE DETENÇÃO DA AVE- NIDA TIRADENTES - Flagrante colhido na Casa de Detenção da Avenida Tiradentes, durante a realização de uma missa. Arq. 13/3/1964-cjs.</x:v>
      </x:c>
      <x:c r="U129" s="10" t="str">
        <x:v>ICO</x:v>
      </x:c>
      <x:c r="V129" s="10" t="str">
        <x:v>FOT</x:v>
      </x:c>
      <x:c r="W129" s="10" t="str">
        <x:v>DGZ</x:v>
      </x:c>
      <x:c r="X129" s="10" t="str">
        <x:v>MT0</x:v>
      </x:c>
      <x:c r="Y129" s="10" t="str">
        <x:v>BR-SPAPESP_DASP-PENITPRE-CSDTCARANDIRU.xlsx</x:v>
      </x:c>
      <x:c r="Z129" s="10" t="str">
        <x:v>2776-012</x:v>
      </x:c>
      <x:c r="AA129" s="11" t="n">
        <x:v>9</x:v>
      </x:c>
      <x:c r="AB129" s="10" t="str">
        <x:v>BR-SPAPESP_DASP-PENITPRE-CSDTCARANDIRU.xlsx:2776-012:9</x:v>
      </x:c>
      <x:c r="AC129" s="11" t="n">
        <x:f>COLUMNS(A129:T129)-COUNTBLANK(A129:T129)</x:f>
        <x:v>20</x:v>
      </x:c>
    </x:row>
    <x:row r="130" ht="84" hidden="0" customHeight="1">
      <x:c r="A130" s="10" t="str">
        <x:v>009</x:v>
      </x:c>
      <x:c r="B130" s="10" t="str">
        <x:v>Detentos testemunhas do assassinato do detento-cozinheiro Mario Gagliardi na Casa de Detenção.</x:v>
      </x:c>
      <x:c r="C130" s="10" t="str">
        <x:v>Item</x:v>
      </x:c>
      <x:c r="D130" s="10" t="str">
        <x:v>1955-02-05 00:00:00</x:v>
      </x:c>
      <x:c r="E130" s="10" t="str">
        <x:v>Gerado pelo Dataverse</x:v>
      </x:c>
      <x:c r="F130" s="10" t="str">
        <x:v>Fotografia digitalizada; preto e branco; suporte em papel fotográfico</x:v>
      </x:c>
      <x:c r="G130" s="10" t="str">
        <x:v>São Paulo, Brasil</x:v>
      </x:c>
      <x:c r="H130" s="10" t="str">
        <x:v>Arquivo Público do Estado de São Paulo, Jornal Diários Associados</x:v>
      </x:c>
      <x:c r="I130" s="10" t="str">
        <x:v>Estado De São Paulo - Penitenciárias e Presídios - Casa de Detenção de São Paulo no Carandiru (Fotografias)</x:v>
      </x:c>
      <x:c r="J130" s="10" t="str">
        <x:v>Caixa: 2776 Folder: 012</x:v>
      </x:c>
      <x:c r="K130" s="10" t="str">
        <x:v>BR-SPAPESP_DASP-PENITPRE-CSDTCARANDIRU_ICO-FOT-DGZ-MT0_2776-012-009</x:v>
      </x:c>
      <x:c r="L130" s="10" t="str">
        <x: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pesquisa de Maíra Rocha Machado, Bianca Tavolari e Maira Rosín (2025)[1].</x:v>
      </x:c>
      <x:c r="M130" s="10" t="str">
        <x:v>A fotografia registra um grupo de seis detentos perfilados em um ambiente interno, possivelmente a cozinha ou refeitório, dada a parede de azulejos claros ao fundo. Os homens vestem uniformes prisionais e quatro deles portam braçadeiras escuras, possivelmente em sinal de luto pelo colega assassinado. O segundo homem da esquerda para a direita destaca-se por usar um avental branco sobre a vestimenta. Todos apresentam semblantes graves e cabeças baixas, capturando o momento após o crime cometido por um detento.</x:v>
      </x:c>
      <x:c r="N130"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30" s="10" t="str">
        <x:v>Casa de Detenção; Avenida Tiradentes; Homicídio; Mario Gagliardi; China-Show; Cozinheiro; Testemunhas; Luto; Detentos.</x:v>
      </x:c>
      <x:c r="P130" s="10" t="str">
        <x:v>Fotografia (Iconográfico)</x:v>
      </x:c>
      <x:c r="Q130" s="10" t="str">
        <x:v>Digitalização de fotografia em preto e branco (analógica original)</x:v>
      </x:c>
      <x:c r="R130" s="10" t="str">
        <x:v>Figura n – [Detentos testemunhas do assassinato do detento-cozinheiro Mario Gagliardi na Casa de Detenção.] Fonte: Arquivo Público do Estado de São Paulo, 1955.</x:v>
      </x:c>
      <x:c r="S130" s="10" t="str">
        <x:v>ARQUIVO PÚBLICO DO ESTADO DE SÃO PAULO (Brasil). [Detentos testemunhas do assassinato do detento-cozinheiro Mario Gagliardi na Casa de Detenção.]. São Paulo, Brasil. 05 fev. 1955. Fotografia digitalizada; preto e branco; suporte em papel fotográfico. Disponível em: &lt;link do dataverse&gt;. Acesso em: 28 out. 2025.</x:v>
      </x:c>
      <x:c r="T130" s="10" t="str">
        <x:v>ESTADO DE S. PAULO PENITENCIARIAS E PRESIDIOS-CASA DE DETENÇÃO -AVENIDA TIRADENTES ALGUNS DOS DETENTOS QUE PRESENCIARAM O CRIME DE MORTE OCORRIDO NA TARDE DE 5/2/55, NA CASA DE DETENÇÃO, QUANDO JORGE FLORIANO, VULGO "CHINA-SHOW" ASSASSINOU COM UMA FACADA O DETENTO MARIO GAGLIARDI, QUE ALI EXERCIA AS FUNÇÕES DE COZINHEIRO. DN. 1A. ED. 7/2/1955 FM</x:v>
      </x:c>
      <x:c r="U130" s="10" t="str">
        <x:v>ICO</x:v>
      </x:c>
      <x:c r="V130" s="10" t="str">
        <x:v>FOT</x:v>
      </x:c>
      <x:c r="W130" s="10" t="str">
        <x:v>DGZ</x:v>
      </x:c>
      <x:c r="X130" s="10" t="str">
        <x:v>MT0</x:v>
      </x:c>
      <x:c r="Y130" s="10" t="str">
        <x:v>BR-SPAPESP_DASP-PENITPRE-CSDTCARANDIRU.xlsx</x:v>
      </x:c>
      <x:c r="Z130" s="10" t="str">
        <x:v>2776-012</x:v>
      </x:c>
      <x:c r="AA130" s="11" t="n">
        <x:v>10</x:v>
      </x:c>
      <x:c r="AB130" s="10" t="str">
        <x:v>BR-SPAPESP_DASP-PENITPRE-CSDTCARANDIRU.xlsx:2776-012:10</x:v>
      </x:c>
      <x:c r="AC130" s="11" t="n">
        <x:f>COLUMNS(A130:T130)-COUNTBLANK(A130:T130)</x:f>
        <x:v>20</x:v>
      </x:c>
    </x:row>
    <x:row r="131" ht="84" hidden="0" customHeight="1">
      <x:c r="A131" s="10" t="str">
        <x:v>010</x:v>
      </x:c>
      <x:c r="B131" s="10" t="str">
        <x:v>Desfile da Escola de Educação Física e Instrução Pré-Militar na Casa de Detenção de São Paulo na Avenida Tiradentes.</x:v>
      </x:c>
      <x:c r="C131" s="10" t="str">
        <x:v>Item</x:v>
      </x:c>
      <x:c r="D131" s="10" t="str">
        <x:v>1944-08-01 00:00:00</x:v>
      </x:c>
      <x:c r="E131" s="10" t="str">
        <x:v>Gerado pelo Dataverse</x:v>
      </x:c>
      <x:c r="F131" s="10" t="str">
        <x:v>Fotografia digitalizada; preto e branco; suporte em papel fotográfico</x:v>
      </x:c>
      <x:c r="G131" s="10" t="str">
        <x:v>São Paulo, Brasil</x:v>
      </x:c>
      <x:c r="H131" s="10" t="str">
        <x:v>Arquivo Público do Estado de São Paulo, Jornal Diários Associados</x:v>
      </x:c>
      <x:c r="I131" s="10" t="str">
        <x:v>Estado De São Paulo - Penitenciárias e Presídios - Casa de Detenção de São Paulo no Carandiru (Fotografias)</x:v>
      </x:c>
      <x:c r="J131" s="10" t="str">
        <x:v>Caixa: 2776 Folder: 012</x:v>
      </x:c>
      <x:c r="K131" s="10" t="str">
        <x:v>BR-SPAPESP_DASP-PENITPRE-CSDTCARANDIRU_ICO-FOT-DGZ-MT0_2776-012-010</x:v>
      </x:c>
      <x:c r="L131" s="10" t="str">
        <x: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pesquisa de Maíra Rocha Machado, Bianca Tavolari e Maira Rosín (2025)[1].</x:v>
      </x:c>
      <x:c r="M131" s="10" t="str">
        <x:v>A fotografia registra um desfile formal realizado em um pátio interno da Casa de Detenção. Dezenas de homens marcham em formação militar vestindo uniformes brancos, calças escuras, cintos e quepes. À frente da coluna, um homem carrega a bandeira nacional. À esquerda, autoridades civis e militares observam a cerimônia de um palanque elevado de madeira. Ao fundo, observam-se muros e edifícios com telhados cerâmicos característicos do complexo prisional.</x:v>
      </x:c>
      <x:c r="N131"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31" s="10" t="str">
        <x:v>Casa de Detenção; Avenida Tiradentes; Desfile; Escola de Educação Física; Instrução Pré-Militar; Uniformes; Autoridades; Bandeira; Cerimônia; 1944.</x:v>
      </x:c>
      <x:c r="P131" s="10" t="str">
        <x:v>Fotografia (Iconográfico)</x:v>
      </x:c>
      <x:c r="Q131" s="10" t="str">
        <x:v>Digitalização de fotografia em preto e branco (analógica original)</x:v>
      </x:c>
      <x:c r="R131" s="10" t="str">
        <x:v>Figura n – [Desfile da Escola de Educação Física e Instrução Pré-Militar na Casa de Detenção de São Paulo na Avenida Tiradentes.] Fonte: Arquivo Público do Estado de São Paulo, 1944.</x:v>
      </x:c>
      <x:c r="S131" s="10" t="str">
        <x:v>ARQUIVO PÚBLICO DO ESTADO DE SÃO PAULO (Brasil). [Desfile da Escola de Educação Física e Instrução Pré-Militar na Casa de Detenção de São Paulo na Avenida Tiradentes.]. São Paulo, Brasil. 01 ago. 1944. Fotografia digitalizada; preto e branco; suporte em papel fotográfico. Disponível em: &lt;link do dataverse&gt;. Acesso em: 28 out. 2025.</x:v>
      </x:c>
      <x:c r="T131" s="10" t="str">
        <x:v>ESTADO DE S. PAULO — PENITENCIARIAS E PRESIDIOS-CASA DE DETENÇÃO DA AVENIDA TIRADENTES Desfile da Escola de Educação Fisica e Instrução Pre Militar na Casa de Detenção. — agosto, 1944. —</x:v>
      </x:c>
      <x:c r="U131" s="10" t="str">
        <x:v>ICO</x:v>
      </x:c>
      <x:c r="V131" s="10" t="str">
        <x:v>FOT</x:v>
      </x:c>
      <x:c r="W131" s="10" t="str">
        <x:v>DGZ</x:v>
      </x:c>
      <x:c r="X131" s="10" t="str">
        <x:v>MT0</x:v>
      </x:c>
      <x:c r="Y131" s="10" t="str">
        <x:v>BR-SPAPESP_DASP-PENITPRE-CSDTCARANDIRU.xlsx</x:v>
      </x:c>
      <x:c r="Z131" s="10" t="str">
        <x:v>2776-012</x:v>
      </x:c>
      <x:c r="AA131" s="11" t="n">
        <x:v>11</x:v>
      </x:c>
      <x:c r="AB131" s="10" t="str">
        <x:v>BR-SPAPESP_DASP-PENITPRE-CSDTCARANDIRU.xlsx:2776-012:11</x:v>
      </x:c>
      <x:c r="AC131" s="11" t="n">
        <x:f>COLUMNS(A131:T131)-COUNTBLANK(A131:T131)</x:f>
        <x:v>20</x:v>
      </x:c>
    </x:row>
    <x:row r="132" ht="84" hidden="0" customHeight="1">
      <x:c r="A132" s="10" t="str">
        <x:v>011</x:v>
      </x:c>
      <x:c r="B132" s="10" t="str">
        <x:v>Detentas suspeitas aguardando interrogatório com polígrafo após morte de Maria da Silveira.</x:v>
      </x:c>
      <x:c r="C132" s="10" t="str">
        <x:v>Item</x:v>
      </x:c>
      <x:c r="D132" s="10" t="str">
        <x:v>1963-05-08 00:00:00</x:v>
      </x:c>
      <x:c r="E132" s="10" t="str">
        <x:v>Gerado pelo Dataverse</x:v>
      </x:c>
      <x:c r="F132" s="10" t="str">
        <x:v>Fotografia digitalizada; preto e branco; suporte em papel fotográfico</x:v>
      </x:c>
      <x:c r="G132" s="10" t="str">
        <x:v>São Paulo, Brasil</x:v>
      </x:c>
      <x:c r="H132" s="10" t="str">
        <x:v>Arquivo Público do Estado de São Paulo, Jornal Diários Associados</x:v>
      </x:c>
      <x:c r="I132" s="10" t="str">
        <x:v>Estado De São Paulo - Penitenciárias e Presídios - Casa de Detenção de São Paulo no Carandiru (Fotografias)</x:v>
      </x:c>
      <x:c r="J132" s="10" t="str">
        <x:v>Caixa: 2776 Folder: 012</x:v>
      </x:c>
      <x:c r="K132" s="10" t="str">
        <x:v>BR-SPAPESP_DASP-PENITPRE-CSDTCARANDIRU_ICO-FOT-DGZ-MT0_2776-012-011</x:v>
      </x:c>
      <x:c r="L132" s="10" t="str">
        <x: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pesquisa de Maíra Rocha Machado, Bianca Tavolari e Maira Rosín (2025)[1].</x:v>
      </x:c>
      <x:c r="M132" s="10" t="str">
        <x:v>A fotografia em plano médio registra duas mulheres sentadas lado a lado em um sofá de encosto sinuoso. A mulher à esquerda, de perfil, mantém os braços cruzados e olha fixamente para o lado; ela veste uma saia plissada e um cardigã escuro sobre uma camisa clara. A mulher à direita está sentada de frente, com o rosto apoiado na mão esquerda e olhar pensativo voltado para a direção oposta. Na parede, acima do sofá, observa-se um pequeno ornamento bordado. A imagem documenta o momento em que detentas suspeitas da morte de Maria da Silveira aguardavam para serem submetidas ao teste de polígrafo na Delegacia de Homicídios.</x:v>
      </x:c>
      <x:c r="N132"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32" s="10" t="str">
        <x:v>Casa de Detenção; Avenida Tiradentes; Homicídio; Maria da Silveira; Polígrafo; Detentas; Investigação Criminal; 1963.</x:v>
      </x:c>
      <x:c r="P132" s="10" t="str">
        <x:v>Fotografia (Iconográfico)</x:v>
      </x:c>
      <x:c r="Q132" s="10" t="str">
        <x:v>Digitalização de fotografia em preto e branco (analógica original)</x:v>
      </x:c>
      <x:c r="R132" s="10" t="str">
        <x:v>Figura n – [Detentas suspeitas aguardando interrogatório com polígrafo após morte de Maria da Silveira.] Fonte: Arquivo Público do Estado de São Paulo, 1963.</x:v>
      </x:c>
      <x:c r="S132" s="10" t="str">
        <x:v>ARQUIVO PÚBLICO DO ESTADO DE SÃO PAULO (Brasil). [Detentas suspeitas aguardando interrogatório com polígrafo após morte de Maria da Silveira.]. São Paulo, Brasil. 08 mai. 1963. Fotografia digitalizada; preto e branco; suporte em papel fotográfico. Disponível em: &lt;link do dataverse&gt;. Acesso em: 28 out. 2025.</x:v>
      </x:c>
      <x:c r="T132" s="10" t="str">
        <x:v>ESTADO DE S. PAULO — PENITENCIARIAS E PRESIDIOS — CASA DE DETENÇÃO DA AVENIDA TIRADENTES (Anotação manuscrita): Detentas aguardando - p/ serem testadas no Detentor de Mentiras AVENTA-SE A HIPOTESE DE SUICIDIO NA VIOLENTA MORTE DE DETENTA Duas detentas suspeitas na morte de Maria da Silveira, quando aguardavam a vez de serem testadas pelo "Detector de Mentiras". DN, Ia. Ed. 8/5/1963 W/ (Recorte de jornal colado): Para uma parte da Polícia, não resta mais qualquer dúvida, após uma série de investigações, de que a morte da detenta Maria da Silveira (ou Claidmira Maria da Silva), de 35 anos, solteira, que se achava cumprindo pena de 1 ano na Casa de Detenção da avenida Tiradentes, não passou de suicídio puro e simples. Para as autoridades da Delegacia de Vigilância e Capturas, o caso ainda não está totalmente resolvido, razão por que pretendem, obviamente, levar o inquérito até o fim, investigando o ângulo de homicídio, o que fez com que três das oito detentas suspeitas de haver cometido o crime comparecessem ontem à tarde perante a autoridade do Polígrafo da Delegacia de Homicídios. São elas: Maria Pinatti, Maria Benedita dos Santos e Malvina Santana de Magalhães, que passaram pelo chamado "Detentor de Mentiras".</x:v>
      </x:c>
      <x:c r="U132" s="10" t="str">
        <x:v>ICO</x:v>
      </x:c>
      <x:c r="V132" s="10" t="str">
        <x:v>FOT</x:v>
      </x:c>
      <x:c r="W132" s="10" t="str">
        <x:v>DGZ</x:v>
      </x:c>
      <x:c r="X132" s="10" t="str">
        <x:v>MT0</x:v>
      </x:c>
      <x:c r="Y132" s="10" t="str">
        <x:v>BR-SPAPESP_DASP-PENITPRE-CSDTCARANDIRU.xlsx</x:v>
      </x:c>
      <x:c r="Z132" s="10" t="str">
        <x:v>2776-012</x:v>
      </x:c>
      <x:c r="AA132" s="11" t="n">
        <x:v>12</x:v>
      </x:c>
      <x:c r="AB132" s="10" t="str">
        <x:v>BR-SPAPESP_DASP-PENITPRE-CSDTCARANDIRU.xlsx:2776-012:12</x:v>
      </x:c>
      <x:c r="AC132" s="11" t="n">
        <x:f>COLUMNS(A132:T132)-COUNTBLANK(A132:T132)</x:f>
        <x:v>20</x:v>
      </x:c>
    </x:row>
    <x:row r="133" ht="84" hidden="0" customHeight="1">
      <x:c r="A133" s="10" t="str">
        <x:v>012</x:v>
      </x:c>
      <x:c r="B133" s="10" t="str">
        <x:v>Primeiros cinco detentos beneficiados por indulto presidencial em liberdade na Casa de Detenção.</x:v>
      </x:c>
      <x:c r="C133" s="10" t="str">
        <x:v>Item</x:v>
      </x:c>
      <x:c r="D133" s="10" t="str">
        <x:v>1962-01-10 00:00:00</x:v>
      </x:c>
      <x:c r="E133" s="10" t="str">
        <x:v>Gerado pelo Dataverse</x:v>
      </x:c>
      <x:c r="F133" s="10" t="str">
        <x:v>Fotografia digitalizada; preto e branco; suporte em papel fotográfico</x:v>
      </x:c>
      <x:c r="G133" s="10" t="str">
        <x:v>São Paulo, Brasil</x:v>
      </x:c>
      <x:c r="H133" s="10" t="str">
        <x:v>Arquivo Público do Estado de São Paulo, Jornal Diários Associados</x:v>
      </x:c>
      <x:c r="I133" s="10" t="str">
        <x:v>Estado De São Paulo - Penitenciárias e Presídios - Casa de Detenção de São Paulo no Carandiru (Fotografias)</x:v>
      </x:c>
      <x:c r="J133" s="10" t="str">
        <x:v>Caixa: 2776 Folder: 012</x:v>
      </x:c>
      <x:c r="K133" s="10" t="str">
        <x:v>BR-SPAPESP_DASP-PENITPRE-CSDTCARANDIRU_ICO-FOT-DGZ-MT0_2776-012-012</x:v>
      </x:c>
      <x:c r="L133" s="10" t="str">
        <x: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pesquisa de Maíra Rocha Machado, Bianca Tavolari e Maira Rosín (2025)[1].</x:v>
      </x:c>
      <x:c r="M133" s="10" t="str">
        <x:v>A fotografia registra, em plano médio e vistos de costas, o grupo de cinco detentos caminhando em uma área externa pavimentada após serem colocados em liberdade. À esquerda, uma mulher de vestido claro acena com a mão levantada; ao centro, um homem carrega uma mala e um paletó sobre o ombro; à direita, outro homem transporta um grande rolo de corda. O registro documenta a soltura de presos primários contemplados pelo decreto nº 51.378 de 1961.</x:v>
      </x:c>
      <x:c r="N133"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33" s="10" t="str">
        <x:v>Casa de Detenção; Avenida Tiradentes; Indulto; Liberdade; Decreto nº 51.378; Presos primários; Soltura; 1962.</x:v>
      </x:c>
      <x:c r="P133" s="10" t="str">
        <x:v>Fotografia (Iconográfico)</x:v>
      </x:c>
      <x:c r="Q133" s="10" t="str">
        <x:v>Digitalização de fotografia em preto e branco (analógica original)</x:v>
      </x:c>
      <x:c r="R133" s="10" t="str">
        <x:v>Figura n – [Primeiros cinco detentos beneficiados por indulto presidencial em liberdade na Casa de Detenção.] Fonte: Arquivo Público do Estado de São Paulo, 1962.</x:v>
      </x:c>
      <x:c r="S133" s="10" t="str">
        <x:v>ARQUIVO PÚBLICO DO ESTADO DE SÃO PAULO (Brasil). [Primeiros cinco detentos beneficiados por indulto presidencial em liberdade na Casa de Detenção.]. São Paulo, Brasil. 10 jan. 1962. Fotografia digitalizada; preto e branco; suporte em papel fotográfico. Disponível em: &lt;link do dataverse&gt;. Acesso em: 28 out. 2025.</x:v>
      </x:c>
      <x:c r="T133" s="10" t="str">
        <x:v>ESTADO DE SÃO PAULO - PENITENCIARIAS E PRESIDIOS - CASA DE DETENÇÃO DA AVENIDA TIRADENTES OS CINCO PRIMEIROS PRESOS BENEFICIADOS PELO INDULTO. Na foto, flagrante colhido quando eram colocados em liberdade de cinco presidiários da Casa de Detenção de São Paulo que foram indultados pelo presidente da República através o decreto nº 51.378, que absolveu todos os criminosos primários que se portaram convenientemente durante o tempo que estiveram presos. DN., 1ª Ed., 10/1/1962 acf</x:v>
      </x:c>
      <x:c r="U133" s="10" t="str">
        <x:v>ICO</x:v>
      </x:c>
      <x:c r="V133" s="10" t="str">
        <x:v>FOT</x:v>
      </x:c>
      <x:c r="W133" s="10" t="str">
        <x:v>DGZ</x:v>
      </x:c>
      <x:c r="X133" s="10" t="str">
        <x:v>MT0</x:v>
      </x:c>
      <x:c r="Y133" s="10" t="str">
        <x:v>BR-SPAPESP_DASP-PENITPRE-CSDTCARANDIRU.xlsx</x:v>
      </x:c>
      <x:c r="Z133" s="10" t="str">
        <x:v>2776-012</x:v>
      </x:c>
      <x:c r="AA133" s="11" t="n">
        <x:v>13</x:v>
      </x:c>
      <x:c r="AB133" s="10" t="str">
        <x:v>BR-SPAPESP_DASP-PENITPRE-CSDTCARANDIRU.xlsx:2776-012:13</x:v>
      </x:c>
      <x:c r="AC133" s="11" t="n">
        <x:f>COLUMNS(A133:T133)-COUNTBLANK(A133:T133)</x:f>
        <x:v>20</x:v>
      </x:c>
    </x:row>
    <x:row r="134" ht="84" hidden="0" customHeight="1">
      <x:c r="A134" s="10" t="str">
        <x:v>013</x:v>
      </x:c>
      <x:c r="B134" s="10" t="str">
        <x:v>Soldados armados realizando busca no telhado da Casa de Detenção após alarme de fuga.</x:v>
      </x:c>
      <x:c r="C134" s="10" t="str">
        <x:v>Item</x:v>
      </x:c>
      <x:c r="D134" s="10" t="str">
        <x:v>1960-10-18 00:00:00</x:v>
      </x:c>
      <x:c r="E134" s="10" t="str">
        <x:v>Gerado pelo Dataverse</x:v>
      </x:c>
      <x:c r="F134" s="10" t="str">
        <x:v>Fotografia digitalizada; preto e branco; suporte em papel fotográfico</x:v>
      </x:c>
      <x:c r="G134" s="10" t="str">
        <x:v>São Paulo, Brasil</x:v>
      </x:c>
      <x:c r="H134" s="10" t="str">
        <x:v>Arquivo Público do Estado de São Paulo, Jornal Diários Associados</x:v>
      </x:c>
      <x:c r="I134" s="10" t="str">
        <x:v>Estado De São Paulo - Penitenciárias e Presídios - Casa de Detenção de São Paulo no Carandiru (Fotografias)</x:v>
      </x:c>
      <x:c r="J134" s="10" t="str">
        <x:v>Caixa: 2776 Folder: 012</x:v>
      </x:c>
      <x:c r="K134" s="10" t="str">
        <x:v>BR-SPAPESP_DASP-PENITPRE-CSDTCARANDIRU_ICO-FOT-DGZ-MT0_2776-012-013</x:v>
      </x:c>
      <x:c r="L134" s="10" t="str">
        <x: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pesquisa de Maíra Rocha Machado, Bianca Tavolari e Maira Rosín (2025)[1].</x:v>
      </x:c>
      <x:c r="M134" s="10" t="str">
        <x:v>A fotografia registra, em ângulo de baixo para cima (contra-mergulho), uma operação de busca noturna no topo de um dos edifícios do complexo prisional. No parapeito do telhado, veem-se dois soldados da Força Pública; o mais próximo está em pé, usando capacete e portando uma arma longa, enquanto observa o pátio abaixo. No canto superior direito, galhos e folhas de uma árvore invadem o enquadramento. A imagem ilustra a mobilização policial causada por um falso alarme de fuga.</x:v>
      </x:c>
      <x:c r="N134"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34" s="10" t="str">
        <x:v>Casa de Detenção; Avenida Tiradentes; Força Pública; Busca; Telhado; Soldados; Alarme falso; Vigilância; 1960.</x:v>
      </x:c>
      <x:c r="P134" s="10" t="str">
        <x:v>Fotografia (Iconográfico)</x:v>
      </x:c>
      <x:c r="Q134" s="10" t="str">
        <x:v>Digitalização de fotografia em preto e branco (analógica original)</x:v>
      </x:c>
      <x:c r="R134" s="10" t="str">
        <x:v>Figura n – [Soldados armados realizando busca no telhado da Casa de Detenção após alarme de fuga.] Fonte: Arquivo Público do Estado de São Paulo, 1960.</x:v>
      </x:c>
      <x:c r="S134" s="10" t="str">
        <x:v>ARQUIVO PÚBLICO DO ESTADO DE SÃO PAULO (Brasil). [Soldados armados realizando busca no telhado da Casa de Detenção após alarme de fuga.]. São Paulo, Brasil. 18 out. 1960. Fotografia digitalizada; preto e branco; suporte em papel fotográfico. Disponível em: &lt;link do dataverse&gt;. Acesso em: 28 out. 2025.</x:v>
      </x:c>
      <x:c r="T134" s="10" t="str">
        <x:v>ESTADO DE SÃO PAULO-PENITENCIARIAS E PRESIDIOS - CASAS DE DETENÇÃO PANICO NA CASA DE DETENÇÃO: SOLDADO VIU PRESO NO TELHADO Soldados armados dão busca no telhado na Casa de Detenção, quando na noite de ontem, um soldado disse ter visto um preso no teto cujo alarme dado por esta sintinela, movimentou, funcionarios civis, oficiais e dezenas de militares da Força Publica. Nada porem foi constatado, pois pela contagem dos presos, verificou-se que nenhum havia fugido. D.N. 2a. Ed. 18/10/960 jl</x:v>
      </x:c>
      <x:c r="U134" s="10" t="str">
        <x:v>ICO</x:v>
      </x:c>
      <x:c r="V134" s="10" t="str">
        <x:v>FOT</x:v>
      </x:c>
      <x:c r="W134" s="10" t="str">
        <x:v>DGZ</x:v>
      </x:c>
      <x:c r="X134" s="10" t="str">
        <x:v>MT0</x:v>
      </x:c>
      <x:c r="Y134" s="10" t="str">
        <x:v>BR-SPAPESP_DASP-PENITPRE-CSDTCARANDIRU.xlsx</x:v>
      </x:c>
      <x:c r="Z134" s="10" t="str">
        <x:v>2776-012</x:v>
      </x:c>
      <x:c r="AA134" s="11" t="n">
        <x:v>14</x:v>
      </x:c>
      <x:c r="AB134" s="10" t="str">
        <x:v>BR-SPAPESP_DASP-PENITPRE-CSDTCARANDIRU.xlsx:2776-012:14</x:v>
      </x:c>
      <x:c r="AC134" s="11" t="n">
        <x:f>COLUMNS(A134:T134)-COUNTBLANK(A134:T134)</x:f>
        <x:v>20</x:v>
      </x:c>
    </x:row>
    <x:row r="135" ht="84" hidden="0" customHeight="1">
      <x:c r="A135" s="10" t="str">
        <x:v>014</x:v>
      </x:c>
      <x:c r="B135" s="10" t="str">
        <x:v>Reconstituição da fuga de nove detentos através de túnel na cela 14 da Casa de Detenção.</x:v>
      </x:c>
      <x:c r="C135" s="10" t="str">
        <x:v>Item</x:v>
      </x:c>
      <x:c r="D135" s="10" t="str">
        <x:v>1954-06-03 00:00:00</x:v>
      </x:c>
      <x:c r="E135" s="10" t="str">
        <x:v>Gerado pelo Dataverse</x:v>
      </x:c>
      <x:c r="F135" s="10" t="str">
        <x:v>Fotografia digitalizada; preto e branco; suporte em papel fotográfico</x:v>
      </x:c>
      <x:c r="G135" s="10" t="str">
        <x:v>São Paulo, Brasil</x:v>
      </x:c>
      <x:c r="H135" s="10" t="str">
        <x:v>Arquivo Público do Estado de São Paulo, Jornal Diários Associados</x:v>
      </x:c>
      <x:c r="I135" s="10" t="str">
        <x:v>Estado De São Paulo - Penitenciárias e Presídios - Casa de Detenção de São Paulo no Carandiru (Fotografias)</x:v>
      </x:c>
      <x:c r="J135" s="10" t="str">
        <x:v>Caixa: 2776 Folder: 012</x:v>
      </x:c>
      <x:c r="K135" s="10" t="str">
        <x:v>BR-SPAPESP_DASP-PENITPRE-CSDTCARANDIRU_ICO-FOT-DGZ-MT0_2776-012-014</x:v>
      </x:c>
      <x:c r="L135" s="10" t="str">
        <x: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pesquisa de Maíra Rocha Machado, Bianca Tavolari e Maira Rosín (2025)[1].</x:v>
      </x:c>
      <x:c r="M135" s="10" t="str">
        <x:v>A fotografia registra a reconstituição da fuga de nove detentos ocorrida na madrugada do mesmo dia. Na cena, um operário de uma obra vizinha simula a saída de um detento por um buraco (galeria) aberto no piso e na parede de alvenaria da cela 14. O homem, vestindo uma regata branca, está em posição de rastejamento, saindo do túnel que dava acesso aos fundos do presídio. Um círculo branco foi desenhado sobre a imagem para destacar a ação do figurante. À esquerda, vê-se parte da perna de outra pessoa que observa a cena.</x:v>
      </x:c>
      <x:c r="N135"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35" s="10" t="str">
        <x:v>Casa de Detenção; Avenida Tiradentes; Fuga; Reconstituição; Cela 14; Túnel; Galeria; 1954.</x:v>
      </x:c>
      <x:c r="P135" s="10" t="str">
        <x:v>Fotografia (Iconográfico)</x:v>
      </x:c>
      <x:c r="Q135" s="10" t="str">
        <x:v>Digitalização de fotografia em sépia (analógica original)</x:v>
      </x:c>
      <x:c r="R135" s="10" t="str">
        <x:v>Figura n – [Reconstituição da fuga de nove detentos através de túnel na cela 14 da Casa de Detenção.] Fonte: Arquivo Público do Estado de São Paulo, 1954.</x:v>
      </x:c>
      <x:c r="S135" s="10" t="str">
        <x:v>ARQUIVO PÚBLICO DO ESTADO DE SÃO PAULO (Brasil). [Reconstituição da fuga de nove detentos através de túnel na cela 14 da Casa de Detenção.]. São Paulo, Brasil. 03 jun. 1954. Fotografia digitalizada; preto e branco; suporte em papel fotográfico. Disponível em: &lt;link do dataverse&gt;. Acesso em: 28 out. 2025.</x:v>
      </x:c>
      <x:c r="T135" s="10" t="str">
        <x:v>ESTADO DE SÃO PAULO - PENITENCIARIAS E PRESIDIOS - CASA DE DETENÇÃO DA AVENIDA TIRADENTES PREMEDITA HA LONGO TEMPO A FUGA DE HOJE NA DETENÇÃO Flagrante tomado quando um operario de uma obra vizinha a Casa de Detenção, se prestava a reconstituição da fuga de nove detentos, por uma galeria aberta no interior da cela 14, que dava para os fundos do presidio, a fuga deu-se a 3-6-54. H D.N. 2a. Ed. 3-6-54. HL. (Anotações manuscritas): Ponto da fuga; Alvenaria; mat: Manchete últ. pg. (fuga do detento)</x:v>
      </x:c>
      <x:c r="U135" s="10" t="str">
        <x:v>ICO</x:v>
      </x:c>
      <x:c r="V135" s="10" t="str">
        <x:v>FOT</x:v>
      </x:c>
      <x:c r="W135" s="10" t="str">
        <x:v>DGZ</x:v>
      </x:c>
      <x:c r="X135" s="10" t="str">
        <x:v>MT0</x:v>
      </x:c>
      <x:c r="Y135" s="10" t="str">
        <x:v>BR-SPAPESP_DASP-PENITPRE-CSDTCARANDIRU.xlsx</x:v>
      </x:c>
      <x:c r="Z135" s="10" t="str">
        <x:v>2776-012</x:v>
      </x:c>
      <x:c r="AA135" s="11" t="n">
        <x:v>15</x:v>
      </x:c>
      <x:c r="AB135" s="10" t="str">
        <x:v>BR-SPAPESP_DASP-PENITPRE-CSDTCARANDIRU.xlsx:2776-012:15</x:v>
      </x:c>
      <x:c r="AC135" s="11" t="n">
        <x:f>COLUMNS(A135:T135)-COUNTBLANK(A135:T135)</x:f>
        <x:v>20</x:v>
      </x:c>
    </x:row>
    <x:row r="136" ht="84" hidden="0" customHeight="1">
      <x:c r="A136" s="10" t="str">
        <x:v>015</x:v>
      </x:c>
      <x:c r="B136" s="10" t="str">
        <x:v>Cerimônia de formatura e homenagem de detentos concludentes do curso de alfabetização.</x:v>
      </x:c>
      <x:c r="C136" s="10" t="str">
        <x:v>Item</x:v>
      </x:c>
      <x:c r="D136" s="10" t="str">
        <x:v>1952-01-12 00:00:00</x:v>
      </x:c>
      <x:c r="E136" s="10" t="str">
        <x:v>Gerado pelo Dataverse</x:v>
      </x:c>
      <x:c r="F136" s="10" t="str">
        <x:v>Fotografia digitalizada; preto e branco; suporte em papel fotográfico</x:v>
      </x:c>
      <x:c r="G136" s="10" t="str">
        <x:v>São Paulo, Brasil</x:v>
      </x:c>
      <x:c r="H136" s="10" t="str">
        <x:v>Arquivo Público do Estado de São Paulo, Jornal Diários Associados</x:v>
      </x:c>
      <x:c r="I136" s="10" t="str">
        <x:v>Estado De São Paulo - Penitenciárias e Presídios - Casa de Detenção de São Paulo no Carandiru (Fotografias)</x:v>
      </x:c>
      <x:c r="J136" s="10" t="str">
        <x:v>Caixa: 2776 Folder: 012</x:v>
      </x:c>
      <x:c r="K136" s="10" t="str">
        <x:v>BR-SPAPESP_DASP-PENITPRE-CSDTCARANDIRU_ICO-FOT-DGZ-MT0_2776-012-015</x:v>
      </x:c>
      <x:c r="L136" s="10" t="str">
        <x: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pesquisa de Maíra Rocha Machado, Bianca Tavolari e Maira Rosín (2025)[1].</x:v>
      </x:c>
      <x:c r="M136" s="10" t="str">
        <x:v>A fotografia registra uma solenidade oficial realizada em um pátio interno pavimentado. Em formação organizada, dezenas de detentos estão perfilados em colunas, vestindo uniformes claros (túnicas e calças) e gorros do tipo bibico. À direita, em primeiro plano, dois oficiais da Força Pública em uniformes de gala prestam continência voltados para os detentos. Ao fundo, à direita, uma banda de música militar com instrumentos de sopro é vista atravessando um portão gradeado. O evento marca a conclusão do curso de alfabetização e a retribuição dos reclusos às autoridades.</x:v>
      </x:c>
      <x:c r="N136"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36" s="10" t="str">
        <x:v>Casa de Detenção; Avenida Tiradentes; Alfabetização; Educação prisional; Formatura; Homenagem; Detentos; Força Pública; Banda de música; 1952.</x:v>
      </x:c>
      <x:c r="P136" s="10" t="str">
        <x:v>Fotografia (Iconográfico)</x:v>
      </x:c>
      <x:c r="Q136" s="10" t="str">
        <x:v>Digitalização de fotografia em sépia (analógica original)</x:v>
      </x:c>
      <x:c r="R136" s="10" t="str">
        <x:v>Figura n – [Cerimônia de formatura e homenagem de detentos concludentes do curso de alfabetização.] Fonte: Arquivo Público do Estado de São Paulo, 1952.</x:v>
      </x:c>
      <x:c r="S136" s="10" t="str">
        <x:v>ARQUIVO PÚBLICO DO ESTADO DE SÃO PAULO (Brasil). [Cerimônia de formatura e homenagem de detentos concludentes do curso de alfabetização.]. São Paulo, Brasil. 12 jan. 1952. Fotografia digitalizada; preto e branco; suporte em papel fotográfico. Disponível em: &lt;link do dataverse&gt;. Acesso em: 28 out. 2025.</x:v>
      </x:c>
      <x:c r="T136" s="10" t="str">
        <x:v>ESTADO DE S. PAULO-PENITENCIARIAS E PRESIDIOS-CASA DE DETENÇÃO DA AV.TIRADENTES ALFABETIZAÇÃO NA DETENÇÃO. - NA FOTO, VARIOS DETENTOS QUE TERMINARAM O CURSO DE ALFABETIZAÇÃO PRESTAM HOMENAGEM ÀS AUTORIDADES EM RETRIBUIÇÃO. - DN. UNC. 12/1/52 - cjr (Carimbos: 12 JAN. 1952; DIARIOS ASSOCIADOS; Fato; Detenção)</x:v>
      </x:c>
      <x:c r="U136" s="10" t="str">
        <x:v>ICO</x:v>
      </x:c>
      <x:c r="V136" s="10" t="str">
        <x:v>FOT</x:v>
      </x:c>
      <x:c r="W136" s="10" t="str">
        <x:v>DGZ</x:v>
      </x:c>
      <x:c r="X136" s="10" t="str">
        <x:v>MT0</x:v>
      </x:c>
      <x:c r="Y136" s="10" t="str">
        <x:v>BR-SPAPESP_DASP-PENITPRE-CSDTCARANDIRU.xlsx</x:v>
      </x:c>
      <x:c r="Z136" s="10" t="str">
        <x:v>2776-012</x:v>
      </x:c>
      <x:c r="AA136" s="11" t="n">
        <x:v>16</x:v>
      </x:c>
      <x:c r="AB136" s="10" t="str">
        <x:v>BR-SPAPESP_DASP-PENITPRE-CSDTCARANDIRU.xlsx:2776-012:16</x:v>
      </x:c>
      <x:c r="AC136" s="11" t="n">
        <x:f>COLUMNS(A136:T136)-COUNTBLANK(A136:T136)</x:f>
        <x:v>20</x:v>
      </x:c>
    </x:row>
    <x:row r="137" ht="84" hidden="0" customHeight="1">
      <x:c r="A137" s="10" t="str">
        <x:v>016</x:v>
      </x:c>
      <x:c r="B137" s="10" t="str">
        <x:v>Retrato em perfil de detento da Casa de Detenção em reportagem sobre a crise no sistema prisional.</x:v>
      </x:c>
      <x:c r="C137" s="10" t="str">
        <x:v>Item</x:v>
      </x:c>
      <x:c r="D137" s="10" t="str">
        <x:v>1959-03-12 00:00:00</x:v>
      </x:c>
      <x:c r="E137" s="10" t="str">
        <x:v>Gerado pelo Dataverse</x:v>
      </x:c>
      <x:c r="F137" s="10" t="str">
        <x:v>Fotografia digitalizada; preto e branco; suporte em papel fotográfico</x:v>
      </x:c>
      <x:c r="G137" s="10" t="str">
        <x:v>São Paulo, Brasil</x:v>
      </x:c>
      <x:c r="H137" s="10" t="str">
        <x:v>Arquivo Público do Estado de São Paulo, Jornal Diários Associados</x:v>
      </x:c>
      <x:c r="I137" s="10" t="str">
        <x:v>Estado De São Paulo - Penitenciárias e Presídios - Casa de Detenção de São Paulo no Carandiru (Fotografias)</x:v>
      </x:c>
      <x:c r="J137" s="10" t="str">
        <x:v>Caixa: 2776 Folder: 012</x:v>
      </x:c>
      <x:c r="K137" s="10" t="str">
        <x:v>BR-SPAPESP_DASP-PENITPRE-CSDTCARANDIRU_ICO-FOT-DGZ-MT0_2776-012-016</x:v>
      </x:c>
      <x:c r="L137" s="10" t="str">
        <x: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pesquisa de Maíra Rocha Machado, Bianca Tavolari e Maira Rosín (2025)[1].</x:v>
      </x:c>
      <x:c r="M137" s="10" t="str">
        <x:v>A fotografia, recortada fisicamente seguindo a silhueta da cabeça e ombros, apresenta o perfil esquerdo de um homem jovem, identificado como detento. Ele possui cabelos curtos e veste um paletó com dois botões aparentes no punho da manga; sua expressão é séria e reflexiva, com o olhar direcionado para o horizonte. A imagem ilustra uma matéria jornalística que questiona o destino social dos encarcerados diante de uma ameaça de motim ("estouro") no presídio da Avenida Tiradentes.</x:v>
      </x:c>
      <x:c r="N137"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37" s="10" t="str">
        <x:v>Casa de Detenção; Avenida Tiradentes; Detento; Retrato; Perfil; Crise prisional; Sistema penitenciário; 1959.</x:v>
      </x:c>
      <x:c r="P137" s="10" t="str">
        <x:v>Fotografia (Iconográfico)</x:v>
      </x:c>
      <x:c r="Q137" s="10" t="str">
        <x:v>Digitalização de fotografia em preto e branco (analógica original)</x:v>
      </x:c>
      <x:c r="R137" s="10" t="str">
        <x:v>Figura n – [Retrato em perfil de detento da Casa de Detenção em reportagem sobre a crise no sistema prisional.] Fonte: Arquivo Público do Estado de São Paulo, 1959.</x:v>
      </x:c>
      <x:c r="S137" s="10" t="str">
        <x:v>ARQUIVO PÚBLICO DO ESTADO DE SÃO PAULO (Brasil). [Retrato em perfil de detento da Casa de Detenção em reportagem sobre a crise no sistema prisional.]. São Paulo, Brasil. 12 mar. 1959. Fotografia digitalizada; preto e branco; suporte em papel fotográfico. Disponível em: &lt;link do dataverse&gt;. Acesso em: 28 out. 2025.</x:v>
      </x:c>
      <x:c r="T137" s="10" t="str">
        <x:v>ESTADO DE SÃO PAULO — PENITENCIARIAS E PRESIDIOS — CASA DE DETENÇÃO DA AVENIDA TIRADENTES CASADE DETENÇÃO AMEAÇA "ESTOURAR" DESTINO? — Existirá futuro para este homem? Durante longos anos ele vive como verdadeiro paria numa cadeia. Qual será o seu amanhã? DN 2a ed. — 12/3/1959 d r (Anotação manuscrita): policia</x:v>
      </x:c>
      <x:c r="U137" s="10" t="str">
        <x:v>ICO</x:v>
      </x:c>
      <x:c r="V137" s="10" t="str">
        <x:v>FOT</x:v>
      </x:c>
      <x:c r="W137" s="10" t="str">
        <x:v>DGZ</x:v>
      </x:c>
      <x:c r="X137" s="10" t="str">
        <x:v>MT0</x:v>
      </x:c>
      <x:c r="Y137" s="10" t="str">
        <x:v>BR-SPAPESP_DASP-PENITPRE-CSDTCARANDIRU.xlsx</x:v>
      </x:c>
      <x:c r="Z137" s="10" t="str">
        <x:v>2776-012</x:v>
      </x:c>
      <x:c r="AA137" s="11" t="n">
        <x:v>17</x:v>
      </x:c>
      <x:c r="AB137" s="10" t="str">
        <x:v>BR-SPAPESP_DASP-PENITPRE-CSDTCARANDIRU.xlsx:2776-012:17</x:v>
      </x:c>
      <x:c r="AC137" s="11" t="n">
        <x:f>COLUMNS(A137:T137)-COUNTBLANK(A137:T137)</x:f>
        <x:v>20</x:v>
      </x:c>
    </x:row>
    <x:row r="138" ht="84" hidden="0" customHeight="1">
      <x:c r="A138" s="10" t="str">
        <x:v>017</x:v>
      </x:c>
      <x:c r="B138" s="10" t="str">
        <x:v>Detentos exibindo álbum de recortes sobre movimento de anistia após indulto para réus primários.</x:v>
      </x:c>
      <x:c r="C138" s="10" t="str">
        <x:v>Item</x:v>
      </x:c>
      <x:c r="D138" s="10" t="str">
        <x:v>1948-10-29 00:00:00</x:v>
      </x:c>
      <x:c r="E138" s="10" t="str">
        <x:v>Gerado pelo Dataverse</x:v>
      </x:c>
      <x:c r="F138" s="10" t="str">
        <x:v>Fotografia digitalizada; preto e branco; suporte em papel fotográfico</x:v>
      </x:c>
      <x:c r="G138" s="10" t="str">
        <x:v>São Paulo, Brasil</x:v>
      </x:c>
      <x:c r="H138" s="10" t="str">
        <x:v>Arquivo Público do Estado de São Paulo, Jornal Diários Associados</x:v>
      </x:c>
      <x:c r="I138" s="10" t="str">
        <x:v>Estado De São Paulo - Penitenciárias e Presídios - Casa de Detenção de São Paulo no Carandiru (Fotografias)</x:v>
      </x:c>
      <x:c r="J138" s="10" t="str">
        <x:v>Caixa: 2776 Folder: 012</x:v>
      </x:c>
      <x:c r="K138" s="10" t="str">
        <x:v>BR-SPAPESP_DASP-PENITPRE-CSDTCARANDIRU_ICO-FOT-DGZ-MT0_2776-012-017</x:v>
      </x:c>
      <x:c r="L138" s="10" t="str">
        <x: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pesquisa de Maíra Rocha Machado, Bianca Tavolari e Maira Rosín (2025)[1].</x:v>
      </x:c>
      <x:c r="M138" s="10" t="str">
        <x:v>A fotografia registra um grupo de detentos e um homem em traje formal (terno e gravata) em um ambiente interno. No centro, o homem de terno segura aberto um grande álbum repleto de recortes de jornal, que é observado atentamente por cinco detentos à esquerda e um à direita. À extrema direita, outro detento segura uma pilha de jornais, enquanto um detento à esquerda carrega uma caneca de metal. A cena documenta o "júbilo" e a organização dos presos em torno do movimento de anistia e a celebração pelo indulto concedido a réus primários com penas de 1 a 3 anos.</x:v>
      </x:c>
      <x:c r="N138"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38" s="10" t="str">
        <x:v>Casa de Detenção; Avenida Tiradentes; Indulto; Anistia; Recortes de jornal; Detentos; Movimento social; 1948.</x:v>
      </x:c>
      <x:c r="P138" s="10" t="str">
        <x:v>Fotografia (Iconográfico)</x:v>
      </x:c>
      <x:c r="Q138" s="10" t="str">
        <x:v>Digitalização de fotografia em preto e branco (analógica original)</x:v>
      </x:c>
      <x:c r="R138" s="10" t="str">
        <x:v>Figura n – [Detentos exibindo álbum de recortes sobre movimento de anistia após indulto para réus primários.] Fonte: Arquivo Público do Estado de São Paulo, 1948.</x:v>
      </x:c>
      <x:c r="S138" s="10" t="str">
        <x:v>ARQUIVO PÚBLICO DO ESTADO DE SÃO PAULO (Brasil). [Detentos exibindo álbum de recortes sobre movimento de anistia após indulto para réus primários.]. São Paulo, Brasil. 29 out. 1948. Fotografia digitalizada; preto e branco; suporte em papel fotográfico. Disponível em: &lt;link do dataverse&gt;. Acesso em: 28 out. 2025.</x:v>
      </x:c>
      <x:c r="T138" s="10" t="str">
        <x:v>"JUBILO NA CASA DE DETENÇÃO PELO INDULTO AOS CRIMINOSOS PRIMARIOS DE 1 A 3 ANOS" S. PAULO — PENITENCIARIAS E PRESIDIOS — CASA DE DETENÇÃO DA AV. TIRADENTES CONDENADOS RECOLHIDOS NA CASA DE DETENÇÃO, EXIBINDO O ALBUM DE RECORTES SOBRE O MOVIMENTO DE ANISTIA POR ELES EFETUADO. D S P. — 29/10/1948</x:v>
      </x:c>
      <x:c r="U138" s="10" t="str">
        <x:v>ICO</x:v>
      </x:c>
      <x:c r="V138" s="10" t="str">
        <x:v>FOT</x:v>
      </x:c>
      <x:c r="W138" s="10" t="str">
        <x:v>DGZ</x:v>
      </x:c>
      <x:c r="X138" s="10" t="str">
        <x:v>MT0</x:v>
      </x:c>
      <x:c r="Y138" s="10" t="str">
        <x:v>BR-SPAPESP_DASP-PENITPRE-CSDTCARANDIRU.xlsx</x:v>
      </x:c>
      <x:c r="Z138" s="10" t="str">
        <x:v>2776-012</x:v>
      </x:c>
      <x:c r="AA138" s="11" t="n">
        <x:v>18</x:v>
      </x:c>
      <x:c r="AB138" s="10" t="str">
        <x:v>BR-SPAPESP_DASP-PENITPRE-CSDTCARANDIRU.xlsx:2776-012:18</x:v>
      </x:c>
      <x:c r="AC138" s="11" t="n">
        <x:f>COLUMNS(A138:T138)-COUNTBLANK(A138:T138)</x:f>
        <x:v>20</x:v>
      </x:c>
    </x:row>
    <x:row r="139" ht="84" hidden="0" customHeight="1">
      <x:c r="A139" s="10" t="str">
        <x:v>018</x:v>
      </x:c>
      <x:c r="B139" s="10" t="str">
        <x:v>Vasilhames utilizados na escavação de túnel para fuga de detentos na Casa de Detenção.</x:v>
      </x:c>
      <x:c r="C139" s="10" t="str">
        <x:v>Item</x:v>
      </x:c>
      <x:c r="D139" s="10" t="str">
        <x:v>1954-06-03 00:00:00</x:v>
      </x:c>
      <x:c r="E139" s="10" t="str">
        <x:v>Gerado pelo Dataverse</x:v>
      </x:c>
      <x:c r="F139" s="10" t="str">
        <x:v>Fotografia digitalizada; preto e branco; suporte em papel fotográfico</x:v>
      </x:c>
      <x:c r="G139" s="10" t="str">
        <x:v>São Paulo, Brasil</x:v>
      </x:c>
      <x:c r="H139" s="10" t="str">
        <x:v>Arquivo Público do Estado de São Paulo, Jornal Diários Associados</x:v>
      </x:c>
      <x:c r="I139" s="10" t="str">
        <x:v>Estado De São Paulo - Penitenciárias e Presídios - Casa de Detenção de São Paulo no Carandiru (Fotografias)</x:v>
      </x:c>
      <x:c r="J139" s="10" t="str">
        <x:v>Caixa: 2776 Folder: 012</x:v>
      </x:c>
      <x:c r="K139" s="10" t="str">
        <x:v>BR-SPAPESP_DASP-PENITPRE-CSDTCARANDIRU_ICO-FOT-DGZ-MT0_2776-012-018</x:v>
      </x:c>
      <x:c r="L139" s="10" t="str">
        <x: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pesquisa de Maíra Rocha Machado, Bianca Tavolari e Maira Rosín (2025)[1].</x:v>
      </x:c>
      <x:c r="M139" s="10" t="str">
        <x:v>A fotografia registra, em plano detalhe, objetos improvisados encontrados após uma fuga ocorrida na madrugada do mesmo dia. Sobre o chão de terra batida, junto a tijolos e entulho, veem-se vasilhames de metal (como canecas ou marmitas) amassados e sujos. Segundo o verso, esses utensílios foram as ferramentas empregadas pelos fugitivos para escavar o buraco por onde se evadiram do presídio.</x:v>
      </x:c>
      <x:c r="N139"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39" s="10" t="str">
        <x:v>Casa de Detenção; Avenida Tiradentes; Fuga; Túnel; Escavação; Vasilhames; Utensílios improvisados; 1954.</x:v>
      </x:c>
      <x:c r="P139" s="10" t="str">
        <x:v>Fotografia (Iconográfico)</x:v>
      </x:c>
      <x:c r="Q139" s="10" t="str">
        <x:v>Digitalização de fotografia em preto e branco (analógica original)</x:v>
      </x:c>
      <x:c r="R139" s="10" t="str">
        <x:v>Figura n – [Vasilhames utilizados na escavação de túnel para fuga de detentos na Casa de Detenção.] Fonte: Arquivo Público do Estado de São Paulo, 1954.</x:v>
      </x:c>
      <x:c r="S139" s="10" t="str">
        <x:v>ARQUIVO PÚBLICO DO ESTADO DE SÃO PAULO (Brasil). [Vasilhames utilizados na escavação de túnel para fuga de detentos na Casa de Detenção.]. São Paulo, Brasil. 03 jun. 1954. Fotografia digitalizada; preto e branco; suporte em papel fotográfico. Disponível em: &lt;link do dataverse&gt;. Acesso em: 28 out. 2025.</x:v>
      </x:c>
      <x:c r="T139" s="10" t="str">
        <x:v>ESTADO DE S. PAULO - PENITENCIARIAS E PRESIDIOS-CASA DE DETENÇÃO DA AVENIDA TIRADENTES PENITENCIARIAS E PRESIDIOS - CASA DA DETENÇÃO Durante a madrugada de 3/6/954, presos de uma das celas do presidio da Casa de Detenção conseguiram evadir-se. Na foto vemos os vasilhames empregados pelos fugitivos para escavar o buraco por onde empreenderam a fuga. DN, Ia.Ed. 3/6/954 WSS</x:v>
      </x:c>
      <x:c r="U139" s="10" t="str">
        <x:v>ICO</x:v>
      </x:c>
      <x:c r="V139" s="10" t="str">
        <x:v>FOT</x:v>
      </x:c>
      <x:c r="W139" s="10" t="str">
        <x:v>DGZ</x:v>
      </x:c>
      <x:c r="X139" s="10" t="str">
        <x:v>MT0</x:v>
      </x:c>
      <x:c r="Y139" s="10" t="str">
        <x:v>BR-SPAPESP_DASP-PENITPRE-CSDTCARANDIRU.xlsx</x:v>
      </x:c>
      <x:c r="Z139" s="10" t="str">
        <x:v>2776-012</x:v>
      </x:c>
      <x:c r="AA139" s="11" t="n">
        <x:v>19</x:v>
      </x:c>
      <x:c r="AB139" s="10" t="str">
        <x:v>BR-SPAPESP_DASP-PENITPRE-CSDTCARANDIRU.xlsx:2776-012:19</x:v>
      </x:c>
      <x:c r="AC139" s="11" t="n">
        <x:f>COLUMNS(A139:T139)-COUNTBLANK(A139:T139)</x:f>
        <x:v>20</x:v>
      </x:c>
    </x:row>
    <x:row r="140" ht="84" hidden="0" customHeight="1">
      <x:c r="A140" s="10" t="str">
        <x:v>019</x:v>
      </x:c>
      <x:c r="B140" s="10" t="str">
        <x:v>Reunião entre comissão de detentos e diretor administrativo para organização da festa de Natal.</x:v>
      </x:c>
      <x:c r="C140" s="10" t="str">
        <x:v>Item</x:v>
      </x:c>
      <x:c r="D140" s="10" t="str">
        <x:v>1954-12-06 00:00:00</x:v>
      </x:c>
      <x:c r="E140" s="10" t="str">
        <x:v>Gerado pelo Dataverse</x:v>
      </x:c>
      <x:c r="F140" s="10" t="str">
        <x:v>Fotografia digitalizada; preto e branco; suporte em papel fotográfico</x:v>
      </x:c>
      <x:c r="G140" s="10" t="str">
        <x:v>São Paulo, Brasil</x:v>
      </x:c>
      <x:c r="H140" s="10" t="str">
        <x:v>Arquivo Público do Estado de São Paulo, Jornal Diários Associados</x:v>
      </x:c>
      <x:c r="I140" s="10" t="str">
        <x:v>Estado De São Paulo - Penitenciárias e Presídios - Casa de Detenção de São Paulo no Carandiru (Fotografias)</x:v>
      </x:c>
      <x:c r="J140" s="10" t="str">
        <x:v>Caixa: 2776 Folder: 012</x:v>
      </x:c>
      <x:c r="K140" s="10" t="str">
        <x:v>BR-SPAPESP_DASP-PENITPRE-CSDTCARANDIRU_ICO-FOT-DGZ-MT0_2776-012-019</x:v>
      </x:c>
      <x:c r="L140" s="10" t="str">
        <x: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pesquisa de Maíra Rocha Machado, Bianca Tavolari e Maira Rosín (2025)[1].</x:v>
      </x:c>
      <x:c r="M140" s="10" t="str">
        <x:v>A fotografia registra uma reunião oficial em um gabinete administrativo do presídio. Em primeiro plano, à direita, um homem (identificado como diretor) está sentado à sua mesa de trabalho com entalhes ornamentais, escrevendo em um documento. Ao seu redor, cinco homens acompanham o ato: dois à esquerda vestem túnicas claras com a sigla "AD" no bolso; no centro, dois homens em trajes civis observam a cena, sendo que um deles usa óculos escuros; e um quinto homem está posicionado à direita, ao fundo, próximo a uma cortina clara. O registro documenta a cooperação entre a administração e os presos para as festividades de fim de ano.</x:v>
      </x:c>
      <x:c r="N140"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40" s="10" t="str">
        <x:v>Casa de Detenção; Avenida Tiradentes; Natal; Comissão de presos; Diretor administrativo; Administração prisional; Sigla AD; Festividades; 1954.</x:v>
      </x:c>
      <x:c r="P140" s="10" t="str">
        <x:v>Fotografia (Iconográfico)</x:v>
      </x:c>
      <x:c r="Q140" s="10" t="str">
        <x:v>Digitalização de fotografia em sépia (analógica original)</x:v>
      </x:c>
      <x:c r="R140" s="10" t="str">
        <x:v>Figura n – [Reunião entre comissão de detentos e diretor administrativo para organização da festa de Natal.] Fonte: Arquivo Público do Estado de São Paulo, 1954.</x:v>
      </x:c>
      <x:c r="S140" s="10" t="str">
        <x:v>ARQUIVO PÚBLICO DO ESTADO DE SÃO PAULO (Brasil). [Reunião entre comissão de detentos e diretor administrativo para organização da festa de Natal.]. São Paulo, Brasil. 06 dez. 1954. Fotografia digitalizada; preto e branco; suporte em papel fotográfico. Disponível em: &lt;link do dataverse&gt;. Acesso em: 28 out. 2025.</x:v>
      </x:c>
      <x:c r="T140" s="10" t="str">
        <x:v>ESTADO DE S. PAULO — PENITENCIARIAS E PRESIDIOS — CASA DE DETENÇÃO — AV. TIRADENTES NATAL FELIZ PARA OS PRESOS NA DETENÇÃO Entre os presos da Casa de Detenção foi organizada uma comissão que trabalha em conjunto com o diretor administrativo, para o exito da realização da festa de Natal dos presos. D.N. 2a. Ed. 6/12/954 j1 (Anotações manuscritas): mat:; Natal feliz</x:v>
      </x:c>
      <x:c r="U140" s="10" t="str">
        <x:v>ICO</x:v>
      </x:c>
      <x:c r="V140" s="10" t="str">
        <x:v>FOT</x:v>
      </x:c>
      <x:c r="W140" s="10" t="str">
        <x:v>DGZ</x:v>
      </x:c>
      <x:c r="X140" s="10" t="str">
        <x:v>MT0</x:v>
      </x:c>
      <x:c r="Y140" s="10" t="str">
        <x:v>BR-SPAPESP_DASP-PENITPRE-CSDTCARANDIRU.xlsx</x:v>
      </x:c>
      <x:c r="Z140" s="10" t="str">
        <x:v>2776-012</x:v>
      </x:c>
      <x:c r="AA140" s="11" t="n">
        <x:v>20</x:v>
      </x:c>
      <x:c r="AB140" s="10" t="str">
        <x:v>BR-SPAPESP_DASP-PENITPRE-CSDTCARANDIRU.xlsx:2776-012:20</x:v>
      </x:c>
      <x:c r="AC140" s="11" t="n">
        <x:f>COLUMNS(A140:T140)-COUNTBLANK(A140:T140)</x:f>
        <x:v>20</x:v>
      </x:c>
    </x:row>
    <x:row r="141" ht="84" hidden="0" customHeight="1">
      <x:c r="A141" s="10" t="str">
        <x:v>020</x:v>
      </x:c>
      <x:c r="B141" s="10" t="str">
        <x:v>Detentos realizando a pintura da fachada da Casa de Detenção sob vigilância policial.</x:v>
      </x:c>
      <x:c r="C141" s="10" t="str">
        <x:v>Item</x:v>
      </x:c>
      <x:c r="D141" s="10" t="str">
        <x:v>1957-12-16 00:00:00</x:v>
      </x:c>
      <x:c r="E141" s="10" t="str">
        <x:v>Gerado pelo Dataverse</x:v>
      </x:c>
      <x:c r="F141" s="10" t="str">
        <x:v>Fotografia digitalizada; preto e branco; suporte em papel fotográfico</x:v>
      </x:c>
      <x:c r="G141" s="10" t="str">
        <x:v>São Paulo, Brasil</x:v>
      </x:c>
      <x:c r="H141" s="10" t="str">
        <x:v>Arquivo Público do Estado de São Paulo, Jornal Diários Associados</x:v>
      </x:c>
      <x:c r="I141" s="10" t="str">
        <x:v>Estado De São Paulo - Penitenciárias e Presídios - Casa de Detenção de São Paulo no Carandiru (Fotografias)</x:v>
      </x:c>
      <x:c r="J141" s="10" t="str">
        <x:v>Caixa: 2776 Folder: 012</x:v>
      </x:c>
      <x:c r="K141" s="10" t="str">
        <x:v>BR-SPAPESP_DASP-PENITPRE-CSDTCARANDIRU_ICO-FOT-DGZ-MT0_2776-012-020</x:v>
      </x:c>
      <x:c r="L141" s="10" t="str">
        <x: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pesquisa de Maíra Rocha Machado, Bianca Tavolari e Maira Rosín (2025)[1].</x:v>
      </x:c>
      <x:c r="M141" s="10" t="str">
        <x:v>A fotografia registra o trabalho de manutenção da fachada externa do edifício da Casa de Detenção, na Avenida Tiradentes, destacando o número do endereço (nº. 441) e um número talhado no no grande portão de ferro, que parece ser 1851. Um detento está posicionado no topo de uma escada de madeira extremamente longa, realizando a pintura da parte superior da alvenaria, acima das colunas e do portão em arco. Na base, dois homens seguram a escada para garantir estabilidade. No canto inferior direito, um guarda da Força Pública, trajando uniforme completo com capacete e cassetete, observa a cena voltado para a câmera. À esquerda, pedestres caminham pela calçada em frente ao complexo. O título no verso, "Verde e branco por fora e negro por dentro", sugere um contraste crítico entre a aparência renovada e a realidade interna do presídio.</x:v>
      </x:c>
      <x:c r="N141"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41" s="10" t="str">
        <x:v>Casa de Detenção; Avenida Tiradentes; Pintura; Manutenção; Fachada; Detentos; Vigilância; Força Pública; Trabalho prisional; 1957.</x:v>
      </x:c>
      <x:c r="P141" s="10" t="str">
        <x:v>Fotografia (Iconográfico)</x:v>
      </x:c>
      <x:c r="Q141" s="10" t="str">
        <x:v>Digitalização de fotografia em preto e branco (analógica original)</x:v>
      </x:c>
      <x:c r="R141" s="10" t="str">
        <x:v>Figura n – [Detentos realizando a pintura da fachada da Casa de Detenção sob vigilância policial.] Fonte: Arquivo Público do Estado de São Paulo, 1957.</x:v>
      </x:c>
      <x:c r="S141" s="10" t="str">
        <x:v>ARQUIVO PÚBLICO DO ESTADO DE SÃO PAULO (Brasil). [Detentos realizando a pintura da fachada da Casa de Detenção sob vigilância policial.]. São Paulo, Brasil. 16 dez. 1957. Fotografia digitalizada; preto e branco; suporte em papel fotográfico. Disponível em: &lt;link do dataverse&gt;. Acesso em: 28 out. 2025.</x:v>
      </x:c>
      <x:c r="T141" s="10" t="str">
        <x:v>ESTADO DE S. PAULO - PENITENCIARIAS E PRESIDIOS - CASA DE DETENÇÃO - AV. TIRADENTES DETENÇÃO: VERDE E BRANCO POR FORA E NEGRO POR DENTRO Detentos procedem a pintura da fachada da Casa de Detenção, assistidos por guardas. Ver D.N.2a.Ed.16/12/957 j1</x:v>
      </x:c>
      <x:c r="U141" s="10" t="str">
        <x:v>ICO</x:v>
      </x:c>
      <x:c r="V141" s="10" t="str">
        <x:v>FOT</x:v>
      </x:c>
      <x:c r="W141" s="10" t="str">
        <x:v>DGZ</x:v>
      </x:c>
      <x:c r="X141" s="10" t="str">
        <x:v>MT0</x:v>
      </x:c>
      <x:c r="Y141" s="10" t="str">
        <x:v>BR-SPAPESP_DASP-PENITPRE-CSDTCARANDIRU.xlsx</x:v>
      </x:c>
      <x:c r="Z141" s="10" t="str">
        <x:v>2776-012</x:v>
      </x:c>
      <x:c r="AA141" s="11" t="n">
        <x:v>21</x:v>
      </x:c>
      <x:c r="AB141" s="10" t="str">
        <x:v>BR-SPAPESP_DASP-PENITPRE-CSDTCARANDIRU.xlsx:2776-012:21</x:v>
      </x:c>
      <x:c r="AC141" s="11" t="n">
        <x:f>COLUMNS(A141:T141)-COUNTBLANK(A141:T141)</x:f>
        <x:v>20</x:v>
      </x:c>
    </x:row>
    <x:row r="142" ht="84" hidden="0" customHeight="1">
      <x:c r="A142" s="10" t="str">
        <x:v>021</x:v>
      </x:c>
      <x:c r="B142" s="10" t="str">
        <x:v>Vista aérea interna do pátio e galpões da Casa de Detenção de São Paulo na Avenida Tiradentes.</x:v>
      </x:c>
      <x:c r="C142" s="10" t="str">
        <x:v>Item</x:v>
      </x:c>
      <x:c r="D142" s="10" t="str">
        <x:v>1955-02-04 00:00:00</x:v>
      </x:c>
      <x:c r="E142" s="10" t="str">
        <x:v>Gerado pelo Dataverse</x:v>
      </x:c>
      <x:c r="F142" s="10" t="str">
        <x:v>Fotografia digitalizada; preto e branco; suporte em papel fotográfico</x:v>
      </x:c>
      <x:c r="G142" s="10" t="str">
        <x:v>São Paulo, Brasil</x:v>
      </x:c>
      <x:c r="H142" s="10" t="str">
        <x:v>Arquivo Público do Estado de São Paulo, Jornal Diários Associados</x:v>
      </x:c>
      <x:c r="I142" s="10" t="str">
        <x:v>Estado De São Paulo - Penitenciárias e Presídios - Casa de Detenção de São Paulo no Carandiru (Fotografias)</x:v>
      </x:c>
      <x:c r="J142" s="10" t="str">
        <x:v>Caixa: 2776 Folder: 012</x:v>
      </x:c>
      <x:c r="K142" s="10" t="str">
        <x:v>BR-SPAPESP_DASP-PENITPRE-CSDTCARANDIRU_ICO-FOT-DGZ-MT0_2776-012-021</x:v>
      </x:c>
      <x:c r="L142" s="10" t="str">
        <x: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pesquisa de Maíra Rocha Machado, Bianca Tavolari e Maira Rosín (2025)[1].</x:v>
      </x:c>
      <x:c r="M142" s="10" t="str">
        <x:v>A fotografia, capturada de um ângulo elevado, oferece uma perspectiva interna do complexo prisional. Em primeiro plano, observa-se um grande portão escuro sendo operado por um funcionário uniformizado, enquanto outro homem observa a ação de costas. Para além do portão, estende-se um pátio pavimentado onde algumas pessoas caminham entre os pavilhões. À esquerda e à direita, veem-se as fachadas de edifícios com janelas gradeadas e arquitetura rústica. Ao fundo, a vista alcança a arborização externa e o prolongamento da área construída. O registro está associado a notícias sobre a possível venda do antigo complexo.</x:v>
      </x:c>
      <x:c r="N142"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42" s="10" t="str">
        <x:v>Casa de Detenção; Avenida Tiradentes; Pátio interno; Arquitetura prisional; Venda de imóvel; Vigilância; 1955.</x:v>
      </x:c>
      <x:c r="P142" s="10" t="str">
        <x:v>Fotografia (Iconográfico)</x:v>
      </x:c>
      <x:c r="Q142" s="10" t="str">
        <x:v>Digitalização de fotografia em preto e branco (analógica original)</x:v>
      </x:c>
      <x:c r="R142" s="10" t="str">
        <x:v>Figura n – [Vista aérea interna do pátio e galpões da Casa de Detenção de São Paulo na Avenida Tiradentes.] Fonte: Arquivo Público do Estado de São Paulo, 1955.</x:v>
      </x:c>
      <x:c r="S142" s="10" t="str">
        <x:v>ARQUIVO PÚBLICO DO ESTADO DE SÃO PAULO (Brasil). [Vista aérea interna do pátio e galpões da Casa de Detenção de São Paulo na Avenida Tiradentes.]. São Paulo, Brasil. 04 fev. 1955. Fotografia digitalizada; preto e branco; suporte em papel fotográfico. Disponível em: &lt;link do dataverse&gt;. Acesso em: 28 out. 2025.</x:v>
      </x:c>
      <x:c r="T142" s="10" t="str">
        <x:v>ESTADO DE S. PAULO — PENITENCIARIAS E PRESIDIOS — CASA DE DETENÇÃO — AV. TIRADENTES DETENÇÃO: VERDE E BRANCO POR FORA E NEGRO POR DENTRO Detentos quando procediam a pintura na fachada da Casa de Detenção da av. Tiradentes. Ver D.N.2a.Ed.16/12/957 j1 (Anotações manuscritas): 850; 2 (Anotação manuscrita invertida): Esta com dias contados a velha Casa de Detenção</x:v>
      </x:c>
      <x:c r="U142" s="10" t="str">
        <x:v>ICO</x:v>
      </x:c>
      <x:c r="V142" s="10" t="str">
        <x:v>FOT</x:v>
      </x:c>
      <x:c r="W142" s="10" t="str">
        <x:v>DGZ</x:v>
      </x:c>
      <x:c r="X142" s="10" t="str">
        <x:v>MT0</x:v>
      </x:c>
      <x:c r="Y142" s="10" t="str">
        <x:v>BR-SPAPESP_DASP-PENITPRE-CSDTCARANDIRU.xlsx</x:v>
      </x:c>
      <x:c r="Z142" s="10" t="str">
        <x:v>2776-012</x:v>
      </x:c>
      <x:c r="AA142" s="11" t="n">
        <x:v>22</x:v>
      </x:c>
      <x:c r="AB142" s="10" t="str">
        <x:v>BR-SPAPESP_DASP-PENITPRE-CSDTCARANDIRU.xlsx:2776-012:22</x:v>
      </x:c>
      <x:c r="AC142" s="11" t="n">
        <x:f>COLUMNS(A142:T142)-COUNTBLANK(A142:T142)</x:f>
        <x:v>20</x:v>
      </x:c>
    </x:row>
    <x:row r="143" ht="84" hidden="0" customHeight="1">
      <x:c r="A143" s="10" t="str">
        <x:v>022</x:v>
      </x:c>
      <x:c r="B143" s="10" t="str">
        <x:v>Detentos realizando a pintura da fachada da Casa de Detenção de São Paulo na Avenida Tiradentes sob vigilância policial.</x:v>
      </x:c>
      <x:c r="C143" s="10" t="str">
        <x:v>Item</x:v>
      </x:c>
      <x:c r="D143" s="10" t="str">
        <x:v>1957-12-16 00:00:00</x:v>
      </x:c>
      <x:c r="E143" s="10" t="str">
        <x:v>Gerado pelo Dataverse</x:v>
      </x:c>
      <x:c r="F143" s="10" t="str">
        <x:v>Fotografia digitalizada; preto e branco; suporte em papel fotográfico</x:v>
      </x:c>
      <x:c r="G143" s="10" t="str">
        <x:v>São Paulo, Brasil</x:v>
      </x:c>
      <x:c r="H143" s="10" t="str">
        <x:v>Arquivo Público do Estado de São Paulo, Jornal Diários Associados</x:v>
      </x:c>
      <x:c r="I143" s="10" t="str">
        <x:v>Estado De São Paulo - Penitenciárias e Presídios - Casa de Detenção de São Paulo no Carandiru (Fotografias)</x:v>
      </x:c>
      <x:c r="J143" s="10" t="str">
        <x:v>Caixa: 2776 Folder: 012</x:v>
      </x:c>
      <x:c r="K143" s="10" t="str">
        <x:v>BR-SPAPESP_DASP-PENITPRE-CSDTCARANDIRU_ICO-FOT-DGZ-MT0_2776-012-022</x:v>
      </x:c>
      <x:c r="L143" s="10" t="str">
        <x: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pesquisa de Maíra Rocha Machado, Bianca Tavolari e Maira Rosín (2025)[1].</x:v>
      </x:c>
      <x:c r="M143" s="10" t="str">
        <x:v>A fotografia registra, em plano geral e ângulo lateral, o serviço de manutenção na fachada externa do edifício prisional. Um detento trabalha no topo de uma escada de madeira encostada na parede, acima do portão principal de entrada. No solo, à esquerda, dois soldados da Força Pública em uniforme de campanha fazem a vigilância da área. Ao fundo, observa-se o alinhamento de árvores da Avenida Tiradentes, um poste de madeira com rede elétrica e um ônibus estacionado ao longe. O registro é acompanhado de uma frase crítica no verso sobre o contraste entre a reforma externa e a realidade interna, além de uma nota manuscrita prevendo o fim do presídio.</x:v>
      </x:c>
      <x:c r="N143"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43" s="10" t="str">
        <x:v>Casa de Detenção; Avenida Tiradentes; Pintura; Manutenção; Fachada; Detentos; Vigilância; Força Pública; Trabalho prisional; 1957.</x:v>
      </x:c>
      <x:c r="P143" s="10" t="str">
        <x:v>Fotografia (Iconográfico)</x:v>
      </x:c>
      <x:c r="Q143" s="10" t="str">
        <x:v>Digitalização de fotografia em preto e branco (analógica original)</x:v>
      </x:c>
      <x:c r="R143" s="10" t="str">
        <x:v>Figura n – [Detentos realizando a pintura da fachada da Casa de Detenção de São Paulo na Avenida Tiradentes sob vigilância policial.] Fonte: Arquivo Público do Estado de São Paulo, 1957.</x:v>
      </x:c>
      <x:c r="S143" s="10" t="str">
        <x:v>ARQUIVO PÚBLICO DO ESTADO DE SÃO PAULO (Brasil). [Detentos realizando a pintura da fachada da Casa de Detenção de São Paulo na Avenida Tiradentes sob vigilância policial.]. São Paulo, Brasil. 16 dez. 1957. Fotografia digitalizada; preto e branco; suporte em papel fotográfico. Disponível em: &lt;link do dataverse&gt;. Acesso em: 28 out. 2025.</x:v>
      </x:c>
      <x:c r="T143" s="10" t="str">
        <x:v>ESTADO DE S. PAULO — PENITENCIARIAS E PRESIDIOS — CASA DE DETENÇÃO — AV. TIRADENTES DETENÇÃO: VERDE E BRANCO POR FORA E NEGRO POR DENTRO Detentos quando procediam a pintura na fachada da Casa de Detenção da av. Tiradentes. Ver D.N.2a.Ed.16/12/957 j1 (Anotações manuscritas): 850; 2 (Anotação manuscrita invertida): Esta com dias contados a velha Casa de Detenção</x:v>
      </x:c>
      <x:c r="U143" s="10" t="str">
        <x:v>ICO</x:v>
      </x:c>
      <x:c r="V143" s="10" t="str">
        <x:v>FOT</x:v>
      </x:c>
      <x:c r="W143" s="10" t="str">
        <x:v>DGZ</x:v>
      </x:c>
      <x:c r="X143" s="10" t="str">
        <x:v>MT0</x:v>
      </x:c>
      <x:c r="Y143" s="10" t="str">
        <x:v>BR-SPAPESP_DASP-PENITPRE-CSDTCARANDIRU.xlsx</x:v>
      </x:c>
      <x:c r="Z143" s="10" t="str">
        <x:v>2776-012</x:v>
      </x:c>
      <x:c r="AA143" s="11" t="n">
        <x:v>23</x:v>
      </x:c>
      <x:c r="AB143" s="10" t="str">
        <x:v>BR-SPAPESP_DASP-PENITPRE-CSDTCARANDIRU.xlsx:2776-012:23</x:v>
      </x:c>
      <x:c r="AC143" s="11" t="n">
        <x:f>COLUMNS(A143:T143)-COUNTBLANK(A143:T143)</x:f>
        <x:v>20</x:v>
      </x:c>
    </x:row>
    <x:row r="144" ht="84" hidden="0" customHeight="1">
      <x:c r="A144" s="10" t="str">
        <x:v>023</x:v>
      </x:c>
      <x:c r="B144" s="10" t="str">
        <x:v>Cerco policial da Força Pública ao redor da Casa de Detenção após tentativa de fuga.</x:v>
      </x:c>
      <x:c r="C144" s="10" t="str">
        <x:v>Item</x:v>
      </x:c>
      <x:c r="D144" s="10" t="str">
        <x:v>1961-12-13 00:00:00</x:v>
      </x:c>
      <x:c r="E144" s="10" t="str">
        <x:v>Gerado pelo Dataverse</x:v>
      </x:c>
      <x:c r="F144" s="10" t="str">
        <x:v>Fotografia digitalizada; preto e branco; suporte em papel fotográfico</x:v>
      </x:c>
      <x:c r="G144" s="10" t="str">
        <x:v>São Paulo, Brasil</x:v>
      </x:c>
      <x:c r="H144" s="10" t="str">
        <x:v>Arquivo Público do Estado de São Paulo, Jornal Diários Associados</x:v>
      </x:c>
      <x:c r="I144" s="10" t="str">
        <x:v>Estado De São Paulo - Penitenciárias e Presídios - Casa de Detenção de São Paulo no Carandiru (Fotografias)</x:v>
      </x:c>
      <x:c r="J144" s="10" t="str">
        <x:v>Caixa: 2776 Folder: 012</x:v>
      </x:c>
      <x:c r="K144" s="10" t="str">
        <x:v>BR-SPAPESP_DASP-PENITPRE-CSDTCARANDIRU_ICO-FOT-DGZ-MT0_2776-012-023</x:v>
      </x:c>
      <x:c r="L144" s="10" t="str">
        <x: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pesquisa de Maíra Rocha Machado, Bianca Tavolari e Maira Rosín (2025)[1].</x:v>
      </x:c>
      <x:c r="M144" s="10" t="str">
        <x:v>A fotografia noturna registra uma movimentação na via pública adjacente aos muros da Casa de Detenção. Em primeiro plano, de costas, destaca-se um soldado da Força Pública usando capacete e portando um fuzil atravessado nas costas. Ele está acompanhado por outros militares armados e homens em trajes civis (ternos), que parecem discutir a situação. Ao fundo, na penumbra, distinguem-se os troncos de árvores e a fachada do presídio com uma janela gradeada. A cena ilustra o cerco montado para evitar a fuga de dois detentos, operação que resultou em um detento baleado e outro foragido.</x:v>
      </x:c>
      <x:c r="N144"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44" s="10" t="str">
        <x:v>Casa de Detenção; Avenida Tiradentes; Fuga; Força Pública; Cerco policial; Armamento; Tiroteio; 1961.</x:v>
      </x:c>
      <x:c r="P144" s="10" t="str">
        <x:v>Fotografia (Iconográfico)</x:v>
      </x:c>
      <x:c r="Q144" s="10" t="str">
        <x:v>Digitalização de fotografia em preto e branco (analógica original)</x:v>
      </x:c>
      <x:c r="R144" s="10" t="str">
        <x:v>Figura n – [Cerco policial da Força Pública ao redor da Casa de Detenção após tentativa de fuga.] Fonte: Arquivo Público do Estado de São Paulo, 1961.</x:v>
      </x:c>
      <x:c r="S144" s="10" t="str">
        <x:v>ARQUIVO PÚBLICO DO ESTADO DE SÃO PAULO (Brasil). [Cerco policial da Força Pública ao redor da Casa de Detenção após tentativa de fuga.]. São Paulo, Brasil. 13 dez. 1961. Fotografia digitalizada; preto e branco; suporte em papel fotográfico. Disponível em: &lt;link do dataverse&gt;. Acesso em: 28 out. 2025.</x:v>
      </x:c>
      <x:c r="T144" s="10" t="str">
        <x:v>ESTADO DE PAULO- PENITENCIÁRIA E PRESIDIOS - CASA DE DETENÇÃO DA AVENIDA TIRADENTES - MELIANTE METRALHADO NA CASA DE DETENÇÃO ESTÁ FORA DE PERIGO - Soldados da Força Publica, de fuzis e metralhadoras em punho, cercaram o velho casarão da av. Tiradentes que serve de estabelecimento penal, na esperança de evitar a fuga da dupla de marginais. Todavia, apenas impediram a passagem de um, que foi baleado, uma vez que o outro detento, mais feliz, conseguiu escapar do bloqueio tomando rumo ignorado DN. 2a. Ed. 13/12/1961-cjs.</x:v>
      </x:c>
      <x:c r="U144" s="10" t="str">
        <x:v>ICO</x:v>
      </x:c>
      <x:c r="V144" s="10" t="str">
        <x:v>FOT</x:v>
      </x:c>
      <x:c r="W144" s="10" t="str">
        <x:v>DGZ</x:v>
      </x:c>
      <x:c r="X144" s="10" t="str">
        <x:v>MT0</x:v>
      </x:c>
      <x:c r="Y144" s="10" t="str">
        <x:v>BR-SPAPESP_DASP-PENITPRE-CSDTCARANDIRU.xlsx</x:v>
      </x:c>
      <x:c r="Z144" s="10" t="str">
        <x:v>2776-012</x:v>
      </x:c>
      <x:c r="AA144" s="11" t="n">
        <x:v>24</x:v>
      </x:c>
      <x:c r="AB144" s="10" t="str">
        <x:v>BR-SPAPESP_DASP-PENITPRE-CSDTCARANDIRU.xlsx:2776-012:24</x:v>
      </x:c>
      <x:c r="AC144" s="11" t="n">
        <x:f>COLUMNS(A144:T144)-COUNTBLANK(A144:T144)</x:f>
        <x:v>20</x:v>
      </x:c>
    </x:row>
    <x:row r="145" ht="84" hidden="0" customHeight="1">
      <x:c r="A145" s="10" t="str">
        <x:v>024</x:v>
      </x:c>
      <x:c r="B145" s="10" t="str">
        <x:v>Pátio interno da Casa de Detenção identificado como local de convívio.</x:v>
      </x:c>
      <x:c r="C145" s="10" t="str">
        <x:v>Item</x:v>
      </x:c>
      <x:c r="D145" s="10" t="str">
        <x:v>1955-02-01 00:00:00</x:v>
      </x:c>
      <x:c r="E145" s="10" t="str">
        <x:v>Gerado pelo Dataverse</x:v>
      </x:c>
      <x:c r="F145" s="10" t="str">
        <x:v>Fotografia digitalizada; preto e branco; suporte em papel fotográfico</x:v>
      </x:c>
      <x:c r="G145" s="10" t="str">
        <x:v>São Paulo, Brasil</x:v>
      </x:c>
      <x:c r="H145" s="10" t="str">
        <x:v>Arquivo Público do Estado de São Paulo, Jornal Diários Associados</x:v>
      </x:c>
      <x:c r="I145" s="10" t="str">
        <x:v>Estado De São Paulo - Penitenciárias e Presídios - Casa de Detenção de São Paulo no Carandiru (Fotografias)</x:v>
      </x:c>
      <x:c r="J145" s="10" t="str">
        <x:v>Caixa: 2776 Folder: 012</x:v>
      </x:c>
      <x:c r="K145" s="10" t="str">
        <x:v>BR-SPAPESP_DASP-PENITPRE-CSDTCARANDIRU_ICO-FOT-DGZ-MT0_2776-012-024</x:v>
      </x:c>
      <x:c r="L145" s="10" t="str">
        <x: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pesquisa de Maíra Rocha Machado, Bianca Tavolari e Maira Rosín (2025)[1].</x:v>
      </x:c>
      <x:c r="M145" s="10" t="str">
        <x:v>Registro fotográfico de uma área externa estreita e murada no interior da unidade prisional, com janelas e portas protegidas por grades. O texto no verso associa o espaço a reuniões de detentos e atividades de lazer coletivo durante um período específico da administração.</x:v>
      </x:c>
      <x:c r="N145"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45" s="10" t="str">
        <x:v>Pátio; Casa de Detenção; Avenida Tiradentes; Cotidiano prisional; Área de convívio.</x:v>
      </x:c>
      <x:c r="P145" s="10" t="str">
        <x:v>Fotografia (Iconográfico)</x:v>
      </x:c>
      <x:c r="Q145" s="10" t="str">
        <x:v>Digitalização de fotografia em preto e branco (analógica original)</x:v>
      </x:c>
      <x:c r="R145" s="10" t="str">
        <x:v>Figura n – [Pátio interno da Casa de Detenção identificado como local de convívio.] Fonte: Arquivo Público do Estado de São Paulo, 1955.</x:v>
      </x:c>
      <x:c r="S145" s="10" t="str">
        <x:v>ARQUIVO PÚBLICO DO ESTADO DE SÃO PAULO (Brasil). [Pátio interno da Casa de Detenção identificado como local de convívio.]. São Paulo, Brasil. 01 fev. 1955. Fotografia digitalizada; preto e branco; suporte em papel fotográfico. Disponível em: &lt;link do dataverse&gt;. Acesso em: 28 out. 2025.</x:v>
      </x:c>
      <x:c r="T145" s="10" t="str">
        <x:v>ESTADO DE S. PAULO - PENITENCIARIAS E PRESIDIOS -CASA DE DETENÇÃO DA AVENIDA TIRADENTES JOGATINA E EMBRIAGUEZ COM PROTEÇÃO DA GUARDA No tempo do capitão Trindade, o jogo de azar campeava desenfreadamente nos xadrezes da Detenção. Nesta pequena area, a massa com pouco de dinheiro se reunia para a "ronda". D.N. 2a. Ed. 1/2/955 jl</x:v>
      </x:c>
      <x:c r="U145" s="10" t="str">
        <x:v>ICO</x:v>
      </x:c>
      <x:c r="V145" s="10" t="str">
        <x:v>FOT</x:v>
      </x:c>
      <x:c r="W145" s="10" t="str">
        <x:v>DGZ</x:v>
      </x:c>
      <x:c r="X145" s="10" t="str">
        <x:v>MT0</x:v>
      </x:c>
      <x:c r="Y145" s="10" t="str">
        <x:v>BR-SPAPESP_DASP-PENITPRE-CSDTCARANDIRU.xlsx</x:v>
      </x:c>
      <x:c r="Z145" s="10" t="str">
        <x:v>2776-012</x:v>
      </x:c>
      <x:c r="AA145" s="11" t="n">
        <x:v>25</x:v>
      </x:c>
      <x:c r="AB145" s="10" t="str">
        <x:v>BR-SPAPESP_DASP-PENITPRE-CSDTCARANDIRU.xlsx:2776-012:25</x:v>
      </x:c>
      <x:c r="AC145" s="11" t="n">
        <x:f>COLUMNS(A145:T145)-COUNTBLANK(A145:T145)</x:f>
        <x:v>20</x:v>
      </x:c>
    </x:row>
    <x:row r="146" ht="84" hidden="0" customHeight="1">
      <x:c r="A146" s="10" t="str">
        <x:v>025</x:v>
      </x:c>
      <x:c r="B146" s="10" t="str">
        <x:v>Registro de rota de acesso em seção administrativa.</x:v>
      </x:c>
      <x:c r="C146" s="10" t="str">
        <x:v>Item</x:v>
      </x:c>
      <x:c r="D146" s="10" t="str">
        <x:v>1963-09-12 00:00:00</x:v>
      </x:c>
      <x:c r="E146" s="10" t="str">
        <x:v>Gerado pelo Dataverse</x:v>
      </x:c>
      <x:c r="F146" s="10" t="str">
        <x:v>Fotografia digitalizada; preto e branco; suporte em papel fotográfico</x:v>
      </x:c>
      <x:c r="G146" s="10" t="str">
        <x:v>São Paulo, Brasil</x:v>
      </x:c>
      <x:c r="H146" s="10" t="str">
        <x:v>Arquivo Público do Estado de São Paulo, Jornal Diários Associados</x:v>
      </x:c>
      <x:c r="I146" s="10" t="str">
        <x:v>Estado De São Paulo - Penitenciárias e Presídios - Casa de Detenção de São Paulo no Carandiru (Fotografias)</x:v>
      </x:c>
      <x:c r="J146" s="10" t="str">
        <x:v>Caixa: 2776 Folder: 012</x:v>
      </x:c>
      <x:c r="K146" s="10" t="str">
        <x:v>BR-SPAPESP_DASP-PENITPRE-CSDTCARANDIRU_ICO-FOT-DGZ-MT0_2776-012-025</x:v>
      </x:c>
      <x:c r="L146" s="10" t="str">
        <x: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pesquisa de Maíra Rocha Machado, Bianca Tavolari e Maira Rosín (2025)[1].</x:v>
      </x:c>
      <x:c r="M146" s="10" t="str">
        <x:v>Fotografia de interior em plano médio mostrando uma escada de madeira posicionada em uma sala de arquivos (seção de expediente). A imagem documenta o caminho utilizado para acessar a cobertura do edifício durante um episódio de evasão.</x:v>
      </x:c>
      <x:c r="N146"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46" s="10" t="str">
        <x:v>Escada; Seção de expediente; Evasão; Casa de Detenção; Avenida Tiradentes.</x:v>
      </x:c>
      <x:c r="P146" s="10" t="str">
        <x:v>Fotografia (Iconográfico)</x:v>
      </x:c>
      <x:c r="Q146" s="10" t="str">
        <x:v>Digitalização de fotografia em preto e branco (analógica original)</x:v>
      </x:c>
      <x:c r="R146" s="10" t="str">
        <x:v>Figura n – [Registro de rota de acesso em seção administrativa.] Fonte: Arquivo Público do Estado de São Paulo, 1963.</x:v>
      </x:c>
      <x:c r="S146" s="10" t="str">
        <x:v>ARQUIVO PÚBLICO DO ESTADO DE SÃO PAULO (Brasil). [Registro de rota de acesso em seção administrativa.]. São Paulo, Brasil. 12 set. 1963. Fotografia digitalizada; preto e branco; suporte em papel fotográfico. Disponível em: &lt;link do dataverse&gt;. Acesso em: 28 out. 2025.</x:v>
      </x:c>
      <x:c r="T146" s="10" t="str">
        <x:v>ESTADO DE S. PAULO- PENITENCIÁRIAS E PRESÍDIOS - CASA DE DETENÇÃO DA AVENIDA TIRADENTES - CASAS DE DETENÇÃO: TRÊS FUGAS E DEZ TENTATIVAS EM 90 DIAS Na foto colhida na secção de expediente da Casa de Detenção da Av. Tiradentes, vemos a escada de que se utilizou o preso ANTONIO PEDRO DOS SANTOS, perigoso ladrão assaltante, condenado a 16 anos de reclusão; para galgar o telhado do presidio e fugir. Entretanto, foi infeliz o fugitivo, pois ao ganhar a rua foi visto por uma sentinela e recambiado ao xadrez. DN. 1a Ed., 12/9/1963 - wjp.</x:v>
      </x:c>
      <x:c r="U146" s="10" t="str">
        <x:v>ICO</x:v>
      </x:c>
      <x:c r="V146" s="10" t="str">
        <x:v>FOT</x:v>
      </x:c>
      <x:c r="W146" s="10" t="str">
        <x:v>DGZ</x:v>
      </x:c>
      <x:c r="X146" s="10" t="str">
        <x:v>MT0</x:v>
      </x:c>
      <x:c r="Y146" s="10" t="str">
        <x:v>BR-SPAPESP_DASP-PENITPRE-CSDTCARANDIRU.xlsx</x:v>
      </x:c>
      <x:c r="Z146" s="10" t="str">
        <x:v>2776-012</x:v>
      </x:c>
      <x:c r="AA146" s="11" t="n">
        <x:v>26</x:v>
      </x:c>
      <x:c r="AB146" s="10" t="str">
        <x:v>BR-SPAPESP_DASP-PENITPRE-CSDTCARANDIRU.xlsx:2776-012:26</x:v>
      </x:c>
      <x:c r="AC146" s="11" t="n">
        <x:f>COLUMNS(A146:T146)-COUNTBLANK(A146:T146)</x:f>
        <x:v>20</x:v>
      </x:c>
    </x:row>
    <x:row r="147" ht="84" hidden="0" customHeight="1">
      <x:c r="A147" s="10" t="str">
        <x:v>026</x:v>
      </x:c>
      <x:c r="B147" s="10" t="str">
        <x:v>Cotidiano carcerário e dinâmica de custódia na Casa de Detenção de São Paulo na Avenida Tiradentes.</x:v>
      </x:c>
      <x:c r="C147" s="10" t="str">
        <x:v>Item</x:v>
      </x:c>
      <x:c r="D147" s="10" t="str">
        <x:v>1955-02-01 00:00:00</x:v>
      </x:c>
      <x:c r="E147" s="10" t="str">
        <x:v>Gerado pelo Dataverse</x:v>
      </x:c>
      <x:c r="F147" s="10" t="str">
        <x:v>Fotografia digitalizada; preto e branco; suporte em papel fotográfico</x:v>
      </x:c>
      <x:c r="G147" s="10" t="str">
        <x:v>São Paulo, Brasil</x:v>
      </x:c>
      <x:c r="H147" s="10" t="str">
        <x:v>Arquivo Público do Estado de São Paulo, Jornal Diários Associados</x:v>
      </x:c>
      <x:c r="I147" s="10" t="str">
        <x:v>Estado De São Paulo - Penitenciárias e Presídios - Casa de Detenção de São Paulo no Carandiru (Fotografias)</x:v>
      </x:c>
      <x:c r="J147" s="10" t="str">
        <x:v>Caixa: 2776 Folder: 012</x:v>
      </x:c>
      <x:c r="K147" s="10" t="str">
        <x:v>BR-SPAPESP_DASP-PENITPRE-CSDTCARANDIRU_ICO-FOT-DGZ-MT0_2776-012-026</x:v>
      </x:c>
      <x:c r="L147" s="10" t="str">
        <x: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pesquisa de Maíra Rocha Machado, Bianca Tavolari e Maira Rosín (2025)[1].</x:v>
      </x:c>
      <x:c r="M147" s="10" t="str">
        <x:v>Fotografia analógica em plano médio e ângulo frontal, registrando o interior de uma cela através das grades. A imagem foca em uma pessoa sentada, vestindo calças claras e camisa escura, com o rosto parcialmente oculto por um anteparo branco. Ao fundo, a cela apresenta revestimento de azulejos claros. À esquerda, um segundo homem é visto sorrindo. O registro visual documenta as condições de permanência e a organização interna dos detentos no período anterior à fuga de Luis Volante, servindo como lastro para as denúncias de falta de rigor na vigilância descritas no verso.</x:v>
      </x:c>
      <x:c r="N147"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47" s="10" t="str">
        <x:v>Casa de Detenção; Avenida Tiradentes; Luis Volante; Jogos de azar; Sistema prisional; São Paulo.</x:v>
      </x:c>
      <x:c r="P147" s="10" t="str">
        <x:v>Fotografia (Iconográfico)</x:v>
      </x:c>
      <x:c r="Q147" s="10" t="str">
        <x:v>Digitalização de fotografia em tom sépia (analógica original)</x:v>
      </x:c>
      <x:c r="R147" s="10" t="str">
        <x:v>Figura n – [Cotidiano carcerário e dinâmica de custódia na Casa de Detenção de São Paulo na Avenida Tiradentes.] Fonte: Arquivo Público do Estado de São Paulo, 1955.</x:v>
      </x:c>
      <x:c r="S147" s="10" t="str">
        <x:v>ARQUIVO PÚBLICO DO ESTADO DE SÃO PAULO (Brasil). [Cotidiano carcerário e dinâmica de custódia na Casa de Detenção de São Paulo na Avenida Tiradentes.]. São Paulo, Brasil. 01 fev. 1955. Fotografia digitalizada; preto e branco; suporte em papel fotográfico. Disponível em: &lt;link do dataverse&gt;. Acesso em: 28 out. 2025.</x:v>
      </x:c>
      <x:c r="T147" s="10" t="str">
        <x:v>ESTADO DE S. PAULO - PENITENCIARIAS E PRESIDIOS - CASA DE DETENÇÃO DA AVENIDA TIRADENTES JOGATINA E EMBRIAGUEZ COM PROTEÇÃO DA GUARDA Antes da fuga de Luis Volante, o jogo de azar campeava, desenfreadamente, na Casa de Detenção. Havia a "proteção" dos guardas. As celas pareciam mais clubes de jogo do que xadrezes para a reclusão de detentos. Varava-se a noite no "carteado". D.N. 2a. Ed. 1/2/955 jl</x:v>
      </x:c>
      <x:c r="U147" s="10" t="str">
        <x:v>ICO</x:v>
      </x:c>
      <x:c r="V147" s="10" t="str">
        <x:v>FOT</x:v>
      </x:c>
      <x:c r="W147" s="10" t="str">
        <x:v>DGZ</x:v>
      </x:c>
      <x:c r="X147" s="10" t="str">
        <x:v>MT0</x:v>
      </x:c>
      <x:c r="Y147" s="10" t="str">
        <x:v>BR-SPAPESP_DASP-PENITPRE-CSDTCARANDIRU.xlsx</x:v>
      </x:c>
      <x:c r="Z147" s="10" t="str">
        <x:v>2776-012</x:v>
      </x:c>
      <x:c r="AA147" s="11" t="n">
        <x:v>27</x:v>
      </x:c>
      <x:c r="AB147" s="10" t="str">
        <x:v>BR-SPAPESP_DASP-PENITPRE-CSDTCARANDIRU.xlsx:2776-012:27</x:v>
      </x:c>
      <x:c r="AC147" s="11" t="n">
        <x:f>COLUMNS(A147:T147)-COUNTBLANK(A147:T147)</x:f>
        <x:v>20</x:v>
      </x:c>
    </x:row>
    <x:row r="148" ht="84" hidden="0" customHeight="1">
      <x:c r="A148" s="10" t="str">
        <x:v>027</x:v>
      </x:c>
      <x:c r="B148" s="10" t="str">
        <x:v>Organização de celebração natalina para familiares na Casa de Detenção.</x:v>
      </x:c>
      <x:c r="C148" s="10" t="str">
        <x:v>Item</x:v>
      </x:c>
      <x:c r="D148" s="10" t="str">
        <x:v>1954-12-16 00:00:00</x:v>
      </x:c>
      <x:c r="E148" s="10" t="str">
        <x:v>Gerado pelo Dataverse</x:v>
      </x:c>
      <x:c r="F148" s="10" t="str">
        <x:v>Fotografia digitalizada; preto e branco; suporte em papel fotográfico</x:v>
      </x:c>
      <x:c r="G148" s="10" t="str">
        <x:v>São Paulo, Brasil</x:v>
      </x:c>
      <x:c r="H148" s="10" t="str">
        <x:v>Arquivo Público do Estado de São Paulo, Jornal Diários Associados</x:v>
      </x:c>
      <x:c r="I148" s="10" t="str">
        <x:v>Estado De São Paulo - Penitenciárias e Presídios - Casa de Detenção de São Paulo no Carandiru (Fotografias)</x:v>
      </x:c>
      <x:c r="J148" s="10" t="str">
        <x:v>Caixa: 2776 Folder: 012</x:v>
      </x:c>
      <x:c r="K148" s="10" t="str">
        <x:v>BR-SPAPESP_DASP-PENITPRE-CSDTCARANDIRU_ICO-FOT-DGZ-MT0_2776-012-027</x:v>
      </x:c>
      <x:c r="L148" s="10" t="str">
        <x: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pesquisa de Maíra Rocha Machado, Bianca Tavolari e Maira Rosín (2025)[1].</x:v>
      </x:c>
      <x:c r="M148" s="10" t="str">
        <x:v>Fotografia analógica em preto e branco capturada em plano médio, apresentando um homem e duas mulheres em um ambiente interno com estantes de arquivos ao fundo. Uma das mulheres segura uma boneca, e sobre a mesa em primeiro plano há diversos brinquedos e pacotes. A imagem registra a preparação de donativos para o Natal dos filhos dos detentos, servindo como registro visual para o texto do verso que relata os esforços e a escassez de apoio de empresas para a realização da festividade na unidade.</x:v>
      </x:c>
      <x:c r="N148"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48" s="10" t="str">
        <x:v>Casa de Detenção; Avenida Tiradentes; Natal; Assistência Social; Doação de brinquedos; Sistema prisional.</x:v>
      </x:c>
      <x:c r="P148" s="10" t="str">
        <x:v>Fotografia (Iconográfico)</x:v>
      </x:c>
      <x:c r="Q148" s="10" t="str">
        <x:v>Digitalização de fotografia em preto e branco (analógica original)</x:v>
      </x:c>
      <x:c r="R148" s="10" t="str">
        <x:v>Figura n – [Organização de celebração natalina para familiares na Casa de Detenção.] Fonte: Arquivo Público do Estado de São Paulo, 1954.</x:v>
      </x:c>
      <x:c r="S148" s="10" t="str">
        <x:v>ARQUIVO PÚBLICO DO ESTADO DE SÃO PAULO (Brasil). [Organização de celebração natalina para familiares na Casa de Detenção.]. São Paulo, Brasil. 16 dez. 1954. Fotografia digitalizada; preto e branco; suporte em papel fotográfico. Disponível em: &lt;link do dataverse&gt;. Acesso em: 28 out. 2025.</x:v>
      </x:c>
      <x:c r="T148" s="10" t="str">
        <x:v>ESTADO DE S. PAULO - PENITENCIARIAS E PRESIDIOS - CASA DE DETENÇÃO DA AVENIDA TIRADENTES 15 FERAS HUMANAS RECUSARAM O NATAL A organização do Natal dos detentos custou sacreficios e até humilhações aos seus promotores. Firmas poderosas, ricas, com lucros extraordinarios, ganhando mais ainda com artigos desta epoca, negaram apoio a um presente ao filho do encarcerado. Poucos contribuiram de boa vontade. Contudo, a festa será feita. D.N. 2a. Ed. 16/12/954 j1</x:v>
      </x:c>
      <x:c r="U148" s="10" t="str">
        <x:v>ICO</x:v>
      </x:c>
      <x:c r="V148" s="10" t="str">
        <x:v>FOT</x:v>
      </x:c>
      <x:c r="W148" s="10" t="str">
        <x:v>DGZ</x:v>
      </x:c>
      <x:c r="X148" s="10" t="str">
        <x:v>MT0</x:v>
      </x:c>
      <x:c r="Y148" s="10" t="str">
        <x:v>BR-SPAPESP_DASP-PENITPRE-CSDTCARANDIRU.xlsx</x:v>
      </x:c>
      <x:c r="Z148" s="10" t="str">
        <x:v>2776-012</x:v>
      </x:c>
      <x:c r="AA148" s="11" t="n">
        <x:v>28</x:v>
      </x:c>
      <x:c r="AB148" s="10" t="str">
        <x:v>BR-SPAPESP_DASP-PENITPRE-CSDTCARANDIRU.xlsx:2776-012:28</x:v>
      </x:c>
      <x:c r="AC148" s="11" t="n">
        <x:f>COLUMNS(A148:T148)-COUNTBLANK(A148:T148)</x:f>
        <x:v>20</x:v>
      </x:c>
    </x:row>
    <x:row r="149" ht="84" hidden="0" customHeight="1">
      <x:c r="A149" s="10" t="str">
        <x:v>028</x:v>
      </x:c>
      <x:c r="B149" s="10" t="str">
        <x:v>Registro documental de instrumentos utilizados em evasão na Casa de Detenção.</x:v>
      </x:c>
      <x:c r="C149" s="10" t="str">
        <x:v>Item</x:v>
      </x:c>
      <x:c r="D149" s="10" t="str">
        <x:v>1964-05-04 00:00:00</x:v>
      </x:c>
      <x:c r="E149" s="10" t="str">
        <x:v>Gerado pelo Dataverse</x:v>
      </x:c>
      <x:c r="F149" s="10" t="str">
        <x:v>Fotografia digitalizada; preto e branco; suporte em papel fotográfico</x:v>
      </x:c>
      <x:c r="G149" s="10" t="str">
        <x:v>São Paulo, Brasil</x:v>
      </x:c>
      <x:c r="H149" s="10" t="str">
        <x:v>Arquivo Público do Estado de São Paulo, Jornal Diários Associados</x:v>
      </x:c>
      <x:c r="I149" s="10" t="str">
        <x:v>Estado De São Paulo - Penitenciárias e Presídios - Casa de Detenção de São Paulo no Carandiru (Fotografias)</x:v>
      </x:c>
      <x:c r="J149" s="10" t="str">
        <x:v>Caixa: 2776 Folder: 012</x:v>
      </x:c>
      <x:c r="K149" s="10" t="str">
        <x:v>BR-SPAPESP_DASP-PENITPRE-CSDTCARANDIRU_ICO-FOT-DGZ-MT0_2776-012-028</x:v>
      </x:c>
      <x:c r="L149" s="10" t="str">
        <x: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pesquisa de Maíra Rocha Machado, Bianca Tavolari e Maira Rosín (2025)[1].</x:v>
      </x:c>
      <x:c r="M149" s="10" t="str">
        <x:v>Fotografia analógica em preto e branco, capturada em plano médio, exibindo dois homens em um ambiente interno. O homem à esquerda, trajando paletó escuro, segura um chapéu e aponta para uma corda longa e clara. O homem à direita, vestindo camisa de mangas compridas e calça escura, segura a outra extremidade do objeto, que se estende até o chão. A imagem registra a exibição das cordas improvisadas, identificadas na transcrição como feitas de cordéis de fardos de bacalhau, que serviram para a fuga dos detentos Orlando dos Anjos e João Gonçalo Branco de Abreu.</x:v>
      </x:c>
      <x:c r="N149"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49" s="10" t="str">
        <x:v>Casa de Detenção; Avenida Tiradentes; Evasão; Prova material; Sistema prisional; São Paulo.</x:v>
      </x:c>
      <x:c r="P149" s="10" t="str">
        <x:v>Fotografia (Iconográfico)</x:v>
      </x:c>
      <x:c r="Q149" s="10" t="str">
        <x:v>Digitalização de fotografia em preto e branco (analógica original).</x:v>
      </x:c>
      <x:c r="R149" s="10" t="str">
        <x:v>Figura n – [Registro documental de instrumentos utilizados em evasão na Casa de Detenção.] Fonte: Arquivo Público do Estado de São Paulo, 1964.</x:v>
      </x:c>
      <x:c r="S149" s="10" t="str">
        <x:v>ARQUIVO PÚBLICO DO ESTADO DE SÃO PAULO (Brasil). [Registro documental de instrumentos utilizados em evasão na Casa de Detenção.]. São Paulo, Brasil. 04 mai. 1964. Fotografia digitalizada; preto e branco; suporte em papel fotográfico. Disponível em: &lt;link do dataverse&gt;. Acesso em: 28 out. 2025.</x:v>
      </x:c>
      <x:c r="T149" s="10" t="str">
        <x:v>ESTADO DE S. PAULO - PENITENCIARIAS E PRESIDIOS - CASA DE DETENÇÃO DA AVENIDA TIRADENTES FUGA DE CONDENADOS DA CASA DE DETENÇÃO Na foto vemos o local por onde os dois detentos, Orlando dos Anjos e João Gonçalo Branco de Abreu, fugiram da Casa de Detenção da Av. Tiradentes, nesta Capital, utilizando-se de cordas, confeccionadas com cordéis que envolviam fardos de bacalhau, para ganhar a rua. DN. 1a Ed., 4/5/1964 - wjp.</x:v>
      </x:c>
      <x:c r="U149" s="10" t="str">
        <x:v>ICO</x:v>
      </x:c>
      <x:c r="V149" s="10" t="str">
        <x:v>FOT</x:v>
      </x:c>
      <x:c r="W149" s="10" t="str">
        <x:v>DGZ</x:v>
      </x:c>
      <x:c r="X149" s="10" t="str">
        <x:v>MT0</x:v>
      </x:c>
      <x:c r="Y149" s="10" t="str">
        <x:v>BR-SPAPESP_DASP-PENITPRE-CSDTCARANDIRU.xlsx</x:v>
      </x:c>
      <x:c r="Z149" s="10" t="str">
        <x:v>2776-012</x:v>
      </x:c>
      <x:c r="AA149" s="11" t="n">
        <x:v>29</x:v>
      </x:c>
      <x:c r="AB149" s="10" t="str">
        <x:v>BR-SPAPESP_DASP-PENITPRE-CSDTCARANDIRU.xlsx:2776-012:29</x:v>
      </x:c>
      <x:c r="AC149" s="11" t="n">
        <x:f>COLUMNS(A149:T149)-COUNTBLANK(A149:T149)</x:f>
        <x:v>20</x:v>
      </x:c>
    </x:row>
    <x:row r="150" ht="84" hidden="0" customHeight="1">
      <x:c r="A150" s="10" t="str">
        <x:v>029</x:v>
      </x:c>
      <x:c r="B150" s="10" t="str">
        <x:v>Documentação de comissão processante sobre irregularidades na Casa de Detenção.</x:v>
      </x:c>
      <x:c r="C150" s="10" t="str">
        <x:v>Item</x:v>
      </x:c>
      <x:c r="D150" s="10" t="str">
        <x:v>1963-12-03 00:00:00</x:v>
      </x:c>
      <x:c r="E150" s="10" t="str">
        <x:v>Gerado pelo Dataverse</x:v>
      </x:c>
      <x:c r="F150" s="10" t="str">
        <x:v>Fotografia digitalizada; preto e branco; suporte em papel fotográfico</x:v>
      </x:c>
      <x:c r="G150" s="10" t="str">
        <x:v>São Paulo, Brasil</x:v>
      </x:c>
      <x:c r="H150" s="10" t="str">
        <x:v>Arquivo Público do Estado de São Paulo, Jornal Diários Associados</x:v>
      </x:c>
      <x:c r="I150" s="10" t="str">
        <x:v>Estado De São Paulo - Penitenciárias e Presídios - Casa de Detenção de São Paulo no Carandiru (Fotografias)</x:v>
      </x:c>
      <x:c r="J150" s="10" t="str">
        <x:v>Caixa: 2776 Folder: 012</x:v>
      </x:c>
      <x:c r="K150" s="10" t="str">
        <x:v>BR-SPAPESP_DASP-PENITPRE-CSDTCARANDIRU_ICO-FOT-DGZ-MT0_2776-012-029</x:v>
      </x:c>
      <x:c r="L150" s="10" t="str">
        <x: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pesquisa de Maíra Rocha Machado, Bianca Tavolari e Maira Rosín (2025)[1].</x:v>
      </x:c>
      <x:c r="M150" s="10" t="str">
        <x:v>Fotografia analógica em preto e branco que registra a capa do Volume XI de um processo administrativo instaurado pelo Gabinete do Governador. O documento detalha a composição da comissão encarregada da investigação, presidida pelo Dr. Egberto Maia Luz e integrada pelos membros Dr. Paulo F. Furquim de Almeida, Dr. Ruy de Ulhôa Canto e o secretário João A. de São Paulo Pereira. O registro visual complementa a informação presente no verso sobre a magnitude do "dossier", que reuniu onze volumes com mais de 2.600 páginas e 117 depoimentos colhidos até dezembro de 1963 para apurar irregularidades na instituição.</x:v>
      </x:c>
      <x:c r="N150"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50" s="10" t="str">
        <x:v>Casa de Detenção; Processo administrativo; Gabinete do Governador; Investigação; Irregularidades; São Paulo.</x:v>
      </x:c>
      <x:c r="P150" s="10" t="str">
        <x:v>Fotografia (Iconográfico)</x:v>
      </x:c>
      <x:c r="Q150" s="10" t="str">
        <x:v>Digitalização de fotografia em preto e branco (analógica original).</x:v>
      </x:c>
      <x:c r="R150" s="10" t="str">
        <x:v>Figura n – [Documentação de comissão processante sobre irregularidades na Casa de Detenção.] Fonte: Arquivo Público do Estado de São Paulo, 1963.</x:v>
      </x:c>
      <x:c r="S150" s="10" t="str">
        <x:v>ARQUIVO PÚBLICO DO ESTADO DE SÃO PAULO (Brasil). [Documentação de comissão processante sobre irregularidades na Casa de Detenção.]. São Paulo, Brasil. 03 dez. 1963. Fotografia digitalizada; preto e branco; suporte em papel fotográfico. Disponível em: &lt;link do dataverse&gt;. Acesso em: 28 out. 2025.</x:v>
      </x:c>
      <x:c r="T150" s="10" t="str">
        <x:v>ESTADO DE SÃO PAULO - PENITENCIÁRIA E PRESIDIOS - CASA DE DETENÇÃO DA AVENIDA TIRADENTES - VOLUMOSO PROCESSO - Onze volumes, com mais de 2.600 paginas e 117 depoimentos, constituem o "dossier" sôbre irregularidades na Casa de Detenção. Arq. 3/12/1963-cjs.</x:v>
      </x:c>
      <x:c r="U150" s="10" t="str">
        <x:v>ICO</x:v>
      </x:c>
      <x:c r="V150" s="10" t="str">
        <x:v>FOT</x:v>
      </x:c>
      <x:c r="W150" s="10" t="str">
        <x:v>DGZ</x:v>
      </x:c>
      <x:c r="X150" s="10" t="str">
        <x:v>MT0</x:v>
      </x:c>
      <x:c r="Y150" s="10" t="str">
        <x:v>BR-SPAPESP_DASP-PENITPRE-CSDTCARANDIRU.xlsx</x:v>
      </x:c>
      <x:c r="Z150" s="10" t="str">
        <x:v>2776-012</x:v>
      </x:c>
      <x:c r="AA150" s="11" t="n">
        <x:v>30</x:v>
      </x:c>
      <x:c r="AB150" s="10" t="str">
        <x:v>BR-SPAPESP_DASP-PENITPRE-CSDTCARANDIRU.xlsx:2776-012:30</x:v>
      </x:c>
      <x:c r="AC150" s="11" t="n">
        <x:f>COLUMNS(A150:T150)-COUNTBLANK(A150:T150)</x:f>
        <x:v>20</x:v>
      </x:c>
    </x:row>
    <x:row r="151" ht="84" hidden="0" customHeight="1">
      <x:c r="A151" s="10" t="str">
        <x:v>030</x:v>
      </x:c>
      <x:c r="B151" s="10" t="str">
        <x:v>Rotina e controle de acesso na seção feminina da Casa de Detenção.</x:v>
      </x:c>
      <x:c r="C151" s="10" t="str">
        <x:v>Item</x:v>
      </x:c>
      <x:c r="D151" s="10" t="str">
        <x:v>1944-10-06 00:00:00</x:v>
      </x:c>
      <x:c r="E151" s="10" t="str">
        <x:v>Gerado pelo Dataverse</x:v>
      </x:c>
      <x:c r="F151" s="10" t="str">
        <x:v>Fotografia digitalizada; preto e branco; suporte em papel fotográfico</x:v>
      </x:c>
      <x:c r="G151" s="10" t="str">
        <x:v>São Paulo, Brasil</x:v>
      </x:c>
      <x:c r="H151" s="10" t="str">
        <x:v>Arquivo Público do Estado de São Paulo, Jornal Diários Associados</x:v>
      </x:c>
      <x:c r="I151" s="10" t="str">
        <x:v>Estado De São Paulo - Penitenciárias e Presídios - Casa de Detenção de São Paulo no Carandiru (Fotografias)</x:v>
      </x:c>
      <x:c r="J151" s="10" t="str">
        <x:v>Caixa: 2776 Folder: 012</x:v>
      </x:c>
      <x:c r="K151" s="10" t="str">
        <x:v>BR-SPAPESP_DASP-PENITPRE-CSDTCARANDIRU_ICO-FOT-DGZ-MT0_2776-012-030</x:v>
      </x:c>
      <x:c r="L151" s="10" t="str">
        <x: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pesquisa de Maíra Rocha Machado, Bianca Tavolari e Maira Rosín (2025)[1].</x:v>
      </x:c>
      <x:c r="M151" s="10" t="str">
        <x:v>Fotografia analógica em preto e branco capturada em plano médio e perfil, mostrando uma funcionária vestindo um casaco claro (possivelmente um uniforme) enquanto manuseia um portão de ferro. Ela segura um grande aro metálico com diversas chaves. Em primeiro plano, na parte inferior, nota-se uma folhagem. A imagem registra o protocolo de segurança da seção feminina, servindo de ilustração para o relato no verso sobre a dinâmica das celas, que permaneciam abertas durante o dia para permitir a circulação das detentas pelas dependências do presídio.</x:v>
      </x:c>
      <x:c r="N151"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51" s="10" t="str">
        <x:v>Casa de Detenção; Seção feminina; Vigilância; Funcionária; Cotidiano prisional; São Paulo.</x:v>
      </x:c>
      <x:c r="P151" s="10" t="str">
        <x:v>Fotografia (Iconográfico)</x:v>
      </x:c>
      <x:c r="Q151" s="10" t="str">
        <x:v>Digitalização de fotografia em preto e branco (analógica original)</x:v>
      </x:c>
      <x:c r="R151" s="10" t="str">
        <x:v>Figura n – [Rotina e controle de acesso na seção feminina da Casa de Detenção.] Fonte: Arquivo Público do Estado de São Paulo, 1944.</x:v>
      </x:c>
      <x:c r="S151" s="10" t="str">
        <x:v>ARQUIVO PÚBLICO DO ESTADO DE SÃO PAULO (Brasil). [Rotina e controle de acesso na seção feminina da Casa de Detenção.]. São Paulo, Brasil. 06 out. 1944. Fotografia digitalizada; preto e branco; suporte em papel fotográfico. Disponível em: &lt;link do dataverse&gt;. Acesso em: 28 out. 2025.</x:v>
      </x:c>
      <x:c r="T151" s="10" t="str">
        <x:v>A FUNCIONARIA FECHANDO UM PORTÃO DA SEÇÃO FEMININA DN.-1A.-6/10/944 ESTADO DE SÃO PAULO - PENITENCIARIAS E PRESIDIOS-CASA DE DETENÇÃO DA AVENIDA TIRADENTES [Parte manuscrita parcialmente obstruída] as célas da Detenção femini na são fechadas pela funcionaria encarregada do serviço. Durante o dia as detentas desfrutam de ampla liberdade de locomoção por todas as dependencias do seu presidio.</x:v>
      </x:c>
      <x:c r="U151" s="10" t="str">
        <x:v>ICO</x:v>
      </x:c>
      <x:c r="V151" s="10" t="str">
        <x:v>FOT</x:v>
      </x:c>
      <x:c r="W151" s="10" t="str">
        <x:v>DGZ</x:v>
      </x:c>
      <x:c r="X151" s="10" t="str">
        <x:v>MT0</x:v>
      </x:c>
      <x:c r="Y151" s="10" t="str">
        <x:v>BR-SPAPESP_DASP-PENITPRE-CSDTCARANDIRU.xlsx</x:v>
      </x:c>
      <x:c r="Z151" s="10" t="str">
        <x:v>2776-012</x:v>
      </x:c>
      <x:c r="AA151" s="11" t="n">
        <x:v>31</x:v>
      </x:c>
      <x:c r="AB151" s="10" t="str">
        <x:v>BR-SPAPESP_DASP-PENITPRE-CSDTCARANDIRU.xlsx:2776-012:31</x:v>
      </x:c>
      <x:c r="AC151" s="11" t="n">
        <x:f>COLUMNS(A151:T151)-COUNTBLANK(A151:T151)</x:f>
        <x:v>20</x:v>
      </x:c>
    </x:row>
    <x:row r="152" ht="84" hidden="0" customHeight="1">
      <x:c r="A152" s="10" t="str">
        <x:v>031</x:v>
      </x:c>
      <x:c r="B152" s="10" t="str">
        <x:v>Perspectiva arquitetônica e dinâmica de circulação em corredor da Casa de Detenção.</x:v>
      </x:c>
      <x:c r="C152" s="10" t="str">
        <x:v>Item</x:v>
      </x:c>
      <x:c r="D152" s="10" t="str">
        <x:v>1978-01-16 00:00:00</x:v>
      </x:c>
      <x:c r="E152" s="10" t="str">
        <x:v>Gerado pelo Dataverse</x:v>
      </x:c>
      <x:c r="F152" s="10" t="str">
        <x:v>Fotografia digitalizada; preto e branco; suporte em papel fotográfico</x:v>
      </x:c>
      <x:c r="G152" s="10" t="str">
        <x:v>São Paulo, Brasil</x:v>
      </x:c>
      <x:c r="H152" s="10" t="str">
        <x:v>Arquivo Público do Estado de São Paulo, Jornal Diários Associados</x:v>
      </x:c>
      <x:c r="I152" s="10" t="str">
        <x:v>Estado De São Paulo - Penitenciárias e Presídios - Casa de Detenção de São Paulo no Carandiru (Fotografias)</x:v>
      </x:c>
      <x:c r="J152" s="10" t="str">
        <x:v>Caixa: 2776 Folder: 012</x:v>
      </x:c>
      <x:c r="K152" s="10" t="str">
        <x:v>BR-SPAPESP_DASP-PENITPRE-CSDTCARANDIRU_ICO-FOT-DGZ-MT0_2776-012-031</x:v>
      </x:c>
      <x:c r="L152" s="10" t="str">
        <x: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pesquisa de Maíra Rocha Machado, Bianca Tavolari e Maira Rosín (2025)[1].</x:v>
      </x:c>
      <x:c r="M152" s="10" t="str">
        <x:v>Fotografia analógica em preto e branco que retrata a perspectiva profunda de um longo corredor interno na Casa de Detenção. A composição centralizada destaca a simetria das portas das celas enfileiradas em ambos os lados do pavilhão. Ao centro, duas pessoas estão posicionadas de pé, aparentemente em diálogo. A iluminação, que provém do fundo do corredor, cria silhuetas e enfatiza a extensão e a infraestrutura do ambiente carcerário na década de 1970.</x:v>
      </x:c>
      <x:c r="N152"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52" s="10" t="str">
        <x:v>Casa de Detenção; Arquitetura prisional; Cotidiano; Sistema prisional; São Paulo; Corredor.</x:v>
      </x:c>
      <x:c r="P152" s="10" t="str">
        <x:v>Fotografia (Iconográfico)</x:v>
      </x:c>
      <x:c r="Q152" s="10" t="str">
        <x:v>Digitalização de fotografia em preto e branco (analógica original)</x:v>
      </x:c>
      <x:c r="R152" s="10" t="str">
        <x:v>Figura n – [Perspectiva arquitetônica e dinâmica de circulação em corredor da Casa de Detenção.] Fonte: Arquivo Público do Estado de São Paulo, 1978.</x:v>
      </x:c>
      <x:c r="S152" s="10" t="str">
        <x:v>ARQUIVO PÚBLICO DO ESTADO DE SÃO PAULO (Brasil). [Perspectiva arquitetônica e dinâmica de circulação em corredor da Casa de Detenção.]. São Paulo, Brasil. 16 jan. 1978. Fotografia digitalizada; preto e branco; suporte em papel fotográfico. Disponível em: &lt;link do dataverse&gt;. Acesso em: 28 out. 2025.</x:v>
      </x:c>
      <x:c r="T152" s="10" t="str">
        <x:v>ESTADO DE SÃO PAULO = PENITENCIÁRIA E PRESIDIOS = CASA DE DETENÇÃO Aspecto interior da Casa de Detenção. DN-16/1/78.</x:v>
      </x:c>
      <x:c r="U152" s="10" t="str">
        <x:v>ICO</x:v>
      </x:c>
      <x:c r="V152" s="10" t="str">
        <x:v>FOT</x:v>
      </x:c>
      <x:c r="W152" s="10" t="str">
        <x:v>DGZ</x:v>
      </x:c>
      <x:c r="X152" s="10" t="str">
        <x:v>MT0</x:v>
      </x:c>
      <x:c r="Y152" s="10" t="str">
        <x:v>BR-SPAPESP_DASP-PENITPRE-CSDTCARANDIRU.xlsx</x:v>
      </x:c>
      <x:c r="Z152" s="10" t="str">
        <x:v>2776-012</x:v>
      </x:c>
      <x:c r="AA152" s="11" t="n">
        <x:v>32</x:v>
      </x:c>
      <x:c r="AB152" s="10" t="str">
        <x:v>BR-SPAPESP_DASP-PENITPRE-CSDTCARANDIRU.xlsx:2776-012:32</x:v>
      </x:c>
      <x:c r="AC152" s="11" t="n">
        <x:f>COLUMNS(A152:T152)-COUNTBLANK(A152:T152)</x:f>
        <x:v>20</x:v>
      </x:c>
    </x:row>
    <x:row r="153" ht="84" hidden="0" customHeight="1">
      <x:c r="A153" s="10" t="str">
        <x:v>032</x:v>
      </x:c>
      <x:c r="B153" s="10" t="str">
        <x:v>Dinâmica de movimentação e controle em ala da Casa de Detenção.</x:v>
      </x:c>
      <x:c r="C153" s="10" t="str">
        <x:v>Item</x:v>
      </x:c>
      <x:c r="D153" s="10" t="str">
        <x:v>1978-01-16 00:00:00</x:v>
      </x:c>
      <x:c r="E153" s="10" t="str">
        <x:v>Gerado pelo Dataverse</x:v>
      </x:c>
      <x:c r="F153" s="10" t="str">
        <x:v>Fotografia digitalizada; preto e branco; suporte em papel fotográfico</x:v>
      </x:c>
      <x:c r="G153" s="10" t="str">
        <x:v>São Paulo, Brasil</x:v>
      </x:c>
      <x:c r="H153" s="10" t="str">
        <x:v>Arquivo Público do Estado de São Paulo, Jornal Diários Associados</x:v>
      </x:c>
      <x:c r="I153" s="10" t="str">
        <x:v>Estado De São Paulo - Penitenciárias e Presídios - Casa de Detenção de São Paulo no Carandiru (Fotografias)</x:v>
      </x:c>
      <x:c r="J153" s="10" t="str">
        <x:v>Caixa: 2776 Folder: 012</x:v>
      </x:c>
      <x:c r="K153" s="10" t="str">
        <x:v>BR-SPAPESP_DASP-PENITPRE-CSDTCARANDIRU_ICO-FOT-DGZ-MT0_2776-012-032</x:v>
      </x:c>
      <x:c r="L153" s="10" t="str">
        <x: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pesquisa de Maíra Rocha Machado, Bianca Tavolari e Maira Rosín (2025)[1].</x:v>
      </x:c>
      <x:c r="M153" s="10" t="str">
        <x:v>Fotografia analógica em preto e branco capturada em plano médio, registrando o interior de um pavilhão da unidade. A imagem apresenta um corredor amplo com uma grade de ferro transversal que divide o espaço. No centro da composição, um homem caminha em direção ao primeiro plano através de uma abertura na grade, enquanto outras pessoas estão posicionadas ao fundo e nas laterais, apoiados na estrutura metálica. À esquerda, observam-se janelas altas e retangulares que permitem a entrada de luz natural. O registro visual documenta a infraestrutura e o cotidiano de circulação em uma das alas da instituição na década de 1970.</x:v>
      </x:c>
      <x:c r="N153"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53" s="10" t="str">
        <x:v>Casa de Detenção; Pavilhão; Grade de ferro; Sistema prisional; São Paulo; Circulação interna.</x:v>
      </x:c>
      <x:c r="P153" s="10" t="str">
        <x:v>Fotografia (Iconográfico)</x:v>
      </x:c>
      <x:c r="Q153" s="10" t="str">
        <x:v>Digitalização de fotografia em preto e branco (analógica original).</x:v>
      </x:c>
      <x:c r="R153" s="10" t="str">
        <x:v>Figura n – [Dinâmica de movimentação e controle em ala da Casa de Detenção.] Fonte: Arquivo Público do Estado de São Paulo, 1978.</x:v>
      </x:c>
      <x:c r="S153" s="10" t="str">
        <x:v>ARQUIVO PÚBLICO DO ESTADO DE SÃO PAULO (Brasil). [Dinâmica de movimentação e controle em ala da Casa de Detenção.]. São Paulo, Brasil. 16 jan. 1978. Fotografia digitalizada; preto e branco; suporte em papel fotográfico. Disponível em: &lt;link do dataverse&gt;. Acesso em: 28 out. 2025.</x:v>
      </x:c>
      <x:c r="T153" s="10" t="str">
        <x:v>ESTADO DE SÃO PAULO = PENITENCIÁRIA E PRESIDIOS = CASA DE DETENÇÃO Aspecto interior de uma das alas da Casa de Detenção. DN-16/1/78.</x:v>
      </x:c>
      <x:c r="U153" s="10" t="str">
        <x:v>ICO</x:v>
      </x:c>
      <x:c r="V153" s="10" t="str">
        <x:v>FOT</x:v>
      </x:c>
      <x:c r="W153" s="10" t="str">
        <x:v>DGZ</x:v>
      </x:c>
      <x:c r="X153" s="10" t="str">
        <x:v>MT0</x:v>
      </x:c>
      <x:c r="Y153" s="10" t="str">
        <x:v>BR-SPAPESP_DASP-PENITPRE-CSDTCARANDIRU.xlsx</x:v>
      </x:c>
      <x:c r="Z153" s="10" t="str">
        <x:v>2776-012</x:v>
      </x:c>
      <x:c r="AA153" s="11" t="n">
        <x:v>33</x:v>
      </x:c>
      <x:c r="AB153" s="10" t="str">
        <x:v>BR-SPAPESP_DASP-PENITPRE-CSDTCARANDIRU.xlsx:2776-012:33</x:v>
      </x:c>
      <x:c r="AC153" s="11" t="n">
        <x:f>COLUMNS(A153:T153)-COUNTBLANK(A153:T153)</x:f>
        <x:v>20</x:v>
      </x:c>
    </x:row>
    <x:row r="154" ht="84" hidden="0" customHeight="1">
      <x:c r="A154" s="10" t="str">
        <x:v>033</x:v>
      </x:c>
      <x:c r="B154" s="10" t="str">
        <x:v>Registro arquitetônico do portão principal de acesso da Casa de Detenção de São Paulo na Avenida Tiradentes.</x:v>
      </x:c>
      <x:c r="C154" s="10" t="str">
        <x:v>Item</x:v>
      </x:c>
      <x:c r="D154" s="10" t="str">
        <x:v>1977-03-13 00:00:00</x:v>
      </x:c>
      <x:c r="E154" s="10" t="str">
        <x:v>Gerado pelo Dataverse</x:v>
      </x:c>
      <x:c r="F154" s="10" t="str">
        <x:v>Fotografia digitalizada; preto e branco; suporte em papel fotográfico</x:v>
      </x:c>
      <x:c r="G154" s="10" t="str">
        <x:v>São Paulo, Brasil</x:v>
      </x:c>
      <x:c r="H154" s="10" t="str">
        <x:v>Arquivo Público do Estado de São Paulo, Jornal Diários Associados</x:v>
      </x:c>
      <x:c r="I154" s="10" t="str">
        <x:v>Estado De São Paulo - Penitenciárias e Presídios - Casa de Detenção de São Paulo no Carandiru (Fotografias)</x:v>
      </x:c>
      <x:c r="J154" s="10" t="str">
        <x:v>Caixa: 2776 Folder: 012</x:v>
      </x:c>
      <x:c r="K154" s="10" t="str">
        <x:v>BR-SPAPESP_DASP-PENITPRE-CSDTCARANDIRU_ICO-FOT-DGZ-MT0_2776-012-033</x:v>
      </x:c>
      <x:c r="L154" s="10" t="str">
        <x: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pesquisa de Maíra Rocha Machado, Bianca Tavolari e Maira Rosín (2025)[1].</x:v>
      </x:c>
      <x:c r="M154" s="10" t="str">
        <x:v>Fotografia analógica em preto e branco, capturada em plano médio, apresentando a fachada de um antigo portão com arco de volta inteira. A estrutura possui colunas laterais e detalhes ornamentais no topo, exibindo sinais de desgaste e tijolos expostos na extremidade esquerda. Diversos cabos de fiação elétrica cruzam a imagem em primeiro plano. Ao fundo, à esquerda, observa-se parte de um edifício alvo com janelas. O registro documenta a fachada do edifício que, segundo o verso, possui mais de 150 anos de história no contexto do sistema prisional paulista.</x:v>
      </x:c>
      <x:c r="N154"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54" s="10" t="str">
        <x:v>Casa de Detenção; Avenida Tiradentes; Arquitetura; Patrimônio histórico; portão; São Paulo.</x:v>
      </x:c>
      <x:c r="P154" s="10" t="str">
        <x:v>Fotografia (Iconográfico)</x:v>
      </x:c>
      <x:c r="Q154" s="10" t="str">
        <x:v>Digitalização de fotografia em preto e branco (analógica original).</x:v>
      </x:c>
      <x:c r="R154" s="10" t="str">
        <x:v>Figura n – [Registro arquitetônico do portão principal de acesso da Casa de Detenção de São Paulo na Avenida Tiradentes.] Fonte: Arquivo Público do Estado de São Paulo, 1977.</x:v>
      </x:c>
      <x:c r="S154" s="10" t="str">
        <x:v>ARQUIVO PÚBLICO DO ESTADO DE SÃO PAULO (Brasil). [Registro arquitetônico do portão principal de acesso da Casa de Detenção de São Paulo na Avenida Tiradentes.]. São Paulo, Brasil. 13 mar. 1977. Fotografia digitalizada; preto e branco; suporte em papel fotográfico. Disponível em: &lt;link do dataverse&gt;. Acesso em: 28 out. 2025.</x:v>
      </x:c>
      <x:c r="T154" s="10" t="str">
        <x:v>ESTADO DE SÃO PAULO = PENITENCIARIAS E PRESIDIOS = CASA DE DETENÇÃO (Av.Tiradentes) Através destes portos passaram protagonistas de dramas e tragédias. é o casarão da Av.Tiradentes que tem mais de 150 anos. DSP-13/3/77-dcp.</x:v>
      </x:c>
      <x:c r="U154" s="10" t="str">
        <x:v>ICO</x:v>
      </x:c>
      <x:c r="V154" s="10" t="str">
        <x:v>FOT</x:v>
      </x:c>
      <x:c r="W154" s="10" t="str">
        <x:v>DGZ</x:v>
      </x:c>
      <x:c r="X154" s="10" t="str">
        <x:v>MT0</x:v>
      </x:c>
      <x:c r="Y154" s="10" t="str">
        <x:v>BR-SPAPESP_DASP-PENITPRE-CSDTCARANDIRU.xlsx</x:v>
      </x:c>
      <x:c r="Z154" s="10" t="str">
        <x:v>2776-012</x:v>
      </x:c>
      <x:c r="AA154" s="11" t="n">
        <x:v>34</x:v>
      </x:c>
      <x:c r="AB154" s="10" t="str">
        <x:v>BR-SPAPESP_DASP-PENITPRE-CSDTCARANDIRU.xlsx:2776-012:34</x:v>
      </x:c>
      <x:c r="AC154" s="11" t="n">
        <x:f>COLUMNS(A154:T154)-COUNTBLANK(A154:T154)</x:f>
        <x:v>20</x:v>
      </x:c>
    </x:row>
    <x:row r="155" ht="84" hidden="0" customHeight="1">
      <x:c r="A155" s="10" t="str">
        <x:v>034</x:v>
      </x:c>
      <x:c r="B155" s="10" t="str">
        <x:v>Densidade demográfica e superlotação na Casa de Detenção.</x:v>
      </x:c>
      <x:c r="C155" s="10" t="str">
        <x:v>Item</x:v>
      </x:c>
      <x:c r="D155" s="10" t="str">
        <x:v>1976-05-17 00:00:00</x:v>
      </x:c>
      <x:c r="E155" s="10" t="str">
        <x:v>Gerado pelo Dataverse</x:v>
      </x:c>
      <x:c r="F155" s="10" t="str">
        <x:v>Fotografia digitalizada; preto e branco; suporte em papel fotográfico</x:v>
      </x:c>
      <x:c r="G155" s="10" t="str">
        <x:v>São Paulo, Brasil</x:v>
      </x:c>
      <x:c r="H155" s="10" t="str">
        <x:v>Arquivo Público do Estado de São Paulo, Jornal Diários Associados</x:v>
      </x:c>
      <x:c r="I155" s="10" t="str">
        <x:v>Estado De São Paulo - Penitenciárias e Presídios - Casa de Detenção de São Paulo no Carandiru (Fotografias)</x:v>
      </x:c>
      <x:c r="J155" s="10" t="str">
        <x:v>Caixa: 2776 Folder: 012</x:v>
      </x:c>
      <x:c r="K155" s="10" t="str">
        <x:v>BR-SPAPESP_DASP-PENITPRE-CSDTCARANDIRU_ICO-FOT-DGZ-MT0_2776-012-034</x:v>
      </x:c>
      <x:c r="L155" s="10" t="str">
        <x: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pesquisa de Maíra Rocha Machado, Bianca Tavolari e Maira Rosín (2025)[1].</x:v>
      </x:c>
      <x:c r="M155" s="10" t="str">
        <x:v>Fotografia analógica em preto e branco capturada em plano aberto, documentando uma grande aglomeração de detentos sentados no chão do pátio externo da instituição. Ao fundo, observam-se os muros altos que delimitam o presídio, com pequenas estruturas de observação no topo. A imagem registra visualmente o estado de superlotação da unidade em maio de 1976, servindo de lastro para o dado estatístico presente no verso, que indica a presença de 6.041 pessoas em um espaço com capacidade projetada para 2.200.</x:v>
      </x:c>
      <x:c r="N155"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55" s="10" t="str">
        <x:v>Casa de Detenção; Superlotação; População carcerária; Sistema prisional; São Paulo; Pátio.</x:v>
      </x:c>
      <x:c r="P155" s="10" t="str">
        <x:v>Fotografia (Iconográfico)</x:v>
      </x:c>
      <x:c r="Q155" s="10" t="str">
        <x:v>Digitalização de fotografia em preto e branco (analógica original)</x:v>
      </x:c>
      <x:c r="R155" s="10" t="str">
        <x:v>Figura n – [Densidade demográfica e superlotação na Casa de Detenção.] Fonte: Arquivo Público do Estado de São Paulo, 1976.</x:v>
      </x:c>
      <x:c r="S155" s="10" t="str">
        <x:v>ARQUIVO PÚBLICO DO ESTADO DE SÃO PAULO (Brasil). [Densidade demográfica e superlotação na Casa de Detenção.]. São Paulo, Brasil. 17 mai. 1976. Fotografia digitalizada; preto e branco; suporte em papel fotográfico. Disponível em: &lt;link do dataverse&gt;. Acesso em: 28 out. 2025.</x:v>
      </x:c>
      <x:c r="T155" s="10" t="str">
        <x:v>ESTADO DE SÃO PAULO - PENITENCIARIA E PRESIDIOS - CASA DE DETENÇÃO Onde cabem 2.200 estão 6.041. É a cadeia superlotada DN.17/5/1976--dcc</x:v>
      </x:c>
      <x:c r="U155" s="10" t="str">
        <x:v>ICO</x:v>
      </x:c>
      <x:c r="V155" s="10" t="str">
        <x:v>FOT</x:v>
      </x:c>
      <x:c r="W155" s="10" t="str">
        <x:v>DGZ</x:v>
      </x:c>
      <x:c r="X155" s="10" t="str">
        <x:v>MT0</x:v>
      </x:c>
      <x:c r="Y155" s="10" t="str">
        <x:v>BR-SPAPESP_DASP-PENITPRE-CSDTCARANDIRU.xlsx</x:v>
      </x:c>
      <x:c r="Z155" s="10" t="str">
        <x:v>2776-012</x:v>
      </x:c>
      <x:c r="AA155" s="11" t="n">
        <x:v>35</x:v>
      </x:c>
      <x:c r="AB155" s="10" t="str">
        <x:v>BR-SPAPESP_DASP-PENITPRE-CSDTCARANDIRU.xlsx:2776-012:35</x:v>
      </x:c>
      <x:c r="AC155" s="11" t="n">
        <x:f>COLUMNS(A155:T155)-COUNTBLANK(A155:T155)</x:f>
        <x:v>20</x:v>
      </x:c>
    </x:row>
    <x:row r="156" ht="84" hidden="0" customHeight="1">
      <x:c r="A156" s="10" t="str">
        <x:v>035</x:v>
      </x:c>
      <x:c r="B156" s="10" t="str">
        <x:v>Pavilhão 5 na data da inauguração (17.12.1963)</x:v>
      </x:c>
      <x:c r="C156" s="10" t="str">
        <x:v>Item</x:v>
      </x:c>
      <x:c r="D156" s="10" t="str">
        <x:v>1963-12-17 00:00:00</x:v>
      </x:c>
      <x:c r="E156" s="10" t="str">
        <x:v>Gerado pelo Dataverse</x:v>
      </x:c>
      <x:c r="F156" s="10" t="str">
        <x:v>Fotografia digitalizada; preto e branco; suporte em papel fotográfico</x:v>
      </x:c>
      <x:c r="G156" s="10" t="str">
        <x:v>São Paulo, Brasil</x:v>
      </x:c>
      <x:c r="H156" s="10" t="str">
        <x:v>Arquivo Público do Estado de São Paulo, Jornal Diários Associados</x:v>
      </x:c>
      <x:c r="I156" s="10" t="str">
        <x:v>Estado De São Paulo - Penitenciárias e Presídios - Casa de Detenção de São Paulo no Carandiru (Fotografias)</x:v>
      </x:c>
      <x:c r="J156" s="10" t="str">
        <x:v>Caixa: 2776 Folder: 012</x:v>
      </x:c>
      <x:c r="K156" s="10" t="str">
        <x:v>BR-SPAPESP_DASP-PENITPRE-CSDTCARANDIRU_ICO-FOT-DGZ-MT0_2776-012-035</x:v>
      </x:c>
      <x:c r="L156" s="10" t="str">
        <x: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pesquisa de Maíra Rocha Machado, Bianca Tavolari e Maira Rosín (2025)[1].</x:v>
      </x:c>
      <x:c r="M156" s="10" t="str">
        <x:v>Vista externa de um pavilhão carcerário de três andares com janelas gradeadas, protegido por uma muralha de segurança e passarelas de vigilância com guaritas. Em primeiro plano, observa-se uma área aberta com a presença de carros antigos e pequenos grupos de pessoas, possivelmente autoridades e funcionários no dia da inauguração.</x:v>
      </x:c>
      <x:c r="N156"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56" s="10" t="str">
        <x:v>Inauguração; Pavilhão; Ademar de Barros; Carandiru; Arquitetura prisional; Muralha</x:v>
      </x:c>
      <x:c r="P156" s="10" t="str">
        <x:v>Fotografia (Iconográfico)</x:v>
      </x:c>
      <x:c r="Q156" s="10" t="str">
        <x:v>"Digitalização de fotografia em preto e branco (analógica original)"</x:v>
      </x:c>
      <x:c r="R156" s="10" t="str">
        <x:v>Figura n – [Pavilhão 5 na data da inauguração (17.12.1963)] Fonte: Arquivo Público do Estado de São Paulo, 1963.</x:v>
      </x:c>
      <x:c r="S156" s="10" t="str">
        <x:v>ARQUIVO PÚBLICO DO ESTADO DE SÃO PAULO (Brasil). [Pavilhão 5 na data da inauguração (17.12.1963)]. São Paulo, Brasil. 17 dez. 1963. Fotografia digitalizada; preto e branco; suporte em papel fotográfico. Disponível em: &lt;link do dataverse&gt;. Acesso em: 28 out. 2025.</x:v>
      </x:c>
      <x:c r="T156" s="10" t="str">
        <x:v>ESTADO DE SAO PAULO = PENITENCIARIAS E PRESIDIOS - CASA DE DETENÇÃO DO CARANDIRÚ - ADEMAR INAUGURA PRESÍDIO - Foi inaugurado hoje, mais um pavilhão da nova Casa de Detenção, no Carandiru. O bloco possui 500 celas individuais e é o quinto a ser inaugurado dos nove projetados, destinando-se aos detentos de crimes de peculato que se encontram mantidos no presidio da avenida Tiradentes. O ato foi abrilhantado pela banda de musica daquele estabelecimento penal e contou com a presença do governador Ademar Pereira de Barros, sua esposa dona Leonor Mendes, do sr. Joao Tavares da Silva, diretor da Casa de Detenção e outras autoridades. ver, DN. 2a. Ed. 17/12/1963-cjs. DSP- 3/9/1975- dec</x:v>
      </x:c>
      <x:c r="U156" s="10" t="str">
        <x:v>ICO</x:v>
      </x:c>
      <x:c r="V156" s="10" t="str">
        <x:v>FOT</x:v>
      </x:c>
      <x:c r="W156" s="10" t="str">
        <x:v>DGZ</x:v>
      </x:c>
      <x:c r="X156" s="10" t="str">
        <x:v>MT0</x:v>
      </x:c>
      <x:c r="Y156" s="10" t="str">
        <x:v>BR-SPAPESP_DASP-PENITPRE-CSDTCARANDIRU.xlsx</x:v>
      </x:c>
      <x:c r="Z156" s="10" t="str">
        <x:v>2776-012</x:v>
      </x:c>
      <x:c r="AA156" s="11" t="n">
        <x:v>36</x:v>
      </x:c>
      <x:c r="AB156" s="10" t="str">
        <x:v>BR-SPAPESP_DASP-PENITPRE-CSDTCARANDIRU.xlsx:2776-012:36</x:v>
      </x:c>
      <x:c r="AC156" s="11" t="n">
        <x:f>COLUMNS(A156:T156)-COUNTBLANK(A156:T156)</x:f>
        <x:v>20</x:v>
      </x:c>
    </x:row>
    <x:row r="157" ht="84" hidden="0" customHeight="1">
      <x:c r="A157" s="10" t="str">
        <x:v>036</x:v>
      </x:c>
      <x:c r="B157" s="10" t="str">
        <x:v>Atendimento médico emergencial após tentativa de evasão na Casa de Detenção.</x:v>
      </x:c>
      <x:c r="C157" s="10" t="str">
        <x:v>Item</x:v>
      </x:c>
      <x:c r="D157" s="10" t="str">
        <x:v>1961-12-13 00:00:00</x:v>
      </x:c>
      <x:c r="E157" s="10" t="str">
        <x:v>Gerado pelo Dataverse</x:v>
      </x:c>
      <x:c r="F157" s="10" t="str">
        <x:v>Fotografia digitalizada; preto e branco; suporte em papel fotográfico</x:v>
      </x:c>
      <x:c r="G157" s="10" t="str">
        <x:v>São Paulo, Brasil</x:v>
      </x:c>
      <x:c r="H157" s="10" t="str">
        <x:v>Arquivo Público do Estado de São Paulo, Jornal Diários Associados</x:v>
      </x:c>
      <x:c r="I157" s="10" t="str">
        <x:v>Estado De São Paulo - Penitenciárias e Presídios - Casa de Detenção de São Paulo no Carandiru (Fotografias)</x:v>
      </x:c>
      <x:c r="J157" s="10" t="str">
        <x:v>Caixa: 2776 Folder: 012</x:v>
      </x:c>
      <x:c r="K157" s="10" t="str">
        <x:v>BR-SPAPESP_DASP-PENITPRE-CSDTCARANDIRU_ICO-FOT-DGZ-MT0_2776-012-036</x:v>
      </x:c>
      <x:c r="L157" s="10" t="str">
        <x: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pesquisa de Maíra Rocha Machado, Bianca Tavolari e Maira Rosín (2025)[1].</x:v>
      </x:c>
      <x:c r="M157" s="10" t="str">
        <x:v>Fotografia analógica em tom sépia, capturada em plano médio no interior de uma ambulância. A imagem registra um homem deitado em uma maca, vestindo trajes claros e apresentando graves ferimentos na região da face. À direita, um profissional de saúde, vestindo branco, inclina-se sobre o paciente em atitude de assistência. No fundo do compartimento, observa-se um cilindro de oxigênio com manômetro e uma tela de ventilação. O registro documenta o socorro prestado a Mauro Cardoso da Silva após ser atingido durante uma tentativa de fuga coletiva na madrugada de 13 de dezembro de 1961, conforme detalhado no verso do documento.</x:v>
      </x:c>
      <x:c r="N157"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57" s="10" t="str">
        <x:v>Casa de Detenção; Avenida Tiradentes; Tentativa de fuga; Atendimento médico; Ambulância; Mauro Cardoso da Silva; Sistema prisional.</x:v>
      </x:c>
      <x:c r="P157" s="10" t="str">
        <x:v>Fotografia (Iconográfico)</x:v>
      </x:c>
      <x:c r="Q157" s="10" t="str">
        <x:v>Digitalização de fotografia em tom sépia (analógica original)</x:v>
      </x:c>
      <x:c r="R157" s="10" t="str">
        <x:v>Figura n – [Atendimento médico emergencial após tentativa de evasão na Casa de Detenção.] Fonte: Arquivo Público do Estado de São Paulo, 1961.</x:v>
      </x:c>
      <x:c r="S157" s="10" t="str">
        <x:v>ARQUIVO PÚBLICO DO ESTADO DE SÃO PAULO (Brasil). [Atendimento médico emergencial após tentativa de evasão na Casa de Detenção.]. São Paulo, Brasil. 13 dez. 1961. Fotografia digitalizada; preto e branco; suporte em papel fotográfico. Disponível em: &lt;link do dataverse&gt;. Acesso em: 28 out. 2025.</x:v>
      </x:c>
      <x:c r="T157" s="10" t="str">
        <x:v>ESTADO DE SÃO PAULO - PENITENCIARIAS E PRESIDIOS - CASA DE DETENÇÃO DA AVENIDA TIRADENTES METRALHADOS DURANTE A FUGA OS PRESIDIARIOS. O assaltante Mauro Cardoso da Silva, que participou do motim no Manicomio Judiciário, há três anos, é assistido no interior de uma ambulância, em estado desesperador por ter sido atingido com três tiros de metralhadora em pleno rosto quando tentava fugir juntamente com outros presidiários, da Casa de Detenção da Avenida Tiradentes, na madrugada de 12 para 13 de dezembro de 1961. Ver DN., 1a Ed., 13/12/961 acf</x:v>
      </x:c>
      <x:c r="U157" s="10" t="str">
        <x:v>ICO</x:v>
      </x:c>
      <x:c r="V157" s="10" t="str">
        <x:v>FOT</x:v>
      </x:c>
      <x:c r="W157" s="10" t="str">
        <x:v>DGZ</x:v>
      </x:c>
      <x:c r="X157" s="10" t="str">
        <x:v>MT0</x:v>
      </x:c>
      <x:c r="Y157" s="10" t="str">
        <x:v>BR-SPAPESP_DASP-PENITPRE-CSDTCARANDIRU.xlsx</x:v>
      </x:c>
      <x:c r="Z157" s="10" t="str">
        <x:v>2776-012</x:v>
      </x:c>
      <x:c r="AA157" s="11" t="n">
        <x:v>37</x:v>
      </x:c>
      <x:c r="AB157" s="10" t="str">
        <x:v>BR-SPAPESP_DASP-PENITPRE-CSDTCARANDIRU.xlsx:2776-012:37</x:v>
      </x:c>
      <x:c r="AC157" s="11" t="n">
        <x:f>COLUMNS(A157:T157)-COUNTBLANK(A157:T157)</x:f>
        <x:v>20</x:v>
      </x:c>
    </x:row>
    <x:row r="158" ht="84" hidden="0" customHeight="1">
      <x:c r="A158" s="10" t="str">
        <x:v>037</x:v>
      </x:c>
      <x:c r="B158" s="10" t="str">
        <x:v>Mobilização policial após fuga coletiva na Casa de Detenção de São Paulo na Avenida Tiradentes.</x:v>
      </x:c>
      <x:c r="C158" s="10" t="str">
        <x:v>Item</x:v>
      </x:c>
      <x:c r="D158" s="10" t="str">
        <x:v>1960-03-06 00:00:00</x:v>
      </x:c>
      <x:c r="E158" s="10" t="str">
        <x:v>Gerado pelo Dataverse</x:v>
      </x:c>
      <x:c r="F158" s="10" t="str">
        <x:v>Fotografia digitalizada; preto e branco; suporte em papel fotográfico</x:v>
      </x:c>
      <x:c r="G158" s="10" t="str">
        <x:v>São Paulo, Brasil</x:v>
      </x:c>
      <x:c r="H158" s="10" t="str">
        <x:v>Arquivo Público do Estado de São Paulo, Jornal Diários Associados</x:v>
      </x:c>
      <x:c r="I158" s="10" t="str">
        <x:v>Estado De São Paulo - Penitenciárias e Presídios - Casa de Detenção de São Paulo no Carandiru (Fotografias)</x:v>
      </x:c>
      <x:c r="J158" s="10" t="str">
        <x:v>Caixa: 2776 Folder: 012</x:v>
      </x:c>
      <x:c r="K158" s="10" t="str">
        <x:v>BR-SPAPESP_DASP-PENITPRE-CSDTCARANDIRU_ICO-FOT-DGZ-MT0_2776-012-037</x:v>
      </x:c>
      <x:c r="L158" s="10" t="str">
        <x: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pesquisa de Maíra Rocha Machado, Bianca Tavolari e Maira Rosín (2025)[1].</x:v>
      </x:c>
      <x:c r="M158" s="10" t="str">
        <x:v>Fotografia analógica em preto e branco capturada em plano aberto em frente à Casa de Detenção de São Paulo na Avenida Tiradentes. A imagem registra o momento em que tropas da Força Pública (FP) chegam ao local para reforçar o policiamento após a notícia de uma fuga coletiva. Em primeiro plano, observa-se um contingente de soldados fardados, equipados com capacetes e rifles, posicionados de costas para a câmera em direção à entrada do presídio. À direita, civis e outros funcionários acompanham a movimentação próximo a uma guarita. O registro visual documenta a resposta institucional a uma evasão realizada por meio de um túnel de 12 metros, conforme relatado no verso do documento.</x:v>
      </x:c>
      <x:c r="N158"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58" s="10" t="str">
        <x:v>Casa de Detenção; Avenida Tiradentes; Fuga; Força Pública; Policiamento; São Paulo.</x:v>
      </x:c>
      <x:c r="P158" s="10" t="str">
        <x:v>Fotografia (Iconográfico)</x:v>
      </x:c>
      <x:c r="Q158" s="10" t="str">
        <x:v>Digitalização de fotografia em preto e branco (analógica original).</x:v>
      </x:c>
      <x:c r="R158" s="10" t="str">
        <x:v>Figura n – [Mobilização policial após fuga coletiva na Casa de Detenção de São Paulo na Avenida Tiradentes.] Fonte: Arquivo Público do Estado de São Paulo, 1960.</x:v>
      </x:c>
      <x:c r="S158" s="10" t="str">
        <x:v>ARQUIVO PÚBLICO DO ESTADO DE SÃO PAULO (Brasil). [Mobilização policial após fuga coletiva na Casa de Detenção de São Paulo na Avenida Tiradentes.]. São Paulo, Brasil. 06 mar. 1960. Fotografia digitalizada; preto e branco; suporte em papel fotográfico. Disponível em: &lt;link do dataverse&gt;. Acesso em: 28 out. 2025.</x:v>
      </x:c>
      <x:c r="T158" s="10" t="str">
        <x:v>ESTADO DE SÃO PAULO - PENITENCIARIAS E PRESIDIOS = CASA DE DETENÇÃO DA AVENIDA TIRADENTES= POR UM TUNEL DE 12 METROS EVADIRAM-SE NOVE CRIMINOSOS Flagrante tomado na tarde do dia 6/3/960, em frente à Casa de Detenção, quando foi noticiada a fuga dos detentos: Joaquim Gonçalves dos Santos; Antonio Paulo Lima Filho; Jose da Silva; Benedito França Nantes; Darci da Silva; Americo Calice; Carlos Marcelo Catapreta; Sergio Bonafe e Mario Alves de Oliveira, quase todos ladrões. Na foto, tropas da FP chegam para reforçar o policiamento no presídio. DN Ia.Ed. 7/3/960 W-</x:v>
      </x:c>
      <x:c r="U158" s="10" t="str">
        <x:v>ICO</x:v>
      </x:c>
      <x:c r="V158" s="10" t="str">
        <x:v>FOT</x:v>
      </x:c>
      <x:c r="W158" s="10" t="str">
        <x:v>DGZ</x:v>
      </x:c>
      <x:c r="X158" s="10" t="str">
        <x:v>MT0</x:v>
      </x:c>
      <x:c r="Y158" s="10" t="str">
        <x:v>BR-SPAPESP_DASP-PENITPRE-CSDTCARANDIRU.xlsx</x:v>
      </x:c>
      <x:c r="Z158" s="10" t="str">
        <x:v>2776-012</x:v>
      </x:c>
      <x:c r="AA158" s="11" t="n">
        <x:v>38</x:v>
      </x:c>
      <x:c r="AB158" s="10" t="str">
        <x:v>BR-SPAPESP_DASP-PENITPRE-CSDTCARANDIRU.xlsx:2776-012:38</x:v>
      </x:c>
      <x:c r="AC158" s="11" t="n">
        <x:f>COLUMNS(A158:T158)-COUNTBLANK(A158:T158)</x:f>
        <x:v>20</x:v>
      </x:c>
    </x:row>
    <x:row r="159" ht="84" hidden="0" customHeight="1">
      <x:c r="A159" s="10" t="str">
        <x:v>038</x:v>
      </x:c>
      <x:c r="B159" s="10" t="str">
        <x:v>Mobilização de familiares após notícia de fuga na Casa de Detenção.</x:v>
      </x:c>
      <x:c r="C159" s="10" t="str">
        <x:v>Item</x:v>
      </x:c>
      <x:c r="D159" s="10" t="str">
        <x:v>1960-03-06 00:00:00</x:v>
      </x:c>
      <x:c r="E159" s="10" t="str">
        <x:v>Gerado pelo Dataverse</x:v>
      </x:c>
      <x:c r="F159" s="10" t="str">
        <x:v>Fotografia digitalizada; preto e branco; suporte em papel fotográfico</x:v>
      </x:c>
      <x:c r="G159" s="10" t="str">
        <x:v>São Paulo, Brasil</x:v>
      </x:c>
      <x:c r="H159" s="10" t="str">
        <x:v>Arquivo Público do Estado de São Paulo, Jornal Diários Associados</x:v>
      </x:c>
      <x:c r="I159" s="10" t="str">
        <x:v>Estado De São Paulo - Penitenciárias e Presídios - Casa de Detenção de São Paulo no Carandiru (Fotografias)</x:v>
      </x:c>
      <x:c r="J159" s="10" t="str">
        <x:v>Caixa: 2776 Folder: 012</x:v>
      </x:c>
      <x:c r="K159" s="10" t="str">
        <x:v>BR-SPAPESP_DASP-PENITPRE-CSDTCARANDIRU_ICO-FOT-DGZ-MT0_2776-012-038</x:v>
      </x:c>
      <x:c r="L159" s="10" t="str">
        <x: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pesquisa de Maíra Rocha Machado, Bianca Tavolari e Maira Rosín (2025)[1].</x:v>
      </x:c>
      <x:c r="M159" s="10" t="str">
        <x:v>Fotografia analógica em preto e branco capturada em plano aberto, registrando uma aglomeração de pessoas em frente à entrada da Casa de Detenção de São Paulo na Avenida Tiradentes. A imagem foca no grupo de familiares que aguardam informações oficiais sobre os detentos após a divulgação de uma fuga coletiva via túnel. À direita, vê-se uma guarita de alvenaria e, ao fundo, a fachada do presídio emoldurada por árvores. O registro documenta o clima de expectativa e a repercussão social do evento ocorrido em março de 1960.</x:v>
      </x:c>
      <x:c r="N159"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59" s="10" t="str">
        <x:v>Casa de Detenção; Avenida Tiradentes; Fuga; Familiares; Repercussão social; São Paulo.</x:v>
      </x:c>
      <x:c r="P159" s="10" t="str">
        <x:v>Fotografia (Iconográfico)</x:v>
      </x:c>
      <x:c r="Q159" s="10" t="str">
        <x:v>Digitalização de fotografia em preto e branco (analógica original).</x:v>
      </x:c>
      <x:c r="R159" s="10" t="str">
        <x:v>Figura n – [Mobilização de familiares após notícia de fuga na Casa de Detenção.] Fonte: Arquivo Público do Estado de São Paulo, 1960.</x:v>
      </x:c>
      <x:c r="S159" s="10" t="str">
        <x:v>ARQUIVO PÚBLICO DO ESTADO DE SÃO PAULO (Brasil). [Mobilização de familiares após notícia de fuga na Casa de Detenção.]. São Paulo, Brasil. 06 mar. 1960. Fotografia digitalizada; preto e branco; suporte em papel fotográfico. Disponível em: &lt;link do dataverse&gt;. Acesso em: 28 out. 2025.</x:v>
      </x:c>
      <x:c r="T159" s="10" t="str">
        <x:v>ESTADO DE SÃO PAULO - PENITENCIARIAS E PRESIDIOS = CASA DE DETENÇÃO DA AVENIDA TIRADENTES POR UM TUNEL DE 12 METROS EVADIRAM-SE NOVE CRIMINOSOS Flagrante tomado na tarde do dia 6/3/1960, em frente à Casa de Detenção, instantes depois de ter sido noticiado a fuga de vários detentos. Familiares dos presos esperam a ordem da administração para ser iniciada a visita, quando então saberiam-se entre os fugitivos figuravam ou não algum parente. Os fugitivos foram: Joaquim Gonçalves dos Santos; Antonio Paulo Lima Filho; Jose da Silva; Benedito França Nantes; Darci da Silva; Americo Calice; Carlos Marcelo Catapreta; Sergio Bonafé e Mario Alves de Oliveira, quase todos ladrões. DN Ia.Ed. 7/3/1960 W</x:v>
      </x:c>
      <x:c r="U159" s="10" t="str">
        <x:v>ICO</x:v>
      </x:c>
      <x:c r="V159" s="10" t="str">
        <x:v>FOT</x:v>
      </x:c>
      <x:c r="W159" s="10" t="str">
        <x:v>DGZ</x:v>
      </x:c>
      <x:c r="X159" s="10" t="str">
        <x:v>MT0</x:v>
      </x:c>
      <x:c r="Y159" s="10" t="str">
        <x:v>BR-SPAPESP_DASP-PENITPRE-CSDTCARANDIRU.xlsx</x:v>
      </x:c>
      <x:c r="Z159" s="10" t="str">
        <x:v>2776-012</x:v>
      </x:c>
      <x:c r="AA159" s="11" t="n">
        <x:v>39</x:v>
      </x:c>
      <x:c r="AB159" s="10" t="str">
        <x:v>BR-SPAPESP_DASP-PENITPRE-CSDTCARANDIRU.xlsx:2776-012:39</x:v>
      </x:c>
      <x:c r="AC159" s="11" t="n">
        <x:f>COLUMNS(A159:T159)-COUNTBLANK(A159:T159)</x:f>
        <x:v>20</x:v>
      </x:c>
    </x:row>
    <x:row r="160" ht="84" hidden="0" customHeight="1">
      <x:c r="A160" s="10" t="str">
        <x:v>039</x:v>
      </x:c>
      <x:c r="B160" s="10" t="str">
        <x:v>Solenidade de homenagem e pronunciamento de detento na Casa de Detenção.</x:v>
      </x:c>
      <x:c r="C160" s="10" t="str">
        <x:v>Item</x:v>
      </x:c>
      <x:c r="D160" s="10" t="str">
        <x:v>1955-01-28 00:00:00</x:v>
      </x:c>
      <x:c r="E160" s="10" t="str">
        <x:v>Gerado pelo Dataverse</x:v>
      </x:c>
      <x:c r="F160" s="10" t="str">
        <x:v>Fotografia digitalizada; preto e branco; suporte em papel fotográfico</x:v>
      </x:c>
      <x:c r="G160" s="10" t="str">
        <x:v>São Paulo, Brasil</x:v>
      </x:c>
      <x:c r="H160" s="10" t="str">
        <x:v>Arquivo Público do Estado de São Paulo, Jornal Diários Associados</x:v>
      </x:c>
      <x:c r="I160" s="10" t="str">
        <x:v>Estado De São Paulo - Penitenciárias e Presídios - Casa de Detenção de São Paulo no Carandiru (Fotografias)</x:v>
      </x:c>
      <x:c r="J160" s="10" t="str">
        <x:v>Caixa: 2776 Folder: 012</x:v>
      </x:c>
      <x:c r="K160" s="10" t="str">
        <x:v>BR-SPAPESP_DASP-PENITPRE-CSDTCARANDIRU_ICO-FOT-DGZ-MT0_2776-012-039</x:v>
      </x:c>
      <x:c r="L160" s="10" t="str">
        <x: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pesquisa de Maíra Rocha Machado, Bianca Tavolari e Maira Rosín (2025)[1].</x:v>
      </x:c>
      <x:c r="M160" s="10" t="str">
        <x:v>Fotografia analógica em preto e branco capturada em plano médio, apresentando um grupo de homens em um ambiente interno. No centro da composição, o detento Antonio Seledo é retratado de perfil enquanto profere um discurso. Ao seu redor, figuram autoridades identificadas no verso como o diretor do presídio, Sr. Rubens Liberatori, e o presidente da U.P.B., Sr. Lucio Inacio. O registro documenta uma cerimônia de homenagem prestada pelos detentos ao jornal "Diario da Noite" e à U.P.B. em janeiro de 1955.</x:v>
      </x:c>
      <x:c r="N160"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60" s="10" t="str">
        <x:v>Casa de Detenção; Antonio Seledo; Rubens Liberatori; Lucio Inacio; U.P.B.; Homenagem; São Paulo.</x:v>
      </x:c>
      <x:c r="P160" s="10" t="str">
        <x:v>Fotografia (Iconográfico)</x:v>
      </x:c>
      <x:c r="Q160" s="10" t="str">
        <x:v>Digitalização de fotografia em preto e branco (analógica original).</x:v>
      </x:c>
      <x:c r="R160" s="10" t="str">
        <x:v>Figura n – [Solenidade de homenagem e pronunciamento de detento na Casa de Detenção.] Fonte: Arquivo Público do Estado de São Paulo, 1955.</x:v>
      </x:c>
      <x:c r="S160" s="10" t="str">
        <x:v>ARQUIVO PÚBLICO DO ESTADO DE SÃO PAULO (Brasil). [Solenidade de homenagem e pronunciamento de detento na Casa de Detenção.]. São Paulo, Brasil. 28 jan. 1955. Fotografia digitalizada; preto e branco; suporte em papel fotográfico. Disponível em: &lt;link do dataverse&gt;. Acesso em: 28 out. 2025.</x:v>
      </x:c>
      <x:c r="T160" s="10" t="str">
        <x:v>ESTADO DE S. PAULO-PENITENCIARIAS E PRESIDIOS - CASA DE DETENÇÃO DA AVENIDA TIRADENTES APÓS A EXIBIÇÃO PASSARAM A NOITE "PRATICANDO" BOX Os detentos fizeram questão de homenagear o Diario da Noite e a U.P.B. Vemos na foto, o detento Antonio Seledo, quando fazia uso da palavra, aparecendo tambem o diretor do presidio, sr. Rubens Liberatori e o sr. Lucio Inacio, presidente da U.P.B. D.N.2a.Ed.28/1/955 j1</x:v>
      </x:c>
      <x:c r="U160" s="10" t="str">
        <x:v>ICO</x:v>
      </x:c>
      <x:c r="V160" s="10" t="str">
        <x:v>FOT</x:v>
      </x:c>
      <x:c r="W160" s="10" t="str">
        <x:v>DGZ</x:v>
      </x:c>
      <x:c r="X160" s="10" t="str">
        <x:v>MT0</x:v>
      </x:c>
      <x:c r="Y160" s="10" t="str">
        <x:v>BR-SPAPESP_DASP-PENITPRE-CSDTCARANDIRU.xlsx</x:v>
      </x:c>
      <x:c r="Z160" s="10" t="str">
        <x:v>2776-012</x:v>
      </x:c>
      <x:c r="AA160" s="11" t="n">
        <x:v>40</x:v>
      </x:c>
      <x:c r="AB160" s="10" t="str">
        <x:v>BR-SPAPESP_DASP-PENITPRE-CSDTCARANDIRU.xlsx:2776-012:40</x:v>
      </x:c>
      <x:c r="AC160" s="11" t="n">
        <x:f>COLUMNS(A160:T160)-COUNTBLANK(A160:T160)</x:f>
        <x:v>20</x:v>
      </x:c>
    </x:row>
    <x:row r="161" ht="84" hidden="0" customHeight="1">
      <x:c r="A161" s="10" t="str">
        <x:v>040</x:v>
      </x:c>
      <x:c r="B161" s="10" t="str">
        <x:v>Exercícios de instrução e formação cívica na Casa de Detenção.</x:v>
      </x:c>
      <x:c r="C161" s="10" t="str">
        <x:v>Item</x:v>
      </x:c>
      <x:c r="D161" s="10" t="str">
        <x:v>1944-07-01 00:00:00</x:v>
      </x:c>
      <x:c r="E161" s="10" t="str">
        <x:v>Gerado pelo Dataverse</x:v>
      </x:c>
      <x:c r="F161" s="10" t="str">
        <x:v>Fotografia digitalizada; preto e branco; suporte em papel fotográfico</x:v>
      </x:c>
      <x:c r="G161" s="10" t="str">
        <x:v>São Paulo, Brasil</x:v>
      </x:c>
      <x:c r="H161" s="10" t="str">
        <x:v>Arquivo Público do Estado de São Paulo, Jornal Diários Associados</x:v>
      </x:c>
      <x:c r="I161" s="10" t="str">
        <x:v>Estado De São Paulo - Penitenciárias e Presídios - Casa de Detenção de São Paulo no Carandiru (Fotografias)</x:v>
      </x:c>
      <x:c r="J161" s="10" t="str">
        <x:v>Caixa: 2776 Folder: 012</x:v>
      </x:c>
      <x:c r="K161" s="10" t="str">
        <x:v>BR-SPAPESP_DASP-PENITPRE-CSDTCARANDIRU_ICO-FOT-DGZ-MT0_2776-012-040</x:v>
      </x:c>
      <x:c r="L161" s="10" t="str">
        <x: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pesquisa de Maíra Rocha Machado, Bianca Tavolari e Maira Rosín (2025)[1].</x:v>
      </x:c>
      <x:c r="M161" s="10" t="str">
        <x:v>Fotografia analógica em preto e branco, capturada em plano aberto, apresentando um grande contingente de homens vestidos com uniformes claros, alinhados em formação em um pátio externo. No muro ao fundo, observa-se um painel com a inscrição: "APAIXONA-TE PELA TUA PATRIA, TRABALHA, CONFIA E PROSPERA". A imagem registra a realização de exercícios denominados como "pré-militar" pelos detentos da unidade em julho de 1944, servindo como documento visual dos métodos de disciplina e exaltação patriótica vigentes no sistema prisional paulista no período.</x:v>
      </x:c>
      <x:c r="N161"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61" s="10" t="str">
        <x:v>Casa de Detenção; Exercícios pré-militares; Instrução cívica; Sistema prisional; São Paulo; Pátio.</x:v>
      </x:c>
      <x:c r="P161" s="10" t="str">
        <x:v>Fotografia (Iconográfico)</x:v>
      </x:c>
      <x:c r="Q161" s="10" t="str">
        <x:v>Digitalização de fotografia em preto e branco (analógica original).</x:v>
      </x:c>
      <x:c r="R161" s="10" t="str">
        <x:v>Figura n – [Exercícios de instrução e formação cívica na Casa de Detenção.] Fonte: Arquivo Público do Estado de São Paulo, 1944.</x:v>
      </x:c>
      <x:c r="S161" s="10" t="str">
        <x:v>ARQUIVO PÚBLICO DO ESTADO DE SÃO PAULO (Brasil). [Exercícios de instrução e formação cívica na Casa de Detenção.]. São Paulo, Brasil. 01 jul. 1944. Fotografia digitalizada; preto e branco; suporte em papel fotográfico. Disponível em: &lt;link do dataverse&gt;. Acesso em: 28 out. 2025.</x:v>
      </x:c>
      <x:c r="T161" s="10" t="str">
        <x:v>GRUPO DE PRESOS DA CASA DE DETENÇÃO, QUANDO FAZIAM EXERCIOS PRÉ-MILITAR DN.-2A.-1/7/944 ESTADO DE SÃO PAULO - PENITENCIARIAS E PRESIDIOS - CASA DE DETENÇÃO DA AVENIDA TIRADENTES</x:v>
      </x:c>
      <x:c r="U161" s="10" t="str">
        <x:v>ICO</x:v>
      </x:c>
      <x:c r="V161" s="10" t="str">
        <x:v>FOT</x:v>
      </x:c>
      <x:c r="W161" s="10" t="str">
        <x:v>DGZ</x:v>
      </x:c>
      <x:c r="X161" s="10" t="str">
        <x:v>MT0</x:v>
      </x:c>
      <x:c r="Y161" s="10" t="str">
        <x:v>BR-SPAPESP_DASP-PENITPRE-CSDTCARANDIRU.xlsx</x:v>
      </x:c>
      <x:c r="Z161" s="10" t="str">
        <x:v>2776-012</x:v>
      </x:c>
      <x:c r="AA161" s="11" t="n">
        <x:v>41</x:v>
      </x:c>
      <x:c r="AB161" s="10" t="str">
        <x:v>BR-SPAPESP_DASP-PENITPRE-CSDTCARANDIRU.xlsx:2776-012:41</x:v>
      </x:c>
      <x:c r="AC161" s="11" t="n">
        <x:f>COLUMNS(A161:T161)-COUNTBLANK(A161:T161)</x:f>
        <x:v>20</x:v>
      </x:c>
    </x:row>
    <x:row r="162" ht="84" hidden="0" customHeight="1">
      <x:c r="A162" s="10" t="str">
        <x:v>041</x:v>
      </x:c>
      <x:c r="B162" s="10" t="str">
        <x:v>Registro de produção artesanal por detento e interface com a imprensa na Casa de Detenção.</x:v>
      </x:c>
      <x:c r="C162" s="10" t="str">
        <x:v>Item</x:v>
      </x:c>
      <x:c r="D162" s="10" t="str">
        <x:v>1954-11-01 00:00:00</x:v>
      </x:c>
      <x:c r="E162" s="10" t="str">
        <x:v>Gerado pelo Dataverse</x:v>
      </x:c>
      <x:c r="F162" s="10" t="str">
        <x:v>Fotografia digitalizada; preto e branco; suporte em papel fotográfico</x:v>
      </x:c>
      <x:c r="G162" s="10" t="str">
        <x:v>São Paulo, Brasil</x:v>
      </x:c>
      <x:c r="H162" s="10" t="str">
        <x:v>Arquivo Público do Estado de São Paulo, Jornal Diários Associados</x:v>
      </x:c>
      <x:c r="I162" s="10" t="str">
        <x:v>Estado De São Paulo - Penitenciárias e Presídios - Casa de Detenção de São Paulo no Carandiru (Fotografias)</x:v>
      </x:c>
      <x:c r="J162" s="10" t="str">
        <x:v>Caixa: 2776 Folder: 012</x:v>
      </x:c>
      <x:c r="K162" s="10" t="str">
        <x:v>BR-SPAPESP_DASP-PENITPRE-CSDTCARANDIRU_ICO-FOT-DGZ-MT0_2776-012-041</x:v>
      </x:c>
      <x:c r="L162" s="10" t="str">
        <x: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pesquisa de Maíra Rocha Machado, Bianca Tavolari e Maira Rosín (2025)[1].</x:v>
      </x:c>
      <x:c r="M162" s="10" t="str">
        <x:v>Fotografia analógica em preto e branco, capturada em plano médio, que documenta a interação entre um profissional de imprensa e um detento da unidade. À esquerda, o repórter, vestindo terno e óculos, observa com atenção um objeto pequeno e escuro posicionado sobre um pano branco. À direita, o detento identificado como "Guaraná" segura o item, apresentando-o como um de seus trabalhos artesanais. O preso utiliza um gorro listrado e uma camiseta clara com detalhes escuros na gola. A imagem registra o cotidiano de labor e a visibilidade mediática de prisioneiros em meados da década de 1950.</x:v>
      </x:c>
      <x:c r="N162"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62" s="10" t="str">
        <x:v>Casa de Detenção; Artesanato; "Guaraná"; Repórter; Trabalho prisional; São Paulo.</x:v>
      </x:c>
      <x:c r="P162" s="10" t="str">
        <x:v>Fotografia (Iconográfico)</x:v>
      </x:c>
      <x:c r="Q162" s="10" t="str">
        <x:v>Digitalização de fotografia em preto e branco (analógica original).</x:v>
      </x:c>
      <x:c r="R162" s="10" t="str">
        <x:v>Figura n – [Registro de produção artesanal por detento e interface com a imprensa na Casa de Detenção.] Fonte: Arquivo Público do Estado de São Paulo, 1954.</x:v>
      </x:c>
      <x:c r="S162" s="10" t="str">
        <x:v>ARQUIVO PÚBLICO DO ESTADO DE SÃO PAULO (Brasil). [Registro de produção artesanal por detento e interface com a imprensa na Casa de Detenção.]. São Paulo, Brasil. 01 nov. 1954. Fotografia digitalizada; preto e branco; suporte em papel fotográfico. Disponível em: &lt;link do dataverse&gt;. Acesso em: 28 out. 2025.</x:v>
      </x:c>
      <x:c r="T162" s="10" t="str">
        <x:v>ESTADO DE SAO PAULO - PENITENCIARIAS E PRESIDIOS-CASA DE DETENÇÃO DA AVENIDA TIRADENTES. SOMENTE PARA A JOGATINA NÃO HAVIA CÂMBIO NEGRO NA CADA DE DETENÇÃO "Guaraná", um dos prisioneiros da Casa de Detenção, exibe ao reporter um dos seus trabalhos. D.N.Ed.Unica 1/11/954 j1</x:v>
      </x:c>
      <x:c r="U162" s="10" t="str">
        <x:v>ICO</x:v>
      </x:c>
      <x:c r="V162" s="10" t="str">
        <x:v>FOT</x:v>
      </x:c>
      <x:c r="W162" s="10" t="str">
        <x:v>DGZ</x:v>
      </x:c>
      <x:c r="X162" s="10" t="str">
        <x:v>MT0</x:v>
      </x:c>
      <x:c r="Y162" s="10" t="str">
        <x:v>BR-SPAPESP_DASP-PENITPRE-CSDTCARANDIRU.xlsx</x:v>
      </x:c>
      <x:c r="Z162" s="10" t="str">
        <x:v>2776-012</x:v>
      </x:c>
      <x:c r="AA162" s="11" t="n">
        <x:v>42</x:v>
      </x:c>
      <x:c r="AB162" s="10" t="str">
        <x:v>BR-SPAPESP_DASP-PENITPRE-CSDTCARANDIRU.xlsx:2776-012:42</x:v>
      </x:c>
      <x:c r="AC162" s="11" t="n">
        <x:f>COLUMNS(A162:T162)-COUNTBLANK(A162:T162)</x:f>
        <x:v>20</x:v>
      </x:c>
    </x:row>
    <x:row r="163" ht="84" hidden="0" customHeight="1">
      <x:c r="A163" s="10" t="str">
        <x:v>042</x:v>
      </x:c>
      <x:c r="B163" s="10" t="str">
        <x:v>Evento coletivo e registro de superlotação no pátio da Casa de Detenção.</x:v>
      </x:c>
      <x:c r="C163" s="10" t="str">
        <x:v>Item</x:v>
      </x:c>
      <x:c r="D163" s="10" t="str">
        <x:v>1976-05-17 00:00:00</x:v>
      </x:c>
      <x:c r="E163" s="10" t="str">
        <x:v>Gerado pelo Dataverse</x:v>
      </x:c>
      <x:c r="F163" s="10" t="str">
        <x:v>Fotografia digitalizada; preto e branco; suporte em papel fotográfico</x:v>
      </x:c>
      <x:c r="G163" s="10" t="str">
        <x:v>São Paulo, Brasil</x:v>
      </x:c>
      <x:c r="H163" s="10" t="str">
        <x:v>Arquivo Público do Estado de São Paulo, Jornal Diários Associados</x:v>
      </x:c>
      <x:c r="I163" s="10" t="str">
        <x:v>Estado De São Paulo - Penitenciárias e Presídios - Casa de Detenção de São Paulo no Carandiru (Fotografias)</x:v>
      </x:c>
      <x:c r="J163" s="10" t="str">
        <x:v>Caixa: 2776 Folder: 012</x:v>
      </x:c>
      <x:c r="K163" s="10" t="str">
        <x:v>BR-SPAPESP_DASP-PENITPRE-CSDTCARANDIRU_ICO-FOT-DGZ-MT0_2776-012-042</x:v>
      </x:c>
      <x:c r="L163" s="10" t="str">
        <x: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pesquisa de Maíra Rocha Machado, Bianca Tavolari e Maira Rosín (2025)[1].</x:v>
      </x:c>
      <x:c r="M163" s="10" t="str">
        <x:v>Fotografia analógica em preto e branco capturada em plano aberto a partir de uma perspectiva elevada ou de um palco. Em primeiro plano, veem-se as costas de cinco pessoas voltadas para uma vasta multidão de detentos sentados no pátio, com um microfone visível na parte superior, possivelmente, uma banda artística. Ao fundo, destaca-se um edifício prisional de múltiplos andares. A imagem documenta visualmente a escala da população carcerária em um período de superlotação crítica, servindo de evidência para o dado estatístico do verso, que aponta a presença de 6.041 presos em um local com capacidade para 2.200.</x:v>
      </x:c>
      <x:c r="N163"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63" s="10" t="str">
        <x:v>Casa de Detenção; Superlotação; População carcerária; Evento no pátio; Sistema prisional; São Paulo.</x:v>
      </x:c>
      <x:c r="P163" s="10" t="str">
        <x:v>Fotografia (Iconográfico)</x:v>
      </x:c>
      <x:c r="Q163" s="10" t="str">
        <x:v>Digitalização de fotografia em preto e branco (analógica original).</x:v>
      </x:c>
      <x:c r="R163" s="10" t="str">
        <x:v>Figura n – [Evento coletivo e registro de superlotação no pátio da Casa de Detenção.] Fonte: Arquivo Público do Estado de São Paulo, 1976.</x:v>
      </x:c>
      <x:c r="S163" s="10" t="str">
        <x:v>ARQUIVO PÚBLICO DO ESTADO DE SÃO PAULO (Brasil). [Evento coletivo e registro de superlotação no pátio da Casa de Detenção.]. São Paulo, Brasil. 17 mai. 1976. Fotografia digitalizada; preto e branco; suporte em papel fotográfico. Disponível em: &lt;link do dataverse&gt;. Acesso em: 28 out. 2025.</x:v>
      </x:c>
      <x:c r="T163" s="10" t="str">
        <x:v>ESTADO DE SÃO PAULO = PENITENCIARIAS E PRESIDIOS = CASA DE DETENÇÃO 3.841 presos a mais na Casa de Detenção, o grande perigo. Onde cabem 2.200 estão 6.041. É a cadeia superlotada. XXX. DN. 17/5/976</x:v>
      </x:c>
      <x:c r="U163" s="10" t="str">
        <x:v>ICO</x:v>
      </x:c>
      <x:c r="V163" s="10" t="str">
        <x:v>FOT</x:v>
      </x:c>
      <x:c r="W163" s="10" t="str">
        <x:v>DGZ</x:v>
      </x:c>
      <x:c r="X163" s="10" t="str">
        <x:v>MT0</x:v>
      </x:c>
      <x:c r="Y163" s="10" t="str">
        <x:v>BR-SPAPESP_DASP-PENITPRE-CSDTCARANDIRU.xlsx</x:v>
      </x:c>
      <x:c r="Z163" s="10" t="str">
        <x:v>2776-012</x:v>
      </x:c>
      <x:c r="AA163" s="11" t="n">
        <x:v>43</x:v>
      </x:c>
      <x:c r="AB163" s="10" t="str">
        <x:v>BR-SPAPESP_DASP-PENITPRE-CSDTCARANDIRU.xlsx:2776-012:43</x:v>
      </x:c>
      <x:c r="AC163" s="11" t="n">
        <x:f>COLUMNS(A163:T163)-COUNTBLANK(A163:T163)</x:f>
        <x:v>20</x:v>
      </x:c>
    </x:row>
    <x:row r="164" ht="84" hidden="0" customHeight="1">
      <x:c r="A164" s="10" t="str">
        <x:v>043</x:v>
      </x:c>
      <x:c r="B164" s="10" t="str">
        <x:v>Atividade cultural e registro de superlotação no pátio da Casa de Detenção.</x:v>
      </x:c>
      <x:c r="C164" s="10" t="str">
        <x:v>Item</x:v>
      </x:c>
      <x:c r="D164" s="10" t="str">
        <x:v>1976-05-17 00:00:00</x:v>
      </x:c>
      <x:c r="E164" s="10" t="str">
        <x:v>Gerado pelo Dataverse</x:v>
      </x:c>
      <x:c r="F164" s="10" t="str">
        <x:v>Fotografia digitalizada; preto e branco; suporte em papel fotográfico</x:v>
      </x:c>
      <x:c r="G164" s="10" t="str">
        <x:v>São Paulo, Brasil</x:v>
      </x:c>
      <x:c r="H164" s="10" t="str">
        <x:v>Arquivo Público do Estado de São Paulo, Jornal Diários Associados</x:v>
      </x:c>
      <x:c r="I164" s="10" t="str">
        <x:v>Estado De São Paulo - Penitenciárias e Presídios - Casa de Detenção de São Paulo no Carandiru (Fotografias)</x:v>
      </x:c>
      <x:c r="J164" s="10" t="str">
        <x:v>Caixa: 2776 Folder: 012</x:v>
      </x:c>
      <x:c r="K164" s="10" t="str">
        <x:v>BR-SPAPESP_DASP-PENITPRE-CSDTCARANDIRU_ICO-FOT-DGZ-MT0_2776-012-043</x:v>
      </x:c>
      <x:c r="L164" s="10" t="str">
        <x: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pesquisa de Maíra Rocha Machado, Bianca Tavolari e Maira Rosín (2025)[1].</x:v>
      </x:c>
      <x:c r="M164" s="10" t="str">
        <x:v>Fotografia analógica em preto e branco capturada em plano aberto a partir de uma perspectiva lateral sobre um palco. No palco, observa-se um grupo de músicos, com destaque para um jovem em primeiro plano tocando um tamborim ou pequeno instrumento de percussão. Ao fundo, uma vasta multidão de detentos sentados no pátio assiste à apresentação, emoldurada pela arquitetura de um dos pavilhões da unidade. O registro documenta um momento de entretenimento coletivo que contrasta com o dado estatístico de superlotação anotado no verso, indicando a presença de 6.041 pessoas em um espaço projetado para 2.200.</x:v>
      </x:c>
      <x:c r="N164"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64" s="10" t="str">
        <x:v>Casa de Detenção; Atividade cultural; Música; Superlotação; População carcerária; São Paulo; Pátio.</x:v>
      </x:c>
      <x:c r="P164" s="10" t="str">
        <x:v>Fotografia (Iconográfico)</x:v>
      </x:c>
      <x:c r="Q164" s="10" t="str">
        <x:v>Digitalização de fotografia em preto e branco (analógica original).</x:v>
      </x:c>
      <x:c r="R164" s="10" t="str">
        <x:v>Figura n – [Atividade cultural e registro de superlotação no pátio da Casa de Detenção.] Fonte: Arquivo Público do Estado de São Paulo, 1976.</x:v>
      </x:c>
      <x:c r="S164" s="10" t="str">
        <x:v>ARQUIVO PÚBLICO DO ESTADO DE SÃO PAULO (Brasil). [Atividade cultural e registro de superlotação no pátio da Casa de Detenção.]. São Paulo, Brasil. 17 mai. 1976. Fotografia digitalizada; preto e branco; suporte em papel fotográfico. Disponível em: &lt;link do dataverse&gt;. Acesso em: 28 out. 2025.</x:v>
      </x:c>
      <x:c r="T164" s="10" t="str">
        <x:v>ESTADO DE SÃO PAULO - PENITENCIARIA E PRESIDIOS - CASA DE DETENÇÃO Onde cabem 2.200 estão 6.041. É a cadeia superlotada BN.17/5/1976--dcc</x:v>
      </x:c>
      <x:c r="U164" s="10" t="str">
        <x:v>ICO</x:v>
      </x:c>
      <x:c r="V164" s="10" t="str">
        <x:v>FOT</x:v>
      </x:c>
      <x:c r="W164" s="10" t="str">
        <x:v>DGZ</x:v>
      </x:c>
      <x:c r="X164" s="10" t="str">
        <x:v>MT0</x:v>
      </x:c>
      <x:c r="Y164" s="10" t="str">
        <x:v>BR-SPAPESP_DASP-PENITPRE-CSDTCARANDIRU.xlsx</x:v>
      </x:c>
      <x:c r="Z164" s="10" t="str">
        <x:v>2776-012</x:v>
      </x:c>
      <x:c r="AA164" s="11" t="n">
        <x:v>44</x:v>
      </x:c>
      <x:c r="AB164" s="10" t="str">
        <x:v>BR-SPAPESP_DASP-PENITPRE-CSDTCARANDIRU.xlsx:2776-012:44</x:v>
      </x:c>
      <x:c r="AC164" s="11" t="n">
        <x:f>COLUMNS(A164:T164)-COUNTBLANK(A164:T164)</x:f>
        <x:v>20</x:v>
      </x:c>
    </x:row>
    <x:row r="165" ht="84" hidden="0" customHeight="1">
      <x:c r="A165" s="10" t="str">
        <x:v>044</x:v>
      </x:c>
      <x:c r="B165" s="10" t="str">
        <x:v>Fachada interna da antiga Casa de Detenção de São Paulo na Avenida Tiradentes.</x:v>
      </x:c>
      <x:c r="C165" s="10" t="str">
        <x:v>Item</x:v>
      </x:c>
      <x:c r="D165" s="10" t="str">
        <x:v>1964-05-07 00:00:00</x:v>
      </x:c>
      <x:c r="E165" s="10" t="str">
        <x:v>Gerado pelo Dataverse</x:v>
      </x:c>
      <x:c r="F165" s="10" t="str">
        <x:v>Fotografia digitalizada; preto e branco; suporte em papel fotográfico</x:v>
      </x:c>
      <x:c r="G165" s="10" t="str">
        <x:v>São Paulo, Brasil</x:v>
      </x:c>
      <x:c r="H165" s="10" t="str">
        <x:v>Arquivo Público do Estado de São Paulo, Jornal Diários Associados</x:v>
      </x:c>
      <x:c r="I165" s="10" t="str">
        <x:v>Estado De São Paulo - Penitenciárias e Presídios - Casa de Detenção de São Paulo no Carandiru (Fotografias)</x:v>
      </x:c>
      <x:c r="J165" s="10" t="str">
        <x:v>Caixa: 2776 Folder: 012</x:v>
      </x:c>
      <x:c r="K165" s="10" t="str">
        <x:v>BR-SPAPESP_DASP-PENITPRE-CSDTCARANDIRU_ICO-FOT-DGZ-MT0_2776-012-044</x:v>
      </x:c>
      <x:c r="L165" s="10" t="str">
        <x: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pesquisa de Maíra Rocha Machado, Bianca Tavolari e Maira Rosín (2025)[1].</x:v>
      </x:c>
      <x:c r="M165" s="10" t="str">
        <x:v>Registro fotográfico da área interna da antiga Casa de Detenção de São Paulo, localizada na Avenida Tiradentes, por ocasião de seu fechamento definitivo em 1964. A imagem destaca a arquitetura prisional de múltiplos pavimentos com janelas gradeadas e pátio interno. O verso contém um recorte de jornal e datilografias que enfatizam o caráter histórico e o encerramento das atividades do prédio após 112 anos de funcionamento, mencionando seu uso anterior como presídio político.</x:v>
      </x:c>
      <x:c r="N165"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65" s="10" t="str">
        <x:v>Casa de Detenção; Avenida Tiradentes; Sistema Prisional; São Paulo; História Política; Arquitetura Judiciária.</x:v>
      </x:c>
      <x:c r="P165" s="10" t="str">
        <x:v>Fotografia (Iconográfico)</x:v>
      </x:c>
      <x:c r="Q165" s="10" t="str">
        <x:v>Digitalização de fotografia em preto e branco (analógica original)</x:v>
      </x:c>
      <x:c r="R165" s="10" t="str">
        <x:v>Figura n – [Fachada interna da antiga Casa de Detenção de São Paulo na Avenida Tiradentes.] Fonte: Arquivo Público do Estado de São Paulo, 1964.</x:v>
      </x:c>
      <x:c r="S165" s="10" t="str">
        <x:v>ARQUIVO PÚBLICO DO ESTADO DE SÃO PAULO (Brasil). [Fachada interna da antiga Casa de Detenção de São Paulo na Avenida Tiradentes.]. São Paulo, Brasil. 07 mai. 1964. Fotografia digitalizada; preto e branco; suporte em papel fotográfico. Disponível em: &lt;link do dataverse&gt;. Acesso em: 28 out. 2025.</x:v>
      </x:c>
      <x:c r="T165" s="10" t="str">
        <x:v>ESTADO DE S. PAULO - PENITENCIARIAS E PRESIDIOS - CASA DE DETENÇÃO DA AVENIDA TIRADENTES FECHAM-SE AS PORTAS DA VELHA CASA DE DETENÇÃO Somente sombras. Ninguem para dizer da historia que estas paredes frias guardaram durante 112 anos. DN, 2a Ed. 7/5/1964 W/ Cento e doze anos depois de sua inauguração (7 de maio de 1852) fecham-se as portas da velha Casa de Detenção da avenida Tiradentes. Fecham-se para não abrir nunca mais. Por ali passaram nomes famosos. Tristemente famosos. Ali estiveram homens publicos quando, pouco tempo depois de sua inauguração a Casa de Detenção foi presidio politico. E toda a historia que termina agora - da velha cadeia se escreveu pela violencia. Violencia gerada pela promiscuidade em que sempre viveram aqueles que ali estiveram.</x:v>
      </x:c>
      <x:c r="U165" s="10" t="str">
        <x:v>ICO</x:v>
      </x:c>
      <x:c r="V165" s="10" t="str">
        <x:v>FOT</x:v>
      </x:c>
      <x:c r="W165" s="10" t="str">
        <x:v>DGZ</x:v>
      </x:c>
      <x:c r="X165" s="10" t="str">
        <x:v>MT0</x:v>
      </x:c>
      <x:c r="Y165" s="10" t="str">
        <x:v>BR-SPAPESP_DASP-PENITPRE-CSDTCARANDIRU.xlsx</x:v>
      </x:c>
      <x:c r="Z165" s="10" t="str">
        <x:v>2776-012</x:v>
      </x:c>
      <x:c r="AA165" s="11" t="n">
        <x:v>45</x:v>
      </x:c>
      <x:c r="AB165" s="10" t="str">
        <x:v>BR-SPAPESP_DASP-PENITPRE-CSDTCARANDIRU.xlsx:2776-012:45</x:v>
      </x:c>
      <x:c r="AC165" s="11" t="n">
        <x:f>COLUMNS(A165:T165)-COUNTBLANK(A165:T165)</x:f>
        <x:v>20</x:v>
      </x:c>
    </x:row>
    <x:row r="166" ht="84" hidden="0" customHeight="1">
      <x:c r="A166" s="10" t="str">
        <x:v>045</x:v>
      </x:c>
      <x:c r="B166" s="10" t="str">
        <x:v>Celebração de Natal para detentos e seus familiares na Casa de Detenção de São Paulo na Avenida Tiradentes.</x:v>
      </x:c>
      <x:c r="C166" s="10" t="str">
        <x:v>Item</x:v>
      </x:c>
      <x:c r="D166" s="10" t="str">
        <x:v>1954-12-27 00:00:00</x:v>
      </x:c>
      <x:c r="E166" s="10" t="str">
        <x:v>Gerado pelo Dataverse</x:v>
      </x:c>
      <x:c r="F166" s="10" t="str">
        <x:v>Fotografia digitalizada; preto e branco; suporte em papel fotográfico</x:v>
      </x:c>
      <x:c r="G166" s="10" t="str">
        <x:v>São Paulo, Brasil</x:v>
      </x:c>
      <x:c r="H166" s="10" t="str">
        <x:v>Arquivo Público do Estado de São Paulo, Jornal Diários Associados</x:v>
      </x:c>
      <x:c r="I166" s="10" t="str">
        <x:v>Estado De São Paulo - Penitenciárias e Presídios - Casa de Detenção de São Paulo no Carandiru (Fotografias)</x:v>
      </x:c>
      <x:c r="J166" s="10" t="str">
        <x:v>Caixa: 2776 Folder: 012</x:v>
      </x:c>
      <x:c r="K166" s="10" t="str">
        <x:v>BR-SPAPESP_DASP-PENITPRE-CSDTCARANDIRU_ICO-FOT-DGZ-MT0_2776-012-045</x:v>
      </x:c>
      <x:c r="L166" s="10" t="str">
        <x: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pesquisa de Maíra Rocha Machado, Bianca Tavolari e Maira Rosín (2025)[1].</x:v>
      </x:c>
      <x:c r="M166" s="10" t="str">
        <x:v>Registro fotográfico de uma aglomeração de pessoas durante uma festividade natalina no interior da unidade prisional. A imagem captura homens, mulheres e crianças (familiares dos detentos) reunidos em um pátio. O texto no verso detalha que o evento foi realizado pela direção da Casa de Detenção para mais de 800 pessoas, com a distribuição de doces, brinquedos e roupas para os filhos dos presos, sendo o flagrante registrado pela reportagem do "Diario da Noite".</x:v>
      </x:c>
      <x:c r="N166"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66" s="10" t="str">
        <x:v>Palavras-chave: Casa de Detenção; Avenida Tiradentes; Natal; Assistência Social; Familias; "Detentos".</x:v>
      </x:c>
      <x:c r="P166" s="10" t="str">
        <x:v>Fotografia (Iconográfico)</x:v>
      </x:c>
      <x:c r="Q166" s="10" t="str">
        <x:v>Digitalização de fotografia em preto e branco (analógica original)</x:v>
      </x:c>
      <x:c r="R166" s="10" t="str">
        <x:v>Figura n – [Celebração de Natal para detentos e seus familiares na Casa de Detenção de São Paulo na Avenida Tiradentes.] Fonte: Arquivo Público do Estado de São Paulo, 1954.</x:v>
      </x:c>
      <x:c r="S166" s="10" t="str">
        <x:v>ARQUIVO PÚBLICO DO ESTADO DE SÃO PAULO (Brasil). [Celebração de Natal para detentos e seus familiares na Casa de Detenção de São Paulo na Avenida Tiradentes.]. São Paulo, Brasil. 27 dez. 1954. Fotografia digitalizada; preto e branco; suporte em papel fotográfico. Disponível em: &lt;link do dataverse&gt;. Acesso em: 28 out. 2025.</x:v>
      </x:c>
      <x:c r="T166" s="10" t="str">
        <x:v>ESTADO DE S. PAULO - PENITENCIARIAS E PRESIDIOS - CASA DE DETENÇÃO DA AVENIDA TIRADENTES NATAL NA CASA DE DETENÇÃO Depois de enfrentar dificuldades inumeras, a direção da Casa de Detenção conseguiu fazer realizar o Natal dos detentos. Mais de 800 homens e mulheres, ali recolhidos tiveram a satisfação de ver suas familias numa festa que tocou fundo no coração de todos. Doces, brinquedos e roupas foram distribuidos para os filhos de presos. Houve alegria, conforme mostra o flagrante colhido pela reportagem do Diario da Noite, D.N. 2a. Ed. 27/12/954 jl</x:v>
      </x:c>
      <x:c r="U166" s="10" t="str">
        <x:v>ICO</x:v>
      </x:c>
      <x:c r="V166" s="10" t="str">
        <x:v>FOT</x:v>
      </x:c>
      <x:c r="W166" s="10" t="str">
        <x:v>DGZ</x:v>
      </x:c>
      <x:c r="X166" s="10" t="str">
        <x:v>MT0</x:v>
      </x:c>
      <x:c r="Y166" s="10" t="str">
        <x:v>BR-SPAPESP_DASP-PENITPRE-CSDTCARANDIRU.xlsx</x:v>
      </x:c>
      <x:c r="Z166" s="10" t="str">
        <x:v>2776-012</x:v>
      </x:c>
      <x:c r="AA166" s="11" t="n">
        <x:v>46</x:v>
      </x:c>
      <x:c r="AB166" s="10" t="str">
        <x:v>BR-SPAPESP_DASP-PENITPRE-CSDTCARANDIRU.xlsx:2776-012:46</x:v>
      </x:c>
      <x:c r="AC166" s="11" t="n">
        <x:f>COLUMNS(A166:T166)-COUNTBLANK(A166:T166)</x:f>
        <x:v>20</x:v>
      </x:c>
    </x:row>
    <x:row r="167" ht="84" hidden="0" customHeight="1">
      <x:c r="A167" s="10" t="str">
        <x:v>046</x:v>
      </x:c>
      <x:c r="B167" s="10" t="str">
        <x:v>Sentinela em frente ao novo Pavilhão 8 da Casa de Detenção de São Paulo no Carandiru</x:v>
      </x:c>
      <x:c r="C167" s="10" t="str">
        <x:v>Item</x:v>
      </x:c>
      <x:c r="D167" s="10" t="str">
        <x:v>1960-08-20 00:00:00</x:v>
      </x:c>
      <x:c r="E167" s="10" t="str">
        <x:v>Gerado pelo Dataverse</x:v>
      </x:c>
      <x:c r="F167" s="10" t="str">
        <x:v>Fotografia digitalizada; preto e branco; suporte em papel fotográfico</x:v>
      </x:c>
      <x:c r="G167" s="10" t="str">
        <x:v>São Paulo, Brasil</x:v>
      </x:c>
      <x:c r="H167" s="10" t="str">
        <x:v>Arquivo Público do Estado de São Paulo, Jornal Diários Associados</x:v>
      </x:c>
      <x:c r="I167" s="10" t="str">
        <x:v>Estado De São Paulo - Penitenciárias e Presídios - Casa de Detenção de São Paulo no Carandiru (Fotografias)</x:v>
      </x:c>
      <x:c r="J167" s="10" t="str">
        <x:v>Caixa: 2776 Folder: 012</x:v>
      </x:c>
      <x:c r="K167" s="10" t="str">
        <x:v>BR-SPAPESP_DASP-PENITPRE-CSDTCARANDIRU_ICO-FOT-DGZ-MT0_2776-012-046</x:v>
      </x:c>
      <x:c r="L167" s="10" t="str">
        <x: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pesquisa de Maíra Rocha Machado, Bianca Tavolari e Maira Rosín (2025)[1].</x:v>
      </x:c>
      <x:c r="M167" s="10" t="str">
        <x:v>Registro fotográfico da área externa da Casa de Detenção de São Paulo no Carandiru, destacando a fachada lateral de um dos novos pavilhões (Pavilhão 8) com múltiplas janelas pequenas e uniformes. Em primeiro plano, observa-se um soldado armado e equipado com capacete, de costas para a câmera, realizando a guarda da unidade. O verso da imagem contém recortes e anotações datilografadas sobre a inauguração do Pavilhão 8, mencionando a presença do governador Carvalho Pinto, a capacidade de 562 celas individuais e o investimento de 300 milhões de cruzeiros como parte do Plano de Ação para solucionar o problema carcerário da capital.</x:v>
      </x:c>
      <x:c r="N167"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67" s="10" t="str">
        <x:v>Palavras-chave: Casa de Detenção de São Paulo no Carandiru; Pavilhão 8; Policiamento; Inauguração; Arquitetura Prisional; Carvalho Pinto.</x:v>
      </x:c>
      <x:c r="P167" s="10" t="str">
        <x:v>Fotografia (Iconográfico)</x:v>
      </x:c>
      <x:c r="Q167" s="10" t="str">
        <x:v>Digitalização de fotografia em preto e branco (analógica original)</x:v>
      </x:c>
      <x:c r="R167" s="10" t="str">
        <x:v>Figura n – [Sentinela em frente ao novo Pavilhão 8 da Casa de Detenção de São Paulo no Carandiru] Fonte: Arquivo Público do Estado de São Paulo, 1960.</x:v>
      </x:c>
      <x:c r="S167" s="10" t="str">
        <x:v>ARQUIVO PÚBLICO DO ESTADO DE SÃO PAULO (Brasil). [Sentinela em frente ao novo Pavilhão 8 da Casa de Detenção de São Paulo no Carandiru]. São Paulo, Brasil. 20 ago. 1960. Fotografia digitalizada; preto e branco; suporte em papel fotográfico. Disponível em: &lt;link do dataverse&gt;. Acesso em: 28 out. 2025.</x:v>
      </x:c>
      <x:c r="T167" s="10" t="str">
        <x:v>ESTADO DE SÃO PAULO = PENITENCIARIAS E PRESIDIOS - Casa de Detenção do Carandiru VAI SER INAUGURADO O PAVILHÃO NUMERO 8 DA CASA DE DETENÇÃO - Será inaugurado no proximo dia 23, em solenidade a realizar-se às onze horas, com a presença do governador Carvalho Pinto, o Pavilhão numero oito da Casa de Detenção de São Paulo, no Carandiru, contando com 562 celas individuais. Na sua construção, juntamente com a do Pavilhão numero nove, com igual capacidade e em fase final de obras, foram já aplicados 300 milhões de cruzeiros de verbas do Plano de Ação. Trata-se de um esforço para a solução do problema carcerario da Capital. Os objetivos do PA nesse setor incluem, tambem, a proxima conclusão da Penitenciaria de Presidente Wenceslau e a construção de outras duas Penitenciarias regionais. No clichê, aspecto do novo Pavilhão da Casa de Detenção de São Paulo. DSP 20/8/960 acf NÃO HA BEIJOS NAS VISITAS NA NOVA CASA DE DETENÇÃO DN Ia. Ed. 14/8/1961 W/ CARANDIRU: OS FRIOS MUROS DE CONCRETO DSP., Supl. Bairros, 14/11/1965-drb DN 1a ed. 3/9/75-MBO</x:v>
      </x:c>
      <x:c r="U167" s="10" t="str">
        <x:v>ICO</x:v>
      </x:c>
      <x:c r="V167" s="10" t="str">
        <x:v>FOT</x:v>
      </x:c>
      <x:c r="W167" s="10" t="str">
        <x:v>DGZ</x:v>
      </x:c>
      <x:c r="X167" s="10" t="str">
        <x:v>MT0</x:v>
      </x:c>
      <x:c r="Y167" s="10" t="str">
        <x:v>BR-SPAPESP_DASP-PENITPRE-CSDTCARANDIRU.xlsx</x:v>
      </x:c>
      <x:c r="Z167" s="10" t="str">
        <x:v>2776-012</x:v>
      </x:c>
      <x:c r="AA167" s="11" t="n">
        <x:v>47</x:v>
      </x:c>
      <x:c r="AB167" s="10" t="str">
        <x:v>BR-SPAPESP_DASP-PENITPRE-CSDTCARANDIRU.xlsx:2776-012:47</x:v>
      </x:c>
      <x:c r="AC167" s="11" t="n">
        <x:f>COLUMNS(A167:T167)-COUNTBLANK(A167:T167)</x:f>
        <x:v>20</x:v>
      </x:c>
    </x:row>
    <x:row r="168" ht="84" hidden="0" customHeight="1">
      <x:c r="A168" s="10" t="str">
        <x:v>001</x:v>
      </x:c>
      <x:c r="B168" s="10" t="str">
        <x:v>Pavilhões 2, 5 e 8 – grafite e muralhas internas (08.01.1969)</x:v>
      </x:c>
      <x:c r="C168" s="10" t="str">
        <x:v>Item</x:v>
      </x:c>
      <x:c r="D168" s="10" t="str">
        <x:v>1969-01-08 00:00:00</x:v>
      </x:c>
      <x:c r="E168" s="10" t="str">
        <x:v>Gerado pelo Dataverse</x:v>
      </x:c>
      <x:c r="F168" s="10" t="str">
        <x:v>Fotografia digitalizada; preto e branco; suporte em papel fotográfico</x:v>
      </x:c>
      <x:c r="G168" s="10" t="str">
        <x:v>São Paulo, Brasil</x:v>
      </x:c>
      <x:c r="H168" s="10" t="str">
        <x:v>Arquivo Público do Estado de São Paulo, Jornal Diários Associados</x:v>
      </x:c>
      <x:c r="I168" s="10" t="str">
        <x:v>Estado De São Paulo - Penitenciárias e Presídios - Casa de Detenção de São Paulo no Carandiru (Fotografias)</x:v>
      </x:c>
      <x:c r="J168" s="10" t="str">
        <x:v>Caixa: 3055 Folder: 3</x:v>
      </x:c>
      <x:c r="K168" s="10" t="str">
        <x:v>BR-SPAPESP_DASP-PENITPRE-CSDTCARANDIRU_ICO-FOT-DGZ-MT0_3055-003-001</x:v>
      </x:c>
      <x:c r="L168" s="10" t="str">
        <x: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pesquisa de Maíra Rocha Machado, Bianca Tavolari e Maira Rosín (2025)[1].</x:v>
      </x:c>
      <x:c r="M168" s="10" t="str">
        <x:v>Fotografia do pátio interno da Casa de Detenção, pavimentado com paralelepípedos. Em primeiro plano, à direita, destaca-se um grande painel curvo com ilustrações de personagens infantis (como os Três Porquinhos, o Lobo Mau, o Peter Pan e o Grilo Falante) e um balão de fala com a frase: "anos nossos amiguinhos, sinceros votos de Boas Festas e Alegre Ano Nôvo...". Ao fundo, observam-se pavilhões carcerários, muros de segurança e um pequeno grupo de pessoas próximas a uma edificação branca.</x:v>
      </x:c>
      <x:c r="N168"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68" s="10" t="str">
        <x:v>Casa de Detenção; Carandiru; Natal; Humanização; Painel decorativo; Personagens infantis; Pátio.</x:v>
      </x:c>
      <x:c r="P168" s="10" t="str">
        <x:v>Fotografia (Iconográfico)</x:v>
      </x:c>
      <x:c r="Q168" s="10" t="str">
        <x:v>Digitalização de fotografia em preto e branco (analógica original)</x:v>
      </x:c>
      <x:c r="R168" s="10" t="str">
        <x:v>Figura n – [Pavilhões 2, 5 e 8 – grafite e muralhas internas (08.01.1969)] Fonte: Arquivo Público do Estado de São Paulo, 1969.</x:v>
      </x:c>
      <x:c r="S168" s="10" t="str">
        <x:v>ARQUIVO PÚBLICO DO ESTADO DE SÃO PAULO (Brasil). [Pavilhões 2, 5 e 8 – grafite e muralhas internas (08.01.1969)]. São Paulo, Brasil. 08 jan. 1969. Fotografia digitalizada; preto e branco; suporte em papel fotográfico. Disponível em: &lt;link do dataverse&gt;. Acesso em: 28 out. 2025.</x:v>
      </x:c>
      <x:c r="T168" s="10" t="str">
        <x:v>ESTADO DE SÃO PAULO _ PENITENCIÁRIAS E PRESIDIOS - CASA DE DETENÇÃO DO CARANDIRÚ CARANDIRÚ: UMA DETENÇÃO QUE SE TORNA MAIS HUMANA. Um aspecto tomado no interior da Casa de Detenção, à época dos festejos natalinos. DN.2a.Ed.- 8/1/1969 - JCM</x:v>
      </x:c>
      <x:c r="U168" s="10" t="str">
        <x:v>ICO</x:v>
      </x:c>
      <x:c r="V168" s="10" t="str">
        <x:v>FOT</x:v>
      </x:c>
      <x:c r="W168" s="10" t="str">
        <x:v>DGZ</x:v>
      </x:c>
      <x:c r="X168" s="10" t="str">
        <x:v>MT0</x:v>
      </x:c>
      <x:c r="Y168" s="10" t="str">
        <x:v>BR-SPAPESP_DASP-PENITPRE-CSDTCARANDIRU.xlsx</x:v>
      </x:c>
      <x:c r="Z168" s="10" t="str">
        <x:v>3055-003</x:v>
      </x:c>
      <x:c r="AA168" s="11" t="n">
        <x:v>2</x:v>
      </x:c>
      <x:c r="AB168" s="10" t="str">
        <x:v>BR-SPAPESP_DASP-PENITPRE-CSDTCARANDIRU.xlsx:3055-003:2</x:v>
      </x:c>
      <x:c r="AC168" s="11" t="n">
        <x:f>COLUMNS(A168:T168)-COUNTBLANK(A168:T168)</x:f>
        <x:v>20</x:v>
      </x:c>
    </x:row>
    <x:row r="169" ht="84" hidden="0" customHeight="1">
      <x:c r="A169" s="10" t="str">
        <x:v>002</x:v>
      </x:c>
      <x:c r="B169" s="10" t="str">
        <x:v>Homem em atividade de organização de arquivos e prontuários no interior da Casa de Detenção de São Paulo no Carandiru.</x:v>
      </x:c>
      <x:c r="C169" s="10" t="str">
        <x:v>Item</x:v>
      </x:c>
      <x:c r="D169" s="10" t="str">
        <x:v>1969-01-08 00:00:00</x:v>
      </x:c>
      <x:c r="E169" s="10" t="str">
        <x:v>Gerado pelo Dataverse</x:v>
      </x:c>
      <x:c r="F169" s="10" t="str">
        <x:v>Fotografia digitalizada; preto e branco; suporte em papel fotográfico</x:v>
      </x:c>
      <x:c r="G169" s="10" t="str">
        <x:v>São Paulo, Brasil</x:v>
      </x:c>
      <x:c r="H169" s="10" t="str">
        <x:v>Arquivo Público do Estado de São Paulo, Jornal Diários Associados</x:v>
      </x:c>
      <x:c r="I169" s="10" t="str">
        <x:v>Estado De São Paulo - Penitenciárias e Presídios - Casa de Detenção de São Paulo no Carandiru (Fotografias)</x:v>
      </x:c>
      <x:c r="J169" s="10" t="str">
        <x:v>Caixa: 3055 Folder: 3</x:v>
      </x:c>
      <x:c r="K169" s="10" t="str">
        <x:v>BR-SPAPESP_DASP-PENITPRE-CSDTCARANDIRU_ICO-FOT-DGZ-MT0_3055-003-002</x:v>
      </x:c>
      <x:c r="L169" s="10" t="str">
        <x: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pesquisa de Maíra Rocha Machado, Bianca Tavolari e Maira Rosín (2025)[1].</x:v>
      </x:c>
      <x:c r="M169" s="10" t="str">
        <x:v>Fotografia em plano médio registrando um homem de costas, trajando camisa e calças claras, em frente a uma extensa estante repleta de pastas, documentos ou prontuários organizados verticalmente. A cena captura o ambiente de arquivamento da Casa de Detenção de São Paulo no Carandiru, evidenciando a infraestrutura administrativa da época. No topo das prateleiras, nota-se uma fileira de livros volumosos, encadernados e numerados. O teto possui tubulações hidráulicas aparentes e há cortinas de tecido claro nas extremidades das estantes, sugerindo a divisão ou proteção do acervo documental.</x:v>
      </x:c>
      <x:c r="N169"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69" s="10" t="str">
        <x:v>Carandiru; Casa de Detenção; Arquivo; Prontuários; Administração Prisional; São Paulo; História Penitenciária.</x:v>
      </x:c>
      <x:c r="P169" s="10" t="str">
        <x:v>Fotografia (Iconográfico)</x:v>
      </x:c>
      <x:c r="Q169" s="10" t="str">
        <x:v>Digitalização de fotografia em preto e branco (analógica original)</x:v>
      </x:c>
      <x:c r="R169" s="10" t="str">
        <x:v>Figura n – [Homem em atividade de organização de arquivos e prontuários no interior da Casa de Detenção de São Paulo no Carandiru.] Fonte: Arquivo Público do Estado de São Paulo, 1969.</x:v>
      </x:c>
      <x:c r="S169" s="10" t="str">
        <x:v>ARQUIVO PÚBLICO DO ESTADO DE SÃO PAULO (Brasil). [Homem em atividade de organização de arquivos e prontuários no interior da Casa de Detenção de São Paulo no Carandiru.]. São Paulo, Brasil. 08 jan. 1969. Fotografia digitalizada; preto e branco; suporte em papel fotográfico. Disponível em: &lt;link do dataverse&gt;. Acesso em: 28 out. 2025.</x:v>
      </x:c>
      <x:c r="T169" s="10" t="str">
        <x:v>ESTADO DE SÃO PAULO - PENITENCIÁRIAS E PRESIDIOS - CASA DE DETENÇÃO DO CARANDIRÚ. CARANDIRÚ: UMA DETENÇÃO QUE SE TORNA MAIS HUMANA. Aspecto tomado no interior do presidio. DN.2a.Ed.- 8/1/1969 - JCM</x:v>
      </x:c>
      <x:c r="U169" s="10" t="str">
        <x:v>ICO</x:v>
      </x:c>
      <x:c r="V169" s="10" t="str">
        <x:v>FOT</x:v>
      </x:c>
      <x:c r="W169" s="10" t="str">
        <x:v>DGZ</x:v>
      </x:c>
      <x:c r="X169" s="10" t="str">
        <x:v>MT0</x:v>
      </x:c>
      <x:c r="Y169" s="10" t="str">
        <x:v>BR-SPAPESP_DASP-PENITPRE-CSDTCARANDIRU.xlsx</x:v>
      </x:c>
      <x:c r="Z169" s="10" t="str">
        <x:v>3055-003</x:v>
      </x:c>
      <x:c r="AA169" s="11" t="n">
        <x:v>3</x:v>
      </x:c>
      <x:c r="AB169" s="10" t="str">
        <x:v>BR-SPAPESP_DASP-PENITPRE-CSDTCARANDIRU.xlsx:3055-003:3</x:v>
      </x:c>
      <x:c r="AC169" s="11" t="n">
        <x:f>COLUMNS(A169:T169)-COUNTBLANK(A169:T169)</x:f>
        <x:v>20</x:v>
      </x:c>
    </x:row>
    <x:row r="170" ht="84" hidden="0" customHeight="1">
      <x:c r="A170" s="10" t="str">
        <x:v>003</x:v>
      </x:c>
      <x:c r="B170" s="10" t="str">
        <x:v>Familiares e crianças aguardam entrada na Casa de Detenção de São Paulo no Carandiru em contexto de instabilidade.</x:v>
      </x:c>
      <x:c r="C170" s="10" t="str">
        <x:v>Item</x:v>
      </x:c>
      <x:c r="D170" s="10" t="str">
        <x:v>1964-08-17 00:00:00</x:v>
      </x:c>
      <x:c r="E170" s="10" t="str">
        <x:v>Gerado pelo Dataverse</x:v>
      </x:c>
      <x:c r="F170" s="10" t="str">
        <x:v>Fotografia digitalizada; preto e branco; suporte em papel fotográfico</x:v>
      </x:c>
      <x:c r="G170" s="10" t="str">
        <x:v>São Paulo, Brasil</x:v>
      </x:c>
      <x:c r="H170" s="10" t="str">
        <x:v>Arquivo Público do Estado de São Paulo, Jornal Diários Associados</x:v>
      </x:c>
      <x:c r="I170" s="10" t="str">
        <x:v>Estado De São Paulo - Penitenciárias e Presídios - Casa de Detenção de São Paulo no Carandiru (Fotografias)</x:v>
      </x:c>
      <x:c r="J170" s="10" t="str">
        <x:v>Caixa: 3055 Folder: 3</x:v>
      </x:c>
      <x:c r="K170" s="10" t="str">
        <x:v>BR-SPAPESP_DASP-PENITPRE-CSDTCARANDIRU_ICO-FOT-DGZ-MT0_3055-003-003</x:v>
      </x:c>
      <x:c r="L170" s="10" t="str">
        <x: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pesquisa de Maíra Rocha Machado, Bianca Tavolari e Maira Rosín (2025)[1].</x:v>
      </x:c>
      <x:c r="M170" s="10" t="str">
        <x:v>Fotografia em preto e branco capturada em plano médio, retratando um grupo de mulheres e crianças em uma área externa, possivelmente o pátio ou entrada da Casa de Detenção de São Paulo no Carandiru. À direita, um oficial fardado é visto de costas, voltado para o grupo. As expressões das mulheres denotam preocupação e apreensão. O chão está repleto de fragmentos de papel e detritos. No plano de fundo, observam-se edificações urbanas e a estrutura de um veículo de carga. A composição registra o momento de tensão e a espera de familiares por notícias ou permissão de ingresso após um episódio de conflito interno na unidade.</x:v>
      </x:c>
      <x:c r="N170"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70" s="10" t="str">
        <x:v>Carandiru; Casa de Detenção; Familiares de presos; Tensão social; São Paulo; História Prisional.</x:v>
      </x:c>
      <x:c r="P170" s="10" t="str">
        <x:v>Fotografia (Iconográfico)</x:v>
      </x:c>
      <x:c r="Q170" s="10" t="str">
        <x:v>Digitalização de fotografia em preto e branco (analógica original)</x:v>
      </x:c>
      <x:c r="R170" s="10" t="str">
        <x:v>Figura n – [Familiares e crianças aguardam entrada na Casa de Detenção de São Paulo no Carandiru em contexto de instabilidade.] Fonte: Arquivo Público do Estado de São Paulo, 1964.</x:v>
      </x:c>
      <x:c r="S170" s="10" t="str">
        <x:v>ARQUIVO PÚBLICO DO ESTADO DE SÃO PAULO (Brasil). [Familiares e crianças aguardam entrada na Casa de Detenção de São Paulo no Carandiru em contexto de instabilidade.]. São Paulo, Brasil. 17 ago. 1964. Fotografia digitalizada; preto e branco; suporte em papel fotográfico. Disponível em: &lt;link do dataverse&gt;. Acesso em: 28 out. 2025.</x:v>
      </x:c>
      <x:c r="T170" s="10" t="str">
        <x:v>ESTADO DE SAO PAULO - PENITENCIÁRIAS E PRESIDIOS - CASA DE DETENÇÃO DO CARANDIRÚ - DETENÇÃO: REGIME DO TERROR PROVOCOU MOTIM - Dúvida, intranquilidade e temor levaram esse gen te às portas da Casa de Detenção, cuja barreira foi vencida pela resignação. A proibição caiu e todos puderam entrar no cenario da reeblião. DN. 2a. Ed. 17/8/1964-cjs. 8 18 (1)</x:v>
      </x:c>
      <x:c r="U170" s="10" t="str">
        <x:v>ICO</x:v>
      </x:c>
      <x:c r="V170" s="10" t="str">
        <x:v>FOT</x:v>
      </x:c>
      <x:c r="W170" s="10" t="str">
        <x:v>DGZ</x:v>
      </x:c>
      <x:c r="X170" s="10" t="str">
        <x:v>MT0</x:v>
      </x:c>
      <x:c r="Y170" s="10" t="str">
        <x:v>BR-SPAPESP_DASP-PENITPRE-CSDTCARANDIRU.xlsx</x:v>
      </x:c>
      <x:c r="Z170" s="10" t="str">
        <x:v>3055-003</x:v>
      </x:c>
      <x:c r="AA170" s="11" t="n">
        <x:v>4</x:v>
      </x:c>
      <x:c r="AB170" s="10" t="str">
        <x:v>BR-SPAPESP_DASP-PENITPRE-CSDTCARANDIRU.xlsx:3055-003:4</x:v>
      </x:c>
      <x:c r="AC170" s="11" t="n">
        <x:f>COLUMNS(A170:T170)-COUNTBLANK(A170:T170)</x:f>
        <x:v>20</x:v>
      </x:c>
    </x:row>
    <x:row r="171" ht="84" hidden="0" customHeight="1">
      <x:c r="A171" s="10" t="str">
        <x:v>004</x:v>
      </x:c>
      <x:c r="B171" s="10" t="str">
        <x:v>Intervenção do Corpo de Bombeiros no pátio da Casa de Detenção de São Paulo no Carandiru durante ocorrência noturna.</x:v>
      </x:c>
      <x:c r="C171" s="10" t="str">
        <x:v>Item</x:v>
      </x:c>
      <x:c r="D171" s="10" t="str">
        <x:v>1964-08-17 00:00:00</x:v>
      </x:c>
      <x:c r="E171" s="10" t="str">
        <x:v>Gerado pelo Dataverse</x:v>
      </x:c>
      <x:c r="F171" s="10" t="str">
        <x:v>Fotografia digitalizada; preto e branco; suporte em papel fotográfico</x:v>
      </x:c>
      <x:c r="G171" s="10" t="str">
        <x:v>São Paulo, Brasil</x:v>
      </x:c>
      <x:c r="H171" s="10" t="str">
        <x:v>Arquivo Público do Estado de São Paulo, Jornal Diários Associados</x:v>
      </x:c>
      <x:c r="I171" s="10" t="str">
        <x:v>Estado De São Paulo - Penitenciárias e Presídios - Casa de Detenção de São Paulo no Carandiru (Fotografias)</x:v>
      </x:c>
      <x:c r="J171" s="10" t="str">
        <x:v>Caixa: 3055 Folder: 3</x:v>
      </x:c>
      <x:c r="K171" s="10" t="str">
        <x:v>BR-SPAPESP_DASP-PENITPRE-CSDTCARANDIRU_ICO-FOT-DGZ-MT0_3055-003-004</x:v>
      </x:c>
      <x:c r="L171" s="10" t="str">
        <x: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pesquisa de Maíra Rocha Machado, Bianca Tavolari e Maira Rosín (2025)[1].</x:v>
      </x:c>
      <x:c r="M171" s="10" t="str">
        <x:v>Fotografia noturna registrando a parte traseira de um caminhão de bombeiros da "Força Pública" estacionado em uma área coberta ou garagem. Sobre a plataforma do veículo, dois bombeiros fardados e equipados com capacetes manuseiam equipamentos. No canto direito, um oficial em uniforme escuro observa a operação. A imagem retrata a mobilização de forças de segurança e socorro em resposta a um "motim" ocorrido na noite do dia 14.</x:v>
      </x:c>
      <x:c r="N171"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71" s="10" t="str">
        <x:v>Carandiru; Casa de Detenção; Motim; Corpo de Bombeiros; Força Pública; São Paulo; Segurança Pública.</x:v>
      </x:c>
      <x:c r="P171" s="10" t="str">
        <x:v>Fotografia (Iconográfico)</x:v>
      </x:c>
      <x:c r="Q171" s="10" t="str">
        <x:v>Digitalização de fotografia em preto e branco (analógica original).</x:v>
      </x:c>
      <x:c r="R171" s="10" t="str">
        <x:v>Figura n – [Intervenção do Corpo de Bombeiros no pátio da Casa de Detenção de São Paulo no Carandiru durante ocorrência noturna.] Fonte: Arquivo Público do Estado de São Paulo, 1964.</x:v>
      </x:c>
      <x:c r="S171" s="10" t="str">
        <x:v>ARQUIVO PÚBLICO DO ESTADO DE SÃO PAULO (Brasil). [Intervenção do Corpo de Bombeiros no pátio da Casa de Detenção de São Paulo no Carandiru durante ocorrência noturna.]. São Paulo, Brasil. 17 ago. 1964. Fotografia digitalizada; preto e branco; suporte em papel fotográfico. Disponível em: &lt;link do dataverse&gt;. Acesso em: 28 out. 2025.</x:v>
      </x:c>
      <x:c r="T171" s="10" t="str">
        <x:v>ESTADO DE SÃO PAULO = PENITENCIÁRIAS E PRESIDIOS - Casa de Detenção de São Paulo no Carandiru - MOTIM DE ODIO E DESESPÊRO SACUDIU CASA DE DETENÇÃO - Flagrante tomado durante o tragico motim ocorrido na Casa de Detenção de São Paulo no Carandiru, na noite do dia 14. Ver, DN, 1a. Ed. 17/8/1964 dmc</x:v>
      </x:c>
      <x:c r="U171" s="10" t="str">
        <x:v>ICO</x:v>
      </x:c>
      <x:c r="V171" s="10" t="str">
        <x:v>FOT</x:v>
      </x:c>
      <x:c r="W171" s="10" t="str">
        <x:v>DGZ</x:v>
      </x:c>
      <x:c r="X171" s="10" t="str">
        <x:v>MT0</x:v>
      </x:c>
      <x:c r="Y171" s="10" t="str">
        <x:v>BR-SPAPESP_DASP-PENITPRE-CSDTCARANDIRU.xlsx</x:v>
      </x:c>
      <x:c r="Z171" s="10" t="str">
        <x:v>3055-003</x:v>
      </x:c>
      <x:c r="AA171" s="11" t="n">
        <x:v>5</x:v>
      </x:c>
      <x:c r="AB171" s="10" t="str">
        <x:v>BR-SPAPESP_DASP-PENITPRE-CSDTCARANDIRU.xlsx:3055-003:5</x:v>
      </x:c>
      <x:c r="AC171" s="11" t="n">
        <x:f>COLUMNS(A171:T171)-COUNTBLANK(A171:T171)</x:f>
        <x:v>20</x:v>
      </x:c>
    </x:row>
    <x:row r="172" ht="84" hidden="0" customHeight="1">
      <x:c r="A172" s="10" t="str">
        <x:v>005</x:v>
      </x:c>
      <x:c r="B172" s="10" t="str">
        <x:v>Vista externa da muralha e celas iluminadas da Casa de Detenção de São Paulo no Carandiru durante a noite.</x:v>
      </x:c>
      <x:c r="C172" s="10" t="str">
        <x:v>Item</x:v>
      </x:c>
      <x:c r="D172" s="10" t="str">
        <x:v>1964-08-17 00:00:00</x:v>
      </x:c>
      <x:c r="E172" s="10" t="str">
        <x:v>Gerado pelo Dataverse</x:v>
      </x:c>
      <x:c r="F172" s="10" t="str">
        <x:v>Fotografia digitalizada; preto e branco; suporte em papel fotográfico</x:v>
      </x:c>
      <x:c r="G172" s="10" t="str">
        <x:v>São Paulo, Brasil</x:v>
      </x:c>
      <x:c r="H172" s="10" t="str">
        <x:v>Arquivo Público do Estado de São Paulo, Jornal Diários Associados</x:v>
      </x:c>
      <x:c r="I172" s="10" t="str">
        <x:v>Estado De São Paulo - Penitenciárias e Presídios - Casa de Detenção de São Paulo no Carandiru (Fotografias)</x:v>
      </x:c>
      <x:c r="J172" s="10" t="str">
        <x:v>Caixa: 3055 Folder: 3</x:v>
      </x:c>
      <x:c r="K172" s="10" t="str">
        <x:v>BR-SPAPESP_DASP-PENITPRE-CSDTCARANDIRU_ICO-FOT-DGZ-MT0_3055-003-005</x:v>
      </x:c>
      <x:c r="L172" s="10" t="str">
        <x: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pesquisa de Maíra Rocha Machado, Bianca Tavolari e Maira Rosín (2025)[1].</x:v>
      </x:c>
      <x:c r="M172" s="10" t="str">
        <x:v>Fotografia noturna com alto contraste apresentando a fachada de um dos pavilhões da Casa de Detenção. Em primeiro plano, destacam-se estruturas verticais que parecem ser postes ou parte da segurança perimetral. Ao fundo, a muralha exibe uma fileira de janelas pequenas e quadradas, intensamente iluminadas, criando pontos de luz contra a escuridão. O registro visual enfatiza o estado de vigilância da unidade durante o período noturno relacionado ao "motim" citado na documentação.</x:v>
      </x:c>
      <x:c r="N172"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72" s="10" t="str">
        <x:v>Carandiru; Casa de Detenção; Arquitetura Prisional; Vigilância; São Paulo; História Penitenciária.</x:v>
      </x:c>
      <x:c r="P172" s="10" t="str">
        <x:v>Fotografia (Iconográfico)</x:v>
      </x:c>
      <x:c r="Q172" s="10" t="str">
        <x:v>Digitalização de fotografia em preto e branco (analógica original).</x:v>
      </x:c>
      <x:c r="R172" s="10" t="str">
        <x:v>Figura n – [Vista externa da muralha e celas iluminadas da Casa de Detenção de São Paulo no Carandiru durante a noite.] Fonte: Arquivo Público do Estado de São Paulo, 1964.</x:v>
      </x:c>
      <x:c r="S172" s="10" t="str">
        <x:v>ARQUIVO PÚBLICO DO ESTADO DE SÃO PAULO (Brasil). [Vista externa da muralha e celas iluminadas da Casa de Detenção de São Paulo no Carandiru durante a noite.]. São Paulo, Brasil. 17 ago. 1964. Fotografia digitalizada; preto e branco; suporte em papel fotográfico. Disponível em: &lt;link do dataverse&gt;. Acesso em: 28 out. 2025.</x:v>
      </x:c>
      <x:c r="T172" s="10" t="str">
        <x:v>ESTADO DE SAI OAYKI = PENITENCIÁRIAS E PRESIDIOS - Casa de Detenção de São Paulo no Carandiru - MOTIM DE ODIO E DESEPÊRO SACUDIU A CASA DE DETENÇÃO - Flagrante tomado durante o tragico motim ocorrido na Casa de Detenção de São Paulo no Carandiru, na noite do dia 14. Ver, DN, 1a. d. 17/8/1964 dmc</x:v>
      </x:c>
      <x:c r="U172" s="10" t="str">
        <x:v>ICO</x:v>
      </x:c>
      <x:c r="V172" s="10" t="str">
        <x:v>FOT</x:v>
      </x:c>
      <x:c r="W172" s="10" t="str">
        <x:v>DGZ</x:v>
      </x:c>
      <x:c r="X172" s="10" t="str">
        <x:v>MT0</x:v>
      </x:c>
      <x:c r="Y172" s="10" t="str">
        <x:v>BR-SPAPESP_DASP-PENITPRE-CSDTCARANDIRU.xlsx</x:v>
      </x:c>
      <x:c r="Z172" s="10" t="str">
        <x:v>3055-003</x:v>
      </x:c>
      <x:c r="AA172" s="11" t="n">
        <x:v>6</x:v>
      </x:c>
      <x:c r="AB172" s="10" t="str">
        <x:v>BR-SPAPESP_DASP-PENITPRE-CSDTCARANDIRU.xlsx:3055-003:6</x:v>
      </x:c>
      <x:c r="AC172" s="11" t="n">
        <x:f>COLUMNS(A172:T172)-COUNTBLANK(A172:T172)</x:f>
        <x:v>20</x:v>
      </x:c>
    </x:row>
    <x:row r="173" ht="84" hidden="0" customHeight="1">
      <x:c r="A173" s="10" t="str">
        <x:v>006</x:v>
      </x:c>
      <x:c r="B173" s="10" t="str">
        <x:v>Vista do interior de uma cela individual na Casa de Detenção de São Paulo no Carandiru.</x:v>
      </x:c>
      <x:c r="C173" s="10" t="str">
        <x:v>Item</x:v>
      </x:c>
      <x:c r="D173" s="10" t="str">
        <x:v>1960-11-30 00:00:00</x:v>
      </x:c>
      <x:c r="E173" s="10" t="str">
        <x:v>Gerado pelo Dataverse</x:v>
      </x:c>
      <x:c r="F173" s="10" t="str">
        <x:v>Fotografia digitalizada; preto e branco; suporte em papel fotográfico</x:v>
      </x:c>
      <x:c r="G173" s="10" t="str">
        <x:v>São Paulo, Brasil</x:v>
      </x:c>
      <x:c r="H173" s="10" t="str">
        <x:v>Arquivo Público do Estado de São Paulo, Jornal Diários Associados</x:v>
      </x:c>
      <x:c r="I173" s="10" t="str">
        <x:v>Estado De São Paulo - Penitenciárias e Presídios - Casa de Detenção de São Paulo no Carandiru (Fotografias)</x:v>
      </x:c>
      <x:c r="J173" s="10" t="str">
        <x:v>Caixa: 3055 Folder: 3</x:v>
      </x:c>
      <x:c r="K173" s="10" t="str">
        <x:v>BR-SPAPESP_DASP-PENITPRE-CSDTCARANDIRU_ICO-FOT-DGZ-MT0_3055-003-006</x:v>
      </x:c>
      <x:c r="L173" s="10" t="str">
        <x: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pesquisa de Maíra Rocha Machado, Bianca Tavolari e Maira Rosín (2025)[1].</x:v>
      </x:c>
      <x:c r="M173" s="10" t="str">
        <x:v>Fotografia em plano médio do interior de uma cela individual, apresentando uma cama de ferro com lençóis e travesseiro. À esquerda, observa-se um pequeno móvel com objetos pessoais, livros empilhados no chão, uma mala e jornais sob a cama. Ao fundo, uma janela alta com grades permite a entrada de luz natural. A documentação indica que esta era uma das cerca de 2.400 celas idênticas em fase de construção para a unidade.</x:v>
      </x:c>
      <x:c r="N173"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73" s="10" t="str">
        <x:v>Casa de Detenção; Cela individual; Arquitetura Prisional; Condições de encarceramento; São Paulo.</x:v>
      </x:c>
      <x:c r="P173" s="10" t="str">
        <x:v>Fotografia (Iconográfico)</x:v>
      </x:c>
      <x:c r="Q173" s="10" t="str">
        <x:v>Digitalização de fotografia em preto e branco (analógica original).</x:v>
      </x:c>
      <x:c r="R173" s="10" t="str">
        <x:v>Figura n – [Vista do interior de uma cela individual na Casa de Detenção de São Paulo no Carandiru.] Fonte: Arquivo Público do Estado de São Paulo, 1960.</x:v>
      </x:c>
      <x:c r="S173" s="10" t="str">
        <x:v>ARQUIVO PÚBLICO DO ESTADO DE SÃO PAULO (Brasil). [Vista do interior de uma cela individual na Casa de Detenção de São Paulo no Carandiru.]. São Paulo, Brasil. 30 nov. 1960. Fotografia digitalizada; preto e branco; suporte em papel fotográfico. Disponível em: &lt;link do dataverse&gt;. Acesso em: 28 out. 2025.</x:v>
      </x:c>
      <x:c r="T173" s="10" t="str">
        <x:v>ESTADO DE SAO PAULO PENITENCIARIAS E PRESIDIOS = Casa de Detenção de São Paulo no Carandiru UM MILHÃO DE CRUZEIROS CUSTARÁ CADA CELA DA CASA DE DETENÇÃO Interior de uma cela individual da nova Casa de Detenção. Cerca de 2.400 celas idênticas estão sendo construídas naquele local DN Ia.Ed. 30/11/960 W/</x:v>
      </x:c>
      <x:c r="U173" s="10" t="str">
        <x:v>ICO</x:v>
      </x:c>
      <x:c r="V173" s="10" t="str">
        <x:v>FOT</x:v>
      </x:c>
      <x:c r="W173" s="10" t="str">
        <x:v>DGZ</x:v>
      </x:c>
      <x:c r="X173" s="10" t="str">
        <x:v>MT0</x:v>
      </x:c>
      <x:c r="Y173" s="10" t="str">
        <x:v>BR-SPAPESP_DASP-PENITPRE-CSDTCARANDIRU.xlsx</x:v>
      </x:c>
      <x:c r="Z173" s="10" t="str">
        <x:v>3055-003</x:v>
      </x:c>
      <x:c r="AA173" s="11" t="n">
        <x:v>7</x:v>
      </x:c>
      <x:c r="AB173" s="10" t="str">
        <x:v>BR-SPAPESP_DASP-PENITPRE-CSDTCARANDIRU.xlsx:3055-003:7</x:v>
      </x:c>
      <x:c r="AC173" s="11" t="n">
        <x:f>COLUMNS(A173:T173)-COUNTBLANK(A173:T173)</x:f>
        <x:v>20</x:v>
      </x:c>
    </x:row>
    <x:row r="174" ht="84" hidden="0" customHeight="1">
      <x:c r="A174" s="10" t="str">
        <x:v>007</x:v>
      </x:c>
      <x:c r="B174" s="10" t="str">
        <x:v>Pavilhões 4 e 7 em obras (1977)</x:v>
      </x:c>
      <x:c r="C174" s="10" t="str">
        <x:v>Item</x:v>
      </x:c>
      <x:c r="D174" s="10" t="str">
        <x:v>1977-05-26 00:00:00</x:v>
      </x:c>
      <x:c r="E174" s="10" t="str">
        <x:v>Gerado pelo Dataverse</x:v>
      </x:c>
      <x:c r="F174" s="10" t="str">
        <x:v>Fotografia digitalizada; preto e branco; suporte em papel fotográfico</x:v>
      </x:c>
      <x:c r="G174" s="10" t="str">
        <x:v>São Paulo, Brasil</x:v>
      </x:c>
      <x:c r="H174" s="10" t="str">
        <x:v>Arquivo Público do Estado de São Paulo, Jornal Diários Associados</x:v>
      </x:c>
      <x:c r="I174" s="10" t="str">
        <x:v>Estado De São Paulo - Penitenciárias e Presídios - Casa de Detenção de São Paulo no Carandiru (Fotografias)</x:v>
      </x:c>
      <x:c r="J174" s="10" t="str">
        <x:v>Caixa: 3055 Folder: 3</x:v>
      </x:c>
      <x:c r="K174" s="10" t="str">
        <x:v>BR-SPAPESP_DASP-PENITPRE-CSDTCARANDIRU_ICO-FOT-DGZ-MT0_3055-003-007</x:v>
      </x:c>
      <x:c r="L174" s="10" t="str">
        <x: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pesquisa de Maíra Rocha Machado, Bianca Tavolari e Maira Rosín (2025)[1].</x:v>
      </x:c>
      <x:c r="M174" s="10" t="str">
        <x:v>Registro fotográfico de um grande edifício carcerário em fase de construção, com toda a sua fachada lateral coberta por uma extensa e complexa estrutura de andaimes de madeira. A imagem detalha as aberturas das janelas com grades já instaladas na alvenaria de tijolos aparentes. No plano inferior, observa-se o canteiro de obras com terra batida, um trator de pequeno porte e materiais de construção espalhados.</x:v>
      </x:c>
      <x:c r="N174"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74" s="10" t="str">
        <x:v>Casa de Detenção; Carandiru; Construção civil; Expansão prisional; Andaimes; Pavilhões; Infraestrutura.</x:v>
      </x:c>
      <x:c r="P174" s="10" t="str">
        <x:v>Fotografia (Iconográfico)</x:v>
      </x:c>
      <x:c r="Q174" s="10" t="str">
        <x:v>Digitalização de fotografia em preto e branco (analógica original)</x:v>
      </x:c>
      <x:c r="R174" s="10" t="str">
        <x:v>Figura n – [Pavilhões 4 e 7 em obras (1977)] Fonte: Arquivo Público do Estado de São Paulo, 1977.</x:v>
      </x:c>
      <x:c r="S174" s="10" t="str">
        <x:v>ARQUIVO PÚBLICO DO ESTADO DE SÃO PAULO (Brasil). [Pavilhões 4 e 7 em obras (1977)]. São Paulo, Brasil. 26 mai. 1977. Fotografia digitalizada; preto e branco; suporte em papel fotográfico. Disponível em: &lt;link do dataverse&gt;. Acesso em: 28 out. 2025.</x:v>
      </x:c>
      <x:c r="T174" s="10" t="str">
        <x:v>ESTADO DE SÃO PAULO = PENITENCIARIAS E PRESIDIOS = CASA DE DETENÇÃO Os novos pavilhões da Casa de Detenção ampliarão em 1.300 vagas a capacidade normal do estabelecimento. Arq. 26/5/1977</x:v>
      </x:c>
      <x:c r="U174" s="10" t="str">
        <x:v>ICO</x:v>
      </x:c>
      <x:c r="V174" s="10" t="str">
        <x:v>FOT</x:v>
      </x:c>
      <x:c r="W174" s="10" t="str">
        <x:v>DGZ</x:v>
      </x:c>
      <x:c r="X174" s="10" t="str">
        <x:v>MT0</x:v>
      </x:c>
      <x:c r="Y174" s="10" t="str">
        <x:v>BR-SPAPESP_DASP-PENITPRE-CSDTCARANDIRU.xlsx</x:v>
      </x:c>
      <x:c r="Z174" s="10" t="str">
        <x:v>3055-003</x:v>
      </x:c>
      <x:c r="AA174" s="11" t="n">
        <x:v>8</x:v>
      </x:c>
      <x:c r="AB174" s="10" t="str">
        <x:v>BR-SPAPESP_DASP-PENITPRE-CSDTCARANDIRU.xlsx:3055-003:8</x:v>
      </x:c>
      <x:c r="AC174" s="11" t="n">
        <x:f>COLUMNS(A174:T174)-COUNTBLANK(A174:T174)</x:f>
        <x:v>20</x:v>
      </x:c>
    </x:row>
    <x:row r="175" ht="84" hidden="0" customHeight="1">
      <x:c r="A175" s="10" t="str">
        <x:v>008</x:v>
      </x:c>
      <x:c r="B175" s="10" t="str">
        <x:v>Fachada, 1976. Legenda indica que 40 pessoas saíram no indulto natalino do General Geisel</x:v>
      </x:c>
      <x:c r="C175" s="10" t="str">
        <x:v>Item</x:v>
      </x:c>
      <x:c r="D175" s="10" t="str">
        <x:v>1976-12-24 00:00:00</x:v>
      </x:c>
      <x:c r="E175" s="10" t="str">
        <x:v>Gerado pelo Dataverse</x:v>
      </x:c>
      <x:c r="F175" s="10" t="str">
        <x:v>Fotografia digitalizada; preto e branco; suporte em papel fotográfico</x:v>
      </x:c>
      <x:c r="G175" s="10" t="str">
        <x:v>São Paulo, Brasil</x:v>
      </x:c>
      <x:c r="H175" s="10" t="str">
        <x:v>Arquivo Público do Estado de São Paulo, Jornal Diários Associados</x:v>
      </x:c>
      <x:c r="I175" s="10" t="str">
        <x:v>Estado De São Paulo - Penitenciárias e Presídios - Casa de Detenção de São Paulo no Carandiru (Fotografias)</x:v>
      </x:c>
      <x:c r="J175" s="10" t="str">
        <x:v>Caixa: 3055 Folder: 3</x:v>
      </x:c>
      <x:c r="K175" s="10" t="str">
        <x:v>BR-SPAPESP_DASP-PENITPRE-CSDTCARANDIRU_ICO-FOT-DGZ-MT0_3055-003-008</x:v>
      </x:c>
      <x:c r="L175" s="10" t="str">
        <x: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pesquisa de Maíra Rocha Machado, Bianca Tavolari e Maira Rosín (2025)[1].</x:v>
      </x:c>
      <x:c r="M175" s="10" t="str">
        <x:v>Fotografia noturna da fachada da Casa de Detenção, com o letreiro "CASA DE DETENÇÃO" em destaque no topo do pórtico de entrada. A imagem registra o momento em que detentos, beneficiados por indulto presidencial, deixam o estabelecimento. Observa-se a movimentação de pessoas no pátio de entrada, veículos estacionados e o tráfego de um automóvel em movimento (efeito de rastro) no primeiro plano.</x:v>
      </x:c>
      <x:c r="N175"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75" s="10" t="str">
        <x:v>Casa de Detenção; Indulto natalino; Libertação de presos; Fachada noturna; Sistema prisional; São Paulo.</x:v>
      </x:c>
      <x:c r="P175" s="10" t="str">
        <x:v>Fotografia (Iconográfico)</x:v>
      </x:c>
      <x:c r="Q175" s="10" t="str">
        <x:v>Digitalização de fotografia em preto e branco (analógica original)</x:v>
      </x:c>
      <x:c r="R175" s="10" t="str">
        <x:v>Figura n – [Fachada, 1976. Legenda indica que 40 pessoas saíram no indulto natalino do General Geisel] Fonte: Arquivo Público do Estado de São Paulo, 1976.</x:v>
      </x:c>
      <x:c r="S175" s="10" t="str">
        <x:v>ARQUIVO PÚBLICO DO ESTADO DE SÃO PAULO (Brasil). [Fachada, 1976. Legenda indica que 40 pessoas saíram no indulto natalino do General Geisel]. São Paulo, Brasil. 24 dez. 1976. Fotografia digitalizada; preto e branco; suporte em papel fotográfico. Disponível em: &lt;link do dataverse&gt;. Acesso em: 28 out. 2025.</x:v>
      </x:c>
      <x:c r="T175" s="10" t="str">
        <x:v>ESTADO DE SÃO PAULO - CAPITAL - PENITENCIARIAS E PRESIDIOS - CASA DE DETENÇÃO Ontem a noite, cerca das 21.30 horas os portões da Casa de Detenção abriram-se para dar liberdade a um grupo de aproximadamente 40 detentos que foram beneficiados com o idulto natalino do presidente da Republica DNZ. 24/12/1976 - dcc</x:v>
      </x:c>
      <x:c r="U175" s="10" t="str">
        <x:v>ICO</x:v>
      </x:c>
      <x:c r="V175" s="10" t="str">
        <x:v>FOT</x:v>
      </x:c>
      <x:c r="W175" s="10" t="str">
        <x:v>DGZ</x:v>
      </x:c>
      <x:c r="X175" s="10" t="str">
        <x:v>MT0</x:v>
      </x:c>
      <x:c r="Y175" s="10" t="str">
        <x:v>BR-SPAPESP_DASP-PENITPRE-CSDTCARANDIRU.xlsx</x:v>
      </x:c>
      <x:c r="Z175" s="10" t="str">
        <x:v>3055-003</x:v>
      </x:c>
      <x:c r="AA175" s="11" t="n">
        <x:v>9</x:v>
      </x:c>
      <x:c r="AB175" s="10" t="str">
        <x:v>BR-SPAPESP_DASP-PENITPRE-CSDTCARANDIRU.xlsx:3055-003:9</x:v>
      </x:c>
      <x:c r="AC175" s="11" t="n">
        <x:f>COLUMNS(A175:T175)-COUNTBLANK(A175:T175)</x:f>
        <x:v>20</x:v>
      </x:c>
    </x:row>
    <x:row r="176" ht="84" hidden="0" customHeight="1">
      <x:c r="A176" s="10" t="str">
        <x:v>009</x:v>
      </x:c>
      <x:c r="B176" s="10" t="str">
        <x:v>Pavilhões 4 e 7 em obras (1977)</x:v>
      </x:c>
      <x:c r="C176" s="10" t="str">
        <x:v>Item</x:v>
      </x:c>
      <x:c r="D176" s="10" t="str">
        <x:v>1977-05-26 00:00:00</x:v>
      </x:c>
      <x:c r="E176" s="10" t="str">
        <x:v>Gerado pelo Dataverse</x:v>
      </x:c>
      <x:c r="F176" s="10" t="str">
        <x:v>Fotografia digitalizada; preto e branco; suporte em papel fotográfico</x:v>
      </x:c>
      <x:c r="G176" s="10" t="str">
        <x:v>São Paulo, Brasil</x:v>
      </x:c>
      <x:c r="H176" s="10" t="str">
        <x:v>Arquivo Público do Estado de São Paulo, Jornal Diários Associados</x:v>
      </x:c>
      <x:c r="I176" s="10" t="str">
        <x:v>Estado De São Paulo - Penitenciárias e Presídios - Casa de Detenção de São Paulo no Carandiru (Fotografias)</x:v>
      </x:c>
      <x:c r="J176" s="10" t="str">
        <x:v>Caixa: 3055 Folder: 3</x:v>
      </x:c>
      <x:c r="K176" s="10" t="str">
        <x:v>BR-SPAPESP_DASP-PENITPRE-CSDTCARANDIRU_ICO-FOT-DGZ-MT0_3055-003-009</x:v>
      </x:c>
      <x:c r="L176" s="10" t="str">
        <x: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pesquisa de Maíra Rocha Machado, Bianca Tavolari e Maira Rosín (2025)[1].</x:v>
      </x:c>
      <x:c r="M176" s="10" t="str">
        <x:v>Fotografia que registra o canteiro de obras de um grande pavilhão carcerário de cinco andares. O edifício apresenta estrutura de concreto e alvenaria de tijolos aparentes, com janelas já dotadas de grades metálicas. É possível observar andaimes de madeira instalados em uma das faces do prédio, um guindaste ao fundo e diversos operários trabalhando na base da construção, em meio a materiais e terra batida.</x:v>
      </x:c>
      <x:c r="N176"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76" s="10" t="str">
        <x:v>Casa de Detenção; Carandiru; Construção civil; Superlotação carcerária; Expansão prisional; Pavilhões; Operários.</x:v>
      </x:c>
      <x:c r="P176" s="10" t="str">
        <x:v>Fotografia (Iconográfico)</x:v>
      </x:c>
      <x:c r="Q176" s="10" t="str">
        <x:v>Digitalização de fotografia em preto e branco (analógica original)</x:v>
      </x:c>
      <x:c r="R176" s="10" t="str">
        <x:v>Figura n – [Pavilhões 4 e 7 em obras (1977)] Fonte: Arquivo Público do Estado de São Paulo, 1977.</x:v>
      </x:c>
      <x:c r="S176" s="10" t="str">
        <x:v>ARQUIVO PÚBLICO DO ESTADO DE SÃO PAULO (Brasil). [Pavilhões 4 e 7 em obras (1977)]. São Paulo, Brasil. 26 mai. 1977. Fotografia digitalizada; preto e branco; suporte em papel fotográfico. Disponível em: &lt;link do dataverse&gt;. Acesso em: 28 out. 2025.</x:v>
      </x:c>
      <x:c r="T176" s="10" t="str">
        <x:v>PENITENCIARIA E PRESIDIOS - CASAA DE DETENÇÃO - O Governo do Estado esta construindo dois predios com cinco andares cada, para aliviar o problemas da superpulação existente na Casa de Detenção DN. 26/5/1977</x:v>
      </x:c>
      <x:c r="U176" s="10" t="str">
        <x:v>ICO</x:v>
      </x:c>
      <x:c r="V176" s="10" t="str">
        <x:v>FOT</x:v>
      </x:c>
      <x:c r="W176" s="10" t="str">
        <x:v>DGZ</x:v>
      </x:c>
      <x:c r="X176" s="10" t="str">
        <x:v>MT0</x:v>
      </x:c>
      <x:c r="Y176" s="10" t="str">
        <x:v>BR-SPAPESP_DASP-PENITPRE-CSDTCARANDIRU.xlsx</x:v>
      </x:c>
      <x:c r="Z176" s="10" t="str">
        <x:v>3055-003</x:v>
      </x:c>
      <x:c r="AA176" s="11" t="n">
        <x:v>10</x:v>
      </x:c>
      <x:c r="AB176" s="10" t="str">
        <x:v>BR-SPAPESP_DASP-PENITPRE-CSDTCARANDIRU.xlsx:3055-003:10</x:v>
      </x:c>
      <x:c r="AC176" s="11" t="n">
        <x:f>COLUMNS(A176:T176)-COUNTBLANK(A176:T176)</x:f>
        <x:v>20</x:v>
      </x:c>
    </x:row>
    <x:row r="177" ht="84" hidden="0" customHeight="1">
      <x:c r="A177" s="10" t="str">
        <x:v>010</x:v>
      </x:c>
      <x:c r="B177" s="10" t="str">
        <x:v>Oficial de segurança operando portão de ferro na entrada da Casa de Detenção de São Paulo no Carandiru.</x:v>
      </x:c>
      <x:c r="C177" s="10" t="str">
        <x:v>Item</x:v>
      </x:c>
      <x:c r="D177" s="10" t="str">
        <x:v>1956-09-12 00:00:00</x:v>
      </x:c>
      <x:c r="E177" s="10" t="str">
        <x:v>Gerado pelo Dataverse</x:v>
      </x:c>
      <x:c r="F177" s="10" t="str">
        <x:v>Fotografia digitalizada; preto e branco; suporte em papel fotográfico</x:v>
      </x:c>
      <x:c r="G177" s="10" t="str">
        <x:v>São Paulo, Brasil</x:v>
      </x:c>
      <x:c r="H177" s="10" t="str">
        <x:v>Arquivo Público do Estado de São Paulo, Jornal Diários Associados</x:v>
      </x:c>
      <x:c r="I177" s="10" t="str">
        <x:v>Estado De São Paulo - Penitenciárias e Presídios - Casa de Detenção de São Paulo no Carandiru (Fotografias)</x:v>
      </x:c>
      <x:c r="J177" s="10" t="str">
        <x:v>Caixa: 3055 Folder: 3</x:v>
      </x:c>
      <x:c r="K177" s="10" t="str">
        <x:v>BR-SPAPESP_DASP-PENITPRE-CSDTCARANDIRU_ICO-FOT-DGZ-MT0_3055-003-010</x:v>
      </x:c>
      <x:c r="L177" s="10" t="str">
        <x: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pesquisa de Maíra Rocha Machado, Bianca Tavolari e Maira Rosín (2025)[1].</x:v>
      </x:c>
      <x:c r="M177" s="10" t="str">
        <x:v>Fotografia em plano médio registrando um homem fardado, possivelmente um guarda prisional, com a mão sobre a fechadura de um grande portão de grades de ferro. Através das grades, observa-se a fachada de um edifício de múltiplos pavimentos com várias janelas pequenas e repetitivas. A imagem documenta o controle de acesso e a infraestrutura de segurança da unidade, descrita na documentação como a "nova Casa de Detenção" em registros de arquivo.</x:v>
      </x:c>
      <x:c r="N177"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77" s="10" t="str">
        <x:v>Carandiru; Casa de Detenção; Segurança; Guarda prisional; Arquitetura Prisional; São Paulo; Acesso.</x:v>
      </x:c>
      <x:c r="P177" s="10" t="str">
        <x:v>Fotografia (Iconográfico)</x:v>
      </x:c>
      <x:c r="Q177" s="10" t="str">
        <x:v>Digitalização de fotografia em preto e branco (analógica original)</x:v>
      </x:c>
      <x:c r="R177" s="10" t="str">
        <x:v>Figura n – [Oficial de segurança operando portão de ferro na entrada da Casa de Detenção de São Paulo no Carandiru.] Fonte: Arquivo Público do Estado de São Paulo, 1956.</x:v>
      </x:c>
      <x:c r="S177" s="10" t="str">
        <x:v>ARQUIVO PÚBLICO DO ESTADO DE SÃO PAULO (Brasil). [Oficial de segurança operando portão de ferro na entrada da Casa de Detenção de São Paulo no Carandiru.]. São Paulo, Brasil. 12 set. 1956. Fotografia digitalizada; preto e branco; suporte em papel fotográfico. Disponível em: &lt;link do dataverse&gt;. Acesso em: 28 out. 2025.</x:v>
      </x:c>
      <x:c r="T177" s="10" t="str">
        <x:v>ESTADO DE SAO PAULO - PENITENCIARIAS E PRESIDIOS - CASA DE DETENÇÃO (CARANDIRÚ) Porta de segurança da entrada, da nova Casa de Detenção do Carandirú. Arq. 12/9/956 j1 "ESQUEMA 4" INVADE A CASA DE DETENÇÃO" DN. 1ª Ed., 3/3/1964 - wjp.</x:v>
      </x:c>
      <x:c r="U177" s="10" t="str">
        <x:v>ICO</x:v>
      </x:c>
      <x:c r="V177" s="10" t="str">
        <x:v>FOT</x:v>
      </x:c>
      <x:c r="W177" s="10" t="str">
        <x:v>DGZ</x:v>
      </x:c>
      <x:c r="X177" s="10" t="str">
        <x:v>MT0</x:v>
      </x:c>
      <x:c r="Y177" s="10" t="str">
        <x:v>BR-SPAPESP_DASP-PENITPRE-CSDTCARANDIRU.xlsx</x:v>
      </x:c>
      <x:c r="Z177" s="10" t="str">
        <x:v>3055-003</x:v>
      </x:c>
      <x:c r="AA177" s="11" t="n">
        <x:v>11</x:v>
      </x:c>
      <x:c r="AB177" s="10" t="str">
        <x:v>BR-SPAPESP_DASP-PENITPRE-CSDTCARANDIRU.xlsx:3055-003:11</x:v>
      </x:c>
      <x:c r="AC177" s="11" t="n">
        <x:f>COLUMNS(A177:T177)-COUNTBLANK(A177:T177)</x:f>
        <x:v>20</x:v>
      </x:c>
    </x:row>
    <x:row r="178" ht="84" hidden="0" customHeight="1">
      <x:c r="A178" s="10" t="str">
        <x:v>011</x:v>
      </x:c>
      <x:c r="B178" s="10" t="str">
        <x:v>Sentinelas posicionados no topo das muralhas da Casa de Detenção de São Paulo no Carandiru.</x:v>
      </x:c>
      <x:c r="C178" s="10" t="str">
        <x:v>Item</x:v>
      </x:c>
      <x:c r="D178" s="10" t="str">
        <x:v>1956-09-12 00:00:00</x:v>
      </x:c>
      <x:c r="E178" s="10" t="str">
        <x:v>Gerado pelo Dataverse</x:v>
      </x:c>
      <x:c r="F178" s="10" t="str">
        <x:v>Fotografia digitalizada; preto e branco; suporte em papel fotográfico</x:v>
      </x:c>
      <x:c r="G178" s="10" t="str">
        <x:v>São Paulo, Brasil</x:v>
      </x:c>
      <x:c r="H178" s="10" t="str">
        <x:v>Arquivo Público do Estado de São Paulo, Jornal Diários Associados</x:v>
      </x:c>
      <x:c r="I178" s="10" t="str">
        <x:v>Estado De São Paulo - Penitenciárias e Presídios - Casa de Detenção de São Paulo no Carandiru (Fotografias)</x:v>
      </x:c>
      <x:c r="J178" s="10" t="str">
        <x:v>Caixa: 3055 Folder: 3</x:v>
      </x:c>
      <x:c r="K178" s="10" t="str">
        <x:v>BR-SPAPESP_DASP-PENITPRE-CSDTCARANDIRU_ICO-FOT-DGZ-MT0_3055-003-011</x:v>
      </x:c>
      <x:c r="L178" s="10" t="str">
        <x: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pesquisa de Maíra Rocha Machado, Bianca Tavolari e Maira Rosín (2025)[1].</x:v>
      </x:c>
      <x:c r="M178" s="10" t="str">
        <x:v>Fotografia em ângulo baixo capturando a extensão vertical da muralha de concreto da unidade prisional. No topo, observam-se três homens em trajes de serviço realizando a vigilância perimetral. Na parte inferior esquerda, é visível uma janela protegida por grades de ferro. A imagem integra a documentação histórica sobre a infraestrutura de segurança da então "nova" Casa de Detenção.</x:v>
      </x:c>
      <x:c r="N178"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78" s="10" t="str">
        <x:v>Carandiru; Casa de Detenção; Muralhas; Vigilância; Arquitetura Prisional; São Paulo; Segurança.</x:v>
      </x:c>
      <x:c r="P178" s="10" t="str">
        <x:v>Fotografia (Iconográfico)</x:v>
      </x:c>
      <x:c r="Q178" s="10" t="str">
        <x:v>Digitalização de fotografia em preto e branco (analógica original)</x:v>
      </x:c>
      <x:c r="R178" s="10" t="str">
        <x:v>Figura n – [Sentinelas posicionados no topo das muralhas da Casa de Detenção de São Paulo no Carandiru.] Fonte: Arquivo Público do Estado de São Paulo, 1956.</x:v>
      </x:c>
      <x:c r="S178" s="10" t="str">
        <x:v>ARQUIVO PÚBLICO DO ESTADO DE SÃO PAULO (Brasil). [Sentinelas posicionados no topo das muralhas da Casa de Detenção de São Paulo no Carandiru.]. São Paulo, Brasil. 12 set. 1956. Fotografia digitalizada; preto e branco; suporte em papel fotográfico. Disponível em: &lt;link do dataverse&gt;. Acesso em: 28 out. 2025.</x:v>
      </x:c>
      <x:c r="T178" s="10" t="str">
        <x:v>ESTADO DE SAO PAULO = PENITENCIÁRIAS E PRESIDIOS - CASA DE DETENÇÃO (CARANDIRÚ) Muralhas da nova Casa de Detenção do Carandirú. Arq. 12/9/956 j1</x:v>
      </x:c>
      <x:c r="U178" s="10" t="str">
        <x:v>ICO</x:v>
      </x:c>
      <x:c r="V178" s="10" t="str">
        <x:v>FOT</x:v>
      </x:c>
      <x:c r="W178" s="10" t="str">
        <x:v>DGZ</x:v>
      </x:c>
      <x:c r="X178" s="10" t="str">
        <x:v>MT0</x:v>
      </x:c>
      <x:c r="Y178" s="10" t="str">
        <x:v>BR-SPAPESP_DASP-PENITPRE-CSDTCARANDIRU.xlsx</x:v>
      </x:c>
      <x:c r="Z178" s="10" t="str">
        <x:v>3055-003</x:v>
      </x:c>
      <x:c r="AA178" s="11" t="n">
        <x:v>12</x:v>
      </x:c>
      <x:c r="AB178" s="10" t="str">
        <x:v>BR-SPAPESP_DASP-PENITPRE-CSDTCARANDIRU.xlsx:3055-003:12</x:v>
      </x:c>
      <x:c r="AC178" s="11" t="n">
        <x:f>COLUMNS(A178:T178)-COUNTBLANK(A178:T178)</x:f>
        <x:v>20</x:v>
      </x:c>
    </x:row>
    <x:row r="179" ht="84" hidden="0" customHeight="1">
      <x:c r="A179" s="10" t="str">
        <x:v>012</x:v>
      </x:c>
      <x:c r="B179" s="10" t="str">
        <x:v>Interior de cela da Casa de Detenção de São Paulo na Avenida Tiradentes (São Paulo)</x:v>
      </x:c>
      <x:c r="C179" s="10" t="str">
        <x:v>Item</x:v>
      </x:c>
      <x:c r="D179" s="10" t="str">
        <x:v>1964-05-07 00:00:00</x:v>
      </x:c>
      <x:c r="E179" s="10" t="str">
        <x:v>Gerado pelo Dataverse</x:v>
      </x:c>
      <x:c r="F179" s="10" t="str">
        <x:v>Fotografia digitalizada; preto e branco; suporte em papel fotográfico</x:v>
      </x:c>
      <x:c r="G179" s="10" t="str">
        <x:v>São Paulo, Brasil</x:v>
      </x:c>
      <x:c r="H179" s="10" t="str">
        <x:v>Arquivo Público do Estado de São Paulo, Jornal Diários Associados</x:v>
      </x:c>
      <x:c r="I179" s="10" t="str">
        <x:v>Estado De São Paulo - Penitenciárias e Presídios - Casa de Detenção de São Paulo no Carandiru (Fotografias)</x:v>
      </x:c>
      <x:c r="J179" s="10" t="str">
        <x:v>Caixa: 3055 Folder: 3</x:v>
      </x:c>
      <x:c r="K179" s="10" t="str">
        <x:v>BR-SPAPESP_DASP-PENITPRE-CSDTCARANDIRU_ICO-FOT-DGZ-MT0_3055-003-012</x:v>
      </x:c>
      <x:c r="L179" s="10" t="str">
        <x: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pesquisa de Maíra Rocha Machado, Bianca Tavolari e Maira Rosín (2025)[1].</x:v>
      </x:c>
      <x:c r="M179" s="10" t="str">
        <x:v>Fotografia em preto e branco do interior de uma cela da antiga Casa de Detenção de São Paulo na Avenida Tiradentes, em São Paulo, produzida no contexto do fechamento definitivo da instituição após 112 anos de funcionamento. A imagem apresenta uma porta metálica parcialmente aberta, com a inscrição “20” na parte superior. Observam-se paredes com desgaste acentuado, descascamento do reboco e marcas de umidade, além de piso simples e ambiente vazio, sem presença humana. O registro documenta as condições físicas internas de uma das celas do antigo presídio no momento em que suas atividades foram encerradas.</x:v>
      </x:c>
      <x:c r="N179"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79" s="10" t="str">
        <x:v>Casa de Detenção; Avenida Tiradentes; São Paulo; sistema prisional; cela; penitenciária; cárcere; fechamento institucional; 1964; patrimônio histórico.</x:v>
      </x:c>
      <x:c r="P179" s="10" t="str">
        <x:v>Fotografia (Iconográfico)</x:v>
      </x:c>
      <x:c r="Q179" s="10" t="str">
        <x:v>Digitalização de fotografia em preto e branco (analógica original)</x:v>
      </x:c>
      <x:c r="R179" s="10" t="str">
        <x:v>Figura n – [Interior de cela da Casa de Detenção de São Paulo na Avenida Tiradentes (São Paulo)] Fonte: Arquivo Público do Estado de São Paulo, 1964.</x:v>
      </x:c>
      <x:c r="S179" s="10" t="str">
        <x:v>ARQUIVO PÚBLICO DO ESTADO DE SÃO PAULO (Brasil). [Interior de cela da Casa de Detenção de São Paulo na Avenida Tiradentes (São Paulo)]. São Paulo, Brasil. 07 mai. 1964. Fotografia digitalizada; preto e branco; suporte em papel fotográfico. Disponível em: &lt;link do dataverse&gt;. Acesso em: 28 out. 2025.</x:v>
      </x:c>
      <x:c r="T179" s="10" t="str">
        <x:v>ESTADO DE S. PAULO – PENITENCIARIAS E PRESIDIOS – CASA DE DETENÇÃO DA AVENIDA TIRADENTES FECHAM-SE AS PORTAS DA VELHA CASA DE DETENÇÃO Aspecto interno de uma cela da velha Casa de Detenção. Não será mais usada. Nem esta nem nenhuma outra do antigo presidio da avenida Tiradentes, que depois de cento e doze anos de sua inauguração teve fechadas para sempre as suas portas. Ver DN 2ª Ed., 7/5/1964 – JCM DSP-13/3/77-dcp.</x:v>
      </x:c>
      <x:c r="U179" s="10" t="str">
        <x:v>ICO</x:v>
      </x:c>
      <x:c r="V179" s="10" t="str">
        <x:v>FOT</x:v>
      </x:c>
      <x:c r="W179" s="10" t="str">
        <x:v>DGZ</x:v>
      </x:c>
      <x:c r="X179" s="10" t="str">
        <x:v>MT0</x:v>
      </x:c>
      <x:c r="Y179" s="10" t="str">
        <x:v>BR-SPAPESP_DASP-PENITPRE-CSDTCARANDIRU.xlsx</x:v>
      </x:c>
      <x:c r="Z179" s="10" t="str">
        <x:v>3055-003</x:v>
      </x:c>
      <x:c r="AA179" s="11" t="n">
        <x:v>13</x:v>
      </x:c>
      <x:c r="AB179" s="10" t="str">
        <x:v>BR-SPAPESP_DASP-PENITPRE-CSDTCARANDIRU.xlsx:3055-003:13</x:v>
      </x:c>
      <x:c r="AC179" s="11" t="n">
        <x:f>COLUMNS(A179:T179)-COUNTBLANK(A179:T179)</x:f>
        <x:v>20</x:v>
      </x:c>
    </x:row>
    <x:row r="180" ht="84" hidden="0" customHeight="1">
      <x:c r="A180" s="10" t="str">
        <x:v>013</x:v>
      </x:c>
      <x:c r="B180" s="10" t="str">
        <x:v>Remoção de mulher ferida durante motim na Casa de Detenção de São Paulo no Carandiru (São Paulo)</x:v>
      </x:c>
      <x:c r="C180" s="10" t="str">
        <x:v>Item</x:v>
      </x:c>
      <x:c r="D180" s="10" t="str">
        <x:v>1964-08-16 00:00:00</x:v>
      </x:c>
      <x:c r="E180" s="10" t="str">
        <x:v>Gerado pelo Dataverse</x:v>
      </x:c>
      <x:c r="F180" s="10" t="str">
        <x:v>Fotografia digitalizada; preto e branco; suporte em papel fotográfico</x:v>
      </x:c>
      <x:c r="G180" s="10" t="str">
        <x:v>São Paulo, Brasil</x:v>
      </x:c>
      <x:c r="H180" s="10" t="str">
        <x:v>Arquivo Público do Estado de São Paulo, Jornal Diários Associados</x:v>
      </x:c>
      <x:c r="I180" s="10" t="str">
        <x:v>Estado De São Paulo - Penitenciárias e Presídios - Casa de Detenção de São Paulo no Carandiru (Fotografias)</x:v>
      </x:c>
      <x:c r="J180" s="10" t="str">
        <x:v>Caixa: 3055 Folder: 3</x:v>
      </x:c>
      <x:c r="K180" s="10" t="str">
        <x:v>BR-SPAPESP_DASP-PENITPRE-CSDTCARANDIRU_ICO-FOT-DGZ-MT0_3055-003-013</x:v>
      </x:c>
      <x:c r="L180" s="10" t="str">
        <x: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pesquisa de Maíra Rocha Machado, Bianca Tavolari e Maira Rosín (2025)[1].</x:v>
      </x:c>
      <x:c r="M180" s="10" t="str">
        <x:v>Fotografia em tonalidade sépia representando o momento em que policiais carregam uma mulher ferida durante o motim ocorrido na Casa de Detenção de São Paulo no Carandiru, em São Paulo, na noite do dia 14 de agosto de 1964. A mulher é transportada nos braços por dois agentes, um deles utilizando capacete e uniforme operacional. A cena ocorre em área externa, com veículos estacionados ao fundo e edificações visíveis. Um menino caminha em primeiro plano à direita, afastando-se do grupo. A imagem documenta a atuação policial e as consequências do motim, que resultou em mortos e centenas de feridos, conforme indicado na transcrição datilografada no verso.</x:v>
      </x:c>
      <x:c r="N180"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80" s="10" t="str">
        <x:v>Casa de Detenção de São Paulo no Carandiru; São Paulo; motim; sistema prisional; violência institucional; polícia; 1964; feridos; remoção de vítimas; registro documental.</x:v>
      </x:c>
      <x:c r="P180" s="10" t="str">
        <x:v>Fotografia (Iconográfico)</x:v>
      </x:c>
      <x:c r="Q180" s="10" t="str">
        <x:v>Digitalização de fotografia em sépia (analógica original)</x:v>
      </x:c>
      <x:c r="R180" s="10" t="str">
        <x:v>Figura n – [Remoção de mulher ferida durante motim na Casa de Detenção de São Paulo no Carandiru (São Paulo)] Fonte: Arquivo Público do Estado de São Paulo, 1964.</x:v>
      </x:c>
      <x:c r="S180" s="10" t="str">
        <x:v>ARQUIVO PÚBLICO DO ESTADO DE SÃO PAULO (Brasil). [Remoção de mulher ferida durante motim na Casa de Detenção de São Paulo no Carandiru (São Paulo)]. São Paulo, Brasil. 16 ago. 1964. Fotografia digitalizada; preto e branco; suporte em papel fotográfico. Disponível em: &lt;link do dataverse&gt;. Acesso em: 28 out. 2025.</x:v>
      </x:c>
      <x:c r="T180" s="10" t="str">
        <x:v>ESTADO DE SÃO PAULO – PENITENCIARIAS E PRESIDIOS – Casa de Detenção de São Paulo no Carandiru SANGRENTO MOTIM NA CASA DE DETENÇÃO: MUITOS MORTOS E CENTENAS DE FERIDOS Na foto, policiais carregam uma das mulheres, vítima do trágico motim ocorrido na Casa de Detenção na noite do dia 14. DSP, 16/8/1964</x:v>
      </x:c>
      <x:c r="U180" s="10" t="str">
        <x:v>ICO</x:v>
      </x:c>
      <x:c r="V180" s="10" t="str">
        <x:v>FOT</x:v>
      </x:c>
      <x:c r="W180" s="10" t="str">
        <x:v>DGZ</x:v>
      </x:c>
      <x:c r="X180" s="10" t="str">
        <x:v>MT0</x:v>
      </x:c>
      <x:c r="Y180" s="10" t="str">
        <x:v>BR-SPAPESP_DASP-PENITPRE-CSDTCARANDIRU.xlsx</x:v>
      </x:c>
      <x:c r="Z180" s="10" t="str">
        <x:v>3055-003</x:v>
      </x:c>
      <x:c r="AA180" s="11" t="n">
        <x:v>14</x:v>
      </x:c>
      <x:c r="AB180" s="10" t="str">
        <x:v>BR-SPAPESP_DASP-PENITPRE-CSDTCARANDIRU.xlsx:3055-003:14</x:v>
      </x:c>
      <x:c r="AC180" s="11" t="n">
        <x:f>COLUMNS(A180:T180)-COUNTBLANK(A180:T180)</x:f>
        <x:v>20</x:v>
      </x:c>
    </x:row>
    <x:row r="181" ht="84" hidden="0" customHeight="1">
      <x:c r="A181" s="10" t="str">
        <x:v>014</x:v>
      </x:c>
      <x:c r="B181" s="10" t="str">
        <x:v>Estrutura em fase inicial das obras do conjunto carcerário da nova Casa de Detenção de São Paulo no Carandiru.</x:v>
      </x:c>
      <x:c r="C181" s="10" t="str">
        <x:v>Item</x:v>
      </x:c>
      <x:c r="D181" s="10" t="str">
        <x:v>1957-12-11 00:00:00</x:v>
      </x:c>
      <x:c r="E181" s="10" t="str">
        <x:v>Gerado pelo Dataverse</x:v>
      </x:c>
      <x:c r="F181" s="10" t="str">
        <x:v>Fotografia digitalizada; preto e branco; suporte em papel fotográfico</x:v>
      </x:c>
      <x:c r="G181" s="10" t="str">
        <x:v>São Paulo, Brasil</x:v>
      </x:c>
      <x:c r="H181" s="10" t="str">
        <x:v>Arquivo Público do Estado de São Paulo, Jornal Diários Associados</x:v>
      </x:c>
      <x:c r="I181" s="10" t="str">
        <x:v>Estado De São Paulo - Penitenciárias e Presídios - Casa de Detenção de São Paulo no Carandiru (Fotografias)</x:v>
      </x:c>
      <x:c r="J181" s="10" t="str">
        <x:v>Caixa: 3055 Folder: 3</x:v>
      </x:c>
      <x:c r="K181" s="10" t="str">
        <x:v>BR-SPAPESP_DASP-PENITPRE-CSDTCARANDIRU_ICO-FOT-DGZ-MT0_3055-003-014</x:v>
      </x:c>
      <x:c r="L181" s="10" t="str">
        <x: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pesquisa de Maíra Rocha Machado, Bianca Tavolari e Maira Rosín (2025)[1].</x:v>
      </x:c>
      <x:c r="M181" s="10" t="str">
        <x:v>A fotografia registra o estágio inicial das obras de expansão do complexo penitenciário, destacando a estrutura de concreto armado (pilares e vigas) de um grande conjunto de edifícios ainda sem alvenaria. O canteiro de obras é visto à distância, cercado por arame farpado em primeiro plano e vegetação rasteira. Ao centro, observa-se uma pequena construção rústica de madeira com telhado cerâmico, possivelmente um abrigo de apoio para a obra.</x:v>
      </x:c>
      <x:c r="N181"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81" s="10" t="str">
        <x:v>Casa de Detenção; Carandiru; Obras; Estrutura; Expansão prisional; Conjunto carcerário; Construção civil.</x:v>
      </x:c>
      <x:c r="P181" s="10" t="str">
        <x:v>Fotografia (Iconográfico)</x:v>
      </x:c>
      <x:c r="Q181" s="10" t="str">
        <x:v>Digitalização de fotografia em preto e branco (analógica original)</x:v>
      </x:c>
      <x:c r="R181" s="10" t="str">
        <x:v>Figura n – [Estrutura em fase inicial das obras do conjunto carcerário da nova Casa de Detenção de São Paulo no Carandiru.] Fonte: Arquivo Público do Estado de São Paulo, 1957.</x:v>
      </x:c>
      <x:c r="S181" s="10" t="str">
        <x:v>ARQUIVO PÚBLICO DO ESTADO DE SÃO PAULO (Brasil). [Estrutura em fase inicial das obras do conjunto carcerário da nova Casa de Detenção de São Paulo no Carandiru.]. São Paulo, Brasil. 11 dez. 1957. Fotografia digitalizada; preto e branco; suporte em papel fotográfico. Disponível em: &lt;link do dataverse&gt;. Acesso em: 28 out. 2025.</x:v>
      </x:c>
      <x:c r="T181" s="10" t="str">
        <x:v>ESTADO DE SÃO PAULO = PENITENCIARIAS E PRESIDIOS - CASA DE DETENÇÃO - FICOU NA ESTRUTURA O MAIOR CONJUNTO CARCERÁRIO DA NOVA CASA DE DETENÇÃO Aspecto das obras da Casa de Detenção de São Paulo. Ver D.N. 2a. Ed. 11/12/957 jl</x:v>
      </x:c>
      <x:c r="U181" s="10" t="str">
        <x:v>ICO</x:v>
      </x:c>
      <x:c r="V181" s="10" t="str">
        <x:v>FOT</x:v>
      </x:c>
      <x:c r="W181" s="10" t="str">
        <x:v>DGZ</x:v>
      </x:c>
      <x:c r="X181" s="10" t="str">
        <x:v>MT0</x:v>
      </x:c>
      <x:c r="Y181" s="10" t="str">
        <x:v>BR-SPAPESP_DASP-PENITPRE-CSDTCARANDIRU.xlsx</x:v>
      </x:c>
      <x:c r="Z181" s="10" t="str">
        <x:v>3055-003</x:v>
      </x:c>
      <x:c r="AA181" s="11" t="n">
        <x:v>15</x:v>
      </x:c>
      <x:c r="AB181" s="10" t="str">
        <x:v>BR-SPAPESP_DASP-PENITPRE-CSDTCARANDIRU.xlsx:3055-003:15</x:v>
      </x:c>
      <x:c r="AC181" s="11" t="n">
        <x:f>COLUMNS(A181:T181)-COUNTBLANK(A181:T181)</x:f>
        <x:v>20</x:v>
      </x:c>
    </x:row>
    <x:row r="182" ht="84" hidden="0" customHeight="1">
      <x:c r="A182" s="10" t="str">
        <x:v>015</x:v>
      </x:c>
      <x:c r="B182" s="10" t="str">
        <x:v>“Total abandono” – Pavilhões 8 e 9 (1957)</x:v>
      </x:c>
      <x:c r="C182" s="10" t="str">
        <x:v>Item</x:v>
      </x:c>
      <x:c r="D182" s="10" t="str">
        <x:v>1954-12-11 00:00:00</x:v>
      </x:c>
      <x:c r="E182" s="10" t="str">
        <x:v>Gerado pelo Dataverse</x:v>
      </x:c>
      <x:c r="F182" s="10" t="str">
        <x:v>Fotografia digitalizada; preto e branco; suporte em papel fotográfico</x:v>
      </x:c>
      <x:c r="G182" s="10" t="str">
        <x:v>São Paulo, Brasil</x:v>
      </x:c>
      <x:c r="H182" s="10" t="str">
        <x:v>Arquivo Público do Estado de São Paulo, Jornal Diários Associados</x:v>
      </x:c>
      <x:c r="I182" s="10" t="str">
        <x:v>Estado De São Paulo - Penitenciárias e Presídios - Casa de Detenção de São Paulo no Carandiru (Fotografias)</x:v>
      </x:c>
      <x:c r="J182" s="10" t="str">
        <x:v>Caixa: 3055 Folder: 3</x:v>
      </x:c>
      <x:c r="K182" s="10" t="str">
        <x:v>BR-SPAPESP_DASP-PENITPRE-CSDTCARANDIRU_ICO-FOT-DGZ-MT0_3055-003-015</x:v>
      </x:c>
      <x:c r="L182" s="10" t="str">
        <x: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pesquisa de Maíra Rocha Machado, Bianca Tavolari e Maira Rosín (2025)[1].</x:v>
      </x:c>
      <x:c r="M182" s="10" t="str">
        <x:v>A fotografia registra uma estrutura de concreto inacabada de um grande edifício carcerário. A construção apresenta apenas as fundações, pilares e a laje do segundo pavimento, evidenciando a interrupção das obras. Ao redor da estrutura, observa-se um terreno plano com vegetação rasteira e algumas árvores ao fundo, sem sinais de atividade de construção civil no momento do registro.</x:v>
      </x:c>
      <x:c r="N182"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82" s="10" t="str">
        <x:v>Casa de Detenção; Carandiru; Obras paralisadas; Estrutura de concreto; Abandono; Conjunto carcerário; Sistema prisional.</x:v>
      </x:c>
      <x:c r="P182" s="10" t="str">
        <x:v>Fotografia (Iconográfico)</x:v>
      </x:c>
      <x:c r="Q182" s="10" t="str">
        <x:v>Digitalização de fotografia em preto e branco (analógica original)</x:v>
      </x:c>
      <x:c r="R182" s="10" t="str">
        <x:v>Figura n – [“Total abandono” – Pavilhões 8 e 9 (1957)] Fonte: Arquivo Público do Estado de São Paulo, 1954.</x:v>
      </x:c>
      <x:c r="S182" s="10" t="str">
        <x:v>ARQUIVO PÚBLICO DO ESTADO DE SÃO PAULO (Brasil). [“Total abandono” – Pavilhões 8 e 9 (1957)]. São Paulo, Brasil. 11 dez. 1954. Fotografia digitalizada; preto e branco; suporte em papel fotográfico. Disponível em: &lt;link do dataverse&gt;. Acesso em: 28 out. 2025.</x:v>
      </x:c>
      <x:c r="T182" s="10" t="str">
        <x:v>ESTADO DE SÃO PAULO = PENITENCIÁRIAS E PRESIDIOS - CASA DE DETENÇÃO - FICOU NA ESTRUTURA O MAIOR CONJUNTO CARCERÁRIO DA NOVA CASA DE DETENÇÃO O maior edificio do conjunto carcerário, que poderia resolver provisoriamente o problema de alojamento dos presos à disposição da Justiça, parou na laje do segundo piso. Seu estado é de total abandono. D.N. 2a. Ed. 11/12/957 jl</x:v>
      </x:c>
      <x:c r="U182" s="10" t="str">
        <x:v>ICO</x:v>
      </x:c>
      <x:c r="V182" s="10" t="str">
        <x:v>FOT</x:v>
      </x:c>
      <x:c r="W182" s="10" t="str">
        <x:v>DGZ</x:v>
      </x:c>
      <x:c r="X182" s="10" t="str">
        <x:v>MT0</x:v>
      </x:c>
      <x:c r="Y182" s="10" t="str">
        <x:v>BR-SPAPESP_DASP-PENITPRE-CSDTCARANDIRU.xlsx</x:v>
      </x:c>
      <x:c r="Z182" s="10" t="str">
        <x:v>3055-003</x:v>
      </x:c>
      <x:c r="AA182" s="11" t="n">
        <x:v>16</x:v>
      </x:c>
      <x:c r="AB182" s="10" t="str">
        <x:v>BR-SPAPESP_DASP-PENITPRE-CSDTCARANDIRU.xlsx:3055-003:16</x:v>
      </x:c>
      <x:c r="AC182" s="11" t="n">
        <x:f>COLUMNS(A182:T182)-COUNTBLANK(A182:T182)</x:f>
        <x:v>20</x:v>
      </x:c>
    </x:row>
    <x:row r="183" ht="84" hidden="0" customHeight="1">
      <x:c r="A183" s="10" t="str">
        <x:v>016</x:v>
      </x:c>
      <x:c r="B183" s="10" t="str">
        <x:v>Interior de cela de concreto armado da Casa de Detenção de São Paulo no Carandiru</x:v>
      </x:c>
      <x:c r="C183" s="10" t="str">
        <x:v>Item</x:v>
      </x:c>
      <x:c r="D183" s="10" t="str">
        <x:v>1977-05-26 00:00:00</x:v>
      </x:c>
      <x:c r="E183" s="10" t="str">
        <x:v>Gerado pelo Dataverse</x:v>
      </x:c>
      <x:c r="F183" s="10" t="str">
        <x:v>Fotografia digitalizada; preto e branco; suporte em papel fotográfico</x:v>
      </x:c>
      <x:c r="G183" s="10" t="str">
        <x:v>São Paulo, Brasil</x:v>
      </x:c>
      <x:c r="H183" s="10" t="str">
        <x:v>Arquivo Público do Estado de São Paulo, Jornal Diários Associados</x:v>
      </x:c>
      <x:c r="I183" s="10" t="str">
        <x:v>Estado De São Paulo - Penitenciárias e Presídios - Casa de Detenção de São Paulo no Carandiru (Fotografias)</x:v>
      </x:c>
      <x:c r="J183" s="10" t="str">
        <x:v>Caixa: 3055 Folder: 3</x:v>
      </x:c>
      <x:c r="K183" s="10" t="str">
        <x:v>BR-SPAPESP_DASP-PENITPRE-CSDTCARANDIRU_ICO-FOT-DGZ-MT0_3055-003-016</x:v>
      </x:c>
      <x:c r="L183" s="10" t="str">
        <x: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pesquisa de Maíra Rocha Machado, Bianca Tavolari e Maira Rosín (2025)[1].</x:v>
      </x:c>
      <x:c r="M183" s="10" t="str">
        <x:v>Fotografia em preto e branco representando o interior de uma cela da Casa de Detenção, em São Paulo. O ambiente é composto por paredes e teto de concreto, com acabamento simples e sem revestimentos aparentes. Observam-se duas bases de concreto que funcionam como leitos fixos, além de uma prateleira também em concreto, suspensa na parede lateral. Ao fundo, há uma pequena janela com grades metálicas, permitindo entrada de luz natural. O registro enfatiza a estrutura das instalações em concreto armado, conforme indicado na transcrição, documentando o modelo construtivo das celas e suas condições físicas.</x:v>
      </x:c>
      <x:c r="N183"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83" s="10" t="str">
        <x:v>Casa de Detenção; São Paulo; sistema prisional; cela; concreto armado; arquitetura prisional; instalações carcerárias; década de 1970; registro documental.</x:v>
      </x:c>
      <x:c r="P183" s="10" t="str">
        <x:v>Fotografia (Iconográfico)</x:v>
      </x:c>
      <x:c r="Q183" s="10" t="str">
        <x:v>Digitalização de fotografia em preto e branco (analógica original)</x:v>
      </x:c>
      <x:c r="R183" s="10" t="str">
        <x:v>Figura n – [Interior de cela de concreto armado da Casa de Detenção de São Paulo no Carandiru] Fonte: Arquivo Público do Estado de São Paulo, 1977.</x:v>
      </x:c>
      <x:c r="S183" s="10" t="str">
        <x:v>ARQUIVO PÚBLICO DO ESTADO DE SÃO PAULO (Brasil). [Interior de cela de concreto armado da Casa de Detenção de São Paulo no Carandiru]. São Paulo, Brasil. 26 mai. 1977. Fotografia digitalizada; preto e branco; suporte em papel fotográfico. Disponível em: &lt;link do dataverse&gt;. Acesso em: 28 out. 2025.</x:v>
      </x:c>
      <x:c r="T183" s="10" t="str">
        <x:v>ESTADO DE SÃO PAULO – PENITENCIARIAS E PRESIDIOS – CASA DE DETENÇÃO. Todas as instalações das celas serão de concreto armado, proporcionando bom nível de conforto aos detentos. DSP-26/5/77-dcp.</x:v>
      </x:c>
      <x:c r="U183" s="10" t="str">
        <x:v>ICO</x:v>
      </x:c>
      <x:c r="V183" s="10" t="str">
        <x:v>FOT</x:v>
      </x:c>
      <x:c r="W183" s="10" t="str">
        <x:v>DGZ</x:v>
      </x:c>
      <x:c r="X183" s="10" t="str">
        <x:v>MT0</x:v>
      </x:c>
      <x:c r="Y183" s="10" t="str">
        <x:v>BR-SPAPESP_DASP-PENITPRE-CSDTCARANDIRU.xlsx</x:v>
      </x:c>
      <x:c r="Z183" s="10" t="str">
        <x:v>3055-003</x:v>
      </x:c>
      <x:c r="AA183" s="11" t="n">
        <x:v>17</x:v>
      </x:c>
      <x:c r="AB183" s="10" t="str">
        <x:v>BR-SPAPESP_DASP-PENITPRE-CSDTCARANDIRU.xlsx:3055-003:17</x:v>
      </x:c>
      <x:c r="AC183" s="11" t="n">
        <x:f>COLUMNS(A183:T183)-COUNTBLANK(A183:T183)</x:f>
        <x:v>20</x:v>
      </x:c>
    </x:row>
    <x:row r="184" ht="84" hidden="0" customHeight="1">
      <x:c r="A184" s="10" t="str">
        <x:v>017</x:v>
      </x:c>
      <x:c r="B184" s="10" t="str">
        <x:v>Muralhas da nova Casa de Detenção de São Paulo no Carandiru</x:v>
      </x:c>
      <x:c r="C184" s="10" t="str">
        <x:v>Item</x:v>
      </x:c>
      <x:c r="D184" s="10" t="str">
        <x:v>1956-09-12 00:00:00</x:v>
      </x:c>
      <x:c r="E184" s="10" t="str">
        <x:v>Gerado pelo Dataverse</x:v>
      </x:c>
      <x:c r="F184" s="10" t="str">
        <x:v>Fotografia digitalizada; preto e branco; suporte em papel fotográfico</x:v>
      </x:c>
      <x:c r="G184" s="10" t="str">
        <x:v>São Paulo, Brasil</x:v>
      </x:c>
      <x:c r="H184" s="10" t="str">
        <x:v>Arquivo Público do Estado de São Paulo, Jornal Diários Associados</x:v>
      </x:c>
      <x:c r="I184" s="10" t="str">
        <x:v>Estado De São Paulo - Penitenciárias e Presídios - Casa de Detenção de São Paulo no Carandiru (Fotografias)</x:v>
      </x:c>
      <x:c r="J184" s="10" t="str">
        <x:v>Caixa: 3055 Folder: 3</x:v>
      </x:c>
      <x:c r="K184" s="10" t="str">
        <x:v>BR-SPAPESP_DASP-PENITPRE-CSDTCARANDIRU_ICO-FOT-DGZ-MT0_3055-003-017</x:v>
      </x:c>
      <x:c r="L184" s="10" t="str">
        <x: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pesquisa de Maíra Rocha Machado, Bianca Tavolari e Maira Rosín (2025)[1].</x:v>
      </x:c>
      <x:c r="M184" s="10" t="str">
        <x:v>Fotografia em preto e branco retratando as muralhas externas da nova Casa de Detenção de São Paulo no Carandiru, em São Paulo. A imagem foi realizada a partir de um ponto baixo, enfatizando a perspectiva alongada de um corredor formado por duas extensas paredes de alvenaria que convergem ao fundo. No centro distante da composição, observa-se a presença de uma figura humana próxima às muralhas, o que reforça a escala da construção. O registro destaca a imponência e a extensão das estruturas de contenção que compõem o complexo prisional, documentando suas características arquitetônicas e espaciais.</x:v>
      </x:c>
      <x:c r="N184"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84" s="10" t="str">
        <x:v>Casa de Detenção de São Paulo no Carandiru; São Paulo; sistema prisional; muralhas; arquitetura prisional; espaço carcerário; década de 1950; registro documental; perspectiva fotográfica.</x:v>
      </x:c>
      <x:c r="P184" s="10" t="str">
        <x:v>Fotografia (Iconográfico)</x:v>
      </x:c>
      <x:c r="Q184" s="10" t="str">
        <x:v>Digitalização de fotografia em preto e branco (analógica original)</x:v>
      </x:c>
      <x:c r="R184" s="10" t="str">
        <x:v>Figura n – [Muralhas da nova Casa de Detenção de São Paulo no Carandiru] Fonte: Arquivo Público do Estado de São Paulo, 1956.</x:v>
      </x:c>
      <x:c r="S184" s="10" t="str">
        <x:v>ARQUIVO PÚBLICO DO ESTADO DE SÃO PAULO (Brasil). [Muralhas da nova Casa de Detenção de São Paulo no Carandiru]. São Paulo, Brasil. 12 set. 1956. Fotografia digitalizada; preto e branco; suporte em papel fotográfico. Disponível em: &lt;link do dataverse&gt;. Acesso em: 28 out. 2025.</x:v>
      </x:c>
      <x:c r="T184" s="10" t="str">
        <x:v>ESTADO DE SÃO PAULO – PENITENCIARIAS E PRESIDIOS – CASA DE DETENÇÃO – (CARANDIRU) Muralhas da nova Casa de Detenção de São Paulo no Carandiru. Arq. 12/9/956 jl</x:v>
      </x:c>
      <x:c r="U184" s="10" t="str">
        <x:v>ICO</x:v>
      </x:c>
      <x:c r="V184" s="10" t="str">
        <x:v>FOT</x:v>
      </x:c>
      <x:c r="W184" s="10" t="str">
        <x:v>DGZ</x:v>
      </x:c>
      <x:c r="X184" s="10" t="str">
        <x:v>MT0</x:v>
      </x:c>
      <x:c r="Y184" s="10" t="str">
        <x:v>BR-SPAPESP_DASP-PENITPRE-CSDTCARANDIRU.xlsx</x:v>
      </x:c>
      <x:c r="Z184" s="10" t="str">
        <x:v>3055-003</x:v>
      </x:c>
      <x:c r="AA184" s="11" t="n">
        <x:v>18</x:v>
      </x:c>
      <x:c r="AB184" s="10" t="str">
        <x:v>BR-SPAPESP_DASP-PENITPRE-CSDTCARANDIRU.xlsx:3055-003:18</x:v>
      </x:c>
      <x:c r="AC184" s="11" t="n">
        <x:f>COLUMNS(A184:T184)-COUNTBLANK(A184:T184)</x:f>
        <x:v>20</x:v>
      </x:c>
    </x:row>
    <x:row r="185" ht="84" hidden="0" customHeight="1">
      <x:c r="A185" s="10" t="str">
        <x:v>018</x:v>
      </x:c>
      <x:c r="B185" s="10" t="str">
        <x:v>Partida do Campeonato de Futebol da Casa de Detenção de São Paulo no Carandiru</x:v>
      </x:c>
      <x:c r="C185" s="10" t="str">
        <x:v>Item</x:v>
      </x:c>
      <x:c r="D185" s="10" t="str">
        <x:v>1978-11-09 00:00:00</x:v>
      </x:c>
      <x:c r="E185" s="10" t="str">
        <x:v>Gerado pelo Dataverse</x:v>
      </x:c>
      <x:c r="F185" s="10" t="str">
        <x:v>Fotografia digitalizada; preto e branco; suporte em papel fotográfico</x:v>
      </x:c>
      <x:c r="G185" s="10" t="str">
        <x:v>São Paulo, Brasil</x:v>
      </x:c>
      <x:c r="H185" s="10" t="str">
        <x:v>Arquivo Público do Estado de São Paulo, Jornal Diários Associados</x:v>
      </x:c>
      <x:c r="I185" s="10" t="str">
        <x:v>Estado De São Paulo - Penitenciárias e Presídios - Casa de Detenção de São Paulo no Carandiru (Fotografias)</x:v>
      </x:c>
      <x:c r="J185" s="10" t="str">
        <x:v>Caixa: 3055 Folder: 3</x:v>
      </x:c>
      <x:c r="K185" s="10" t="str">
        <x:v>BR-SPAPESP_DASP-PENITPRE-CSDTCARANDIRU_ICO-FOT-DGZ-MT0_3055-003-018</x:v>
      </x:c>
      <x:c r="L185" s="10" t="str">
        <x: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pesquisa de Maíra Rocha Machado, Bianca Tavolari e Maira Rosín (2025)[1].</x:v>
      </x:c>
      <x:c r="M185" s="10" t="str">
        <x:v>Fotografia em preto e branco registrando flagrante de uma partida válida pelo Campeonato de Futebol da Casa de Detenção, em São Paulo, realizada em 9 de novembro de 1978. A imagem mostra o momento exato em que um jogador chuta a bola em direção ao gol, sendo marcado de perto por um adversário. Outro jogador aparece à direita, parcialmente enquadrado. Ao fundo, um numeroso grupo de detentos acompanha a partida, alguns em pé e outros sentados junto ao muro que delimita o espaço do jogo, formando plateia compacta ao longo da parede. O registro evidencia a prática esportiva no interior da instituição prisional, bem como a participação coletiva dos internos como espectadores do campeonato.</x:v>
      </x:c>
      <x:c r="N185"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85" s="10" t="str">
        <x:v>Casa de Detenção; São Paulo; sistema prisional; futebol; campeonato interno; prática esportiva; detentos; lazer no cárcere; 1978; registro documental.</x:v>
      </x:c>
      <x:c r="P185" s="10" t="str">
        <x:v>Fotografia (Iconográfico)</x:v>
      </x:c>
      <x:c r="Q185" s="10" t="str">
        <x:v>Digitalização de fotografia em preto e branco (analógica original)</x:v>
      </x:c>
      <x:c r="R185" s="10" t="str">
        <x:v>Figura n – [Partida do Campeonato de Futebol da Casa de Detenção de São Paulo no Carandiru] Fonte: Arquivo Público do Estado de São Paulo, 1978.</x:v>
      </x:c>
      <x:c r="S185" s="10" t="str">
        <x:v>ARQUIVO PÚBLICO DO ESTADO DE SÃO PAULO (Brasil). [Partida do Campeonato de Futebol da Casa de Detenção de São Paulo no Carandiru]. São Paulo, Brasil. 09 nov. 1978. Fotografia digitalizada; preto e branco; suporte em papel fotográfico. Disponível em: &lt;link do dataverse&gt;. Acesso em: 28 out. 2025.</x:v>
      </x:c>
      <x:c r="T185" s="10" t="str">
        <x:v>ESTADO DE SÃO PAULO – PENITENCIARIAS E PRESIDIOS – CASA DE DETENÇÃO Flagrante colhido durante a disputada de uma partida válida pelo Campeonato de Futebol da Casa de Detenção DN. 9/11/1978 (Anotações manuscritas no verso:) “Polícia Militar” “4574”</x:v>
      </x:c>
      <x:c r="U185" s="10" t="str">
        <x:v>ICO</x:v>
      </x:c>
      <x:c r="V185" s="10" t="str">
        <x:v>FOT</x:v>
      </x:c>
      <x:c r="W185" s="10" t="str">
        <x:v>DGZ</x:v>
      </x:c>
      <x:c r="X185" s="10" t="str">
        <x:v>MT0</x:v>
      </x:c>
      <x:c r="Y185" s="10" t="str">
        <x:v>BR-SPAPESP_DASP-PENITPRE-CSDTCARANDIRU.xlsx</x:v>
      </x:c>
      <x:c r="Z185" s="10" t="str">
        <x:v>3055-003</x:v>
      </x:c>
      <x:c r="AA185" s="11" t="n">
        <x:v>19</x:v>
      </x:c>
      <x:c r="AB185" s="10" t="str">
        <x:v>BR-SPAPESP_DASP-PENITPRE-CSDTCARANDIRU.xlsx:3055-003:19</x:v>
      </x:c>
      <x:c r="AC185" s="11" t="n">
        <x:f>COLUMNS(A185:T185)-COUNTBLANK(A185:T185)</x:f>
        <x:v>20</x:v>
      </x:c>
    </x:row>
    <x:row r="186" ht="84" hidden="0" customHeight="1">
      <x:c r="A186" s="10" t="str">
        <x:v>019</x:v>
      </x:c>
      <x:c r="B186" s="10" t="str">
        <x:v>Registro de corda improvisada utilizada em fuga na Casa de Detenção de São Paulo no Carandiru.</x:v>
      </x:c>
      <x:c r="C186" s="10" t="str">
        <x:v>Item</x:v>
      </x:c>
      <x:c r="D186" s="10" t="str">
        <x:v>1956-07-05 00:00:00</x:v>
      </x:c>
      <x:c r="E186" s="10" t="str">
        <x:v>Gerado pelo Dataverse</x:v>
      </x:c>
      <x:c r="F186" s="10" t="str">
        <x:v>Fotografia digitalizada; preto e branco; suporte em papel fotográfico</x:v>
      </x:c>
      <x:c r="G186" s="10" t="str">
        <x:v>São Paulo, Brasil</x:v>
      </x:c>
      <x:c r="H186" s="10" t="str">
        <x:v>Arquivo Público do Estado de São Paulo, Jornal Diários Associados</x:v>
      </x:c>
      <x:c r="I186" s="10" t="str">
        <x:v>Estado De São Paulo - Penitenciárias e Presídios - Casa de Detenção de São Paulo no Carandiru (Fotografias)</x:v>
      </x:c>
      <x:c r="J186" s="10" t="str">
        <x:v>Caixa: 3055 Folder: 3</x:v>
      </x:c>
      <x:c r="K186" s="10" t="str">
        <x:v>BR-SPAPESP_DASP-PENITPRE-CSDTCARANDIRU_ICO-FOT-DGZ-MT0_3055-003-019</x:v>
      </x:c>
      <x:c r="L186" s="10" t="str">
        <x: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pesquisa de Maíra Rocha Machado, Bianca Tavolari e Maira Rosín (2025)[1].</x:v>
      </x:c>
      <x:c r="M186" s="10" t="str">
        <x:v>Fotografia documental em plano médio mostrando, em primeiro plano e em silhueta, o perfil de um homem observando uma corda feita de lençóis ou tecidos (conhecida como "teresa") amarrada às grades de uma janela. Através da janela, é possível ver a fachada de outro pavilhão do complexo penitenciário. A imagem registra os vestígios de uma fuga de presos.</x:v>
      </x:c>
      <x:c r="N186"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86" s="10" t="str">
        <x:v>Carandiru; Casa de Detenção; Fuga de presos; Sistema prisional; São Paulo; Corda improvisada; Fotografia documental.</x:v>
      </x:c>
      <x:c r="P186" s="10" t="str">
        <x:v>Fotografia (Iconográfico)</x:v>
      </x:c>
      <x:c r="Q186" s="10" t="str">
        <x:v>Digitalização de fotografia em preto e branco (analógica original)</x:v>
      </x:c>
      <x:c r="R186" s="10" t="str">
        <x:v>Figura n – [Registro de corda improvisada utilizada em fuga na Casa de Detenção de São Paulo no Carandiru.] Fonte: Arquivo Público do Estado de São Paulo, 1956.</x:v>
      </x:c>
      <x:c r="S186" s="10" t="str">
        <x:v>ARQUIVO PÚBLICO DO ESTADO DE SÃO PAULO (Brasil). [Registro de corda improvisada utilizada em fuga na Casa de Detenção de São Paulo no Carandiru.]. São Paulo, Brasil. 05 jul. 1956. Fotografia digitalizada; preto e branco; suporte em papel fotográfico. Disponível em: &lt;link do dataverse&gt;. Acesso em: 28 out. 2025.</x:v>
      </x:c>
      <x:c r="T186" s="10" t="str">
        <x:v>ESTADO DE SÃO PAULO _ PENITENCIARIA E PRESIDIOS= CASA DE DETENÇÃO = CARANDIRU 4 DELINQUENTES FUGIRAM DE MADRUGADA DA CASA DE DETENÇÃO Na foto, a corda improvisada pela qual os fugitivos, Geraldo de Oliveira, Carlos Alberto Borges, Mario de Carvalho e Luis Faria empreenderam na madrugada de 5/7/956, sua sensacional fuga. DN, Ia.Ed. 6/7/956 W ATRAS DAS GRADES DE UMA CELA, ELES PREFERIRAM A MORTE - DN.2a.Ed. 13/2/1973 im</x:v>
      </x:c>
      <x:c r="U186" s="10" t="str">
        <x:v>ICO</x:v>
      </x:c>
      <x:c r="V186" s="10" t="str">
        <x:v>FOT</x:v>
      </x:c>
      <x:c r="W186" s="10" t="str">
        <x:v>DGZ</x:v>
      </x:c>
      <x:c r="X186" s="10" t="str">
        <x:v>MT0</x:v>
      </x:c>
      <x:c r="Y186" s="10" t="str">
        <x:v>BR-SPAPESP_DASP-PENITPRE-CSDTCARANDIRU.xlsx</x:v>
      </x:c>
      <x:c r="Z186" s="10" t="str">
        <x:v>3055-003</x:v>
      </x:c>
      <x:c r="AA186" s="11" t="n">
        <x:v>20</x:v>
      </x:c>
      <x:c r="AB186" s="10" t="str">
        <x:v>BR-SPAPESP_DASP-PENITPRE-CSDTCARANDIRU.xlsx:3055-003:20</x:v>
      </x:c>
      <x:c r="AC186" s="11" t="n">
        <x:f>COLUMNS(A186:T186)-COUNTBLANK(A186:T186)</x:f>
        <x:v>20</x:v>
      </x:c>
    </x:row>
    <x:row r="187" ht="84" hidden="0" customHeight="1">
      <x:c r="A187" s="10" t="str">
        <x:v>020</x:v>
      </x:c>
      <x:c r="B187" s="10" t="str">
        <x:v>Seleção de futebol da Casa de Detenção de São Paulo no Carandiru em registro de partida contra o "Makambira's Boys".</x:v>
      </x:c>
      <x:c r="C187" s="10" t="str">
        <x:v>Item</x:v>
      </x:c>
      <x:c r="D187" s="10" t="str">
        <x:v>1966-10-12 00:00:00</x:v>
      </x:c>
      <x:c r="E187" s="10" t="str">
        <x:v>Gerado pelo Dataverse</x:v>
      </x:c>
      <x:c r="F187" s="10" t="str">
        <x:v>Fotografia digitalizada; preto e branco; suporte em papel fotográfico</x:v>
      </x:c>
      <x:c r="G187" s="10" t="str">
        <x:v>São Paulo, Brasil</x:v>
      </x:c>
      <x:c r="H187" s="10" t="str">
        <x:v>Arquivo Público do Estado de São Paulo, Jornal Diários Associados</x:v>
      </x:c>
      <x:c r="I187" s="10" t="str">
        <x:v>Estado De São Paulo - Penitenciárias e Presídios - Casa de Detenção de São Paulo no Carandiru (Fotografias)</x:v>
      </x:c>
      <x:c r="J187" s="10" t="str">
        <x:v>Caixa: 3055 Folder: 3</x:v>
      </x:c>
      <x:c r="K187" s="10" t="str">
        <x:v>BR-SPAPESP_DASP-PENITPRE-CSDTCARANDIRU_ICO-FOT-DGZ-MT0_3055-003-020</x:v>
      </x:c>
      <x:c r="L187" s="10" t="str">
        <x: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pesquisa de Maíra Rocha Machado, Bianca Tavolari e Maira Rosín (2025)[1].</x:v>
      </x:c>
      <x:c r="M187" s="10" t="str">
        <x:v>Fotografia documental em plano aberto capturando um grupo de homens posando para um registro oficial em um campo de futebol de terra. A equipe principal está uniformizada com camisas de listras verticais. Entre o grupo, encontram-se homens em trajes civis e outros fardados. Ao fundo, é visível a estrutura da penitenciária, composta por muros altos e uma torre de vigilância centralizada. A cena retrata a prática esportiva como elemento de convivência no ambiente prisional.</x:v>
      </x:c>
      <x:c r="N187"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87" s="10" t="str">
        <x:v>Carandiru; Casa de Detenção; Futebol; Sistema prisional; São Paulo; Reintegração; Lazer.</x:v>
      </x:c>
      <x:c r="P187" s="10" t="str">
        <x:v>Fotografia (Iconográfico)</x:v>
      </x:c>
      <x:c r="Q187" s="10" t="str">
        <x:v>Digitalização de fotografia em preto e branco (analógica original)</x:v>
      </x:c>
      <x:c r="R187" s="10" t="str">
        <x:v>Figura n – [Seleção de futebol da Casa de Detenção de São Paulo no Carandiru em registro de partida contra o "Makambira's Boys".] Fonte: Arquivo Público do Estado de São Paulo, 1966.</x:v>
      </x:c>
      <x:c r="S187" s="10" t="str">
        <x:v>ARQUIVO PÚBLICO DO ESTADO DE SÃO PAULO (Brasil). [Seleção de futebol da Casa de Detenção de São Paulo no Carandiru em registro de partida contra o "Makambira's Boys".]. São Paulo, Brasil. 12 out. 1966. Fotografia digitalizada; preto e branco; suporte em papel fotográfico. Disponível em: &lt;link do dataverse&gt;. Acesso em: 28 out. 2025.</x:v>
      </x:c>
      <x:c r="T187" s="10" t="str">
        <x:v>ESTADO DE SÃO PAULO - PENITENCIÁRIAS E PRESÍDIOS - Casa de Detenção de São Paulo no Carandiru DETENÇÃO DEU SHOW DO COMEÇO AO FIM Na foto, a seleção de futebol da Casa de Detenção, que venceu o "Makambira's" por 4 a 0. DN. 1ª Ed. 12/10/1966 - wjp Sabado foi dia de muita festa na Casa de Detenção. Graças ao espirito empreendedor e do dinamismo do seu diretor, sr. Fernandes José Fernandes, a turma aqui da casa, representada pelos atletas do "Makabira's Boys", lá esteve para enfrentar a forte seleção dos recolhidos àquela casa penal.</x:v>
      </x:c>
      <x:c r="U187" s="10" t="str">
        <x:v>ICO</x:v>
      </x:c>
      <x:c r="V187" s="10" t="str">
        <x:v>FOT</x:v>
      </x:c>
      <x:c r="W187" s="10" t="str">
        <x:v>DGZ</x:v>
      </x:c>
      <x:c r="X187" s="10" t="str">
        <x:v>MT0</x:v>
      </x:c>
      <x:c r="Y187" s="10" t="str">
        <x:v>BR-SPAPESP_DASP-PENITPRE-CSDTCARANDIRU.xlsx</x:v>
      </x:c>
      <x:c r="Z187" s="10" t="str">
        <x:v>3055-003</x:v>
      </x:c>
      <x:c r="AA187" s="11" t="n">
        <x:v>21</x:v>
      </x:c>
      <x:c r="AB187" s="10" t="str">
        <x:v>BR-SPAPESP_DASP-PENITPRE-CSDTCARANDIRU.xlsx:3055-003:21</x:v>
      </x:c>
      <x:c r="AC187" s="11" t="n">
        <x:f>COLUMNS(A187:T187)-COUNTBLANK(A187:T187)</x:f>
        <x:v>20</x:v>
      </x:c>
    </x:row>
    <x:row r="188" ht="84" hidden="0" customHeight="1">
      <x:c r="A188" s="10" t="str">
        <x:v>021</x:v>
      </x:c>
      <x:c r="B188" s="10" t="str">
        <x:v>Posto de observação da Casa de Detenção de Carandiru</x:v>
      </x:c>
      <x:c r="C188" s="10" t="str">
        <x:v>Item</x:v>
      </x:c>
      <x:c r="D188" s="10" t="str">
        <x:v>1972-10-23 00:00:00</x:v>
      </x:c>
      <x:c r="E188" s="10" t="str">
        <x:v>Gerado pelo Dataverse</x:v>
      </x:c>
      <x:c r="F188" s="10" t="str">
        <x:v>Fotografia digitalizada; preto e branco; suporte em papel fotográfico</x:v>
      </x:c>
      <x:c r="G188" s="10" t="str">
        <x:v>São Paulo, Brasil</x:v>
      </x:c>
      <x:c r="H188" s="10" t="str">
        <x:v>Arquivo Público do Estado de São Paulo, Jornal Diários Associados</x:v>
      </x:c>
      <x:c r="I188" s="10" t="str">
        <x:v>Estado De São Paulo - Penitenciárias e Presídios - Casa de Detenção de São Paulo no Carandiru (Fotografias)</x:v>
      </x:c>
      <x:c r="J188" s="10" t="str">
        <x:v>Caixa: 3055 Folder: 3</x:v>
      </x:c>
      <x:c r="K188" s="10" t="str">
        <x:v>BR-SPAPESP_DASP-PENITPRE-CSDTCARANDIRU_ICO-FOT-DGZ-MT0_3055-003-021</x:v>
      </x:c>
      <x:c r="L188" s="10" t="str">
        <x: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pesquisa de Maíra Rocha Machado, Bianca Tavolari e Maira Rosín (2025)[1].</x:v>
      </x:c>
      <x:c r="M188" s="10" t="str">
        <x:v>Registro fotográfico de uma torre de vigilância (posto de observação) da Casa de Detenção de Carandiru. Na parte superior da estrutura, observa-se um homem posicionado atrás de uma grade ou parapeito, ladeado por refletores. A arquitetura da torre apresenta janelas com vidros inclinados e aberturas em arco na seção inferior. Elementos de vegetação, como galhos de árvore e uma palmeira, emolduram a composição.</x:v>
      </x:c>
      <x:c r="N188"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88" s="10" t="str">
        <x:v>Sistema prisional; Casa de Detenção de Carandiru; Vigilância; Arquitetura prisional; São Paulo.</x:v>
      </x:c>
      <x:c r="P188" s="10" t="str">
        <x:v>Fotografia (Iconográfico)</x:v>
      </x:c>
      <x:c r="Q188" s="10" t="str">
        <x:v>Digitalização de fotografia em preto e branco (analógica original)</x:v>
      </x:c>
      <x:c r="R188" s="10" t="str">
        <x:v>Figura n – [Posto de observação da Casa de Detenção de Carandiru] Fonte: Arquivo Público do Estado de São Paulo, 1972.</x:v>
      </x:c>
      <x:c r="S188" s="10" t="str">
        <x:v>ARQUIVO PÚBLICO DO ESTADO DE SÃO PAULO (Brasil). [Posto de observação da Casa de Detenção de Carandiru]. São Paulo, Brasil. 23 out. 1972. Fotografia digitalizada; preto e branco; suporte em papel fotográfico. Disponível em: &lt;link do dataverse&gt;. Acesso em: 28 out. 2025.</x:v>
      </x:c>
      <x:c r="T188" s="10" t="str">
        <x:v>ESTADO DE SÃO PAULO - PENITENCIARIAS E PRESIDIOS - CASA DE DETENÇÃO DE CARANDIRU DOIS FORAGIDOS DA PENITENCIARIA JÁ ESTÃO DE VOLTA. ELES VISITARAM A FAMILIA E PASSEARAM Na fototo, posto de observação da Casa de Detenção de Carandiru DN.1ª Ed. 23/10/1972-dec</x:v>
      </x:c>
      <x:c r="U188" s="10" t="str">
        <x:v>ICO</x:v>
      </x:c>
      <x:c r="V188" s="10" t="str">
        <x:v>FOT</x:v>
      </x:c>
      <x:c r="W188" s="10" t="str">
        <x:v>DGZ</x:v>
      </x:c>
      <x:c r="X188" s="10" t="str">
        <x:v>MT0</x:v>
      </x:c>
      <x:c r="Y188" s="10" t="str">
        <x:v>BR-SPAPESP_DASP-PENITPRE-CSDTCARANDIRU.xlsx</x:v>
      </x:c>
      <x:c r="Z188" s="10" t="str">
        <x:v>3055-003</x:v>
      </x:c>
      <x:c r="AA188" s="11" t="n">
        <x:v>22</x:v>
      </x:c>
      <x:c r="AB188" s="10" t="str">
        <x:v>BR-SPAPESP_DASP-PENITPRE-CSDTCARANDIRU.xlsx:3055-003:22</x:v>
      </x:c>
      <x:c r="AC188" s="11" t="n">
        <x:f>COLUMNS(A188:T188)-COUNTBLANK(A188:T188)</x:f>
        <x:v>20</x:v>
      </x:c>
    </x:row>
    <x:row r="189" ht="84" hidden="0" customHeight="1">
      <x:c r="A189" s="10" t="str">
        <x:v>022</x:v>
      </x:c>
      <x:c r="B189" s="10" t="str">
        <x:v>Salão de barba e cabelo da Casa de Detenção de Carandiru</x:v>
      </x:c>
      <x:c r="C189" s="10" t="str">
        <x:v>Item</x:v>
      </x:c>
      <x:c r="D189" s="10" t="str">
        <x:v>1969-01-08 00:00:00</x:v>
      </x:c>
      <x:c r="E189" s="10" t="str">
        <x:v>Gerado pelo Dataverse</x:v>
      </x:c>
      <x:c r="F189" s="10" t="str">
        <x:v>Fotografia digitalizada; preto e branco; suporte em papel fotográfico</x:v>
      </x:c>
      <x:c r="G189" s="10" t="str">
        <x:v>São Paulo, Brasil</x:v>
      </x:c>
      <x:c r="H189" s="10" t="str">
        <x:v>Arquivo Público do Estado de São Paulo, Jornal Diários Associados</x:v>
      </x:c>
      <x:c r="I189" s="10" t="str">
        <x:v>Estado De São Paulo - Penitenciárias e Presídios - Casa de Detenção de São Paulo no Carandiru (Fotografias)</x:v>
      </x:c>
      <x:c r="J189" s="10" t="str">
        <x:v>Caixa: 3055 Folder: 3</x:v>
      </x:c>
      <x:c r="K189" s="10" t="str">
        <x:v>BR-SPAPESP_DASP-PENITPRE-CSDTCARANDIRU_ICO-FOT-DGZ-MT0_3055-003-022</x:v>
      </x:c>
      <x:c r="L189" s="10" t="str">
        <x: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pesquisa de Maíra Rocha Machado, Bianca Tavolari e Maira Rosín (2025)[1].</x:v>
      </x:c>
      <x:c r="M189" s="10" t="str">
        <x:v>Vista interna de uma barbearia instalada nas dependências da Casa de Detenção de Carandiru. A imagem revela um salão amplo com diversas cadeiras de barbeiro profissionais distribuídas pelo espaço, algumas fixas ao chão e outras com bases articuladas. Nas paredes, veem-se pequenos armários suspensos de madeira, nichos e o que parecem ser decorações ou informativos. Ao fundo, janelas com grades horizontais permitem a entrada de luz no ambiente, que possui piso com padrão de tacos ou blocos pequenos.</x:v>
      </x:c>
      <x:c r="N189"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89" s="10" t="str">
        <x:v>Barbearia; Casa de Detenção de Carandiru; Higiene; Reabilitação; Sistema prisional; São Paulo.</x:v>
      </x:c>
      <x:c r="P189" s="10" t="str">
        <x:v>Fotografia (Iconográfico)</x:v>
      </x:c>
      <x:c r="Q189" s="10" t="str">
        <x:v>Digitalização de fotografia em preto e branco (analógica original)</x:v>
      </x:c>
      <x:c r="R189" s="10" t="str">
        <x:v>Figura n – [Salão de barba e cabelo da Casa de Detenção de Carandiru] Fonte: Arquivo Público do Estado de São Paulo, 1969.</x:v>
      </x:c>
      <x:c r="S189" s="10" t="str">
        <x:v>ARQUIVO PÚBLICO DO ESTADO DE SÃO PAULO (Brasil). [Salão de barba e cabelo da Casa de Detenção de Carandiru]. São Paulo, Brasil. 08 jan. 1969. Fotografia digitalizada; preto e branco; suporte em papel fotográfico. Disponível em: &lt;link do dataverse&gt;. Acesso em: 28 out. 2025.</x:v>
      </x:c>
      <x:c r="T189" s="10" t="str">
        <x:v>ESTADO DE SÃO PAULO _ PENITENCIÁRIAS E PRESIDIOS _ CASA DE DETENÇÃO DO CARANDIRÚ. CARANDIRÚ: UMA DETENÇÃO QUE SE TORNA MAIS HUMANA. Salão de barba e cabelo, um toque de elegância na fria Casa de Detenção. DN.2a.Ed.- 8/1/1969 - JCM</x:v>
      </x:c>
      <x:c r="U189" s="10" t="str">
        <x:v>ICO</x:v>
      </x:c>
      <x:c r="V189" s="10" t="str">
        <x:v>FOT</x:v>
      </x:c>
      <x:c r="W189" s="10" t="str">
        <x:v>DGZ</x:v>
      </x:c>
      <x:c r="X189" s="10" t="str">
        <x:v>MT0</x:v>
      </x:c>
      <x:c r="Y189" s="10" t="str">
        <x:v>BR-SPAPESP_DASP-PENITPRE-CSDTCARANDIRU.xlsx</x:v>
      </x:c>
      <x:c r="Z189" s="10" t="str">
        <x:v>3055-003</x:v>
      </x:c>
      <x:c r="AA189" s="11" t="n">
        <x:v>23</x:v>
      </x:c>
      <x:c r="AB189" s="10" t="str">
        <x:v>BR-SPAPESP_DASP-PENITPRE-CSDTCARANDIRU.xlsx:3055-003:23</x:v>
      </x:c>
      <x:c r="AC189" s="11" t="n">
        <x:f>COLUMNS(A189:T189)-COUNTBLANK(A189:T189)</x:f>
        <x:v>20</x:v>
      </x:c>
    </x:row>
    <x:row r="190" ht="84" hidden="0" customHeight="1">
      <x:c r="A190" s="10" t="str">
        <x:v>023</x:v>
      </x:c>
      <x:c r="B190" s="10" t="str">
        <x:v>Um aspecto tomado do interior do presídio (Oficina de trabalho)</x:v>
      </x:c>
      <x:c r="C190" s="10" t="str">
        <x:v>Item</x:v>
      </x:c>
      <x:c r="D190" s="10" t="str">
        <x:v>1969-01-08 00:00:00</x:v>
      </x:c>
      <x:c r="E190" s="10" t="str">
        <x:v>Gerado pelo Dataverse</x:v>
      </x:c>
      <x:c r="F190" s="10" t="str">
        <x:v>Fotografia digitalizada; preto e branco; suporte em papel fotográfico</x:v>
      </x:c>
      <x:c r="G190" s="10" t="str">
        <x:v>São Paulo, Brasil</x:v>
      </x:c>
      <x:c r="H190" s="10" t="str">
        <x:v>Arquivo Público do Estado de São Paulo, Jornal Diários Associados</x:v>
      </x:c>
      <x:c r="I190" s="10" t="str">
        <x:v>Estado De São Paulo - Penitenciárias e Presídios - Casa de Detenção de São Paulo no Carandiru (Fotografias)</x:v>
      </x:c>
      <x:c r="J190" s="10" t="str">
        <x:v>Caixa: 3055 Folder: 3</x:v>
      </x:c>
      <x:c r="K190" s="10" t="str">
        <x:v>BR-SPAPESP_DASP-PENITPRE-CSDTCARANDIRU_ICO-FOT-DGZ-MT0_3055-003-023</x:v>
      </x:c>
      <x:c r="L190" s="10" t="str">
        <x: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pesquisa de Maíra Rocha Machado, Bianca Tavolari e Maira Rosín (2025)[1].</x:v>
      </x:c>
      <x:c r="M190" s="10" t="str">
        <x:v>Registro fotográfico de uma área de trabalho manual no interior da Casa de Detenção de Carandiru. Em primeiro plano, uma longa bancada de madeira está repleta de pequenas caixas ou componentes retangulares organizados de forma dispersa. Ao lado esquerdo, pilhas altas desses mesmos objetos alcançam o teto. O ambiente é dividido por uma mureta baixa com fechamento em ripas de madeira em formato de "X". Ao fundo, nota-se uma área de oficina com ferramentas e materiais, indicando atividade laboral ou produtiva dos detentos.</x:v>
      </x:c>
      <x:c r="N190"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90" s="10" t="str">
        <x:v>Trabalho prisional; Casa de Detenção de Carandiru; Oficina; Reabilitação; Interior de presídio; São Paulo.</x:v>
      </x:c>
      <x:c r="P190" s="10" t="str">
        <x:v>Fotografia (Iconográfico)</x:v>
      </x:c>
      <x:c r="Q190" s="10" t="str">
        <x:v>Digitalização de fotografia em preto e branco (analógica original)</x:v>
      </x:c>
      <x:c r="R190" s="10" t="str">
        <x:v>Figura n – [Um aspecto tomado do interior do presídio (Oficina de trabalho)] Fonte: Arquivo Público do Estado de São Paulo, 1969.</x:v>
      </x:c>
      <x:c r="S190" s="10" t="str">
        <x:v>ARQUIVO PÚBLICO DO ESTADO DE SÃO PAULO (Brasil). [Um aspecto tomado do interior do presídio (Oficina de trabalho)]. São Paulo, Brasil. 08 jan. 1969. Fotografia digitalizada; preto e branco; suporte em papel fotográfico. Disponível em: &lt;link do dataverse&gt;. Acesso em: 28 out. 2025.</x:v>
      </x:c>
      <x:c r="T190" s="10" t="str">
        <x:v>ESTADO DE SÃO PAULO - PENITENCIÁRIAS E PRESIDIOS _ CASA DE DETENÇÃO DO CARANDIRÚ CARANDIRÚ: UMA DETENÇÃO QUE SE TORNA MAIS HUMANA. Um aspecto tomado do interior do presidio. DN.2ª.Ed.- 8/1/1969 - JCM</x:v>
      </x:c>
      <x:c r="U190" s="10" t="str">
        <x:v>ICO</x:v>
      </x:c>
      <x:c r="V190" s="10" t="str">
        <x:v>FOT</x:v>
      </x:c>
      <x:c r="W190" s="10" t="str">
        <x:v>DGZ</x:v>
      </x:c>
      <x:c r="X190" s="10" t="str">
        <x:v>MT0</x:v>
      </x:c>
      <x:c r="Y190" s="10" t="str">
        <x:v>BR-SPAPESP_DASP-PENITPRE-CSDTCARANDIRU.xlsx</x:v>
      </x:c>
      <x:c r="Z190" s="10" t="str">
        <x:v>3055-003</x:v>
      </x:c>
      <x:c r="AA190" s="11" t="n">
        <x:v>24</x:v>
      </x:c>
      <x:c r="AB190" s="10" t="str">
        <x:v>BR-SPAPESP_DASP-PENITPRE-CSDTCARANDIRU.xlsx:3055-003:24</x:v>
      </x:c>
      <x:c r="AC190" s="11" t="n">
        <x:f>COLUMNS(A190:T190)-COUNTBLANK(A190:T190)</x:f>
        <x:v>20</x:v>
      </x:c>
    </x:row>
    <x:row r="191" ht="84" hidden="0" customHeight="1">
      <x:c r="A191" s="10" t="str">
        <x:v>024</x:v>
      </x:c>
      <x:c r="B191" s="10" t="str">
        <x:v>Show na Casa de Detenção para 5 mil detentos</x:v>
      </x:c>
      <x:c r="C191" s="10" t="str">
        <x:v>Item</x:v>
      </x:c>
      <x:c r="D191" s="10" t="str">
        <x:v>1977-12-17 00:00:00</x:v>
      </x:c>
      <x:c r="E191" s="10" t="str">
        <x:v>Gerado pelo Dataverse</x:v>
      </x:c>
      <x:c r="F191" s="10" t="str">
        <x:v>Fotografia digitalizada; preto e branco; suporte em papel fotográfico</x:v>
      </x:c>
      <x:c r="G191" s="10" t="str">
        <x:v>São Paulo, Brasil</x:v>
      </x:c>
      <x:c r="H191" s="10" t="str">
        <x:v>Arquivo Público do Estado de São Paulo, Jornal Diários Associados</x:v>
      </x:c>
      <x:c r="I191" s="10" t="str">
        <x:v>Estado De São Paulo - Penitenciárias e Presídios - Casa de Detenção de São Paulo no Carandiru (Fotografias)</x:v>
      </x:c>
      <x:c r="J191" s="10" t="str">
        <x:v>Caixa: 3055 Folder: 3</x:v>
      </x:c>
      <x:c r="K191" s="10" t="str">
        <x:v>BR-SPAPESP_DASP-PENITPRE-CSDTCARANDIRU_ICO-FOT-DGZ-MT0_3055-003-024</x:v>
      </x:c>
      <x:c r="L191" s="10" t="str">
        <x: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pesquisa de Maíra Rocha Machado, Bianca Tavolari e Maira Rosín (2025)[1].</x:v>
      </x:c>
      <x:c r="M191" s="10" t="str">
        <x:v>Registro de uma apresentação musical realizada no pátio externo da Casa de Detenção de São Paulo. Em primeiro plano, uma cantora de costas segura um microfone, apresentando-se em um palco improvisado com equipamentos de som e cabos espalhados pelo chão. Diante dela, uma multidão compacta de cerca de 5.000 detentos assiste ao espetáculo, ocupando o pátio e as muretas ao fundo. Ao centro, homens em trajes formais (terno e gravata) estão sentados em cadeiras, observando a apresentação. Ao fundo, ergue-se o edifício da penitenciária com suas inúmeras janelas quadradas e pequenas.</x:v>
      </x:c>
      <x:c r="N191"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91" s="10" t="str">
        <x:v>Show musical; Casa de Detenção de São Paulo; Lazer prisional; População carcerária; Noel Rosa; São Paulo.</x:v>
      </x:c>
      <x:c r="P191" s="10" t="str">
        <x:v>Fotografia (Iconográfico)</x:v>
      </x:c>
      <x:c r="Q191" s="10" t="str">
        <x:v>Digitalização de fotografia em preto e branco (analógica original)</x:v>
      </x:c>
      <x:c r="R191" s="10" t="str">
        <x:v>Figura n – [Show na Casa de Detenção para 5 mil detentos] Fonte: Arquivo Público do Estado de São Paulo, 1977.</x:v>
      </x:c>
      <x:c r="S191" s="10" t="str">
        <x:v>ARQUIVO PÚBLICO DO ESTADO DE SÃO PAULO (Brasil). [Show na Casa de Detenção para 5 mil detentos]. São Paulo, Brasil. 17 dez. 1977. Fotografia digitalizada; preto e branco; suporte em papel fotográfico. Disponível em: &lt;link do dataverse&gt;. Acesso em: 28 out. 2025.</x:v>
      </x:c>
      <x:c r="T191" s="10" t="str">
        <x:v>ESTADO DE SÃO PAULO = PENITENCIÁRIAS E PRESÍDIOS = CASA DE DETENÇÃO NOEL ROSA, PSICOGRAFADO NUM "SHOW" NA DETENÇÃO Flagrante colhido na casa de Detenção de São Paulo, onde cerca de 5.000 detentos assistiram ao "show". DSP.-17/12/1977 - naf.</x:v>
      </x:c>
      <x:c r="U191" s="10" t="str">
        <x:v>ICO</x:v>
      </x:c>
      <x:c r="V191" s="10" t="str">
        <x:v>FOT</x:v>
      </x:c>
      <x:c r="W191" s="10" t="str">
        <x:v>DGZ</x:v>
      </x:c>
      <x:c r="X191" s="10" t="str">
        <x:v>MT0</x:v>
      </x:c>
      <x:c r="Y191" s="10" t="str">
        <x:v>BR-SPAPESP_DASP-PENITPRE-CSDTCARANDIRU.xlsx</x:v>
      </x:c>
      <x:c r="Z191" s="10" t="str">
        <x:v>3055-003</x:v>
      </x:c>
      <x:c r="AA191" s="11" t="n">
        <x:v>25</x:v>
      </x:c>
      <x:c r="AB191" s="10" t="str">
        <x:v>BR-SPAPESP_DASP-PENITPRE-CSDTCARANDIRU.xlsx:3055-003:25</x:v>
      </x:c>
      <x:c r="AC191" s="11" t="n">
        <x:f>COLUMNS(A191:T191)-COUNTBLANK(A191:T191)</x:f>
        <x:v>20</x:v>
      </x:c>
    </x:row>
    <x:row r="192" ht="84" hidden="0" customHeight="1">
      <x:c r="A192" s="10" t="str">
        <x:v>025</x:v>
      </x:c>
      <x:c r="B192" s="10" t="str">
        <x:v>Local onde estudantes presos no Congresso de Ibiúna foram detidos</x:v>
      </x:c>
      <x:c r="C192" s="10" t="str">
        <x:v>Item</x:v>
      </x:c>
      <x:c r="D192" s="10" t="str">
        <x:v>1968-10-16 00:00:00</x:v>
      </x:c>
      <x:c r="E192" s="10" t="str">
        <x:v>Gerado pelo Dataverse</x:v>
      </x:c>
      <x:c r="F192" s="10" t="str">
        <x:v>Fotografia digitalizada; preto e branco; suporte em papel fotográfico</x:v>
      </x:c>
      <x:c r="G192" s="10" t="str">
        <x:v>São Paulo, Brasil</x:v>
      </x:c>
      <x:c r="H192" s="10" t="str">
        <x:v>Arquivo Público do Estado de São Paulo, Jornal Diários Associados</x:v>
      </x:c>
      <x:c r="I192" s="10" t="str">
        <x:v>Estado De São Paulo - Penitenciárias e Presídios - Casa de Detenção de São Paulo no Carandiru (Fotografias)</x:v>
      </x:c>
      <x:c r="J192" s="10" t="str">
        <x:v>Caixa: 3055 Folder: 3</x:v>
      </x:c>
      <x:c r="K192" s="10" t="str">
        <x:v>BR-SPAPESP_DASP-PENITPRE-CSDTCARANDIRU_ICO-FOT-DGZ-MT0_3055-003-025</x:v>
      </x:c>
      <x:c r="L192" s="10" t="str">
        <x: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pesquisa de Maíra Rocha Machado, Bianca Tavolari e Maira Rosín (2025)[1].</x:v>
      </x:c>
      <x:c r="M192" s="10" t="str">
        <x:v>Fotografia noturna da fachada do "velho casarão" na Avenida Tiradentes, identificado como a antiga Casa de Detenção. A imagem mostra a arquitetura do edifício com grandes janelas em arco e detalhes em tijolos. Em frente ao prédio, há uma movimentação de veículos da época, incluindo vários Fuscas estacionados ou circulando, além de postes de iluminação pública que geram pontos de luz intensa na foto. A cena registra o local onde estudantes presos no Congresso de Ibiúna foram detidos.</x:v>
      </x:c>
      <x:c r="N192"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92" s="10" t="str">
        <x:v>Casa de Detenção; Avenida Tiradentes; Presos políticos; Congresso de Ibiúna; Ditadura Militar; São Paulo.</x:v>
      </x:c>
      <x:c r="P192" s="10" t="str">
        <x:v>Fotografia (Iconográfico)</x:v>
      </x:c>
      <x:c r="Q192" s="10" t="str">
        <x:v>Digitalização de fotografia em preto e branco (analógica original)</x:v>
      </x:c>
      <x:c r="R192" s="10" t="str">
        <x:v>Figura n – [Local onde estudantes presos no Congresso de Ibiúna foram detidos] Fonte: Arquivo Público do Estado de São Paulo, 1968.</x:v>
      </x:c>
      <x:c r="S192" s="10" t="str">
        <x:v>ARQUIVO PÚBLICO DO ESTADO DE SÃO PAULO (Brasil). [Local onde estudantes presos no Congresso de Ibiúna foram detidos]. São Paulo, Brasil. 16 out. 1968. Fotografia digitalizada; preto e branco; suporte em papel fotográfico. Disponível em: &lt;link do dataverse&gt;. Acesso em: 28 out. 2025.</x:v>
      </x:c>
      <x:c r="T192" s="10" t="str">
        <x:v>ESTADO DE SÃO PAULO _ PENITENCIARIAS E PRESIDIOS _ CASA DE DETENÇÃO "DOIS DOS NOSSOS ESTÃO MORRENDO" . No velho casarão da avenida Tiradentes, antiga Casa de Detenção, estão detidos os estudantes presos em Ibiuna no último dia 12. D.N.Ed.Nac. - 16/ 10/1968 - JCM DSP-13/B/77-dcp.</x:v>
      </x:c>
      <x:c r="U192" s="10" t="str">
        <x:v>ICO</x:v>
      </x:c>
      <x:c r="V192" s="10" t="str">
        <x:v>FOT</x:v>
      </x:c>
      <x:c r="W192" s="10" t="str">
        <x:v>DGZ</x:v>
      </x:c>
      <x:c r="X192" s="10" t="str">
        <x:v>MT0</x:v>
      </x:c>
      <x:c r="Y192" s="10" t="str">
        <x:v>BR-SPAPESP_DASP-PENITPRE-CSDTCARANDIRU.xlsx</x:v>
      </x:c>
      <x:c r="Z192" s="10" t="str">
        <x:v>3055-003</x:v>
      </x:c>
      <x:c r="AA192" s="11" t="n">
        <x:v>26</x:v>
      </x:c>
      <x:c r="AB192" s="10" t="str">
        <x:v>BR-SPAPESP_DASP-PENITPRE-CSDTCARANDIRU.xlsx:3055-003:26</x:v>
      </x:c>
      <x:c r="AC192" s="11" t="n">
        <x:f>COLUMNS(A192:T192)-COUNTBLANK(A192:T192)</x:f>
        <x:v>20</x:v>
      </x:c>
    </x:row>
    <x:row r="193" ht="84" hidden="0" customHeight="1">
      <x:c r="A193" s="10" t="str">
        <x:v>026</x:v>
      </x:c>
      <x:c r="B193" s="10" t="str">
        <x:v>Missa oficiada por Dom Evaristo Arns</x:v>
      </x:c>
      <x:c r="C193" s="10" t="str">
        <x:v>Item</x:v>
      </x:c>
      <x:c r="D193" s="10" t="str">
        <x:v>1969-12-23 00:00:00</x:v>
      </x:c>
      <x:c r="E193" s="10" t="str">
        <x:v>Gerado pelo Dataverse</x:v>
      </x:c>
      <x:c r="F193" s="10" t="str">
        <x:v>Fotografia digitalizada; preto e branco; suporte em papel fotográfico</x:v>
      </x:c>
      <x:c r="G193" s="10" t="str">
        <x:v>São Paulo, Brasil</x:v>
      </x:c>
      <x:c r="H193" s="10" t="str">
        <x:v>Arquivo Público do Estado de São Paulo, Jornal Diários Associados</x:v>
      </x:c>
      <x:c r="I193" s="10" t="str">
        <x:v>Estado De São Paulo - Penitenciárias e Presídios - Casa de Detenção de São Paulo no Carandiru (Fotografias)</x:v>
      </x:c>
      <x:c r="J193" s="10" t="str">
        <x:v>Caixa: 3055 Folder: 3</x:v>
      </x:c>
      <x:c r="K193" s="10" t="str">
        <x:v>BR-SPAPESP_DASP-PENITPRE-CSDTCARANDIRU_ICO-FOT-DGZ-MT0_3055-003-026</x:v>
      </x:c>
      <x:c r="L193" s="10" t="str">
        <x: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pesquisa de Maíra Rocha Machado, Bianca Tavolari e Maira Rosín (2025)[1].</x:v>
      </x:c>
      <x:c r="M193" s="10" t="str">
        <x:v>Registro de uma cerimônia religiosa católica no interior da Penitenciária do Estado (Carandiru). A fotografia, em plano médio, foca no momento da comunhão, onde um sacerdote, de costas para a câmera e vestindo paramentos litúrgicos decorados, oferece a hóstia a um detento. Uma fila de homens aguarda sua vez, enquanto ao fundo e nas laterais observam-se outras pessoas, incluindo homens em trajes civis (ternos) e grades que delimitam o espaço prisional. A missa foi oficiada por Dom Evaristo Arns e contou com a presença do Coral Nossa Senhora das Dores.</x:v>
      </x:c>
      <x:c r="N193"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93" s="10" t="str">
        <x:v>Missa; Comunhão; Dom Evaristo Arns; Penitenciária do Estado; Carandiru; Assistência religiosa; São Paulo.</x:v>
      </x:c>
      <x:c r="P193" s="10" t="str">
        <x:v>Fotografia (Iconográfico)</x:v>
      </x:c>
      <x:c r="Q193" s="10" t="str">
        <x:v>Digitalização de fotografia em preto e branco (analógica original)</x:v>
      </x:c>
      <x:c r="R193" s="10" t="str">
        <x:v>Figura n – [Missa oficiada por Dom Evaristo Arns] Fonte: Arquivo Público do Estado de São Paulo, 1969.</x:v>
      </x:c>
      <x:c r="S193" s="10" t="str">
        <x:v>ARQUIVO PÚBLICO DO ESTADO DE SÃO PAULO (Brasil). [Missa oficiada por Dom Evaristo Arns]. São Paulo, Brasil. 23 dez. 1969. Fotografia digitalizada; preto e branco; suporte em papel fotográfico. Disponível em: &lt;link do dataverse&gt;. Acesso em: 28 out. 2025.</x:v>
      </x:c>
      <x:c r="T193" s="10" t="str">
        <x:v>ESTADO DE SÃO PAULO = PENITENCIARIAS E PRESIDIOS = PENITENCIARIA DO ESTADO =(CARANDIRU) MISSA PARA O SENTENCIADO — Todos os presidiários de uma das alas da Penitenciária do Estado (Carandiru) assistiram ontem à missa oficiada por Dom Evaristo Arns, bispo da Zona Norte. Muitos dos presidiários e pessoas presentes receberam durante a missa, a comunhão. O Coral Nossa Senhora das Dores cantou durante o ato religioso dirigido aos detentos. Como presente de Natal, o diretor do DIPE — Departamento de Institutos Penais do Estado, — sr. Fernando José Fernandes, que na ocasião representava o secretário da Segurança, general Viana Moog, anunciou que, a pedido do bispo da Zona Norte, estavam indultados todos os presos que se encontravam em cela forte para as celas comuns. O presépio armado no Carandiru está aberto à visitação publica, todos os sábados e domingos, das 9 às 17 horas, a partir de amanhã, até quarta-feira de cinzas. DSP.-24/12/1969-MBO S.P. 23 DE 12 DE 69</x:v>
      </x:c>
      <x:c r="U193" s="10" t="str">
        <x:v>ICO</x:v>
      </x:c>
      <x:c r="V193" s="10" t="str">
        <x:v>FOT</x:v>
      </x:c>
      <x:c r="W193" s="10" t="str">
        <x:v>DGZ</x:v>
      </x:c>
      <x:c r="X193" s="10" t="str">
        <x:v>MT0</x:v>
      </x:c>
      <x:c r="Y193" s="10" t="str">
        <x:v>BR-SPAPESP_DASP-PENITPRE-CSDTCARANDIRU.xlsx</x:v>
      </x:c>
      <x:c r="Z193" s="10" t="str">
        <x:v>3055-003</x:v>
      </x:c>
      <x:c r="AA193" s="11" t="n">
        <x:v>27</x:v>
      </x:c>
      <x:c r="AB193" s="10" t="str">
        <x:v>BR-SPAPESP_DASP-PENITPRE-CSDTCARANDIRU.xlsx:3055-003:27</x:v>
      </x:c>
      <x:c r="AC193" s="11" t="n">
        <x:f>COLUMNS(A193:T193)-COUNTBLANK(A193:T193)</x:f>
        <x:v>20</x:v>
      </x:c>
    </x:row>
    <x:row r="194" ht="84" hidden="0" customHeight="1">
      <x:c r="A194" s="10" t="str">
        <x:v>027</x:v>
      </x:c>
      <x:c r="B194" s="10" t="str">
        <x:v>Antiga Casa de Correção sendo demolida</x:v>
      </x:c>
      <x:c r="C194" s="10" t="str">
        <x:v>Item</x:v>
      </x:c>
      <x:c r="D194" s="10" t="str">
        <x:v>1977-03-13 00:00:00</x:v>
      </x:c>
      <x:c r="E194" s="10" t="str">
        <x:v>Gerado pelo Dataverse</x:v>
      </x:c>
      <x:c r="F194" s="10" t="str">
        <x:v>Fotografia digitalizada; preto e branco; suporte em papel fotográfico</x:v>
      </x:c>
      <x:c r="G194" s="10" t="str">
        <x:v>São Paulo, Brasil</x:v>
      </x:c>
      <x:c r="H194" s="10" t="str">
        <x:v>Arquivo Público do Estado de São Paulo, Jornal Diários Associados</x:v>
      </x:c>
      <x:c r="I194" s="10" t="str">
        <x:v>Estado De São Paulo - Penitenciárias e Presídios - Casa de Detenção de São Paulo no Carandiru (Fotografias)</x:v>
      </x:c>
      <x:c r="J194" s="10" t="str">
        <x:v>Caixa: 3055 Folder: 3</x:v>
      </x:c>
      <x:c r="K194" s="10" t="str">
        <x:v>BR-SPAPESP_DASP-PENITPRE-CSDTCARANDIRU_ICO-FOT-DGZ-MT0_3055-003-027</x:v>
      </x:c>
      <x:c r="L194" s="10" t="str">
        <x: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pesquisa de Maíra Rocha Machado, Bianca Tavolari e Maira Rosín (2025)[1].</x:v>
      </x:c>
      <x:c r="M194" s="10" t="str">
        <x:v>Registro fotográfico do processo de demolição da Antiga Casa de Correção (construída em 1851), localizada na Avenida Tiradentes. A imagem apresenta em primeiro plano grandes pilhas de tijolos e escombros resultantes do desmonte da estrutura. Ao fundo, observa-se a fachada de um edifício remanescente, postes de iluminação pública e fiações elétricas. A perspectiva da foto enfatiza a extensão do entulho acumulado no terreno.</x:v>
      </x:c>
      <x:c r="N194"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94" s="10" t="str">
        <x:v>Demolição; Casa de Correção; Avenida Tiradentes; Arquitetura histórica; São Paulo.</x:v>
      </x:c>
      <x:c r="P194" s="10" t="str">
        <x:v>Fotografia (Iconográfico)</x:v>
      </x:c>
      <x:c r="Q194" s="10" t="str">
        <x:v>Digitalização de fotografia em preto e branco (analógica original)</x:v>
      </x:c>
      <x:c r="R194" s="10" t="str">
        <x:v>Figura n – [Antiga Casa de Correção sendo demolida] Fonte: Arquivo Público do Estado de São Paulo, 1977.</x:v>
      </x:c>
      <x:c r="S194" s="10" t="str">
        <x:v>ARQUIVO PÚBLICO DO ESTADO DE SÃO PAULO (Brasil). [Antiga Casa de Correção sendo demolida]. São Paulo, Brasil. 13 mar. 1977. Fotografia digitalizada; preto e branco; suporte em papel fotográfico. Disponível em: &lt;link do dataverse&gt;. Acesso em: 28 out. 2025.</x:v>
      </x:c>
      <x:c r="T194" s="10" t="str">
        <x:v>ESTADO DE SÃO PAULO = PENITENCIÁRIAS E PRESÍDIOS = CASA DE DETENÇÃO (Av. Tiradentes). Antiga Casa de Correção, contruída em 1851, está sendo demolida. DSP-13/3/77-dcp.</x:v>
      </x:c>
      <x:c r="U194" s="10" t="str">
        <x:v>ICO</x:v>
      </x:c>
      <x:c r="V194" s="10" t="str">
        <x:v>FOT</x:v>
      </x:c>
      <x:c r="W194" s="10" t="str">
        <x:v>DGZ</x:v>
      </x:c>
      <x:c r="X194" s="10" t="str">
        <x:v>MT0</x:v>
      </x:c>
      <x:c r="Y194" s="10" t="str">
        <x:v>BR-SPAPESP_DASP-PENITPRE-CSDTCARANDIRU.xlsx</x:v>
      </x:c>
      <x:c r="Z194" s="10" t="str">
        <x:v>3055-003</x:v>
      </x:c>
      <x:c r="AA194" s="11" t="n">
        <x:v>28</x:v>
      </x:c>
      <x:c r="AB194" s="10" t="str">
        <x:v>BR-SPAPESP_DASP-PENITPRE-CSDTCARANDIRU.xlsx:3055-003:28</x:v>
      </x:c>
      <x:c r="AC194" s="11" t="n">
        <x:f>COLUMNS(A194:T194)-COUNTBLANK(A194:T194)</x:f>
        <x:v>20</x:v>
      </x:c>
    </x:row>
    <x:row r="195" ht="84" hidden="0" customHeight="1">
      <x:c r="A195" s="10" t="str">
        <x:v>028</x:v>
      </x:c>
      <x:c r="B195" s="10" t="str">
        <x:v>Detalhe do portão principal da antiga Casa de Correção com o ano de 1851</x:v>
      </x:c>
      <x:c r="C195" s="10" t="str">
        <x:v>Item</x:v>
      </x:c>
      <x:c r="D195" s="10" t="str">
        <x:v>1977-03-13 00:00:00</x:v>
      </x:c>
      <x:c r="E195" s="10" t="str">
        <x:v>Gerado pelo Dataverse</x:v>
      </x:c>
      <x:c r="F195" s="10" t="str">
        <x:v>Fotografia digitalizada; preto e branco; suporte em papel fotográfico</x:v>
      </x:c>
      <x:c r="G195" s="10" t="str">
        <x:v>São Paulo, Brasil</x:v>
      </x:c>
      <x:c r="H195" s="10" t="str">
        <x:v>Arquivo Público do Estado de São Paulo, Jornal Diários Associados</x:v>
      </x:c>
      <x:c r="I195" s="10" t="str">
        <x:v>Estado De São Paulo - Penitenciárias e Presídios - Casa de Detenção de São Paulo no Carandiru (Fotografias)</x:v>
      </x:c>
      <x:c r="J195" s="10" t="str">
        <x:v>Caixa: 3055 Folder: 3</x:v>
      </x:c>
      <x:c r="K195" s="10" t="str">
        <x:v>BR-SPAPESP_DASP-PENITPRE-CSDTCARANDIRU_ICO-FOT-DGZ-MT0_3055-003-028</x:v>
      </x:c>
      <x:c r="L195" s="10" t="str">
        <x: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pesquisa de Maíra Rocha Machado, Bianca Tavolari e Maira Rosín (2025)[1].</x:v>
      </x:c>
      <x:c r="M195" s="10" t="str">
        <x:v>Close-up de um detalhe arquitetônico em ferro forjado, localizado na parte superior do portão principal de acesso à antiga Casa de Correção. O desenho ornamental é composto por barras de ferro que se abrem em leque a partir de um semicírculo central. Dentro desse semicírculo, destaca-se a inscrição do ano "1851" em algarismos de ferro. O estilo é típico das construções institucionais do século XIX em São Paulo.</x:v>
      </x:c>
      <x:c r="N195"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95" s="10" t="str">
        <x:v>Arquitetura prisional; Casa de Correção; 1851; Ferro forjado; História de São Paulo; Avenida Tiradentes.</x:v>
      </x:c>
      <x:c r="P195" s="10" t="str">
        <x:v>Fotografia (Iconográfico)</x:v>
      </x:c>
      <x:c r="Q195" s="10" t="str">
        <x:v>Digitalização de fotografia em preto e branco (analógica original)</x:v>
      </x:c>
      <x:c r="R195" s="10" t="str">
        <x:v>Figura n – [Detalhe do portão principal da antiga Casa de Correção com o ano de 1851] Fonte: Arquivo Público do Estado de São Paulo, 1977.</x:v>
      </x:c>
      <x:c r="S195" s="10" t="str">
        <x:v>ARQUIVO PÚBLICO DO ESTADO DE SÃO PAULO (Brasil). [Detalhe do portão principal da antiga Casa de Correção com o ano de 1851]. São Paulo, Brasil. 13 mar. 1977. Fotografia digitalizada; preto e branco; suporte em papel fotográfico. Disponível em: &lt;link do dataverse&gt;. Acesso em: 28 out. 2025.</x:v>
      </x:c>
      <x:c r="T195" s="10" t="str">
        <x:v>ESTADO DE SÃO PAULO = PENITENCIARIAS E PRESÍDIOS = CASA DE DETENÇÃO-(Av.Tiradentes) Em 1851 surgiu a Casa de Correção, um edifício que se tornaria tenebroso para a população paulista. DSP-13/3/77*dcp.</x:v>
      </x:c>
      <x:c r="U195" s="10" t="str">
        <x:v>ICO</x:v>
      </x:c>
      <x:c r="V195" s="10" t="str">
        <x:v>FOT</x:v>
      </x:c>
      <x:c r="W195" s="10" t="str">
        <x:v>DGZ</x:v>
      </x:c>
      <x:c r="X195" s="10" t="str">
        <x:v>MT0</x:v>
      </x:c>
      <x:c r="Y195" s="10" t="str">
        <x:v>BR-SPAPESP_DASP-PENITPRE-CSDTCARANDIRU.xlsx</x:v>
      </x:c>
      <x:c r="Z195" s="10" t="str">
        <x:v>3055-003</x:v>
      </x:c>
      <x:c r="AA195" s="11" t="n">
        <x:v>29</x:v>
      </x:c>
      <x:c r="AB195" s="10" t="str">
        <x:v>BR-SPAPESP_DASP-PENITPRE-CSDTCARANDIRU.xlsx:3055-003:29</x:v>
      </x:c>
      <x:c r="AC195" s="11" t="n">
        <x:f>COLUMNS(A195:T195)-COUNTBLANK(A195:T195)</x:f>
        <x:v>20</x:v>
      </x:c>
    </x:row>
    <x:row r="196" ht="84" hidden="0" customHeight="1">
      <x:c r="A196" s="10" t="str">
        <x:v>029</x:v>
      </x:c>
      <x:c r="B196" s="10" t="str">
        <x:v>Conflito entre detentos</x:v>
      </x:c>
      <x:c r="C196" s="10" t="str">
        <x:v>Item</x:v>
      </x:c>
      <x:c r="D196" s="10" t="str">
        <x:v>1966-06-29 00:00:00</x:v>
      </x:c>
      <x:c r="E196" s="10" t="str">
        <x:v>Gerado pelo Dataverse</x:v>
      </x:c>
      <x:c r="F196" s="10" t="str">
        <x:v>Fotografia digitalizada; preto e branco; suporte em papel fotográfico</x:v>
      </x:c>
      <x:c r="G196" s="10" t="str">
        <x:v>São Paulo, Brasil</x:v>
      </x:c>
      <x:c r="H196" s="10" t="str">
        <x:v>Arquivo Público do Estado de São Paulo, Jornal Diários Associados</x:v>
      </x:c>
      <x:c r="I196" s="10" t="str">
        <x:v>Estado De São Paulo - Penitenciárias e Presídios - Casa de Detenção de São Paulo no Carandiru (Fotografias)</x:v>
      </x:c>
      <x:c r="J196" s="10" t="str">
        <x:v>Caixa: 3055 Folder: 3</x:v>
      </x:c>
      <x:c r="K196" s="10" t="str">
        <x:v>BR-SPAPESP_DASP-PENITPRE-CSDTCARANDIRU_ICO-FOT-DGZ-MT0_3055-003-029</x:v>
      </x:c>
      <x:c r="L196" s="10" t="str">
        <x: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pesquisa de Maíra Rocha Machado, Bianca Tavolari e Maira Rosín (2025)[1].</x:v>
      </x:c>
      <x:c r="M196" s="10" t="str">
        <x:v>Registro fotográfico de objetos apreendidos após uma revista ("batida") no Pavilhão 8 da Casa de Detenção de Carandiru. A imagem, capturada através das grades de uma cela que aparecem em primeiro plano como silhuetas escuras, mostra um amontoado de materiais diversos, incluindo estiletes e outros objetos irregulares que estavam em poder dos presidiários. A apreensão ocorreu após uma luta corporal entre detentos durante o "banho de sol", que resultou na morte de um homem e ferimentos em outros dois.</x:v>
      </x:c>
      <x:c r="N196"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96" s="10" t="str">
        <x:v>Conflito; Apreensão; Estiletes; Pavilhão 8; Casa de Detenção de Carandiru; Violência prisional; São Paulo.</x:v>
      </x:c>
      <x:c r="P196" s="10" t="str">
        <x:v>Fotografia (Iconográfico)</x:v>
      </x:c>
      <x:c r="Q196" s="10" t="str">
        <x:v>Digitalização de fotografia em preto e branco (analógica original)</x:v>
      </x:c>
      <x:c r="R196" s="10" t="str">
        <x:v>Figura n – [Conflito entre detentos] Fonte: Arquivo Público do Estado de São Paulo, 1966.</x:v>
      </x:c>
      <x:c r="S196" s="10" t="str">
        <x:v>ARQUIVO PÚBLICO DO ESTADO DE SÃO PAULO (Brasil). [Conflito entre detentos]. São Paulo, Brasil. 29 jun. 1966. Fotografia digitalizada; preto e branco; suporte em papel fotográfico. Disponível em: &lt;link do dataverse&gt;. Acesso em: 28 out. 2025.</x:v>
      </x:c>
      <x:c r="T196" s="10" t="str">
        <x:v>ESTADO DE SÃO PAULO - PENITENCIÁRIAS E PRESÍDIOS - CASA DE DETENÇÃO DO CARANDIRÚ CONFLITO ENTRE DETENTOS: UM MORTO E DOIS FERIDOS Vários prêsos que cumprem pena na Casa de Detenção, quando estavam tomando "banho de sol", no campo de esportes do Pavilhão 8, que abriga criminosos reincidentes, por motivos ainda ignorados pelas autoridades policiais, empenharam-se em luta corporal que sòmente foi dominada com a intervenção de guardas do presídio, que separaram os contendores a tempo de evitar verdadeira carnificina. Em consequência, três detentos - Roberto Silva, Miguel Nunes da Silva e Edemar da Silva - estavam feridos a golpes de estilete, tendo Edemar falecido no Hospital das Clínicas. Durante a "batida" determinada pelo sr. Fernando José Fernandes, no pavilhão 8, foram apreendidos inúmeros objetos que estavam irregularmente em poder de presidiários da Casa de Detenção. A foto mostra parte da muamba (estiletes e outros objetos) que foi apreendida durante a revista feita no presídio do Carandirú. Ver DN. Ed.Ún. 29/6/1966 - cv.</x:v>
      </x:c>
      <x:c r="U196" s="10" t="str">
        <x:v>ICO</x:v>
      </x:c>
      <x:c r="V196" s="10" t="str">
        <x:v>FOT</x:v>
      </x:c>
      <x:c r="W196" s="10" t="str">
        <x:v>DGZ</x:v>
      </x:c>
      <x:c r="X196" s="10" t="str">
        <x:v>MT0</x:v>
      </x:c>
      <x:c r="Y196" s="10" t="str">
        <x:v>BR-SPAPESP_DASP-PENITPRE-CSDTCARANDIRU.xlsx</x:v>
      </x:c>
      <x:c r="Z196" s="10" t="str">
        <x:v>3055-003</x:v>
      </x:c>
      <x:c r="AA196" s="11" t="n">
        <x:v>30</x:v>
      </x:c>
      <x:c r="AB196" s="10" t="str">
        <x:v>BR-SPAPESP_DASP-PENITPRE-CSDTCARANDIRU.xlsx:3055-003:30</x:v>
      </x:c>
      <x:c r="AC196" s="11" t="n">
        <x:f>COLUMNS(A196:T196)-COUNTBLANK(A196:T196)</x:f>
        <x:v>20</x:v>
      </x:c>
    </x:row>
    <x:row r="197" ht="168" hidden="0" customHeight="1">
      <x:c r="A197" s="10" t="str">
        <x:v>030</x:v>
      </x:c>
      <x:c r="B197" s="10" t="str">
        <x:v>Conflito entre detentos com mortos e feridos</x:v>
      </x:c>
      <x:c r="C197" s="10" t="str">
        <x:v>Item</x:v>
      </x:c>
      <x:c r="D197" s="10" t="str">
        <x:v>1966-06-29 00:00:00</x:v>
      </x:c>
      <x:c r="E197" s="10" t="str">
        <x:v>Gerado pelo Dataverse</x:v>
      </x:c>
      <x:c r="F197" s="10" t="str">
        <x:v>Fotografia digitalizada; preto e branco; suporte em papel fotográfico</x:v>
      </x:c>
      <x:c r="G197" s="10" t="str">
        <x:v>São Paulo, Brasil</x:v>
      </x:c>
      <x:c r="H197" s="10" t="str">
        <x:v>Arquivo Público do Estado de São Paulo, Jornal Diários Associados</x:v>
      </x:c>
      <x:c r="I197" s="10" t="str">
        <x:v>Estado De São Paulo - Penitenciárias e Presídios - Casa de Detenção de São Paulo no Carandiru (Fotografias)</x:v>
      </x:c>
      <x:c r="J197" s="10" t="str">
        <x:v>Caixa: 3055 Folder: 3</x:v>
      </x:c>
      <x:c r="K197" s="10" t="str">
        <x:v>BR-SPAPESP_DASP-PENITPRE-CSDTCARANDIRU_ICO-FOT-DGZ-MT0_3055-003-030</x:v>
      </x:c>
      <x:c r="L197" s="10" t="str">
        <x:v>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pesquisa de Maíra Rocha Machado, Bianca Tavolari e Maira Rosín (2025)[1].</x:v>
      </x:c>
      <x:c r="M197" s="10" t="str">
        <x:v>Registro fotográfico capturado através das grades de uma cela, mostrando o resultado de uma revista ("batida") no Pavilhão 8 da Casa de Detenção de Carandiru. A imagem foca em um amontoado de objetos apreendidos, descritos como "muamba", que incluem estiletes e armas rudimentares fabricadas pelos próprios detentos a partir de espetos de caixas de descarga. A apreensão ocorreu após um conflito no campo de esportes durante o "banho de sol", que resultou na morte do detento Edemar da Silva e ferimentos em outros dois.</x:v>
      </x:c>
      <x:c r="N197" s="10" t="str">
        <x:v>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x:v>
      </x:c>
      <x:c r="O197" s="10" t="str">
        <x:v>Conflito prisional; Apreensão de armas; Pavilhão 8; Casa de Detenção de Carandiru; Violência; São Paulo.</x:v>
      </x:c>
      <x:c r="P197" s="10" t="str">
        <x:v>Fotografia (Iconográfico)</x:v>
      </x:c>
      <x:c r="Q197" s="10" t="str">
        <x:v>Digitalização de fotografia em preto e branco (analógica original)</x:v>
      </x:c>
      <x:c r="R197" s="10" t="str">
        <x:v>Figura n – [Conflito entre detentos com mortos e feridos] Fonte: Arquivo Público do Estado de São Paulo, 1966.</x:v>
      </x:c>
      <x:c r="S197" s="10" t="str">
        <x:v>ARQUIVO PÚBLICO DO ESTADO DE SÃO PAULO (Brasil). [Conflito entre detentos com mortos e feridos]. São Paulo, Brasil. 29 jun. 1966. Fotografia digitalizada; preto e branco; suporte em papel fotográfico. Disponível em: &lt;link do dataverse&gt;. Acesso em: 28 out. 2025.</x:v>
      </x:c>
      <x:c r="T197" s="10" t="str">
        <x:v>ESTADO DE SÃO PAULO - PENITENCIÁRIAS E PRESÍDIOS - CASA DE DETENÇÃO DO CARANDIRÚ CONFLITO ENTRE DETENTOS: UM MORTO E DOIS FERIDOS DN.Ed.ún. 29/6/1966 - wjp Durante a "batida" determinada pelo sr. Fernando José Fernandes, no pavilhão 8, foram apreendidos inúmeros objetos que estavam irregularmente em poder de presidiários da Casa de Detenção. A foto mostra parte da muamba (estiletes e outros objetos) que foi apreendida durante a revista feita no presídio do Carandirú. Varios presos que cumprem pena na Casa de Detenção, quando estavam tomando "banho de sol" no campo de esportes do Pavilhão 8, que abriga criminosos reincidentes, por motivos ainda ignorados pelas autoridades policiais, empenharam-se em luta corporal que somente foi dominada com a intervenção de guardas do presídio, que separaram os contendores a tempo de evitar verdadeira carnificina. UM MORTO E DOIS FERIDOS Restabelecida a ordem, após alguns minutos de confusão, verificou-se que três detentos — Roberto Silva, que usa também o nome de Varley Silva; Miguel Nunes da Silva e Edemar da Silva — estavam feridos a golpe de estilete, arma rudimentar fabricada pelos detentos com o aproveitamento de espetos das caixas de descargas das dependencias sanitarias do estabelecimento penal. Os três feridos, depois de socorridos na enfermaria da propria Casa de Detenção, foram imediatamente removidos para o Hospital das Clinicas, onde Edemar, não resistindo aos ferimentos recebidos, faleceu, antes que pudesse prestar declarações sobre os motivos que originaram a sua participação no conflito. PROVIDENCIAS DA DIREÇÃO O diretor da Casa de Detenção, sr. Fernando José Fernandes, que reassumiu o cargo há apenas poucos dias, depois de dirigir os trabalhos de normalização da situação, procurou situar a posição dos responsaveis pelos incidentes, ao mesmo tempo em que determinava uma revista geral em todo o pavilhão 8, onde acabou sendo feita a apreensão de inumeros objetos cujo uso não é permitido nas célas. Durante as investigações realizadas pelo proprio diretor Fernando José Fernandes, ficou apurado que, além dos três detentos acima citados, participaram da refrega outros três presidiarios, cujos nomes, todavia, não foram apurados, pois os demais companheiros de carcere, mantendo o "Codigo de Honra" entre eles, negaram-se a fornecer a identidade e mesmo os motivos que originaram a contenda que terminou com a morte de um preso e ferimentos em outros dois. O inquerito sobre a ocorrencia será efetuado pela Delegacia de Vigilancia e Capturas, a quem caberá, agora, elucidar quem foi o autor dos ferimentos que culminaram com a morte de Edemar da Silva.</x:v>
      </x:c>
      <x:c r="U197" s="10" t="str">
        <x:v>ICO</x:v>
      </x:c>
      <x:c r="V197" s="10" t="str">
        <x:v>FOT</x:v>
      </x:c>
      <x:c r="W197" s="10" t="str">
        <x:v>DGZ</x:v>
      </x:c>
      <x:c r="X197" s="10" t="str">
        <x:v>MT0</x:v>
      </x:c>
      <x:c r="Y197" s="10" t="str">
        <x:v>BR-SPAPESP_DASP-PENITPRE-CSDTCARANDIRU.xlsx</x:v>
      </x:c>
      <x:c r="Z197" s="10" t="str">
        <x:v>3055-003</x:v>
      </x:c>
      <x:c r="AA197" s="11" t="n">
        <x:v>31</x:v>
      </x:c>
      <x:c r="AB197" s="10" t="str">
        <x:v>BR-SPAPESP_DASP-PENITPRE-CSDTCARANDIRU.xlsx:3055-003:31</x:v>
      </x:c>
      <x:c r="AC197" s="11" t="n">
        <x:f>COLUMNS(A197:T197)-COUNTBLANK(A197:T197)</x:f>
        <x:v>20</x:v>
      </x:c>
    </x:row>
    <x:row r="198" ht="48" hidden="0" customHeight="1">
      <x:c r="A198" s="10" t="str">
        <x:v>001</x:v>
      </x:c>
      <x:c r="B198" s="10" t="str">
        <x:v>Corredor de terra ladeado por muro de concreto e pavilhão com roupas estendidas, com silhuetas urbanas ao fundo.</x:v>
      </x:c>
      <x:c r="C198" s="10" t="str">
        <x:v>Item</x:v>
      </x:c>
      <x:c r="D198" s="10" t="str">
        <x:v>Sem data</x:v>
      </x:c>
      <x:c r="E198" s="10" t="str">
        <x:v>Gerado pelo Dataverse</x:v>
      </x:c>
      <x:c r="F198" s="10" t="str">
        <x:v>Fotografia digitalizada; colorida; suporte em papel fotográfico</x:v>
      </x:c>
      <x:c r="G198" s="10" t="str">
        <x:v>São Paulo, Brasil</x:v>
      </x:c>
      <x:c r="H198" s="10" t="str">
        <x:v>Grupo de Pesquisa em Direito e Violência de Estado</x:v>
      </x:c>
      <x:c r="I198" s="10" t="str">
        <x:v>Arcoenge - Demolição - Casa de Detenção do Carandiru (Fotografias)</x:v>
      </x:c>
      <x:c r="J198" s="10" t="str">
        <x:v>Pasta: 0001</x:v>
      </x:c>
      <x:c r="K198" s="10" t="str">
        <x:v>BR-SPCARANDIRU_ARCOENGE-DEMOLICAO-CSDTCARANDIRU_ICO-FOT-DGZ-MB0_0001-001.JPG</x:v>
      </x:c>
      <x:c r="L198"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198" s="10" t="str">
        <x:v>Corredor longo e estreito de terra. À esquerda, um muro alto e contínuo de concreto. À direita, a fachada de um pavilhão com diversas roupas estendidas para fora das janelas. Na parte central da imagem, ao longe, pessoas caminham pelo espaço térreo. Ao fundo, despontam silhuetas de prédios modernos da cidade.</x:v>
      </x:c>
      <x:c r="N198"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198" s="10" t="str">
        <x:v>Sistema prisional; Arquitetura prisional; Casa de Detenção de São Paulo; Carandiru</x:v>
      </x:c>
      <x:c r="P198" s="10" t="str">
        <x:v>Fotografia (Iconográfico)</x:v>
      </x:c>
      <x:c r="Q198" s="10" t="str">
        <x:v>Digitalização de fotografia colorida (analógica original)</x:v>
      </x:c>
      <x:c r="R198" s="10" t="str">
        <x:v>Figura n – [Corredor de terra ladeado por muro de concreto e pavilhão com roupas estendidas, com silhuetas urbanas ao fundo.] Fonte: ARCOENGE, Sem data.</x:v>
      </x:c>
      <x:c r="S198" s="10" t="str">
        <x:v>ARCOENGE. [Corredor de terra ladeado por muro de concreto e pavilhão com roupas estendidas, com silhuetas urbanas ao fundo.]. São Paulo, Brasil. Sem data sem data Sem data. Fotografia digitalizada; colorida; suporte em papel fotográfico. Disponível em: &lt;link do dataverse&gt;. Acesso em: 25 mai. 2026.</x:v>
      </x:c>
      <x:c r="T198" s="10" t="str">
        <x:v>Este item pertencia à pasta intitulada "fotos escaneadas".</x:v>
      </x:c>
      <x:c r="U198" s="10" t="str">
        <x:v>ICO</x:v>
      </x:c>
      <x:c r="V198" s="10" t="str">
        <x:v>FOT</x:v>
      </x:c>
      <x:c r="W198" s="10" t="str">
        <x:v>DGZ</x:v>
      </x:c>
      <x:c r="X198" s="10" t="str">
        <x:v>MB0</x:v>
      </x:c>
      <x:c r="Y198" s="10" t="str">
        <x:v>BR-SPCARANDIRU_ARCOENGE-DEMOLICAO-CSDTCARANDIRU.xlsx</x:v>
      </x:c>
      <x:c r="Z198" s="10" t="str">
        <x:v>0001</x:v>
      </x:c>
      <x:c r="AA198" s="11" t="n">
        <x:v>2</x:v>
      </x:c>
      <x:c r="AB198" s="10" t="str">
        <x:v>BR-SPCARANDIRU_ARCOENGE-DEMOLICAO-CSDTCARANDIRU.xlsx:0001:2</x:v>
      </x:c>
      <x:c r="AC198" s="11" t="n">
        <x:f>COLUMNS(A198:T198)-COUNTBLANK(A198:T198)</x:f>
        <x:v>20</x:v>
      </x:c>
    </x:row>
    <x:row r="199" ht="48" hidden="0" customHeight="1">
      <x:c r="A199" s="10" t="str">
        <x:v>002</x:v>
      </x:c>
      <x:c r="B199" s="10" t="str">
        <x:v>Fachada de edifício retangular de cinco andares com janelas padronizadas e guarda-corpo metálico em primeiro plano.</x:v>
      </x:c>
      <x:c r="C199" s="10" t="str">
        <x:v>Item</x:v>
      </x:c>
      <x:c r="D199" s="10" t="str">
        <x:v>Sem data</x:v>
      </x:c>
      <x:c r="E199" s="10" t="str">
        <x:v>Gerado pelo Dataverse</x:v>
      </x:c>
      <x:c r="F199" s="10" t="str">
        <x:v>Fotografia digitalizada; colorida; suporte em papel fotográfico</x:v>
      </x:c>
      <x:c r="G199" s="10" t="str">
        <x:v>São Paulo, Brasil</x:v>
      </x:c>
      <x:c r="H199" s="10" t="str">
        <x:v>Grupo de Pesquisa em Direito e Violência de Estado</x:v>
      </x:c>
      <x:c r="I199" s="10" t="str">
        <x:v>Arcoenge - Demolição - Casa de Detenção do Carandiru (Fotografias)</x:v>
      </x:c>
      <x:c r="J199" s="10" t="str">
        <x:v>Pasta: 0001</x:v>
      </x:c>
      <x:c r="K199" s="10" t="str">
        <x:v>BR-SPCARANDIRU_ARCOENGE-DEMOLICAO-CSDTCARANDIRU_ICO-FOT-DGZ-MB0_0001-002.JPG</x:v>
      </x:c>
      <x:c r="L199"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199" s="10" t="str">
        <x:v>Plano fechado focado na fachada de um grande edifício retangular de concreto, com cinco andares de janelas visíveis, padronizadas e recuadas. Em primeiro plano, um muro com guarda-corpo de metal margeia o que aparenta ser um pátio rebaixado.</x:v>
      </x:c>
      <x:c r="N199"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199" s="10" t="str">
        <x:v>Sistema prisional; Arquitetura prisional; Casa de Detenção de São Paulo; Carandiru</x:v>
      </x:c>
      <x:c r="P199" s="10" t="str">
        <x:v>Fotografia (Iconográfico)</x:v>
      </x:c>
      <x:c r="Q199" s="10" t="str">
        <x:v>Digitalização de fotografia colorida (analógica original)</x:v>
      </x:c>
      <x:c r="R199" s="10" t="str">
        <x:v>Figura n – [Fachada de edifício retangular de cinco andares com janelas padronizadas e guarda-corpo metálico em primeiro plano.] Fonte: ARCOENGE, Sem data.</x:v>
      </x:c>
      <x:c r="S199" s="10" t="str">
        <x:v>ARCOENGE. [Fachada de edifício retangular de cinco andares com janelas padronizadas e guarda-corpo metálico em primeiro plano.]. São Paulo, Brasil. Sem data sem data Sem data. Fotografia digitalizada; colorida; suporte em papel fotográfico. Disponível em: &lt;link do dataverse&gt;. Acesso em: 25 mai. 2026.</x:v>
      </x:c>
      <x:c r="T199" s="10" t="str">
        <x:v>Este item pertencia à pasta intitulada "fotos escaneadas".</x:v>
      </x:c>
      <x:c r="U199" s="10" t="str">
        <x:v>ICO</x:v>
      </x:c>
      <x:c r="V199" s="10" t="str">
        <x:v>FOT</x:v>
      </x:c>
      <x:c r="W199" s="10" t="str">
        <x:v>DGZ</x:v>
      </x:c>
      <x:c r="X199" s="10" t="str">
        <x:v>MB0</x:v>
      </x:c>
      <x:c r="Y199" s="10" t="str">
        <x:v>BR-SPCARANDIRU_ARCOENGE-DEMOLICAO-CSDTCARANDIRU.xlsx</x:v>
      </x:c>
      <x:c r="Z199" s="10" t="str">
        <x:v>0001</x:v>
      </x:c>
      <x:c r="AA199" s="11" t="n">
        <x:v>3</x:v>
      </x:c>
      <x:c r="AB199" s="10" t="str">
        <x:v>BR-SPCARANDIRU_ARCOENGE-DEMOLICAO-CSDTCARANDIRU.xlsx:0001:3</x:v>
      </x:c>
      <x:c r="AC199" s="11" t="n">
        <x:f>COLUMNS(A199:T199)-COUNTBLANK(A199:T199)</x:f>
        <x:v>20</x:v>
      </x:c>
    </x:row>
    <x:row r="200" ht="48" hidden="0" customHeight="1">
      <x:c r="A200" s="10" t="str">
        <x:v>003</x:v>
      </x:c>
      <x:c r="B200" s="10" t="str">
        <x:v>Corredor de concreto com pessoas em trânsito, ladeado por muro alto e pavilhão com roupas penduradas.</x:v>
      </x:c>
      <x:c r="C200" s="10" t="str">
        <x:v>Item</x:v>
      </x:c>
      <x:c r="D200" s="10" t="str">
        <x:v>Sem data</x:v>
      </x:c>
      <x:c r="E200" s="10" t="str">
        <x:v>Gerado pelo Dataverse</x:v>
      </x:c>
      <x:c r="F200" s="10" t="str">
        <x:v>Fotografia digitalizada; colorida; suporte em papel fotográfico</x:v>
      </x:c>
      <x:c r="G200" s="10" t="str">
        <x:v>São Paulo, Brasil</x:v>
      </x:c>
      <x:c r="H200" s="10" t="str">
        <x:v>Grupo de Pesquisa em Direito e Violência de Estado</x:v>
      </x:c>
      <x:c r="I200" s="10" t="str">
        <x:v>Arcoenge - Demolição - Casa de Detenção do Carandiru (Fotografias)</x:v>
      </x:c>
      <x:c r="J200" s="10" t="str">
        <x:v>Pasta: 0001</x:v>
      </x:c>
      <x:c r="K200" s="10" t="str">
        <x:v>BR-SPCARANDIRU_ARCOENGE-DEMOLICAO-CSDTCARANDIRU_ICO-FOT-DGZ-MB0_0001-003.JPG</x:v>
      </x:c>
      <x:c r="L200"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00" s="10" t="str">
        <x:v>Ângulo e composição muito semelhantes à foto BR-SPGPDVE_ARCOENGE-DEMOLICAO-CSDTCARANDIRU_ICO-FOT-DGZ-MB0_0001-001.JPG. Vista em perspectiva de um corredor de concreto margeado por um muro alto à esquerda e um pavilhão com roupas penduradas à direita. Pessoas transitam pelo térreo.</x:v>
      </x:c>
      <x:c r="N200"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00" s="10" t="str">
        <x:v>Sistema prisional; Arquitetura prisional; Casa de Detenção de São Paulo; Carandiru</x:v>
      </x:c>
      <x:c r="P200" s="10" t="str">
        <x:v>Fotografia (Iconográfico)</x:v>
      </x:c>
      <x:c r="Q200" s="10" t="str">
        <x:v>Digitalização de fotografia colorida (analógica original)</x:v>
      </x:c>
      <x:c r="R200" s="10" t="str">
        <x:v>Figura n – [Corredor de concreto com pessoas em trânsito, ladeado por muro alto e pavilhão com roupas penduradas.] Fonte: ARCOENGE, Sem data.</x:v>
      </x:c>
      <x:c r="S200" s="10" t="str">
        <x:v>ARCOENGE. [Corredor de concreto com pessoas em trânsito, ladeado por muro alto e pavilhão com roupas penduradas.]. São Paulo, Brasil. Sem data sem data Sem data. Fotografia digitalizada; colorida; suporte em papel fotográfico. Disponível em: &lt;link do dataverse&gt;. Acesso em: 25 mai. 2026.</x:v>
      </x:c>
      <x:c r="T200" s="10" t="str">
        <x:v>Este item pertencia à pasta intitulada "fotos escaneadas".</x:v>
      </x:c>
      <x:c r="U200" s="10" t="str">
        <x:v>ICO</x:v>
      </x:c>
      <x:c r="V200" s="10" t="str">
        <x:v>FOT</x:v>
      </x:c>
      <x:c r="W200" s="10" t="str">
        <x:v>DGZ</x:v>
      </x:c>
      <x:c r="X200" s="10" t="str">
        <x:v>MB0</x:v>
      </x:c>
      <x:c r="Y200" s="10" t="str">
        <x:v>BR-SPCARANDIRU_ARCOENGE-DEMOLICAO-CSDTCARANDIRU.xlsx</x:v>
      </x:c>
      <x:c r="Z200" s="10" t="str">
        <x:v>0001</x:v>
      </x:c>
      <x:c r="AA200" s="11" t="n">
        <x:v>4</x:v>
      </x:c>
      <x:c r="AB200" s="10" t="str">
        <x:v>BR-SPCARANDIRU_ARCOENGE-DEMOLICAO-CSDTCARANDIRU.xlsx:0001:4</x:v>
      </x:c>
      <x:c r="AC200" s="11" t="n">
        <x:f>COLUMNS(A200:T200)-COUNTBLANK(A200:T200)</x:f>
        <x:v>20</x:v>
      </x:c>
    </x:row>
    <x:row r="201" ht="48" hidden="0" customHeight="1">
      <x:c r="A201" s="10" t="str">
        <x:v>004</x:v>
      </x:c>
      <x:c r="B201" s="10" t="str">
        <x:v>Vista superior de telhados de fibrocimento e amplo pavilhão com bloco central elevado.</x:v>
      </x:c>
      <x:c r="C201" s="10" t="str">
        <x:v>Item</x:v>
      </x:c>
      <x:c r="D201" s="10" t="str">
        <x:v>Sem data</x:v>
      </x:c>
      <x:c r="E201" s="10" t="str">
        <x:v>Gerado pelo Dataverse</x:v>
      </x:c>
      <x:c r="F201" s="10" t="str">
        <x:v>Fotografia digitalizada; colorida; suporte em papel fotográfico</x:v>
      </x:c>
      <x:c r="G201" s="10" t="str">
        <x:v>São Paulo, Brasil</x:v>
      </x:c>
      <x:c r="H201" s="10" t="str">
        <x:v>Grupo de Pesquisa em Direito e Violência de Estado</x:v>
      </x:c>
      <x:c r="I201" s="10" t="str">
        <x:v>Arcoenge - Demolição - Casa de Detenção do Carandiru (Fotografias)</x:v>
      </x:c>
      <x:c r="J201" s="10" t="str">
        <x:v>Pasta: 0001</x:v>
      </x:c>
      <x:c r="K201" s="10" t="str">
        <x:v>BR-SPCARANDIRU_ARCOENGE-DEMOLICAO-CSDTCARANDIRU_ICO-FOT-DGZ-MB0_0001-004.JPG</x:v>
      </x:c>
      <x:c r="L201"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01" s="10" t="str">
        <x:v>Enquadramento voltado para as partes superiores das estruturas. Telhados de fibrocimento compõem o primeiro plano inferior. Ao fundo, um amplo pavilhão de concreto que possui um bloco central arquitetonicamente mais alto do que suas alas laterais.</x:v>
      </x:c>
      <x:c r="N201"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01" s="10" t="str">
        <x:v>Sistema prisional; Arquitetura prisional; Casa de Detenção de São Paulo; Carandiru</x:v>
      </x:c>
      <x:c r="P201" s="10" t="str">
        <x:v>Fotografia (Iconográfico)</x:v>
      </x:c>
      <x:c r="Q201" s="10" t="str">
        <x:v>Digitalização de fotografia colorida (analógica original)</x:v>
      </x:c>
      <x:c r="R201" s="10" t="str">
        <x:v>Figura n – [Vista superior de telhados de fibrocimento e amplo pavilhão com bloco central elevado.] Fonte: ARCOENGE, Sem data.</x:v>
      </x:c>
      <x:c r="S201" s="10" t="str">
        <x:v>ARCOENGE. [Vista superior de telhados de fibrocimento e amplo pavilhão com bloco central elevado.]. São Paulo, Brasil. Sem data sem data Sem data. Fotografia digitalizada; colorida; suporte em papel fotográfico. Disponível em: &lt;link do dataverse&gt;. Acesso em: 25 mai. 2026.</x:v>
      </x:c>
      <x:c r="T201" s="10" t="str">
        <x:v>Este item pertencia à pasta intitulada "fotos escaneadas".</x:v>
      </x:c>
      <x:c r="U201" s="10" t="str">
        <x:v>ICO</x:v>
      </x:c>
      <x:c r="V201" s="10" t="str">
        <x:v>FOT</x:v>
      </x:c>
      <x:c r="W201" s="10" t="str">
        <x:v>DGZ</x:v>
      </x:c>
      <x:c r="X201" s="10" t="str">
        <x:v>MB0</x:v>
      </x:c>
      <x:c r="Y201" s="10" t="str">
        <x:v>BR-SPCARANDIRU_ARCOENGE-DEMOLICAO-CSDTCARANDIRU.xlsx</x:v>
      </x:c>
      <x:c r="Z201" s="10" t="str">
        <x:v>0001</x:v>
      </x:c>
      <x:c r="AA201" s="11" t="n">
        <x:v>5</x:v>
      </x:c>
      <x:c r="AB201" s="10" t="str">
        <x:v>BR-SPCARANDIRU_ARCOENGE-DEMOLICAO-CSDTCARANDIRU.xlsx:0001:5</x:v>
      </x:c>
      <x:c r="AC201" s="11" t="n">
        <x:f>COLUMNS(A201:T201)-COUNTBLANK(A201:T201)</x:f>
        <x:v>20</x:v>
      </x:c>
    </x:row>
    <x:row r="202" ht="48" hidden="0" customHeight="1">
      <x:c r="A202" s="10" t="str">
        <x:v>005</x:v>
      </x:c>
      <x:c r="B202" s="10" t="str">
        <x:v>Pátio arborizado com reboque azul em primeiro plano, van estacionada e pavilhão ao fundo.</x:v>
      </x:c>
      <x:c r="C202" s="10" t="str">
        <x:v>Item</x:v>
      </x:c>
      <x:c r="D202" s="10" t="str">
        <x:v>Sem data</x:v>
      </x:c>
      <x:c r="E202" s="10" t="str">
        <x:v>Gerado pelo Dataverse</x:v>
      </x:c>
      <x:c r="F202" s="10" t="str">
        <x:v>Fotografia digitalizada; colorida; suporte em papel fotográfico</x:v>
      </x:c>
      <x:c r="G202" s="10" t="str">
        <x:v>São Paulo, Brasil</x:v>
      </x:c>
      <x:c r="H202" s="10" t="str">
        <x:v>Grupo de Pesquisa em Direito e Violência de Estado</x:v>
      </x:c>
      <x:c r="I202" s="10" t="str">
        <x:v>Arcoenge - Demolição - Casa de Detenção do Carandiru (Fotografias)</x:v>
      </x:c>
      <x:c r="J202" s="10" t="str">
        <x:v>Pasta: 0001</x:v>
      </x:c>
      <x:c r="K202" s="10" t="str">
        <x:v>BR-SPCARANDIRU_ARCOENGE-DEMOLICAO-CSDTCARANDIRU_ICO-FOT-DGZ-MB0_0001-005.JPG</x:v>
      </x:c>
      <x:c r="L202"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02" s="10" t="str">
        <x:v>Pátio arborizado com composição semelhante à foto BR-SPGPDVE_ARCOENGE-DEMOLICAO-CSDTCARANDIRU_ICO-FOT-DGZ-MB0_0001-010.JPG, contendo a van branca estacionada e as mesmas edificações ao fundo. A imagem se diferencia pela presença de um reboque ou equipamento azul estacionado no pátio em destaque no primeiro plano.</x:v>
      </x:c>
      <x:c r="N202"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02" s="10" t="str">
        <x:v>Sistema prisional; Arquitetura prisional; Casa de Detenção de São Paulo; Carandiru</x:v>
      </x:c>
      <x:c r="P202" s="10" t="str">
        <x:v>Fotografia (Iconográfico)</x:v>
      </x:c>
      <x:c r="Q202" s="10" t="str">
        <x:v>Digitalização de fotografia colorida (analógica original)</x:v>
      </x:c>
      <x:c r="R202" s="10" t="str">
        <x:v>Figura n – [Pátio arborizado com reboque azul em primeiro plano, van estacionada e pavilhão ao fundo.] Fonte: ARCOENGE, Sem data.</x:v>
      </x:c>
      <x:c r="S202" s="10" t="str">
        <x:v>ARCOENGE. [Pátio arborizado com reboque azul em primeiro plano, van estacionada e pavilhão ao fundo.]. São Paulo, Brasil. Sem data sem data Sem data. Fotografia digitalizada; colorida; suporte em papel fotográfico. Disponível em: &lt;link do dataverse&gt;. Acesso em: 25 mai. 2026.</x:v>
      </x:c>
      <x:c r="T202" s="10" t="str">
        <x:v>Este item pertencia à pasta intitulada "fotos escaneadas".</x:v>
      </x:c>
      <x:c r="U202" s="10" t="str">
        <x:v>ICO</x:v>
      </x:c>
      <x:c r="V202" s="10" t="str">
        <x:v>FOT</x:v>
      </x:c>
      <x:c r="W202" s="10" t="str">
        <x:v>DGZ</x:v>
      </x:c>
      <x:c r="X202" s="10" t="str">
        <x:v>MB0</x:v>
      </x:c>
      <x:c r="Y202" s="10" t="str">
        <x:v>BR-SPCARANDIRU_ARCOENGE-DEMOLICAO-CSDTCARANDIRU.xlsx</x:v>
      </x:c>
      <x:c r="Z202" s="10" t="str">
        <x:v>0001</x:v>
      </x:c>
      <x:c r="AA202" s="11" t="n">
        <x:v>6</x:v>
      </x:c>
      <x:c r="AB202" s="10" t="str">
        <x:v>BR-SPCARANDIRU_ARCOENGE-DEMOLICAO-CSDTCARANDIRU.xlsx:0001:6</x:v>
      </x:c>
      <x:c r="AC202" s="11" t="n">
        <x:f>COLUMNS(A202:T202)-COUNTBLANK(A202:T202)</x:f>
        <x:v>20</x:v>
      </x:c>
    </x:row>
    <x:row r="203" ht="48" hidden="0" customHeight="1">
      <x:c r="A203" s="10" t="str">
        <x:v>006</x:v>
      </x:c>
      <x:c r="B203" s="10" t="str">
        <x:v>Área externa com lajes de concreto, varal transversal de cobertores e campo de terra com pessoas distribuídas.</x:v>
      </x:c>
      <x:c r="C203" s="10" t="str">
        <x:v>Item</x:v>
      </x:c>
      <x:c r="D203" s="10" t="str">
        <x:v>Sem data</x:v>
      </x:c>
      <x:c r="E203" s="10" t="str">
        <x:v>Gerado pelo Dataverse</x:v>
      </x:c>
      <x:c r="F203" s="10" t="str">
        <x:v>Fotografia digitalizada; colorida; suporte em papel fotográfico</x:v>
      </x:c>
      <x:c r="G203" s="10" t="str">
        <x:v>São Paulo, Brasil</x:v>
      </x:c>
      <x:c r="H203" s="10" t="str">
        <x:v>Grupo de Pesquisa em Direito e Violência de Estado</x:v>
      </x:c>
      <x:c r="I203" s="10" t="str">
        <x:v>Arcoenge - Demolição - Casa de Detenção do Carandiru (Fotografias)</x:v>
      </x:c>
      <x:c r="J203" s="10" t="str">
        <x:v>Pasta: 0001</x:v>
      </x:c>
      <x:c r="K203" s="10" t="str">
        <x:v>BR-SPCARANDIRU_ARCOENGE-DEMOLICAO-CSDTCARANDIRU_ICO-FOT-DGZ-MB0_0001-006.JPG</x:v>
      </x:c>
      <x:c r="L203"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03" s="10" t="str">
        <x:v>Ampla área externa. Em primeiro plano, lajes de concreto no chão com recortes quadrados e circulares. Uma separação visual é formada por cobertores e tecidos escuros pendurados transversalmente. Atrás dessa barreira, há um grande campo de terra onde diversas pessoas estão distribuídas. A lateral de um pavilhão preenche o canto superior direito.</x:v>
      </x:c>
      <x:c r="N203"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03" s="10" t="str">
        <x:v>Sistema prisional; Arquitetura prisional; Casa de Detenção de São Paulo; Carandiru</x:v>
      </x:c>
      <x:c r="P203" s="10" t="str">
        <x:v>Fotografia (Iconográfico)</x:v>
      </x:c>
      <x:c r="Q203" s="10" t="str">
        <x:v>Digitalização de fotografia colorida (analógica original)</x:v>
      </x:c>
      <x:c r="R203" s="10" t="str">
        <x:v>Figura n – [Área externa com lajes de concreto, varal transversal de cobertores e campo de terra com pessoas distribuídas.] Fonte: ARCOENGE, Sem data.</x:v>
      </x:c>
      <x:c r="S203" s="10" t="str">
        <x:v>ARCOENGE. [Área externa com lajes de concreto, varal transversal de cobertores e campo de terra com pessoas distribuídas.]. São Paulo, Brasil. Sem data sem data Sem data. Fotografia digitalizada; colorida; suporte em papel fotográfico. Disponível em: &lt;link do dataverse&gt;. Acesso em: 25 mai. 2026.</x:v>
      </x:c>
      <x:c r="T203" s="10" t="str">
        <x:v>Este item pertencia à pasta intitulada "fotos escaneadas".</x:v>
      </x:c>
      <x:c r="U203" s="10" t="str">
        <x:v>ICO</x:v>
      </x:c>
      <x:c r="V203" s="10" t="str">
        <x:v>FOT</x:v>
      </x:c>
      <x:c r="W203" s="10" t="str">
        <x:v>DGZ</x:v>
      </x:c>
      <x:c r="X203" s="10" t="str">
        <x:v>MB0</x:v>
      </x:c>
      <x:c r="Y203" s="10" t="str">
        <x:v>BR-SPCARANDIRU_ARCOENGE-DEMOLICAO-CSDTCARANDIRU.xlsx</x:v>
      </x:c>
      <x:c r="Z203" s="10" t="str">
        <x:v>0001</x:v>
      </x:c>
      <x:c r="AA203" s="11" t="n">
        <x:v>7</x:v>
      </x:c>
      <x:c r="AB203" s="10" t="str">
        <x:v>BR-SPCARANDIRU_ARCOENGE-DEMOLICAO-CSDTCARANDIRU.xlsx:0001:7</x:v>
      </x:c>
      <x:c r="AC203" s="11" t="n">
        <x:f>COLUMNS(A203:T203)-COUNTBLANK(A203:T203)</x:f>
        <x:v>20</x:v>
      </x:c>
    </x:row>
    <x:row r="204" ht="48" hidden="0" customHeight="1">
      <x:c r="A204" s="10" t="str">
        <x:v>007</x:v>
      </x:c>
      <x:c r="B204" s="10" t="str">
        <x:v>Pessoa encostada em parapeito diante de amplo pátio de terra e pavilhão retangular ao fundo.</x:v>
      </x:c>
      <x:c r="C204" s="10" t="str">
        <x:v>Item</x:v>
      </x:c>
      <x:c r="D204" s="10" t="str">
        <x:v>Sem data</x:v>
      </x:c>
      <x:c r="E204" s="10" t="str">
        <x:v>Gerado pelo Dataverse</x:v>
      </x:c>
      <x:c r="F204" s="10" t="str">
        <x:v>Fotografia digitalizada; colorida; suporte em papel fotográfico</x:v>
      </x:c>
      <x:c r="G204" s="10" t="str">
        <x:v>São Paulo, Brasil</x:v>
      </x:c>
      <x:c r="H204" s="10" t="str">
        <x:v>Grupo de Pesquisa em Direito e Violência de Estado</x:v>
      </x:c>
      <x:c r="I204" s="10" t="str">
        <x:v>Arcoenge - Demolição - Casa de Detenção do Carandiru (Fotografias)</x:v>
      </x:c>
      <x:c r="J204" s="10" t="str">
        <x:v>Pasta: 0001</x:v>
      </x:c>
      <x:c r="K204" s="10" t="str">
        <x:v>BR-SPCARANDIRU_ARCOENGE-DEMOLICAO-CSDTCARANDIRU_ICO-FOT-DGZ-MB0_0001-007.JPG</x:v>
      </x:c>
      <x:c r="L204"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04" s="10" t="str">
        <x:v>Fotografia horizontal. Em primeiro plano, à direita, parte do braço e tronco de uma pessoa de camisa clara encostada em um parapeito. Ao centro, um amplo pátio liso de terra. Ao fundo, um pavilhão retangular de concreto com fileiras regulares de janelas pequenas.</x:v>
      </x:c>
      <x:c r="N204"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04" s="10" t="str">
        <x:v>Sistema prisional; Arquitetura prisional; Casa de Detenção de São Paulo; Carandiru</x:v>
      </x:c>
      <x:c r="P204" s="10" t="str">
        <x:v>Fotografia (Iconográfico)</x:v>
      </x:c>
      <x:c r="Q204" s="10" t="str">
        <x:v>Digitalização de fotografia colorida (analógica original)</x:v>
      </x:c>
      <x:c r="R204" s="10" t="str">
        <x:v>Figura n – [Pessoa encostada em parapeito diante de amplo pátio de terra e pavilhão retangular ao fundo.] Fonte: ARCOENGE, Sem data.</x:v>
      </x:c>
      <x:c r="S204" s="10" t="str">
        <x:v>ARCOENGE. [Pessoa encostada em parapeito diante de amplo pátio de terra e pavilhão retangular ao fundo.]. São Paulo, Brasil. Sem data sem data Sem data. Fotografia digitalizada; colorida; suporte em papel fotográfico. Disponível em: &lt;link do dataverse&gt;. Acesso em: 25 mai. 2026.</x:v>
      </x:c>
      <x:c r="T204" s="10" t="str">
        <x:v>Este item pertencia à pasta intitulada "fotos escaneadas".</x:v>
      </x:c>
      <x:c r="U204" s="10" t="str">
        <x:v>ICO</x:v>
      </x:c>
      <x:c r="V204" s="10" t="str">
        <x:v>FOT</x:v>
      </x:c>
      <x:c r="W204" s="10" t="str">
        <x:v>DGZ</x:v>
      </x:c>
      <x:c r="X204" s="10" t="str">
        <x:v>MB0</x:v>
      </x:c>
      <x:c r="Y204" s="10" t="str">
        <x:v>BR-SPCARANDIRU_ARCOENGE-DEMOLICAO-CSDTCARANDIRU.xlsx</x:v>
      </x:c>
      <x:c r="Z204" s="10" t="str">
        <x:v>0001</x:v>
      </x:c>
      <x:c r="AA204" s="11" t="n">
        <x:v>8</x:v>
      </x:c>
      <x:c r="AB204" s="10" t="str">
        <x:v>BR-SPCARANDIRU_ARCOENGE-DEMOLICAO-CSDTCARANDIRU.xlsx:0001:8</x:v>
      </x:c>
      <x:c r="AC204" s="11" t="n">
        <x:f>COLUMNS(A204:T204)-COUNTBLANK(A204:T204)</x:f>
        <x:v>20</x:v>
      </x:c>
    </x:row>
    <x:row r="205" ht="48" hidden="0" customHeight="1">
      <x:c r="A205" s="10" t="str">
        <x:v>008</x:v>
      </x:c>
      <x:c r="B205" s="10" t="str">
        <x:v>Pátio de terra dividido por muro baixo, com trave de futebol ao centro e ladeado por dois pavilhões.</x:v>
      </x:c>
      <x:c r="C205" s="10" t="str">
        <x:v>Item</x:v>
      </x:c>
      <x:c r="D205" s="10" t="str">
        <x:v>Sem data</x:v>
      </x:c>
      <x:c r="E205" s="10" t="str">
        <x:v>Gerado pelo Dataverse</x:v>
      </x:c>
      <x:c r="F205" s="10" t="str">
        <x:v>Fotografia digitalizada; colorida; suporte em papel fotográfico</x:v>
      </x:c>
      <x:c r="G205" s="10" t="str">
        <x:v>São Paulo, Brasil</x:v>
      </x:c>
      <x:c r="H205" s="10" t="str">
        <x:v>Grupo de Pesquisa em Direito e Violência de Estado</x:v>
      </x:c>
      <x:c r="I205" s="10" t="str">
        <x:v>Arcoenge - Demolição - Casa de Detenção do Carandiru (Fotografias)</x:v>
      </x:c>
      <x:c r="J205" s="10" t="str">
        <x:v>Pasta: 0001</x:v>
      </x:c>
      <x:c r="K205" s="10" t="str">
        <x:v>BR-SPCARANDIRU_ARCOENGE-DEMOLICAO-CSDTCARANDIRU_ICO-FOT-DGZ-MB0_0001-008.JPG</x:v>
      </x:c>
      <x:c r="L205"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05" s="10" t="str">
        <x:v>Pátio de terra contendo uma trave de futebol metálica no centro. O espaço é ladeado por dois grandes pavilhões de concreto. Há roupas penduradas em várias janelas do prédio à esquerda. Um muro baixo divide horizontalmente o terreno.</x:v>
      </x:c>
      <x:c r="N205"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05" s="10" t="str">
        <x:v>Sistema prisional; Arquitetura prisional; Casa de Detenção de São Paulo; Carandiru</x:v>
      </x:c>
      <x:c r="P205" s="10" t="str">
        <x:v>Fotografia (Iconográfico)</x:v>
      </x:c>
      <x:c r="Q205" s="10" t="str">
        <x:v>Digitalização de fotografia colorida (analógica original)</x:v>
      </x:c>
      <x:c r="R205" s="10" t="str">
        <x:v>Figura n – [Pátio de terra dividido por muro baixo, com trave de futebol ao centro e ladeado por dois pavilhões.] Fonte: ARCOENGE, Sem data.</x:v>
      </x:c>
      <x:c r="S205" s="10" t="str">
        <x:v>ARCOENGE. [Pátio de terra dividido por muro baixo, com trave de futebol ao centro e ladeado por dois pavilhões.]. São Paulo, Brasil. Sem data sem data Sem data. Fotografia digitalizada; colorida; suporte em papel fotográfico. Disponível em: &lt;link do dataverse&gt;. Acesso em: 25 mai. 2026.</x:v>
      </x:c>
      <x:c r="T205" s="10" t="str">
        <x:v>Este item pertencia à pasta intitulada "fotos escaneadas".</x:v>
      </x:c>
      <x:c r="U205" s="10" t="str">
        <x:v>ICO</x:v>
      </x:c>
      <x:c r="V205" s="10" t="str">
        <x:v>FOT</x:v>
      </x:c>
      <x:c r="W205" s="10" t="str">
        <x:v>DGZ</x:v>
      </x:c>
      <x:c r="X205" s="10" t="str">
        <x:v>MB0</x:v>
      </x:c>
      <x:c r="Y205" s="10" t="str">
        <x:v>BR-SPCARANDIRU_ARCOENGE-DEMOLICAO-CSDTCARANDIRU.xlsx</x:v>
      </x:c>
      <x:c r="Z205" s="10" t="str">
        <x:v>0001</x:v>
      </x:c>
      <x:c r="AA205" s="11" t="n">
        <x:v>9</x:v>
      </x:c>
      <x:c r="AB205" s="10" t="str">
        <x:v>BR-SPCARANDIRU_ARCOENGE-DEMOLICAO-CSDTCARANDIRU.xlsx:0001:9</x:v>
      </x:c>
      <x:c r="AC205" s="11" t="n">
        <x:f>COLUMNS(A205:T205)-COUNTBLANK(A205:T205)</x:f>
        <x:v>20</x:v>
      </x:c>
    </x:row>
    <x:row r="206" ht="48" hidden="0" customHeight="1">
      <x:c r="A206" s="10" t="str">
        <x:v>009</x:v>
      </x:c>
      <x:c r="B206" s="10" t="str">
        <x:v>Vista de passarela elevada com pessoa caminhando de costas, pátio com portão verde e torre de vigilância ao fundo.</x:v>
      </x:c>
      <x:c r="C206" s="10" t="str">
        <x:v>Item</x:v>
      </x:c>
      <x:c r="D206" s="10" t="str">
        <x:v>Sem data</x:v>
      </x:c>
      <x:c r="E206" s="10" t="str">
        <x:v>Gerado pelo Dataverse</x:v>
      </x:c>
      <x:c r="F206" s="10" t="str">
        <x:v>Fotografia digitalizada; colorida; suporte em papel fotográfico</x:v>
      </x:c>
      <x:c r="G206" s="10" t="str">
        <x:v>São Paulo, Brasil</x:v>
      </x:c>
      <x:c r="H206" s="10" t="str">
        <x:v>Grupo de Pesquisa em Direito e Violência de Estado</x:v>
      </x:c>
      <x:c r="I206" s="10" t="str">
        <x:v>Arcoenge - Demolição - Casa de Detenção do Carandiru (Fotografias)</x:v>
      </x:c>
      <x:c r="J206" s="10" t="str">
        <x:v>Pasta: 0001</x:v>
      </x:c>
      <x:c r="K206" s="10" t="str">
        <x:v>BR-SPCARANDIRU_ARCOENGE-DEMOLICAO-CSDTCARANDIRU_ICO-FOT-DGZ-MB0_0001-009.JPG</x:v>
      </x:c>
      <x:c r="L206"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06" s="10" t="str">
        <x:v>Vista a partir de uma passarela elevada de concreto. Uma pessoa vestindo camisa clara e calça caminha de costas pela passarela. Abaixo, vê-se um pátio com uma pequena estrutura e um portão verde. Ao fundo, um longo pavilhão e uma torre de vigilância.</x:v>
      </x:c>
      <x:c r="N206"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06" s="10" t="str">
        <x:v>Sistema prisional; Arquitetura prisional; Casa de Detenção de São Paulo; Carandiru</x:v>
      </x:c>
      <x:c r="P206" s="10" t="str">
        <x:v>Fotografia (Iconográfico)</x:v>
      </x:c>
      <x:c r="Q206" s="10" t="str">
        <x:v>Digitalização de fotografia colorida (analógica original)</x:v>
      </x:c>
      <x:c r="R206" s="10" t="str">
        <x:v>Figura n – [Vista de passarela elevada com pessoa caminhando de costas, pátio com portão verde e torre de vigilância ao fundo.] Fonte: ARCOENGE, Sem data.</x:v>
      </x:c>
      <x:c r="S206" s="10" t="str">
        <x:v>ARCOENGE. [Vista de passarela elevada com pessoa caminhando de costas, pátio com portão verde e torre de vigilância ao fundo.]. São Paulo, Brasil. Sem data sem data Sem data. Fotografia digitalizada; colorida; suporte em papel fotográfico. Disponível em: &lt;link do dataverse&gt;. Acesso em: 25 mai. 2026.</x:v>
      </x:c>
      <x:c r="T206" s="10" t="str">
        <x:v>Este item pertencia à pasta intitulada "fotos escaneadas".</x:v>
      </x:c>
      <x:c r="U206" s="10" t="str">
        <x:v>ICO</x:v>
      </x:c>
      <x:c r="V206" s="10" t="str">
        <x:v>FOT</x:v>
      </x:c>
      <x:c r="W206" s="10" t="str">
        <x:v>DGZ</x:v>
      </x:c>
      <x:c r="X206" s="10" t="str">
        <x:v>MB0</x:v>
      </x:c>
      <x:c r="Y206" s="10" t="str">
        <x:v>BR-SPCARANDIRU_ARCOENGE-DEMOLICAO-CSDTCARANDIRU.xlsx</x:v>
      </x:c>
      <x:c r="Z206" s="10" t="str">
        <x:v>0001</x:v>
      </x:c>
      <x:c r="AA206" s="11" t="n">
        <x:v>10</x:v>
      </x:c>
      <x:c r="AB206" s="10" t="str">
        <x:v>BR-SPCARANDIRU_ARCOENGE-DEMOLICAO-CSDTCARANDIRU.xlsx:0001:10</x:v>
      </x:c>
      <x:c r="AC206" s="11" t="n">
        <x:f>COLUMNS(A206:T206)-COUNTBLANK(A206:T206)</x:f>
        <x:v>20</x:v>
      </x:c>
    </x:row>
    <x:row r="207" ht="48" hidden="0" customHeight="1">
      <x:c r="A207" s="10" t="str">
        <x:v>010</x:v>
      </x:c>
      <x:c r="B207" s="10" t="str">
        <x:v>Pátio interno arborizado com van branca estacionada diante de construção térrea e grande pavilhão ao fundo.</x:v>
      </x:c>
      <x:c r="C207" s="10" t="str">
        <x:v>Item</x:v>
      </x:c>
      <x:c r="D207" s="10" t="str">
        <x:v>Sem data</x:v>
      </x:c>
      <x:c r="E207" s="10" t="str">
        <x:v>Gerado pelo Dataverse</x:v>
      </x:c>
      <x:c r="F207" s="10" t="str">
        <x:v>Fotografia digitalizada; colorida; suporte em papel fotográfico</x:v>
      </x:c>
      <x:c r="G207" s="10" t="str">
        <x:v>São Paulo, Brasil</x:v>
      </x:c>
      <x:c r="H207" s="10" t="str">
        <x:v>Grupo de Pesquisa em Direito e Violência de Estado</x:v>
      </x:c>
      <x:c r="I207" s="10" t="str">
        <x:v>Arcoenge - Demolição - Casa de Detenção do Carandiru (Fotografias)</x:v>
      </x:c>
      <x:c r="J207" s="10" t="str">
        <x:v>Pasta: 0001</x:v>
      </x:c>
      <x:c r="K207" s="10" t="str">
        <x:v>BR-SPCARANDIRU_ARCOENGE-DEMOLICAO-CSDTCARANDIRU_ICO-FOT-DGZ-MB0_0001-010.JPG</x:v>
      </x:c>
      <x:c r="L207"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07" s="10" t="str">
        <x:v>Pátio interno. À esquerda, copas de árvores. Ao centro, uma van branca estacionada em frente a uma construção térrea clara (que exibe um mural ou pintura na parede direita). Atrás dessa construção térrea, ergue-se um grande pavilhão de concreto. No limite inferior da foto, nota-se a borda de um telhado de fibrocimento.</x:v>
      </x:c>
      <x:c r="N207"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07" s="10" t="str">
        <x:v>Sistema prisional; Arquitetura prisional; Casa de Detenção de São Paulo; Carandiru</x:v>
      </x:c>
      <x:c r="P207" s="10" t="str">
        <x:v>Fotografia (Iconográfico)</x:v>
      </x:c>
      <x:c r="Q207" s="10" t="str">
        <x:v>Digitalização de fotografia colorida (analógica original)</x:v>
      </x:c>
      <x:c r="R207" s="10" t="str">
        <x:v>Figura n – [Pátio interno arborizado com van branca estacionada diante de construção térrea e grande pavilhão ao fundo.] Fonte: ARCOENGE, Sem data.</x:v>
      </x:c>
      <x:c r="S207" s="10" t="str">
        <x:v>ARCOENGE. [Pátio interno arborizado com van branca estacionada diante de construção térrea e grande pavilhão ao fundo.]. São Paulo, Brasil. Sem data sem data Sem data. Fotografia digitalizada; colorida; suporte em papel fotográfico. Disponível em: &lt;link do dataverse&gt;. Acesso em: 25 mai. 2026.</x:v>
      </x:c>
      <x:c r="T207" s="10" t="str">
        <x:v>Este item pertencia à pasta intitulada "fotos escaneadas".</x:v>
      </x:c>
      <x:c r="U207" s="10" t="str">
        <x:v>ICO</x:v>
      </x:c>
      <x:c r="V207" s="10" t="str">
        <x:v>FOT</x:v>
      </x:c>
      <x:c r="W207" s="10" t="str">
        <x:v>DGZ</x:v>
      </x:c>
      <x:c r="X207" s="10" t="str">
        <x:v>MB0</x:v>
      </x:c>
      <x:c r="Y207" s="10" t="str">
        <x:v>BR-SPCARANDIRU_ARCOENGE-DEMOLICAO-CSDTCARANDIRU.xlsx</x:v>
      </x:c>
      <x:c r="Z207" s="10" t="str">
        <x:v>0001</x:v>
      </x:c>
      <x:c r="AA207" s="11" t="n">
        <x:v>11</x:v>
      </x:c>
      <x:c r="AB207" s="10" t="str">
        <x:v>BR-SPCARANDIRU_ARCOENGE-DEMOLICAO-CSDTCARANDIRU.xlsx:0001:11</x:v>
      </x:c>
      <x:c r="AC207" s="11" t="n">
        <x:f>COLUMNS(A207:T207)-COUNTBLANK(A207:T207)</x:f>
        <x:v>20</x:v>
      </x:c>
    </x:row>
    <x:row r="208" ht="48" hidden="0" customHeight="1">
      <x:c r="A208" s="10" t="str">
        <x:v>011</x:v>
      </x:c>
      <x:c r="B208" s="10" t="str">
        <x:v>Pátio externo subdividido por alambrado, com quadra de terra, aglomeração de pessoas e dois pavilhões ao fundo.</x:v>
      </x:c>
      <x:c r="C208" s="10" t="str">
        <x:v>Item</x:v>
      </x:c>
      <x:c r="D208" s="10" t="str">
        <x:v>Sem data</x:v>
      </x:c>
      <x:c r="E208" s="10" t="str">
        <x:v>Gerado pelo Dataverse</x:v>
      </x:c>
      <x:c r="F208" s="10" t="str">
        <x:v>Fotografia digitalizada; colorida; suporte em papel fotográfico</x:v>
      </x:c>
      <x:c r="G208" s="10" t="str">
        <x:v>São Paulo, Brasil</x:v>
      </x:c>
      <x:c r="H208" s="10" t="str">
        <x:v>Grupo de Pesquisa em Direito e Violência de Estado</x:v>
      </x:c>
      <x:c r="I208" s="10" t="str">
        <x:v>Arcoenge - Demolição - Casa de Detenção do Carandiru (Fotografias)</x:v>
      </x:c>
      <x:c r="J208" s="10" t="str">
        <x:v>Pasta: 0001</x:v>
      </x:c>
      <x:c r="K208" s="10" t="str">
        <x:v>BR-SPCARANDIRU_ARCOENGE-DEMOLICAO-CSDTCARANDIRU_ICO-FOT-DGZ-MB0_0001-011.JPG</x:v>
      </x:c>
      <x:c r="L208"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08" s="10" t="str">
        <x:v>Amplo pátio externo subdividido. Em primeiro plano, à esquerda, uma quadra de terra demarcada por linhas brancas e cercada por alambrado. Atrás do alambrado, uma extensa área de terra abriga dezenas de pessoas espalhadas em meio a pequenas estruturas improvisadas e varais com roupas. Ao fundo, um longo muro escuro divide o terreno, atrás do qual se erguem dois grandes edifícios de concreto (pavilhões) com diversas janelas retangulares. Um alto poste de iluminação ergue-se à direita, com uma torre de vigilância visível ao extremo fundo direito.</x:v>
      </x:c>
      <x:c r="N208"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08" s="10" t="str">
        <x:v>Sistema prisional; Arquitetura prisional; Casa de Detenção de São Paulo; Carandiru</x:v>
      </x:c>
      <x:c r="P208" s="10" t="str">
        <x:v>Fotografia (Iconográfico)</x:v>
      </x:c>
      <x:c r="Q208" s="10" t="str">
        <x:v>Digitalização de fotografia colorida (analógica original)</x:v>
      </x:c>
      <x:c r="R208" s="10" t="str">
        <x:v>Figura n – [Pátio externo subdividido por alambrado, com quadra de terra, aglomeração de pessoas e dois pavilhões ao fundo.] Fonte: ARCOENGE, Sem data.</x:v>
      </x:c>
      <x:c r="S208" s="10" t="str">
        <x:v>ARCOENGE. [Pátio externo subdividido por alambrado, com quadra de terra, aglomeração de pessoas e dois pavilhões ao fundo.]. São Paulo, Brasil. Sem data sem data Sem data. Fotografia digitalizada; colorida; suporte em papel fotográfico. Disponível em: &lt;link do dataverse&gt;. Acesso em: 25 mai. 2026.</x:v>
      </x:c>
      <x:c r="T208" s="10" t="str">
        <x:v>Este item pertencia à pasta intitulada "fotos escaneadas".</x:v>
      </x:c>
      <x:c r="U208" s="10" t="str">
        <x:v>ICO</x:v>
      </x:c>
      <x:c r="V208" s="10" t="str">
        <x:v>FOT</x:v>
      </x:c>
      <x:c r="W208" s="10" t="str">
        <x:v>DGZ</x:v>
      </x:c>
      <x:c r="X208" s="10" t="str">
        <x:v>MB0</x:v>
      </x:c>
      <x:c r="Y208" s="10" t="str">
        <x:v>BR-SPCARANDIRU_ARCOENGE-DEMOLICAO-CSDTCARANDIRU.xlsx</x:v>
      </x:c>
      <x:c r="Z208" s="10" t="str">
        <x:v>0001</x:v>
      </x:c>
      <x:c r="AA208" s="11" t="n">
        <x:v>12</x:v>
      </x:c>
      <x:c r="AB208" s="10" t="str">
        <x:v>BR-SPCARANDIRU_ARCOENGE-DEMOLICAO-CSDTCARANDIRU.xlsx:0001:12</x:v>
      </x:c>
      <x:c r="AC208" s="11" t="n">
        <x:f>COLUMNS(A208:T208)-COUNTBLANK(A208:T208)</x:f>
        <x:v>20</x:v>
      </x:c>
    </x:row>
    <x:row r="209" ht="48" hidden="0" customHeight="1">
      <x:c r="A209" s="10" t="str">
        <x:v>012</x:v>
      </x:c>
      <x:c r="B209" s="10" t="str">
        <x:v>. Amplo campo de terra com pessoas distribuídas pelo espaço, ladeado por muro alto e pavilhão ao fundo.</x:v>
      </x:c>
      <x:c r="C209" s="10" t="str">
        <x:v>Item</x:v>
      </x:c>
      <x:c r="D209" s="10" t="str">
        <x:v>Sem data</x:v>
      </x:c>
      <x:c r="E209" s="10" t="str">
        <x:v>Gerado pelo Dataverse</x:v>
      </x:c>
      <x:c r="F209" s="10" t="str">
        <x:v>Fotografia digitalizada; colorida; suporte em papel fotográfico</x:v>
      </x:c>
      <x:c r="G209" s="10" t="str">
        <x:v>São Paulo, Brasil</x:v>
      </x:c>
      <x:c r="H209" s="10" t="str">
        <x:v>Grupo de Pesquisa em Direito e Violência de Estado</x:v>
      </x:c>
      <x:c r="I209" s="10" t="str">
        <x:v>Arcoenge - Demolição - Casa de Detenção do Carandiru (Fotografias)</x:v>
      </x:c>
      <x:c r="J209" s="10" t="str">
        <x:v>Pasta: 0001</x:v>
      </x:c>
      <x:c r="K209" s="10" t="str">
        <x:v>BR-SPCARANDIRU_ARCOENGE-DEMOLICAO-CSDTCARANDIRU_ICO-FOT-DGZ-MB0_0001-012.JPG</x:v>
      </x:c>
      <x:c r="L209"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09" s="10" t="str">
        <x:v>Amplo campo de terra liso ocupando quase toda a imagem, com diversas pessoas distribuídas pelo espaço, jogando futebol. No canto inferior esquerdo, vê-se parte da estrutura tubular de uma trave esportiva. O campo é delimitado à esquerda e à direita por altos muros escuros contínuos. Ao centro, no fundo do terreno, ergue-se um grande pavilhão retangular de concreto com cinco andares visíveis de janelas, muitas delas exibindo roupas penduradas.</x:v>
      </x:c>
      <x:c r="N209"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09" s="10" t="str">
        <x:v>Sistema prisional; Arquitetura prisional; Casa de Detenção de São Paulo; Carandiru</x:v>
      </x:c>
      <x:c r="P209" s="10" t="str">
        <x:v>Fotografia (Iconográfico)</x:v>
      </x:c>
      <x:c r="Q209" s="10" t="str">
        <x:v>Digitalização de fotografia colorida (analógica original)</x:v>
      </x:c>
      <x:c r="R209" s="10" t="str">
        <x:v>Figura n – [. Amplo campo de terra com pessoas distribuídas pelo espaço, ladeado por muro alto e pavilhão ao fundo.] Fonte: ARCOENGE, Sem data.</x:v>
      </x:c>
      <x:c r="S209" s="10" t="str">
        <x:v>ARCOENGE. [. Amplo campo de terra com pessoas distribuídas pelo espaço, ladeado por muro alto e pavilhão ao fundo.]. São Paulo, Brasil. Sem data sem data Sem data. Fotografia digitalizada; colorida; suporte em papel fotográfico. Disponível em: &lt;link do dataverse&gt;. Acesso em: 25 mai. 2026.</x:v>
      </x:c>
      <x:c r="T209" s="10" t="str">
        <x:v>Este item pertencia à pasta intitulada "fotos escaneadas".</x:v>
      </x:c>
      <x:c r="U209" s="10" t="str">
        <x:v>ICO</x:v>
      </x:c>
      <x:c r="V209" s="10" t="str">
        <x:v>FOT</x:v>
      </x:c>
      <x:c r="W209" s="10" t="str">
        <x:v>DGZ</x:v>
      </x:c>
      <x:c r="X209" s="10" t="str">
        <x:v>MB0</x:v>
      </x:c>
      <x:c r="Y209" s="10" t="str">
        <x:v>BR-SPCARANDIRU_ARCOENGE-DEMOLICAO-CSDTCARANDIRU.xlsx</x:v>
      </x:c>
      <x:c r="Z209" s="10" t="str">
        <x:v>0001</x:v>
      </x:c>
      <x:c r="AA209" s="11" t="n">
        <x:v>13</x:v>
      </x:c>
      <x:c r="AB209" s="10" t="str">
        <x:v>BR-SPCARANDIRU_ARCOENGE-DEMOLICAO-CSDTCARANDIRU.xlsx:0001:13</x:v>
      </x:c>
      <x:c r="AC209" s="11" t="n">
        <x:f>COLUMNS(A209:T209)-COUNTBLANK(A209:T209)</x:f>
        <x:v>20</x:v>
      </x:c>
    </x:row>
    <x:row r="210" ht="48" hidden="0" customHeight="1">
      <x:c r="A210" s="10" t="str">
        <x:v>013</x:v>
      </x:c>
      <x:c r="B210" s="10" t="str">
        <x:v>Fachada de pavilhão e topo de muro com grade em primeiro plano.</x:v>
      </x:c>
      <x:c r="C210" s="10" t="str">
        <x:v>Item</x:v>
      </x:c>
      <x:c r="D210" s="10" t="str">
        <x:v>Sem data</x:v>
      </x:c>
      <x:c r="E210" s="10" t="str">
        <x:v>Gerado pelo Dataverse</x:v>
      </x:c>
      <x:c r="F210" s="10" t="str">
        <x:v>Fotografia digitalizada; colorida; suporte em papel fotográfico</x:v>
      </x:c>
      <x:c r="G210" s="10" t="str">
        <x:v>São Paulo, Brasil</x:v>
      </x:c>
      <x:c r="H210" s="10" t="str">
        <x:v>Grupo de Pesquisa em Direito e Violência de Estado</x:v>
      </x:c>
      <x:c r="I210" s="10" t="str">
        <x:v>Arcoenge - Demolição - Casa de Detenção do Carandiru (Fotografias)</x:v>
      </x:c>
      <x:c r="J210" s="10" t="str">
        <x:v>Pasta: 0001</x:v>
      </x:c>
      <x:c r="K210" s="10" t="str">
        <x:v>BR-SPCARANDIRU_ARCOENGE-DEMOLICAO-CSDTCARANDIRU_ICO-FOT-DGZ-MB0_0001-013.JPG</x:v>
      </x:c>
      <x:c r="L210"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10" s="10" t="str">
        <x:v>Plano fechado focado exclusivamente na fachada de um pavilhão de concreto. Na margem inferior da imagem, cruzando horizontalmente o primeiro plano, nota-se o topo de um muro escuro encimado por uma grade de metal.</x:v>
      </x:c>
      <x:c r="N210"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10" s="10" t="str">
        <x:v>Sistema prisional; Arquitetura prisional; Casa de Detenção de São Paulo; Carandiru</x:v>
      </x:c>
      <x:c r="P210" s="10" t="str">
        <x:v>Fotografia (Iconográfico)</x:v>
      </x:c>
      <x:c r="Q210" s="10" t="str">
        <x:v>Digitalização de fotografia colorida (analógica original)</x:v>
      </x:c>
      <x:c r="R210" s="10" t="str">
        <x:v>Figura n – [Fachada de pavilhão e topo de muro com grade em primeiro plano.] Fonte: ARCOENGE, Sem data.</x:v>
      </x:c>
      <x:c r="S210" s="10" t="str">
        <x:v>ARCOENGE. [Fachada de pavilhão e topo de muro com grade em primeiro plano.]. São Paulo, Brasil. Sem data sem data Sem data. Fotografia digitalizada; colorida; suporte em papel fotográfico. Disponível em: &lt;link do dataverse&gt;. Acesso em: 25 mai. 2026.</x:v>
      </x:c>
      <x:c r="T210" s="10" t="str">
        <x:v>Este item pertencia à pasta intitulada "fotos escaneadas".</x:v>
      </x:c>
      <x:c r="U210" s="10" t="str">
        <x:v>ICO</x:v>
      </x:c>
      <x:c r="V210" s="10" t="str">
        <x:v>FOT</x:v>
      </x:c>
      <x:c r="W210" s="10" t="str">
        <x:v>DGZ</x:v>
      </x:c>
      <x:c r="X210" s="10" t="str">
        <x:v>MB0</x:v>
      </x:c>
      <x:c r="Y210" s="10" t="str">
        <x:v>BR-SPCARANDIRU_ARCOENGE-DEMOLICAO-CSDTCARANDIRU.xlsx</x:v>
      </x:c>
      <x:c r="Z210" s="10" t="str">
        <x:v>0001</x:v>
      </x:c>
      <x:c r="AA210" s="11" t="n">
        <x:v>14</x:v>
      </x:c>
      <x:c r="AB210" s="10" t="str">
        <x:v>BR-SPCARANDIRU_ARCOENGE-DEMOLICAO-CSDTCARANDIRU.xlsx:0001:14</x:v>
      </x:c>
      <x:c r="AC210" s="11" t="n">
        <x:f>COLUMNS(A210:T210)-COUNTBLANK(A210:T210)</x:f>
        <x:v>20</x:v>
      </x:c>
    </x:row>
    <x:row r="211" ht="48" hidden="0" customHeight="1">
      <x:c r="A211" s="10" t="str">
        <x:v>014</x:v>
      </x:c>
      <x:c r="B211" s="10" t="str">
        <x:v>Perspectiva da quina de um grande pavilhão de concreto com roupas estendidas em janelas de cinco andares.</x:v>
      </x:c>
      <x:c r="C211" s="10" t="str">
        <x:v>Item</x:v>
      </x:c>
      <x:c r="D211" s="10" t="str">
        <x:v>Sem data</x:v>
      </x:c>
      <x:c r="E211" s="10" t="str">
        <x:v>Gerado pelo Dataverse</x:v>
      </x:c>
      <x:c r="F211" s="10" t="str">
        <x:v>Fotografia digitalizada; colorida; suporte em papel fotográfico</x:v>
      </x:c>
      <x:c r="G211" s="10" t="str">
        <x:v>São Paulo, Brasil</x:v>
      </x:c>
      <x:c r="H211" s="10" t="str">
        <x:v>Grupo de Pesquisa em Direito e Violência de Estado</x:v>
      </x:c>
      <x:c r="I211" s="10" t="str">
        <x:v>Arcoenge - Demolição - Casa de Detenção do Carandiru (Fotografias)</x:v>
      </x:c>
      <x:c r="J211" s="10" t="str">
        <x:v>Pasta: 0001</x:v>
      </x:c>
      <x:c r="K211" s="10" t="str">
        <x:v>BR-SPCARANDIRU_ARCOENGE-DEMOLICAO-CSDTCARANDIRU_ICO-FOT-DGZ-MB0_0001-014.JPG</x:v>
      </x:c>
      <x:c r="L211"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11" s="10" t="str">
        <x:v>Vista em perspectiva angular destacando a quina de um edifício de concreto de cinco andares. A fachada apresenta uma malha regular de janelas, com uma grande quantidade de roupas brancas e coloridas penduradas para o lado de fora em quase todos os andares. Em primeiro plano, uma faixa estreita de terreno térreo expõe pequenos grupos de pessoas em pé.</x:v>
      </x:c>
      <x:c r="N211"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11" s="10" t="str">
        <x:v>Sistema prisional; Arquitetura prisional; Casa de Detenção de São Paulo; Carandiru</x:v>
      </x:c>
      <x:c r="P211" s="10" t="str">
        <x:v>Fotografia (Iconográfico)</x:v>
      </x:c>
      <x:c r="Q211" s="10" t="str">
        <x:v>Digitalização de fotografia colorida (analógica original)</x:v>
      </x:c>
      <x:c r="R211" s="10" t="str">
        <x:v>Figura n – [Perspectiva da quina de um grande pavilhão de concreto com roupas estendidas em janelas de cinco andares.] Fonte: ARCOENGE, Sem data.</x:v>
      </x:c>
      <x:c r="S211" s="10" t="str">
        <x:v>ARCOENGE. [Perspectiva da quina de um grande pavilhão de concreto com roupas estendidas em janelas de cinco andares.]. São Paulo, Brasil. Sem data sem data Sem data. Fotografia digitalizada; colorida; suporte em papel fotográfico. Disponível em: &lt;link do dataverse&gt;. Acesso em: 25 mai. 2026.</x:v>
      </x:c>
      <x:c r="T211" s="10" t="str">
        <x:v>Este item pertencia à pasta intitulada "fotos escaneadas".</x:v>
      </x:c>
      <x:c r="U211" s="10" t="str">
        <x:v>ICO</x:v>
      </x:c>
      <x:c r="V211" s="10" t="str">
        <x:v>FOT</x:v>
      </x:c>
      <x:c r="W211" s="10" t="str">
        <x:v>DGZ</x:v>
      </x:c>
      <x:c r="X211" s="10" t="str">
        <x:v>MB0</x:v>
      </x:c>
      <x:c r="Y211" s="10" t="str">
        <x:v>BR-SPCARANDIRU_ARCOENGE-DEMOLICAO-CSDTCARANDIRU.xlsx</x:v>
      </x:c>
      <x:c r="Z211" s="10" t="str">
        <x:v>0001</x:v>
      </x:c>
      <x:c r="AA211" s="11" t="n">
        <x:v>15</x:v>
      </x:c>
      <x:c r="AB211" s="10" t="str">
        <x:v>BR-SPCARANDIRU_ARCOENGE-DEMOLICAO-CSDTCARANDIRU.xlsx:0001:15</x:v>
      </x:c>
      <x:c r="AC211" s="11" t="n">
        <x:f>COLUMNS(A211:T211)-COUNTBLANK(A211:T211)</x:f>
        <x:v>20</x:v>
      </x:c>
    </x:row>
    <x:row r="212" ht="48" hidden="0" customHeight="1">
      <x:c r="A212" s="10" t="str">
        <x:v>015</x:v>
      </x:c>
      <x:c r="B212" s="10" t="str">
        <x:v>Passarela elevada de concreto com pessoa caminhando de costas em direção a uma alta torre de vigilância de tijolos.</x:v>
      </x:c>
      <x:c r="C212" s="10" t="str">
        <x:v>Item</x:v>
      </x:c>
      <x:c r="D212" s="10" t="str">
        <x:v>Sem data</x:v>
      </x:c>
      <x:c r="E212" s="10" t="str">
        <x:v>Gerado pelo Dataverse</x:v>
      </x:c>
      <x:c r="F212" s="10" t="str">
        <x:v>Fotografia digitalizada; colorida; suporte em papel fotográfico</x:v>
      </x:c>
      <x:c r="G212" s="10" t="str">
        <x:v>São Paulo, Brasil</x:v>
      </x:c>
      <x:c r="H212" s="10" t="str">
        <x:v>Grupo de Pesquisa em Direito e Violência de Estado</x:v>
      </x:c>
      <x:c r="I212" s="10" t="str">
        <x:v>Arcoenge - Demolição - Casa de Detenção do Carandiru (Fotografias)</x:v>
      </x:c>
      <x:c r="J212" s="10" t="str">
        <x:v>Pasta: 0001</x:v>
      </x:c>
      <x:c r="K212" s="10" t="str">
        <x:v>BR-SPCARANDIRU_ARCOENGE-DEMOLICAO-CSDTCARANDIRU_ICO-FOT-DGZ-MB0_0001-015.JPG</x:v>
      </x:c>
      <x:c r="L212"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12" s="10" t="str">
        <x:v>Imagem capturada de um ponto de vista elevado sobre uma passarela restrita. Uma pessoa de camisa clara de mangas curtas e calça escura caminha de costas pela passarela de concreto, afastando-se da câmera. A passarela é delimitada à esquerda por um muro baixo e conduz a uma alta torre de vigilância ao fundo, que possui base quadrada e cabine superior com grandes janelas. À direita da torre, veem-se densas copas de árvores e, mais ao longe, no horizonte à esquerda, a silhueta de diversos prédios urbanos.</x:v>
      </x:c>
      <x:c r="N212"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12" s="10" t="str">
        <x:v>Sistema prisional; Arquitetura prisional; Casa de Detenção de São Paulo; Carandiru</x:v>
      </x:c>
      <x:c r="P212" s="10" t="str">
        <x:v>Fotografia (Iconográfico)</x:v>
      </x:c>
      <x:c r="Q212" s="10" t="str">
        <x:v>Digitalização de fotografia colorida (analógica original)</x:v>
      </x:c>
      <x:c r="R212" s="10" t="str">
        <x:v>Figura n – [Passarela elevada de concreto com pessoa caminhando de costas em direção a uma alta torre de vigilância de tijolos.] Fonte: ARCOENGE, Sem data.</x:v>
      </x:c>
      <x:c r="S212" s="10" t="str">
        <x:v>ARCOENGE. [Passarela elevada de concreto com pessoa caminhando de costas em direção a uma alta torre de vigilância de tijolos.]. São Paulo, Brasil. Sem data sem data Sem data. Fotografia digitalizada; colorida; suporte em papel fotográfico. Disponível em: &lt;link do dataverse&gt;. Acesso em: 25 mai. 2026.</x:v>
      </x:c>
      <x:c r="T212" s="10" t="str">
        <x:v>Este item pertencia à pasta intitulada "fotos escaneadas".</x:v>
      </x:c>
      <x:c r="U212" s="10" t="str">
        <x:v>ICO</x:v>
      </x:c>
      <x:c r="V212" s="10" t="str">
        <x:v>FOT</x:v>
      </x:c>
      <x:c r="W212" s="10" t="str">
        <x:v>DGZ</x:v>
      </x:c>
      <x:c r="X212" s="10" t="str">
        <x:v>MB0</x:v>
      </x:c>
      <x:c r="Y212" s="10" t="str">
        <x:v>BR-SPCARANDIRU_ARCOENGE-DEMOLICAO-CSDTCARANDIRU.xlsx</x:v>
      </x:c>
      <x:c r="Z212" s="10" t="str">
        <x:v>0001</x:v>
      </x:c>
      <x:c r="AA212" s="11" t="n">
        <x:v>16</x:v>
      </x:c>
      <x:c r="AB212" s="10" t="str">
        <x:v>BR-SPCARANDIRU_ARCOENGE-DEMOLICAO-CSDTCARANDIRU.xlsx:0001:16</x:v>
      </x:c>
      <x:c r="AC212" s="11" t="n">
        <x:f>COLUMNS(A212:T212)-COUNTBLANK(A212:T212)</x:f>
        <x:v>20</x:v>
      </x:c>
    </x:row>
    <x:row r="213" ht="48" hidden="0" customHeight="1">
      <x:c r="A213" s="10" t="str">
        <x:v>016</x:v>
      </x:c>
      <x:c r="B213" s="10" t="str">
        <x:v>Alta torre de água com estrutura central vazada, ladeada por quadra esportiva em primeiro plano e prédios ao fundo.</x:v>
      </x:c>
      <x:c r="C213" s="10" t="str">
        <x:v>Item</x:v>
      </x:c>
      <x:c r="D213" s="10" t="str">
        <x:v>Sem data</x:v>
      </x:c>
      <x:c r="E213" s="10" t="str">
        <x:v>Gerado pelo Dataverse</x:v>
      </x:c>
      <x:c r="F213" s="10" t="str">
        <x:v>Fotografia digitalizada; colorida; suporte em papel fotográfico</x:v>
      </x:c>
      <x:c r="G213" s="10" t="str">
        <x:v>São Paulo, Brasil</x:v>
      </x:c>
      <x:c r="H213" s="10" t="str">
        <x:v>Grupo de Pesquisa em Direito e Violência de Estado</x:v>
      </x:c>
      <x:c r="I213" s="10" t="str">
        <x:v>Arcoenge - Demolição - Casa de Detenção do Carandiru (Fotografias)</x:v>
      </x:c>
      <x:c r="J213" s="10" t="str">
        <x:v>Pasta: 0001</x:v>
      </x:c>
      <x:c r="K213" s="10" t="str">
        <x:v>BR-SPCARANDIRU_ARCOENGE-DEMOLICAO-CSDTCARANDIRU_ICO-FOT-DGZ-MB0_0001-016.JPG</x:v>
      </x:c>
      <x:c r="L213"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13" s="10" t="str">
        <x:v>Destaque central para uma alta torre de água (reservatório). Ela possui uma base cônica de concreto sólido, um corpo cilíndrico aberto formado por uma armação vazada de vigas de concreto, e é finalizada por um grande tanque cilíndrico fechado no topo. Ao redor da torre há um gramado e partes em terra, delimitados por alambrados. No canto inferior esquerdo, aparece a ponta de uma quadra esportiva com uma trave metálica e pessoas ao longe. Ao fundo da estrutura, um longo muro escuro separa a área de contornos de edifícios industriais e urbanos.</x:v>
      </x:c>
      <x:c r="N213"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13" s="10" t="str">
        <x:v>Sistema prisional; Arquitetura prisional; Casa de Detenção de São Paulo; Carandiru</x:v>
      </x:c>
      <x:c r="P213" s="10" t="str">
        <x:v>Fotografia (Iconográfico)</x:v>
      </x:c>
      <x:c r="Q213" s="10" t="str">
        <x:v>Digitalização de fotografia colorida (analógica original)</x:v>
      </x:c>
      <x:c r="R213" s="10" t="str">
        <x:v>Figura n – [Alta torre de água com estrutura central vazada, ladeada por quadra esportiva em primeiro plano e prédios ao fundo.] Fonte: ARCOENGE, Sem data.</x:v>
      </x:c>
      <x:c r="S213" s="10" t="str">
        <x:v>ARCOENGE. [Alta torre de água com estrutura central vazada, ladeada por quadra esportiva em primeiro plano e prédios ao fundo.]. São Paulo, Brasil. Sem data sem data Sem data. Fotografia digitalizada; colorida; suporte em papel fotográfico. Disponível em: &lt;link do dataverse&gt;. Acesso em: 25 mai. 2026.</x:v>
      </x:c>
      <x:c r="T213" s="10" t="str">
        <x:v>Este item pertencia à pasta intitulada "fotos escaneadas".</x:v>
      </x:c>
      <x:c r="U213" s="10" t="str">
        <x:v>ICO</x:v>
      </x:c>
      <x:c r="V213" s="10" t="str">
        <x:v>FOT</x:v>
      </x:c>
      <x:c r="W213" s="10" t="str">
        <x:v>DGZ</x:v>
      </x:c>
      <x:c r="X213" s="10" t="str">
        <x:v>MB0</x:v>
      </x:c>
      <x:c r="Y213" s="10" t="str">
        <x:v>BR-SPCARANDIRU_ARCOENGE-DEMOLICAO-CSDTCARANDIRU.xlsx</x:v>
      </x:c>
      <x:c r="Z213" s="10" t="str">
        <x:v>0001</x:v>
      </x:c>
      <x:c r="AA213" s="11" t="n">
        <x:v>17</x:v>
      </x:c>
      <x:c r="AB213" s="10" t="str">
        <x:v>BR-SPCARANDIRU_ARCOENGE-DEMOLICAO-CSDTCARANDIRU.xlsx:0001:17</x:v>
      </x:c>
      <x:c r="AC213" s="11" t="n">
        <x:f>COLUMNS(A213:T213)-COUNTBLANK(A213:T213)</x:f>
        <x:v>20</x:v>
      </x:c>
    </x:row>
    <x:row r="214" ht="48" hidden="0" customHeight="1">
      <x:c r="A214" s="10" t="str">
        <x:v>017</x:v>
      </x:c>
      <x:c r="B214" s="10" t="str">
        <x:v>Estrutura retangular alongada de concreto em degradação com mato alto em primeiro plano e cortina de árvores atrás.</x:v>
      </x:c>
      <x:c r="C214" s="10" t="str">
        <x:v>Item</x:v>
      </x:c>
      <x:c r="D214" s="10" t="str">
        <x:v>Sem data</x:v>
      </x:c>
      <x:c r="E214" s="10" t="str">
        <x:v>Gerado pelo Dataverse</x:v>
      </x:c>
      <x:c r="F214" s="10" t="str">
        <x:v>Fotografia digitalizada; colorida; suporte em papel fotográfico</x:v>
      </x:c>
      <x:c r="G214" s="10" t="str">
        <x:v>São Paulo, Brasil</x:v>
      </x:c>
      <x:c r="H214" s="10" t="str">
        <x:v>Grupo de Pesquisa em Direito e Violência de Estado</x:v>
      </x:c>
      <x:c r="I214" s="10" t="str">
        <x:v>Arcoenge - Demolição - Casa de Detenção do Carandiru (Fotografias)</x:v>
      </x:c>
      <x:c r="J214" s="10" t="str">
        <x:v>Pasta: 0001</x:v>
      </x:c>
      <x:c r="K214" s="10" t="str">
        <x:v>BR-SPCARANDIRU_ARCOENGE-DEMOLICAO-CSDTCARANDIRU_ICO-FOT-DGZ-MB0_0001-017.JPG</x:v>
      </x:c>
      <x:c r="L214"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14" s="10" t="str">
        <x:v>Fotografia registrando uma longa estrutura de concreto, de um único pavimento, cortando a imagem em diagonal. Em primeiro plano, o terreno é dominado por densa vegetação rasteira e mato alto. Logo atrás do muro da construção em ruínas, ergue-se uma densa cortina de árvores de folhagens verdes.</x:v>
      </x:c>
      <x:c r="N214"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14" s="10" t="str">
        <x:v>Sistema prisional; Arquitetura prisional; Casa de Detenção de São Paulo; Carandiru</x:v>
      </x:c>
      <x:c r="P214" s="10" t="str">
        <x:v>Fotografia (Iconográfico)</x:v>
      </x:c>
      <x:c r="Q214" s="10" t="str">
        <x:v>Digitalização de fotografia colorida (analógica original)</x:v>
      </x:c>
      <x:c r="R214" s="10" t="str">
        <x:v>Figura n – [Estrutura retangular alongada de concreto em degradação com mato alto em primeiro plano e cortina de árvores atrás.] Fonte: ARCOENGE, Sem data.</x:v>
      </x:c>
      <x:c r="S214" s="10" t="str">
        <x:v>ARCOENGE. [Estrutura retangular alongada de concreto em degradação com mato alto em primeiro plano e cortina de árvores atrás.]. São Paulo, Brasil. Sem data sem data Sem data. Fotografia digitalizada; colorida; suporte em papel fotográfico. Disponível em: &lt;link do dataverse&gt;. Acesso em: 25 mai. 2026.</x:v>
      </x:c>
      <x:c r="T214" s="10" t="str">
        <x:v>Este item pertencia à pasta intitulada "fotos escaneadas".</x:v>
      </x:c>
      <x:c r="U214" s="10" t="str">
        <x:v>ICO</x:v>
      </x:c>
      <x:c r="V214" s="10" t="str">
        <x:v>FOT</x:v>
      </x:c>
      <x:c r="W214" s="10" t="str">
        <x:v>DGZ</x:v>
      </x:c>
      <x:c r="X214" s="10" t="str">
        <x:v>MB0</x:v>
      </x:c>
      <x:c r="Y214" s="10" t="str">
        <x:v>BR-SPCARANDIRU_ARCOENGE-DEMOLICAO-CSDTCARANDIRU.xlsx</x:v>
      </x:c>
      <x:c r="Z214" s="10" t="str">
        <x:v>0001</x:v>
      </x:c>
      <x:c r="AA214" s="11" t="n">
        <x:v>18</x:v>
      </x:c>
      <x:c r="AB214" s="10" t="str">
        <x:v>BR-SPCARANDIRU_ARCOENGE-DEMOLICAO-CSDTCARANDIRU.xlsx:0001:18</x:v>
      </x:c>
      <x:c r="AC214" s="11" t="n">
        <x:f>COLUMNS(A214:T214)-COUNTBLANK(A214:T214)</x:f>
        <x:v>20</x:v>
      </x:c>
    </x:row>
    <x:row r="215" ht="48" hidden="0" customHeight="1">
      <x:c r="A215" s="10" t="str">
        <x:v>018</x:v>
      </x:c>
      <x:c r="B215" s="10" t="str">
        <x:v>Vista elevada margeada por estrutura escura à esquerda, mostrando laje, pátio com pessoas e dois pavilhões ao fundo.</x:v>
      </x:c>
      <x:c r="C215" s="10" t="str">
        <x:v>Item</x:v>
      </x:c>
      <x:c r="D215" s="10" t="str">
        <x:v>Sem data</x:v>
      </x:c>
      <x:c r="E215" s="10" t="str">
        <x:v>Gerado pelo Dataverse</x:v>
      </x:c>
      <x:c r="F215" s="10" t="str">
        <x:v>Fotografia digitalizada; colorida; suporte em papel fotográfico</x:v>
      </x:c>
      <x:c r="G215" s="10" t="str">
        <x:v>São Paulo, Brasil</x:v>
      </x:c>
      <x:c r="H215" s="10" t="str">
        <x:v>Grupo de Pesquisa em Direito e Violência de Estado</x:v>
      </x:c>
      <x:c r="I215" s="10" t="str">
        <x:v>Arcoenge - Demolição - Casa de Detenção do Carandiru (Fotografias)</x:v>
      </x:c>
      <x:c r="J215" s="10" t="str">
        <x:v>Pasta: 0001</x:v>
      </x:c>
      <x:c r="K215" s="10" t="str">
        <x:v>BR-SPCARANDIRU_ARCOENGE-DEMOLICAO-CSDTCARANDIRU_ICO-FOT-DGZ-MB0_0001-018.JPG</x:v>
      </x:c>
      <x:c r="L215"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15" s="10" t="str">
        <x:v>Vista superior a partir de um ângulo alto. No extremo esquerdo, no primeiro plano, uma espessa estrutura inclinada de concreto escuro obscurece parte da visão. Logo abaixo, observa-se uma laje clara com aberturas e marcações. Em seguida, um amplo pátio de terra clara exibe dezenas de pessoas reunidas próximas a varais e estruturas improvisadas. Ao fundo da cena, cercados por um extenso muro de divisão vertical, estão as fachadas de dois edifícios de concreto de múltiplos andares, com janelas e roupas penduradas.</x:v>
      </x:c>
      <x:c r="N215"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15" s="10" t="str">
        <x:v>Sistema prisional; Arquitetura prisional; Casa de Detenção de São Paulo; Carandiru</x:v>
      </x:c>
      <x:c r="P215" s="10" t="str">
        <x:v>Fotografia (Iconográfico)</x:v>
      </x:c>
      <x:c r="Q215" s="10" t="str">
        <x:v>Digitalização de fotografia colorida (analógica original)</x:v>
      </x:c>
      <x:c r="R215" s="10" t="str">
        <x:v>Figura n – [Vista elevada margeada por estrutura escura à esquerda, mostrando laje, pátio com pessoas e dois pavilhões ao fundo.] Fonte: ARCOENGE, Sem data.</x:v>
      </x:c>
      <x:c r="S215" s="10" t="str">
        <x:v>ARCOENGE. [Vista elevada margeada por estrutura escura à esquerda, mostrando laje, pátio com pessoas e dois pavilhões ao fundo.]. São Paulo, Brasil. Sem data sem data Sem data. Fotografia digitalizada; colorida; suporte em papel fotográfico. Disponível em: &lt;link do dataverse&gt;. Acesso em: 25 mai. 2026.</x:v>
      </x:c>
      <x:c r="T215" s="10" t="str">
        <x:v>Este item pertencia à pasta intitulada "fotos escaneadas".</x:v>
      </x:c>
      <x:c r="U215" s="10" t="str">
        <x:v>ICO</x:v>
      </x:c>
      <x:c r="V215" s="10" t="str">
        <x:v>FOT</x:v>
      </x:c>
      <x:c r="W215" s="10" t="str">
        <x:v>DGZ</x:v>
      </x:c>
      <x:c r="X215" s="10" t="str">
        <x:v>MB0</x:v>
      </x:c>
      <x:c r="Y215" s="10" t="str">
        <x:v>BR-SPCARANDIRU_ARCOENGE-DEMOLICAO-CSDTCARANDIRU.xlsx</x:v>
      </x:c>
      <x:c r="Z215" s="10" t="str">
        <x:v>0001</x:v>
      </x:c>
      <x:c r="AA215" s="11" t="n">
        <x:v>19</x:v>
      </x:c>
      <x:c r="AB215" s="10" t="str">
        <x:v>BR-SPCARANDIRU_ARCOENGE-DEMOLICAO-CSDTCARANDIRU.xlsx:0001:19</x:v>
      </x:c>
      <x:c r="AC215" s="11" t="n">
        <x:f>COLUMNS(A215:T215)-COUNTBLANK(A215:T215)</x:f>
        <x:v>20</x:v>
      </x:c>
    </x:row>
    <x:row r="216" ht="48" hidden="0" customHeight="1">
      <x:c r="A216" s="10" t="str">
        <x:v>019</x:v>
      </x:c>
      <x:c r="B216" s="10" t="str">
        <x:v>Perspectiva de corredor térreo ladeado por guarda-corpo metálico e grande fachada de pavilhão à direita.</x:v>
      </x:c>
      <x:c r="C216" s="10" t="str">
        <x:v>Item</x:v>
      </x:c>
      <x:c r="D216" s="10" t="str">
        <x:v>Sem data</x:v>
      </x:c>
      <x:c r="E216" s="10" t="str">
        <x:v>Gerado pelo Dataverse</x:v>
      </x:c>
      <x:c r="F216" s="10" t="str">
        <x:v>Fotografia digitalizada; colorida; suporte em papel fotográfico</x:v>
      </x:c>
      <x:c r="G216" s="10" t="str">
        <x:v>São Paulo, Brasil</x:v>
      </x:c>
      <x:c r="H216" s="10" t="str">
        <x:v>Grupo de Pesquisa em Direito e Violência de Estado</x:v>
      </x:c>
      <x:c r="I216" s="10" t="str">
        <x:v>Arcoenge - Demolição - Casa de Detenção do Carandiru (Fotografias)</x:v>
      </x:c>
      <x:c r="J216" s="10" t="str">
        <x:v>Pasta: 0001</x:v>
      </x:c>
      <x:c r="K216" s="10" t="str">
        <x:v>BR-SPCARANDIRU_ARCOENGE-DEMOLICAO-CSDTCARANDIRU_ICO-FOT-DGZ-MB0_0001-019.JPG</x:v>
      </x:c>
      <x:c r="L216"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16" s="10" t="str">
        <x:v>Perspectiva em profundidade acompanhando um corredor estreito e sombreado no nível térreo, visualizado a partir de uma estrutura superior com guarda-corpos metálicos à esquerda. O corredor é flanqueado, do lado direito, pela imensa fachada contínua de um pavilhão com quatro andares de janelas padronizadas (muitas com roupas secando). Abaixo, no chão claro, figuras humanas caminham em direção ao fundo. No limite do ponto de fuga do corredor, recorta-se no céu uma concentração de edifícios verticais de uma área urbana externa.</x:v>
      </x:c>
      <x:c r="N216"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16" s="10" t="str">
        <x:v>Sistema prisional; Arquitetura prisional; Casa de Detenção de São Paulo; Carandiru</x:v>
      </x:c>
      <x:c r="P216" s="10" t="str">
        <x:v>Fotografia (Iconográfico)</x:v>
      </x:c>
      <x:c r="Q216" s="10" t="str">
        <x:v>Digitalização de fotografia colorida (analógica original)</x:v>
      </x:c>
      <x:c r="R216" s="10" t="str">
        <x:v>Figura n – [Perspectiva de corredor térreo ladeado por guarda-corpo metálico e grande fachada de pavilhão à direita.] Fonte: ARCOENGE, Sem data.</x:v>
      </x:c>
      <x:c r="S216" s="10" t="str">
        <x:v>ARCOENGE. [Perspectiva de corredor térreo ladeado por guarda-corpo metálico e grande fachada de pavilhão à direita.]. São Paulo, Brasil. Sem data sem data Sem data. Fotografia digitalizada; colorida; suporte em papel fotográfico. Disponível em: &lt;link do dataverse&gt;. Acesso em: 25 mai. 2026.</x:v>
      </x:c>
      <x:c r="T216" s="10" t="str">
        <x:v>Este item pertencia à pasta intitulada "fotos escaneadas".</x:v>
      </x:c>
      <x:c r="U216" s="10" t="str">
        <x:v>ICO</x:v>
      </x:c>
      <x:c r="V216" s="10" t="str">
        <x:v>FOT</x:v>
      </x:c>
      <x:c r="W216" s="10" t="str">
        <x:v>DGZ</x:v>
      </x:c>
      <x:c r="X216" s="10" t="str">
        <x:v>MB0</x:v>
      </x:c>
      <x:c r="Y216" s="10" t="str">
        <x:v>BR-SPCARANDIRU_ARCOENGE-DEMOLICAO-CSDTCARANDIRU.xlsx</x:v>
      </x:c>
      <x:c r="Z216" s="10" t="str">
        <x:v>0001</x:v>
      </x:c>
      <x:c r="AA216" s="11" t="n">
        <x:v>20</x:v>
      </x:c>
      <x:c r="AB216" s="10" t="str">
        <x:v>BR-SPCARANDIRU_ARCOENGE-DEMOLICAO-CSDTCARANDIRU.xlsx:0001:20</x:v>
      </x:c>
      <x:c r="AC216" s="11" t="n">
        <x:f>COLUMNS(A216:T216)-COUNTBLANK(A216:T216)</x:f>
        <x:v>20</x:v>
      </x:c>
    </x:row>
    <x:row r="217" ht="48" hidden="0" customHeight="1">
      <x:c r="A217" s="10" t="str">
        <x:v>020</x:v>
      </x:c>
      <x:c r="B217" s="10" t="str">
        <x:v>Corredor estreito entre parede de concreto escura à direita e fachada de pavilhão exibindo tecido avermelhado à esquerda.</x:v>
      </x:c>
      <x:c r="C217" s="10" t="str">
        <x:v>Item</x:v>
      </x:c>
      <x:c r="D217" s="10" t="str">
        <x:v>Sem data</x:v>
      </x:c>
      <x:c r="E217" s="10" t="str">
        <x:v>Gerado pelo Dataverse</x:v>
      </x:c>
      <x:c r="F217" s="10" t="str">
        <x:v>Fotografia digitalizada; colorida; suporte em papel fotográfico</x:v>
      </x:c>
      <x:c r="G217" s="10" t="str">
        <x:v>São Paulo, Brasil</x:v>
      </x:c>
      <x:c r="H217" s="10" t="str">
        <x:v>Grupo de Pesquisa em Direito e Violência de Estado</x:v>
      </x:c>
      <x:c r="I217" s="10" t="str">
        <x:v>Arcoenge - Demolição - Casa de Detenção do Carandiru (Fotografias)</x:v>
      </x:c>
      <x:c r="J217" s="10" t="str">
        <x:v>Pasta: 0001</x:v>
      </x:c>
      <x:c r="K217" s="10" t="str">
        <x:v>BR-SPCARANDIRU_ARCOENGE-DEMOLICAO-CSDTCARANDIRU_ICO-FOT-DGZ-MB0_0001-020.JPG</x:v>
      </x:c>
      <x:c r="L217"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17" s="10" t="str">
        <x:v>Cena capturada em um corredor alongado. O lado esquerdo é integralmente preenchido pela lateral vertical de um grande edifício de concreto (pavilhão) com janelas regulares recuadas. Sobressai-se uma grande peça de tecido estampado e avermelhado pendurada na parte central da parede. O lado direito da fotografia é tomado por um pilar ou extremidade de parede espessa de concreto, em primeiro plano, criando uma moldura para o corredor central claro. Pessoas caminham ou permanecem em pé ao longo da via no nível do solo.</x:v>
      </x:c>
      <x:c r="N217"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17" s="10" t="str">
        <x:v>Sistema prisional; Arquitetura prisional; Casa de Detenção de São Paulo; Carandiru</x:v>
      </x:c>
      <x:c r="P217" s="10" t="str">
        <x:v>Fotografia (Iconográfico)</x:v>
      </x:c>
      <x:c r="Q217" s="10" t="str">
        <x:v>Digitalização de fotografia colorida (analógica original)</x:v>
      </x:c>
      <x:c r="R217" s="10" t="str">
        <x:v>Figura n – [Corredor estreito entre parede de concreto escura à direita e fachada de pavilhão exibindo tecido avermelhado à esquerda.] Fonte: ARCOENGE, Sem data.</x:v>
      </x:c>
      <x:c r="S217" s="10" t="str">
        <x:v>ARCOENGE. [Corredor estreito entre parede de concreto escura à direita e fachada de pavilhão exibindo tecido avermelhado à esquerda.]. São Paulo, Brasil. Sem data sem data Sem data. Fotografia digitalizada; colorida; suporte em papel fotográfico. Disponível em: &lt;link do dataverse&gt;. Acesso em: 25 mai. 2026.</x:v>
      </x:c>
      <x:c r="T217" s="10" t="str">
        <x:v>Este item pertencia à pasta intitulada "fotos escaneadas".</x:v>
      </x:c>
      <x:c r="U217" s="10" t="str">
        <x:v>ICO</x:v>
      </x:c>
      <x:c r="V217" s="10" t="str">
        <x:v>FOT</x:v>
      </x:c>
      <x:c r="W217" s="10" t="str">
        <x:v>DGZ</x:v>
      </x:c>
      <x:c r="X217" s="10" t="str">
        <x:v>MB0</x:v>
      </x:c>
      <x:c r="Y217" s="10" t="str">
        <x:v>BR-SPCARANDIRU_ARCOENGE-DEMOLICAO-CSDTCARANDIRU.xlsx</x:v>
      </x:c>
      <x:c r="Z217" s="10" t="str">
        <x:v>0001</x:v>
      </x:c>
      <x:c r="AA217" s="11" t="n">
        <x:v>21</x:v>
      </x:c>
      <x:c r="AB217" s="10" t="str">
        <x:v>BR-SPCARANDIRU_ARCOENGE-DEMOLICAO-CSDTCARANDIRU.xlsx:0001:21</x:v>
      </x:c>
      <x:c r="AC217" s="11" t="n">
        <x:f>COLUMNS(A217:T217)-COUNTBLANK(A217:T217)</x:f>
        <x:v>20</x:v>
      </x:c>
    </x:row>
    <x:row r="218" ht="48" hidden="0" customHeight="1">
      <x:c r="A218" s="10" t="str">
        <x:v>021</x:v>
      </x:c>
      <x:c r="B218" s="10" t="str">
        <x:v>Vista elevada de corredor estreito ladeado por pavilhão e muro alto, com pessoas ao fundo.</x:v>
      </x:c>
      <x:c r="C218" s="10" t="str">
        <x:v>Item</x:v>
      </x:c>
      <x:c r="D218" s="10" t="str">
        <x:v>Sem data</x:v>
      </x:c>
      <x:c r="E218" s="10" t="str">
        <x:v>Gerado pelo Dataverse</x:v>
      </x:c>
      <x:c r="F218" s="10" t="str">
        <x:v>Fotografia digitalizada; colorida; suporte em papel fotográfico</x:v>
      </x:c>
      <x:c r="G218" s="10" t="str">
        <x:v>São Paulo, Brasil</x:v>
      </x:c>
      <x:c r="H218" s="10" t="str">
        <x:v>Grupo de Pesquisa em Direito e Violência de Estado</x:v>
      </x:c>
      <x:c r="I218" s="10" t="str">
        <x:v>Arcoenge - Demolição - Casa de Detenção do Carandiru (Fotografias)</x:v>
      </x:c>
      <x:c r="J218" s="10" t="str">
        <x:v>Pasta: 0001</x:v>
      </x:c>
      <x:c r="K218" s="10" t="str">
        <x:v>BR-SPCARANDIRU_ARCOENGE-DEMOLICAO-CSDTCARANDIRU_ICO-FOT-DGZ-MB0_0001-021.JPG</x:v>
      </x:c>
      <x:c r="L218"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18" s="10" t="str">
        <x:v>Vista em ângulo alto de um longo corredor profundo e estreito. À esquerda, ergue-se a fachada de um imenso pavilhão de concreto com dezenas de janelas retangulares exibindo roupas penduradas. Ao centro, dividindo verticalmente o espaço, há um muro alto e espesso. À direita, projeta-se a sombra escura de outra grande edificação. No fundo do corredor rebaixado, pequenas figuras de pessoas caminham ou permanecem de pé ao longo do trajeto. Ao longe, no ponto de fuga do corredor, veem-se silhuetas de arranha-céus da cidade.</x:v>
      </x:c>
      <x:c r="N218"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18" s="10" t="str">
        <x:v>Sistema prisional; Arquitetura prisional; Casa de Detenção de São Paulo; Carandiru</x:v>
      </x:c>
      <x:c r="P218" s="10" t="str">
        <x:v>Fotografia (Iconográfico)</x:v>
      </x:c>
      <x:c r="Q218" s="10" t="str">
        <x:v>Digitalização de fotografia colorida (analógica original)</x:v>
      </x:c>
      <x:c r="R218" s="10" t="str">
        <x:v>Figura n – [Vista elevada de corredor estreito ladeado por pavilhão e muro alto, com pessoas ao fundo.] Fonte: ARCOENGE, Sem data.</x:v>
      </x:c>
      <x:c r="S218" s="10" t="str">
        <x:v>ARCOENGE. [Vista elevada de corredor estreito ladeado por pavilhão e muro alto, com pessoas ao fundo.]. São Paulo, Brasil. Sem data sem data Sem data. Fotografia digitalizada; colorida; suporte em papel fotográfico. Disponível em: &lt;link do dataverse&gt;. Acesso em: 25 mai. 2026.</x:v>
      </x:c>
      <x:c r="T218" s="10" t="str">
        <x:v>Este item pertencia à pasta intitulada "fotos escaneadas".</x:v>
      </x:c>
      <x:c r="U218" s="10" t="str">
        <x:v>ICO</x:v>
      </x:c>
      <x:c r="V218" s="10" t="str">
        <x:v>FOT</x:v>
      </x:c>
      <x:c r="W218" s="10" t="str">
        <x:v>DGZ</x:v>
      </x:c>
      <x:c r="X218" s="10" t="str">
        <x:v>MB0</x:v>
      </x:c>
      <x:c r="Y218" s="10" t="str">
        <x:v>BR-SPCARANDIRU_ARCOENGE-DEMOLICAO-CSDTCARANDIRU.xlsx</x:v>
      </x:c>
      <x:c r="Z218" s="10" t="str">
        <x:v>0001</x:v>
      </x:c>
      <x:c r="AA218" s="11" t="n">
        <x:v>22</x:v>
      </x:c>
      <x:c r="AB218" s="10" t="str">
        <x:v>BR-SPCARANDIRU_ARCOENGE-DEMOLICAO-CSDTCARANDIRU.xlsx:0001:22</x:v>
      </x:c>
      <x:c r="AC218" s="11" t="n">
        <x:f>COLUMNS(A218:T218)-COUNTBLANK(A218:T218)</x:f>
        <x:v>20</x:v>
      </x:c>
    </x:row>
    <x:row r="219" ht="48" hidden="0" customHeight="1">
      <x:c r="A219" s="10" t="str">
        <x:v>022</x:v>
      </x:c>
      <x:c r="B219" s="10" t="str">
        <x:v>Pátio interno com falhas na grama, flanqueado por pavilhão e guarda-corpo.</x:v>
      </x:c>
      <x:c r="C219" s="10" t="str">
        <x:v>Item</x:v>
      </x:c>
      <x:c r="D219" s="10" t="str">
        <x:v>Sem data</x:v>
      </x:c>
      <x:c r="E219" s="10" t="str">
        <x:v>Gerado pelo Dataverse</x:v>
      </x:c>
      <x:c r="F219" s="10" t="str">
        <x:v>Fotografia digitalizada; colorida; suporte em papel fotográfico</x:v>
      </x:c>
      <x:c r="G219" s="10" t="str">
        <x:v>São Paulo, Brasil</x:v>
      </x:c>
      <x:c r="H219" s="10" t="str">
        <x:v>Grupo de Pesquisa em Direito e Violência de Estado</x:v>
      </x:c>
      <x:c r="I219" s="10" t="str">
        <x:v>Arcoenge - Demolição - Casa de Detenção do Carandiru (Fotografias)</x:v>
      </x:c>
      <x:c r="J219" s="10" t="str">
        <x:v>Pasta: 0001</x:v>
      </x:c>
      <x:c r="K219" s="10" t="str">
        <x:v>BR-SPCARANDIRU_ARCOENGE-DEMOLICAO-CSDTCARANDIRU_ICO-FOT-DGZ-MB0_0001-022.JPG</x:v>
      </x:c>
      <x:c r="L219"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19" s="10" t="str">
        <x:v>Fotografia em plano picado (de cima para baixo) mostrando um pátio interno estreito. À esquerda e ao fundo, dominam as fachadas de um grande pavilhão, com múltiplas janelas quadradas e roupas penduradas. À direita, cruzando a imagem em diagonal, há um guarda-corpo metálico sobre uma estrutura escura. Abaixo, o pátio possui um terreno com falhas na grama, terra aparente, sujeira espalhada e algumas pessoas sentadas ou agachadas junto à base do prédio.</x:v>
      </x:c>
      <x:c r="N219"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19" s="10" t="str">
        <x:v>Sistema prisional; Arquitetura prisional; Casa de Detenção de São Paulo; Carandiru</x:v>
      </x:c>
      <x:c r="P219" s="10" t="str">
        <x:v>Fotografia (Iconográfico)</x:v>
      </x:c>
      <x:c r="Q219" s="10" t="str">
        <x:v>Digitalização de fotografia colorida (analógica original)</x:v>
      </x:c>
      <x:c r="R219" s="10" t="str">
        <x:v>Figura n – [Pátio interno com falhas na grama, flanqueado por pavilhão e guarda-corpo.] Fonte: ARCOENGE, Sem data.</x:v>
      </x:c>
      <x:c r="S219" s="10" t="str">
        <x:v>ARCOENGE. [Pátio interno com falhas na grama, flanqueado por pavilhão e guarda-corpo.]. São Paulo, Brasil. Sem data sem data Sem data. Fotografia digitalizada; colorida; suporte em papel fotográfico. Disponível em: &lt;link do dataverse&gt;. Acesso em: 25 mai. 2026.</x:v>
      </x:c>
      <x:c r="T219" s="10" t="str">
        <x:v>Este item pertencia à pasta intitulada "fotos escaneadas".</x:v>
      </x:c>
      <x:c r="U219" s="10" t="str">
        <x:v>ICO</x:v>
      </x:c>
      <x:c r="V219" s="10" t="str">
        <x:v>FOT</x:v>
      </x:c>
      <x:c r="W219" s="10" t="str">
        <x:v>DGZ</x:v>
      </x:c>
      <x:c r="X219" s="10" t="str">
        <x:v>MB0</x:v>
      </x:c>
      <x:c r="Y219" s="10" t="str">
        <x:v>BR-SPCARANDIRU_ARCOENGE-DEMOLICAO-CSDTCARANDIRU.xlsx</x:v>
      </x:c>
      <x:c r="Z219" s="10" t="str">
        <x:v>0001</x:v>
      </x:c>
      <x:c r="AA219" s="11" t="n">
        <x:v>23</x:v>
      </x:c>
      <x:c r="AB219" s="10" t="str">
        <x:v>BR-SPCARANDIRU_ARCOENGE-DEMOLICAO-CSDTCARANDIRU.xlsx:0001:23</x:v>
      </x:c>
      <x:c r="AC219" s="11" t="n">
        <x:f>COLUMNS(A219:T219)-COUNTBLANK(A219:T219)</x:f>
        <x:v>20</x:v>
      </x:c>
    </x:row>
    <x:row r="220" ht="48" hidden="0" customHeight="1">
      <x:c r="A220" s="10" t="str">
        <x:v>023</x:v>
      </x:c>
      <x:c r="B220" s="10" t="str">
        <x:v>Campo de terra com pessoas, dividido por muro longo, com dois pavilhões ao fundo.</x:v>
      </x:c>
      <x:c r="C220" s="10" t="str">
        <x:v>Item</x:v>
      </x:c>
      <x:c r="D220" s="10" t="str">
        <x:v>Sem data</x:v>
      </x:c>
      <x:c r="E220" s="10" t="str">
        <x:v>Gerado pelo Dataverse</x:v>
      </x:c>
      <x:c r="F220" s="10" t="str">
        <x:v>Fotografia digitalizada; colorida; suporte em papel fotográfico</x:v>
      </x:c>
      <x:c r="G220" s="10" t="str">
        <x:v>São Paulo, Brasil</x:v>
      </x:c>
      <x:c r="H220" s="10" t="str">
        <x:v>Grupo de Pesquisa em Direito e Violência de Estado</x:v>
      </x:c>
      <x:c r="I220" s="10" t="str">
        <x:v>Arcoenge - Demolição - Casa de Detenção do Carandiru (Fotografias)</x:v>
      </x:c>
      <x:c r="J220" s="10" t="str">
        <x:v>Pasta: 0001</x:v>
      </x:c>
      <x:c r="K220" s="10" t="str">
        <x:v>BR-SPCARANDIRU_ARCOENGE-DEMOLICAO-CSDTCARANDIRU_ICO-FOT-DGZ-MB0_0001-023.JPG</x:v>
      </x:c>
      <x:c r="L220"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20" s="10" t="str">
        <x:v>Ampla visão de um campo de terra batida, iluminado pelo sol. Diversas pessoas estão espalhadas pelo espaço amplo, algumas agrupadas, outras sozinhas. Um longo muro de base clara e topo escuro cruza horizontalmente o meio da imagem, separando o campo. Atrás do muro, erguem-se simetricamente dois grandes edifícios retangulares de concreto (pavilhões) com cinco andares de janelas pequenas, a maioria exibindo roupas estendidas.</x:v>
      </x:c>
      <x:c r="N220"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20" s="10" t="str">
        <x:v>Sistema prisional; Arquitetura prisional; Casa de Detenção de São Paulo; Carandiru</x:v>
      </x:c>
      <x:c r="P220" s="10" t="str">
        <x:v>Fotografia (Iconográfico)</x:v>
      </x:c>
      <x:c r="Q220" s="10" t="str">
        <x:v>Digitalização de fotografia colorida (analógica original)</x:v>
      </x:c>
      <x:c r="R220" s="10" t="str">
        <x:v>Figura n – [Campo de terra com pessoas, dividido por muro longo, com dois pavilhões ao fundo.] Fonte: ARCOENGE, Sem data.</x:v>
      </x:c>
      <x:c r="S220" s="10" t="str">
        <x:v>ARCOENGE. [Campo de terra com pessoas, dividido por muro longo, com dois pavilhões ao fundo.]. São Paulo, Brasil. Sem data sem data Sem data. Fotografia digitalizada; colorida; suporte em papel fotográfico. Disponível em: &lt;link do dataverse&gt;. Acesso em: 25 mai. 2026.</x:v>
      </x:c>
      <x:c r="T220" s="10" t="str">
        <x:v>Este item pertencia à pasta intitulada "fotos escaneadas".</x:v>
      </x:c>
      <x:c r="U220" s="10" t="str">
        <x:v>ICO</x:v>
      </x:c>
      <x:c r="V220" s="10" t="str">
        <x:v>FOT</x:v>
      </x:c>
      <x:c r="W220" s="10" t="str">
        <x:v>DGZ</x:v>
      </x:c>
      <x:c r="X220" s="10" t="str">
        <x:v>MB0</x:v>
      </x:c>
      <x:c r="Y220" s="10" t="str">
        <x:v>BR-SPCARANDIRU_ARCOENGE-DEMOLICAO-CSDTCARANDIRU.xlsx</x:v>
      </x:c>
      <x:c r="Z220" s="10" t="str">
        <x:v>0001</x:v>
      </x:c>
      <x:c r="AA220" s="11" t="n">
        <x:v>24</x:v>
      </x:c>
      <x:c r="AB220" s="10" t="str">
        <x:v>BR-SPCARANDIRU_ARCOENGE-DEMOLICAO-CSDTCARANDIRU.xlsx:0001:24</x:v>
      </x:c>
      <x:c r="AC220" s="11" t="n">
        <x:f>COLUMNS(A220:T220)-COUNTBLANK(A220:T220)</x:f>
        <x:v>20</x:v>
      </x:c>
    </x:row>
    <x:row r="221" ht="48" hidden="0" customHeight="1">
      <x:c r="A221" s="10" t="str">
        <x:v>024</x:v>
      </x:c>
      <x:c r="B221" s="10" t="str">
        <x:v>Vista elevada atrás de grade metálica mostrando terreno irregular, pavilhão extenso e prédios urbanos.</x:v>
      </x:c>
      <x:c r="C221" s="10" t="str">
        <x:v>Item</x:v>
      </x:c>
      <x:c r="D221" s="10" t="str">
        <x:v>Sem data</x:v>
      </x:c>
      <x:c r="E221" s="10" t="str">
        <x:v>Gerado pelo Dataverse</x:v>
      </x:c>
      <x:c r="F221" s="10" t="str">
        <x:v>Fotografia digitalizada; colorida; suporte em papel fotográfico</x:v>
      </x:c>
      <x:c r="G221" s="10" t="str">
        <x:v>São Paulo, Brasil</x:v>
      </x:c>
      <x:c r="H221" s="10" t="str">
        <x:v>Grupo de Pesquisa em Direito e Violência de Estado</x:v>
      </x:c>
      <x:c r="I221" s="10" t="str">
        <x:v>Arcoenge - Demolição - Casa de Detenção do Carandiru (Fotografias)</x:v>
      </x:c>
      <x:c r="J221" s="10" t="str">
        <x:v>Pasta: 0001</x:v>
      </x:c>
      <x:c r="K221" s="10" t="str">
        <x:v>BR-SPCARANDIRU_ARCOENGE-DEMOLICAO-CSDTCARANDIRU_ICO-FOT-DGZ-MB0_0001-024.JPG</x:v>
      </x:c>
      <x:c r="L221"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21" s="10" t="str">
        <x:v>Vista a partir de uma área coberta e elevada, evidenciada por uma pilastra espessa e teto escuros que formam uma moldura à direita, além de um guarda-corpo tubular metálico cruzando o primeiro plano. Abaixo, estende-se um grande terreno rústico com capim irregular e dezenas de pessoas espalhadas. Ao fundo, dominando a cena, um extenso pavilhão de concreto com fileiras contínuas de janelas e muitas roupas secando. No horizonte, por trás do pavilhão, avistam-se arranha-céus do tecido urbano.</x:v>
      </x:c>
      <x:c r="N221"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21" s="10" t="str">
        <x:v>Sistema prisional; Arquitetura prisional; Casa de Detenção de São Paulo; Carandiru</x:v>
      </x:c>
      <x:c r="P221" s="10" t="str">
        <x:v>Fotografia (Iconográfico)</x:v>
      </x:c>
      <x:c r="Q221" s="10" t="str">
        <x:v>Digitalização de fotografia colorida (analógica original)</x:v>
      </x:c>
      <x:c r="R221" s="10" t="str">
        <x:v>Figura n – [Vista elevada atrás de grade metálica mostrando terreno irregular, pavilhão extenso e prédios urbanos.] Fonte: ARCOENGE, Sem data.</x:v>
      </x:c>
      <x:c r="S221" s="10" t="str">
        <x:v>ARCOENGE. [Vista elevada atrás de grade metálica mostrando terreno irregular, pavilhão extenso e prédios urbanos.]. São Paulo, Brasil. Sem data sem data Sem data. Fotografia digitalizada; colorida; suporte em papel fotográfico. Disponível em: &lt;link do dataverse&gt;. Acesso em: 25 mai. 2026.</x:v>
      </x:c>
      <x:c r="T221" s="10" t="str">
        <x:v>Este item pertencia à pasta intitulada "fotos escaneadas".</x:v>
      </x:c>
      <x:c r="U221" s="10" t="str">
        <x:v>ICO</x:v>
      </x:c>
      <x:c r="V221" s="10" t="str">
        <x:v>FOT</x:v>
      </x:c>
      <x:c r="W221" s="10" t="str">
        <x:v>DGZ</x:v>
      </x:c>
      <x:c r="X221" s="10" t="str">
        <x:v>MB0</x:v>
      </x:c>
      <x:c r="Y221" s="10" t="str">
        <x:v>BR-SPCARANDIRU_ARCOENGE-DEMOLICAO-CSDTCARANDIRU.xlsx</x:v>
      </x:c>
      <x:c r="Z221" s="10" t="str">
        <x:v>0001</x:v>
      </x:c>
      <x:c r="AA221" s="11" t="n">
        <x:v>25</x:v>
      </x:c>
      <x:c r="AB221" s="10" t="str">
        <x:v>BR-SPCARANDIRU_ARCOENGE-DEMOLICAO-CSDTCARANDIRU.xlsx:0001:25</x:v>
      </x:c>
      <x:c r="AC221" s="11" t="n">
        <x:f>COLUMNS(A221:T221)-COUNTBLANK(A221:T221)</x:f>
        <x:v>20</x:v>
      </x:c>
    </x:row>
    <x:row r="222" ht="48" hidden="0" customHeight="1">
      <x:c r="A222" s="10" t="str">
        <x:v>025</x:v>
      </x:c>
      <x:c r="B222" s="10" t="str">
        <x:v>Perspectiva de pátio a partir de passarela com grade, exibindo pavilhão e horizonte da cidade.</x:v>
      </x:c>
      <x:c r="C222" s="10" t="str">
        <x:v>Item</x:v>
      </x:c>
      <x:c r="D222" s="10" t="str">
        <x:v>Sem data</x:v>
      </x:c>
      <x:c r="E222" s="10" t="str">
        <x:v>Gerado pelo Dataverse</x:v>
      </x:c>
      <x:c r="F222" s="10" t="str">
        <x:v>Fotografia digitalizada; colorida; suporte em papel fotográfico</x:v>
      </x:c>
      <x:c r="G222" s="10" t="str">
        <x:v>São Paulo, Brasil</x:v>
      </x:c>
      <x:c r="H222" s="10" t="str">
        <x:v>Grupo de Pesquisa em Direito e Violência de Estado</x:v>
      </x:c>
      <x:c r="I222" s="10" t="str">
        <x:v>Arcoenge - Demolição - Casa de Detenção do Carandiru (Fotografias)</x:v>
      </x:c>
      <x:c r="J222" s="10" t="str">
        <x:v>Pasta: 0001</x:v>
      </x:c>
      <x:c r="K222" s="10" t="str">
        <x:v>BR-SPCARANDIRU_ARCOENGE-DEMOLICAO-CSDTCARANDIRU_ICO-FOT-DGZ-MB0_0001-025.JPG</x:v>
      </x:c>
      <x:c r="L222"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22" s="10" t="str">
        <x:v>Composição e ângulo quase idênticos à foto 024. Ponto de vista elevado, resguardado por uma grade metálica de duas barras. Abaixo, um grande pátio de terra e mato ralo com vários grupos de pessoas em escala miúda. Ao fundo, estende-se o mesmo imenso pavilhão de concreto de múltiplos andares, marcado pelas roupas penduradas nas janelas. O horizonte à direita exibe nitidamente um aglomerado de altos edifícios urbanos sob um céu claro.</x:v>
      </x:c>
      <x:c r="N222"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22" s="10" t="str">
        <x:v>Sistema prisional; Arquitetura prisional; Casa de Detenção de São Paulo; Carandiru</x:v>
      </x:c>
      <x:c r="P222" s="10" t="str">
        <x:v>Fotografia (Iconográfico)</x:v>
      </x:c>
      <x:c r="Q222" s="10" t="str">
        <x:v>Digitalização de fotografia colorida (analógica original)</x:v>
      </x:c>
      <x:c r="R222" s="10" t="str">
        <x:v>Figura n – [Perspectiva de pátio a partir de passarela com grade, exibindo pavilhão e horizonte da cidade.] Fonte: ARCOENGE, Sem data.</x:v>
      </x:c>
      <x:c r="S222" s="10" t="str">
        <x:v>ARCOENGE. [Perspectiva de pátio a partir de passarela com grade, exibindo pavilhão e horizonte da cidade.]. São Paulo, Brasil. Sem data sem data Sem data. Fotografia digitalizada; colorida; suporte em papel fotográfico. Disponível em: &lt;link do dataverse&gt;. Acesso em: 25 mai. 2026.</x:v>
      </x:c>
      <x:c r="T222" s="10" t="str">
        <x:v>Este item pertencia à pasta intitulada "fotos escaneadas".</x:v>
      </x:c>
      <x:c r="U222" s="10" t="str">
        <x:v>ICO</x:v>
      </x:c>
      <x:c r="V222" s="10" t="str">
        <x:v>FOT</x:v>
      </x:c>
      <x:c r="W222" s="10" t="str">
        <x:v>DGZ</x:v>
      </x:c>
      <x:c r="X222" s="10" t="str">
        <x:v>MB0</x:v>
      </x:c>
      <x:c r="Y222" s="10" t="str">
        <x:v>BR-SPCARANDIRU_ARCOENGE-DEMOLICAO-CSDTCARANDIRU.xlsx</x:v>
      </x:c>
      <x:c r="Z222" s="10" t="str">
        <x:v>0001</x:v>
      </x:c>
      <x:c r="AA222" s="11" t="n">
        <x:v>26</x:v>
      </x:c>
      <x:c r="AB222" s="10" t="str">
        <x:v>BR-SPCARANDIRU_ARCOENGE-DEMOLICAO-CSDTCARANDIRU.xlsx:0001:26</x:v>
      </x:c>
      <x:c r="AC222" s="11" t="n">
        <x:f>COLUMNS(A222:T222)-COUNTBLANK(A222:T222)</x:f>
        <x:v>20</x:v>
      </x:c>
    </x:row>
    <x:row r="223" ht="48" hidden="0" customHeight="1">
      <x:c r="A223" s="10" t="str">
        <x:v>026</x:v>
      </x:c>
      <x:c r="B223" s="10" t="str">
        <x:v>Edifícios de concreto cru com vãos vazios, isolados por muro e ladeados por mato alto.</x:v>
      </x:c>
      <x:c r="C223" s="10" t="str">
        <x:v>Item</x:v>
      </x:c>
      <x:c r="D223" s="10" t="str">
        <x:v>Sem data</x:v>
      </x:c>
      <x:c r="E223" s="10" t="str">
        <x:v>Gerado pelo Dataverse</x:v>
      </x:c>
      <x:c r="F223" s="10" t="str">
        <x:v>Fotografia digitalizada; colorida; suporte em papel fotográfico</x:v>
      </x:c>
      <x:c r="G223" s="10" t="str">
        <x:v>São Paulo, Brasil</x:v>
      </x:c>
      <x:c r="H223" s="10" t="str">
        <x:v>Grupo de Pesquisa em Direito e Violência de Estado</x:v>
      </x:c>
      <x:c r="I223" s="10" t="str">
        <x:v>Arcoenge - Demolição - Casa de Detenção do Carandiru (Fotografias)</x:v>
      </x:c>
      <x:c r="J223" s="10" t="str">
        <x:v>Pasta: 0001</x:v>
      </x:c>
      <x:c r="K223" s="10" t="str">
        <x:v>BR-SPCARANDIRU_ARCOENGE-DEMOLICAO-CSDTCARANDIRU_ICO-FOT-DGZ-MB0_0001-026.JPG</x:v>
      </x:c>
      <x:c r="L223"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23" s="10" t="str">
        <x:v>Paisagem com vegetação rasteira e mato alto dominando o primeiro plano. Atrás de um muro texturizado que cruza o terreno, erguem-se dois blocos retangulares de concreto cru, desprovidos de acabamento. Em vez de janelas, os edifícios possuem grandes vãos escuros abertos e retangulares, aparentando ser construções inacabadas ou em abandono. Árvores e arbustos ladeiam as estruturas de concreto sob um céu liso.</x:v>
      </x:c>
      <x:c r="N223"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23" s="10" t="str">
        <x:v>Sistema prisional; Arquitetura prisional; Casa de Detenção de São Paulo; Carandiru</x:v>
      </x:c>
      <x:c r="P223" s="10" t="str">
        <x:v>Fotografia (Iconográfico)</x:v>
      </x:c>
      <x:c r="Q223" s="10" t="str">
        <x:v>Digitalização de fotografia colorida (analógica original)</x:v>
      </x:c>
      <x:c r="R223" s="10" t="str">
        <x:v>Figura n – [Edifícios de concreto cru com vãos vazios, isolados por muro e ladeados por mato alto.] Fonte: ARCOENGE, Sem data.</x:v>
      </x:c>
      <x:c r="S223" s="10" t="str">
        <x:v>ARCOENGE. [Edifícios de concreto cru com vãos vazios, isolados por muro e ladeados por mato alto.]. São Paulo, Brasil. Sem data sem data Sem data. Fotografia digitalizada; colorida; suporte em papel fotográfico. Disponível em: &lt;link do dataverse&gt;. Acesso em: 25 mai. 2026.</x:v>
      </x:c>
      <x:c r="T223" s="10" t="str">
        <x:v>Este item pertencia à pasta intitulada "fotos escaneadas".</x:v>
      </x:c>
      <x:c r="U223" s="10" t="str">
        <x:v>ICO</x:v>
      </x:c>
      <x:c r="V223" s="10" t="str">
        <x:v>FOT</x:v>
      </x:c>
      <x:c r="W223" s="10" t="str">
        <x:v>DGZ</x:v>
      </x:c>
      <x:c r="X223" s="10" t="str">
        <x:v>MB0</x:v>
      </x:c>
      <x:c r="Y223" s="10" t="str">
        <x:v>BR-SPCARANDIRU_ARCOENGE-DEMOLICAO-CSDTCARANDIRU.xlsx</x:v>
      </x:c>
      <x:c r="Z223" s="10" t="str">
        <x:v>0001</x:v>
      </x:c>
      <x:c r="AA223" s="11" t="n">
        <x:v>27</x:v>
      </x:c>
      <x:c r="AB223" s="10" t="str">
        <x:v>BR-SPCARANDIRU_ARCOENGE-DEMOLICAO-CSDTCARANDIRU.xlsx:0001:27</x:v>
      </x:c>
      <x:c r="AC223" s="11" t="n">
        <x:f>COLUMNS(A223:T223)-COUNTBLANK(A223:T223)</x:f>
        <x:v>20</x:v>
      </x:c>
    </x:row>
    <x:row r="224" ht="48" hidden="0" customHeight="1">
      <x:c r="A224" s="10" t="str">
        <x:v>027</x:v>
      </x:c>
      <x:c r="B224" s="10" t="str">
        <x:v>Bloco maciço de concreto com aberturas sem esquadrias, cercado por vegetação rasteira e arbustos.</x:v>
      </x:c>
      <x:c r="C224" s="10" t="str">
        <x:v>Item</x:v>
      </x:c>
      <x:c r="D224" s="10" t="str">
        <x:v>Sem data</x:v>
      </x:c>
      <x:c r="E224" s="10" t="str">
        <x:v>Gerado pelo Dataverse</x:v>
      </x:c>
      <x:c r="F224" s="10" t="str">
        <x:v>Fotografia digitalizada; colorida; suporte em papel fotográfico</x:v>
      </x:c>
      <x:c r="G224" s="10" t="str">
        <x:v>São Paulo, Brasil</x:v>
      </x:c>
      <x:c r="H224" s="10" t="str">
        <x:v>Grupo de Pesquisa em Direito e Violência de Estado</x:v>
      </x:c>
      <x:c r="I224" s="10" t="str">
        <x:v>Arcoenge - Demolição - Casa de Detenção do Carandiru (Fotografias)</x:v>
      </x:c>
      <x:c r="J224" s="10" t="str">
        <x:v>Pasta: 0001</x:v>
      </x:c>
      <x:c r="K224" s="10" t="str">
        <x:v>BR-SPCARANDIRU_ARCOENGE-DEMOLICAO-CSDTCARANDIRU_ICO-FOT-DGZ-MB0_0001-027.JPG</x:v>
      </x:c>
      <x:c r="L224"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24" s="10" t="str">
        <x:v>Terreno coberto por terra e arbustos secos em primeiro plano, com uma pequena árvore de galhos finos isolada no lado direito. Ao fundo, destaca-se um longo e maciço bloco de concreto com dois pavimentos de aberturas retangulares simétricas e totalmente vazias, sem esquadrias.</x:v>
      </x:c>
      <x:c r="N224"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24" s="10" t="str">
        <x:v>Sistema prisional; Arquitetura prisional; Casa de Detenção de São Paulo; Carandiru</x:v>
      </x:c>
      <x:c r="P224" s="10" t="str">
        <x:v>Fotografia (Iconográfico)</x:v>
      </x:c>
      <x:c r="Q224" s="10" t="str">
        <x:v>Digitalização de fotografia colorida (analógica original)</x:v>
      </x:c>
      <x:c r="R224" s="10" t="str">
        <x:v>Figura n – [Bloco maciço de concreto com aberturas sem esquadrias, cercado por vegetação rasteira e arbustos.] Fonte: ARCOENGE, Sem data.</x:v>
      </x:c>
      <x:c r="S224" s="10" t="str">
        <x:v>ARCOENGE. [Bloco maciço de concreto com aberturas sem esquadrias, cercado por vegetação rasteira e arbustos.]. São Paulo, Brasil. Sem data sem data Sem data. Fotografia digitalizada; colorida; suporte em papel fotográfico. Disponível em: &lt;link do dataverse&gt;. Acesso em: 25 mai. 2026.</x:v>
      </x:c>
      <x:c r="T224" s="10" t="str">
        <x:v>Este item pertencia à pasta intitulada "fotos escaneadas".</x:v>
      </x:c>
      <x:c r="U224" s="10" t="str">
        <x:v>ICO</x:v>
      </x:c>
      <x:c r="V224" s="10" t="str">
        <x:v>FOT</x:v>
      </x:c>
      <x:c r="W224" s="10" t="str">
        <x:v>DGZ</x:v>
      </x:c>
      <x:c r="X224" s="10" t="str">
        <x:v>MB0</x:v>
      </x:c>
      <x:c r="Y224" s="10" t="str">
        <x:v>BR-SPCARANDIRU_ARCOENGE-DEMOLICAO-CSDTCARANDIRU.xlsx</x:v>
      </x:c>
      <x:c r="Z224" s="10" t="str">
        <x:v>0001</x:v>
      </x:c>
      <x:c r="AA224" s="11" t="n">
        <x:v>28</x:v>
      </x:c>
      <x:c r="AB224" s="10" t="str">
        <x:v>BR-SPCARANDIRU_ARCOENGE-DEMOLICAO-CSDTCARANDIRU.xlsx:0001:28</x:v>
      </x:c>
      <x:c r="AC224" s="11" t="n">
        <x:f>COLUMNS(A224:T224)-COUNTBLANK(A224:T224)</x:f>
        <x:v>20</x:v>
      </x:c>
    </x:row>
    <x:row r="225" ht="48" hidden="0" customHeight="1">
      <x:c r="A225" s="10" t="str">
        <x:v>028</x:v>
      </x:c>
      <x:c r="B225" s="10" t="str">
        <x:v>Fachada de prédio em concreto bruto com vão livre no térreo, ladeada por arbustos e galhos secos.</x:v>
      </x:c>
      <x:c r="C225" s="10" t="str">
        <x:v>Item</x:v>
      </x:c>
      <x:c r="D225" s="10" t="str">
        <x:v>Sem data</x:v>
      </x:c>
      <x:c r="E225" s="10" t="str">
        <x:v>Gerado pelo Dataverse</x:v>
      </x:c>
      <x:c r="F225" s="10" t="str">
        <x:v>Fotografia digitalizada; colorida; suporte em papel fotográfico</x:v>
      </x:c>
      <x:c r="G225" s="10" t="str">
        <x:v>São Paulo, Brasil</x:v>
      </x:c>
      <x:c r="H225" s="10" t="str">
        <x:v>Grupo de Pesquisa em Direito e Violência de Estado</x:v>
      </x:c>
      <x:c r="I225" s="10" t="str">
        <x:v>Arcoenge - Demolição - Casa de Detenção do Carandiru (Fotografias)</x:v>
      </x:c>
      <x:c r="J225" s="10" t="str">
        <x:v>Pasta: 0001</x:v>
      </x:c>
      <x:c r="K225" s="10" t="str">
        <x:v>BR-SPCARANDIRU_ARCOENGE-DEMOLICAO-CSDTCARANDIRU_ICO-FOT-DGZ-MB0_0001-028.JPG</x:v>
      </x:c>
      <x:c r="L225"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25" s="10" t="str">
        <x:v>Plano mais fechado da fachada de um edifício de concreto bruto e aspecto rústico, com dezenas de aberturas retangulares escuras dispostas de maneira uniforme em três andares. O andar térreo não possui paredes, formando um grande vão livre sustentado por pilares quadrados. Em primeiro plano, protegendo a visão da base do prédio, há uma densa barreira de arbustos verdes à esquerda e um grande amontoado de galhos secos e troncos empilhados à direita.</x:v>
      </x:c>
      <x:c r="N225"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25" s="10" t="str">
        <x:v>Sistema prisional; Arquitetura prisional; Casa de Detenção de São Paulo; Carandiru</x:v>
      </x:c>
      <x:c r="P225" s="10" t="str">
        <x:v>Fotografia (Iconográfico)</x:v>
      </x:c>
      <x:c r="Q225" s="10" t="str">
        <x:v>Digitalização de fotografia colorida (analógica original)</x:v>
      </x:c>
      <x:c r="R225" s="10" t="str">
        <x:v>Figura n – [Fachada de prédio em concreto bruto com vão livre no térreo, ladeada por arbustos e galhos secos.] Fonte: ARCOENGE, Sem data.</x:v>
      </x:c>
      <x:c r="S225" s="10" t="str">
        <x:v>ARCOENGE. [Fachada de prédio em concreto bruto com vão livre no térreo, ladeada por arbustos e galhos secos.]. São Paulo, Brasil. Sem data sem data Sem data. Fotografia digitalizada; colorida; suporte em papel fotográfico. Disponível em: &lt;link do dataverse&gt;. Acesso em: 25 mai. 2026.</x:v>
      </x:c>
      <x:c r="T225" s="10" t="str">
        <x:v>Este item pertencia à pasta intitulada "fotos escaneadas".</x:v>
      </x:c>
      <x:c r="U225" s="10" t="str">
        <x:v>ICO</x:v>
      </x:c>
      <x:c r="V225" s="10" t="str">
        <x:v>FOT</x:v>
      </x:c>
      <x:c r="W225" s="10" t="str">
        <x:v>DGZ</x:v>
      </x:c>
      <x:c r="X225" s="10" t="str">
        <x:v>MB0</x:v>
      </x:c>
      <x:c r="Y225" s="10" t="str">
        <x:v>BR-SPCARANDIRU_ARCOENGE-DEMOLICAO-CSDTCARANDIRU.xlsx</x:v>
      </x:c>
      <x:c r="Z225" s="10" t="str">
        <x:v>0001</x:v>
      </x:c>
      <x:c r="AA225" s="11" t="n">
        <x:v>29</x:v>
      </x:c>
      <x:c r="AB225" s="10" t="str">
        <x:v>BR-SPCARANDIRU_ARCOENGE-DEMOLICAO-CSDTCARANDIRU.xlsx:0001:29</x:v>
      </x:c>
      <x:c r="AC225" s="11" t="n">
        <x:f>COLUMNS(A225:T225)-COUNTBLANK(A225:T225)</x:f>
        <x:v>20</x:v>
      </x:c>
    </x:row>
    <x:row r="226" ht="48" hidden="0" customHeight="1">
      <x:c r="A226" s="10" t="str">
        <x:v>029</x:v>
      </x:c>
      <x:c r="B226" s="10" t="str">
        <x:v>Vista a partir de laje com guarda-corpo focada na perspectiva lateral de longo pavilhão com janelas.</x:v>
      </x:c>
      <x:c r="C226" s="10" t="str">
        <x:v>Item</x:v>
      </x:c>
      <x:c r="D226" s="10" t="str">
        <x:v>Sem data</x:v>
      </x:c>
      <x:c r="E226" s="10" t="str">
        <x:v>Gerado pelo Dataverse</x:v>
      </x:c>
      <x:c r="F226" s="10" t="str">
        <x:v>Fotografia digitalizada; colorida; suporte em papel fotográfico</x:v>
      </x:c>
      <x:c r="G226" s="10" t="str">
        <x:v>São Paulo, Brasil</x:v>
      </x:c>
      <x:c r="H226" s="10" t="str">
        <x:v>Grupo de Pesquisa em Direito e Violência de Estado</x:v>
      </x:c>
      <x:c r="I226" s="10" t="str">
        <x:v>Arcoenge - Demolição - Casa de Detenção do Carandiru (Fotografias)</x:v>
      </x:c>
      <x:c r="J226" s="10" t="str">
        <x:v>Pasta: 0001</x:v>
      </x:c>
      <x:c r="K226" s="10" t="str">
        <x:v>BR-SPCARANDIRU_ARCOENGE-DEMOLICAO-CSDTCARANDIRU_ICO-FOT-DGZ-MB0_0001-029.JPG</x:v>
      </x:c>
      <x:c r="L226"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26" s="10" t="str">
        <x:v>Vista elevada e lateral. Em primeiro plano, à extrema esquerda, a ponta de um telhado de cerâmica e o topo de uma laje delimitada por um longo guarda-corpo de metal negro. Do outro lado da via, projetando-se em diagonal rumo ao fundo da imagem, há um longo pavilhão de concreto pintado de claro. A fachada é repleta de janelas retangulares recuadas. Um muro e passarelas conectam este bloco a outras edificações secundárias menores no fundo esquerdo.</x:v>
      </x:c>
      <x:c r="N226"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26" s="10" t="str">
        <x:v>Sistema prisional; Arquitetura prisional; Casa de Detenção de São Paulo; Carandiru</x:v>
      </x:c>
      <x:c r="P226" s="10" t="str">
        <x:v>Fotografia (Iconográfico)</x:v>
      </x:c>
      <x:c r="Q226" s="10" t="str">
        <x:v>Digitalização de fotografia colorida (analógica original)</x:v>
      </x:c>
      <x:c r="R226" s="10" t="str">
        <x:v>Figura n – [Vista a partir de laje com guarda-corpo focada na perspectiva lateral de longo pavilhão com janelas.] Fonte: ARCOENGE, Sem data.</x:v>
      </x:c>
      <x:c r="S226" s="10" t="str">
        <x:v>ARCOENGE. [Vista a partir de laje com guarda-corpo focada na perspectiva lateral de longo pavilhão com janelas.]. São Paulo, Brasil. Sem data sem data Sem data. Fotografia digitalizada; colorida; suporte em papel fotográfico. Disponível em: &lt;link do dataverse&gt;. Acesso em: 25 mai. 2026.</x:v>
      </x:c>
      <x:c r="T226" s="10" t="str">
        <x:v>Este item pertencia à pasta intitulada "fotos escaneadas".</x:v>
      </x:c>
      <x:c r="U226" s="10" t="str">
        <x:v>ICO</x:v>
      </x:c>
      <x:c r="V226" s="10" t="str">
        <x:v>FOT</x:v>
      </x:c>
      <x:c r="W226" s="10" t="str">
        <x:v>DGZ</x:v>
      </x:c>
      <x:c r="X226" s="10" t="str">
        <x:v>MB0</x:v>
      </x:c>
      <x:c r="Y226" s="10" t="str">
        <x:v>BR-SPCARANDIRU_ARCOENGE-DEMOLICAO-CSDTCARANDIRU.xlsx</x:v>
      </x:c>
      <x:c r="Z226" s="10" t="str">
        <x:v>0001</x:v>
      </x:c>
      <x:c r="AA226" s="11" t="n">
        <x:v>30</x:v>
      </x:c>
      <x:c r="AB226" s="10" t="str">
        <x:v>BR-SPCARANDIRU_ARCOENGE-DEMOLICAO-CSDTCARANDIRU.xlsx:0001:30</x:v>
      </x:c>
      <x:c r="AC226" s="11" t="n">
        <x:f>COLUMNS(A226:T226)-COUNTBLANK(A226:T226)</x:f>
        <x:v>20</x:v>
      </x:c>
    </x:row>
    <x:row r="227" ht="48" hidden="0" customHeight="1">
      <x:c r="A227" s="10" t="str">
        <x:v>030</x:v>
      </x:c>
      <x:c r="B227" s="10" t="str">
        <x:v>Campo de quadra de terra subdividido por muro escuro, com dois pavilhões ao fundo.</x:v>
      </x:c>
      <x:c r="C227" s="10" t="str">
        <x:v>Item</x:v>
      </x:c>
      <x:c r="D227" s="10" t="str">
        <x:v>Sem data</x:v>
      </x:c>
      <x:c r="E227" s="10" t="str">
        <x:v>Gerado pelo Dataverse</x:v>
      </x:c>
      <x:c r="F227" s="10" t="str">
        <x:v>Fotografia digitalizada; colorida; suporte em papel fotográfico</x:v>
      </x:c>
      <x:c r="G227" s="10" t="str">
        <x:v>São Paulo, Brasil</x:v>
      </x:c>
      <x:c r="H227" s="10" t="str">
        <x:v>Grupo de Pesquisa em Direito e Violência de Estado</x:v>
      </x:c>
      <x:c r="I227" s="10" t="str">
        <x:v>Arcoenge - Demolição - Casa de Detenção do Carandiru (Fotografias)</x:v>
      </x:c>
      <x:c r="J227" s="10" t="str">
        <x:v>Pasta: 0001</x:v>
      </x:c>
      <x:c r="K227" s="10" t="str">
        <x:v>BR-SPCARANDIRU_ARCOENGE-DEMOLICAO-CSDTCARANDIRU_ICO-FOT-DGZ-MB0_0001-030.JPG</x:v>
      </x:c>
      <x:c r="L227"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27" s="10" t="str">
        <x:v>Ampla área externa com um campo de terra batida no primeiro plano, delimitado por alambrados brancos de uma quadra esportiva. Pequenas figuras humanas espalham-se pela quadra e pelo campo de terra. Um longo muro horizontal escuro divide o terreno ao meio. Atrás do muro, destacam-se em bloco as fachadas de dois grandes pavilhões de concreto de cinco andares. O pavilhão da direita apresenta uma ampla mancha ou pintura avermelhada desbotada que cobre parte das janelas e da parede.</x:v>
      </x:c>
      <x:c r="N227"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27" s="10" t="str">
        <x:v>Sistema prisional; Arquitetura prisional; Casa de Detenção de São Paulo; Carandiru</x:v>
      </x:c>
      <x:c r="P227" s="10" t="str">
        <x:v>Fotografia (Iconográfico)</x:v>
      </x:c>
      <x:c r="Q227" s="10" t="str">
        <x:v>Digitalização de fotografia colorida (analógica original)</x:v>
      </x:c>
      <x:c r="R227" s="10" t="str">
        <x:v>Figura n – [Campo de quadra de terra subdividido por muro escuro, com dois pavilhões ao fundo.] Fonte: ARCOENGE, Sem data.</x:v>
      </x:c>
      <x:c r="S227" s="10" t="str">
        <x:v>ARCOENGE. [Campo de quadra de terra subdividido por muro escuro, com dois pavilhões ao fundo.]. São Paulo, Brasil. Sem data sem data Sem data. Fotografia digitalizada; colorida; suporte em papel fotográfico. Disponível em: &lt;link do dataverse&gt;. Acesso em: 25 mai. 2026.</x:v>
      </x:c>
      <x:c r="T227" s="10" t="str">
        <x:v>Este item pertencia à pasta intitulada "fotos escaneadas".</x:v>
      </x:c>
      <x:c r="U227" s="10" t="str">
        <x:v>ICO</x:v>
      </x:c>
      <x:c r="V227" s="10" t="str">
        <x:v>FOT</x:v>
      </x:c>
      <x:c r="W227" s="10" t="str">
        <x:v>DGZ</x:v>
      </x:c>
      <x:c r="X227" s="10" t="str">
        <x:v>MB0</x:v>
      </x:c>
      <x:c r="Y227" s="10" t="str">
        <x:v>BR-SPCARANDIRU_ARCOENGE-DEMOLICAO-CSDTCARANDIRU.xlsx</x:v>
      </x:c>
      <x:c r="Z227" s="10" t="str">
        <x:v>0001</x:v>
      </x:c>
      <x:c r="AA227" s="11" t="n">
        <x:v>31</x:v>
      </x:c>
      <x:c r="AB227" s="10" t="str">
        <x:v>BR-SPCARANDIRU_ARCOENGE-DEMOLICAO-CSDTCARANDIRU.xlsx:0001:31</x:v>
      </x:c>
      <x:c r="AC227" s="11" t="n">
        <x:f>COLUMNS(A227:T227)-COUNTBLANK(A227:T227)</x:f>
        <x:v>20</x:v>
      </x:c>
    </x:row>
    <x:row r="228" ht="48" hidden="0" customHeight="1">
      <x:c r="A228" s="10" t="str">
        <x:v>031</x:v>
      </x:c>
      <x:c r="B228" s="10" t="str">
        <x:v>Vista elevada de campo de terra com trave de futebol e pessoas, ladeado por grande pavilhão e muro longo.</x:v>
      </x:c>
      <x:c r="C228" s="10" t="str">
        <x:v>Item</x:v>
      </x:c>
      <x:c r="D228" s="10" t="str">
        <x:v>Sem data</x:v>
      </x:c>
      <x:c r="E228" s="10" t="str">
        <x:v>Gerado pelo Dataverse</x:v>
      </x:c>
      <x:c r="F228" s="10" t="str">
        <x:v>Fotografia digitalizada; colorida; suporte em papel fotográfico</x:v>
      </x:c>
      <x:c r="G228" s="10" t="str">
        <x:v>São Paulo, Brasil</x:v>
      </x:c>
      <x:c r="H228" s="10" t="str">
        <x:v>Grupo de Pesquisa em Direito e Violência de Estado</x:v>
      </x:c>
      <x:c r="I228" s="10" t="str">
        <x:v>Arcoenge - Demolição - Casa de Detenção do Carandiru (Fotografias)</x:v>
      </x:c>
      <x:c r="J228" s="10" t="str">
        <x:v>Pasta: 0001</x:v>
      </x:c>
      <x:c r="K228" s="10" t="str">
        <x:v>BR-SPCARANDIRU_ARCOENGE-DEMOLICAO-CSDTCARANDIRU_ICO-FOT-DGZ-MB0_0001-031.JPG</x:v>
      </x:c>
      <x:c r="L228"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28" s="10" t="str">
        <x:v>Fotografia em vista elevada. No primeiro plano, à esquerda, desponta o topo texturizado de um muro de concreto espesso que cruza o canto em diagonal. O centro da imagem é tomado por um amplo pátio de terra batida onde dezenas de pessoas estão distribuídas. Algumas agrupam-se e interagem próximas a uma trave metálica de futebol instalada no meio do campo, enquanto outras caminham ou descansam nas margens. À direita, domina a cena a extensa fachada de um grande pavilhão de concreto com cinco andares de janelas retangulares recuadas, muitas exibindo roupas estendidas. Ao fundo, do lado esquerdo, um longo muro escuro separa o pátio de outras construções com telhados alongados côncavos.</x:v>
      </x:c>
      <x:c r="N228"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28" s="10" t="str">
        <x:v>Sistema prisional; Arquitetura prisional; Casa de Detenção de São Paulo; Carandiru</x:v>
      </x:c>
      <x:c r="P228" s="10" t="str">
        <x:v>Fotografia (Iconográfico)</x:v>
      </x:c>
      <x:c r="Q228" s="10" t="str">
        <x:v>Digitalização de fotografia colorida (analógica original)</x:v>
      </x:c>
      <x:c r="R228" s="10" t="str">
        <x:v>Figura n – [Vista elevada de campo de terra com trave de futebol e pessoas, ladeado por grande pavilhão e muro longo.] Fonte: ARCOENGE, Sem data.</x:v>
      </x:c>
      <x:c r="S228" s="10" t="str">
        <x:v>ARCOENGE. [Vista elevada de campo de terra com trave de futebol e pessoas, ladeado por grande pavilhão e muro longo.]. São Paulo, Brasil. Sem data sem data Sem data. Fotografia digitalizada; colorida; suporte em papel fotográfico. Disponível em: &lt;link do dataverse&gt;. Acesso em: 25 mai. 2026.</x:v>
      </x:c>
      <x:c r="T228" s="10" t="str">
        <x:v>Este item pertencia à pasta intitulada "fotos escaneadas".</x:v>
      </x:c>
      <x:c r="U228" s="10" t="str">
        <x:v>ICO</x:v>
      </x:c>
      <x:c r="V228" s="10" t="str">
        <x:v>FOT</x:v>
      </x:c>
      <x:c r="W228" s="10" t="str">
        <x:v>DGZ</x:v>
      </x:c>
      <x:c r="X228" s="10" t="str">
        <x:v>MB0</x:v>
      </x:c>
      <x:c r="Y228" s="10" t="str">
        <x:v>BR-SPCARANDIRU_ARCOENGE-DEMOLICAO-CSDTCARANDIRU.xlsx</x:v>
      </x:c>
      <x:c r="Z228" s="10" t="str">
        <x:v>0001</x:v>
      </x:c>
      <x:c r="AA228" s="11" t="n">
        <x:v>32</x:v>
      </x:c>
      <x:c r="AB228" s="10" t="str">
        <x:v>BR-SPCARANDIRU_ARCOENGE-DEMOLICAO-CSDTCARANDIRU.xlsx:0001:32</x:v>
      </x:c>
      <x:c r="AC228" s="11" t="n">
        <x:f>COLUMNS(A228:T228)-COUNTBLANK(A228:T228)</x:f>
        <x:v>20</x:v>
      </x:c>
    </x:row>
    <x:row r="229" ht="48" hidden="0" customHeight="1">
      <x:c r="A229" s="10" t="str">
        <x:v>032</x:v>
      </x:c>
      <x:c r="B229" s="10" t="str">
        <x:v>Relatório de correspondência de nomes</x:v>
      </x:c>
      <x:c r="C229" s="10" t="str">
        <x:v>Item</x:v>
      </x:c>
      <x:c r="D229" s="10" t="str">
        <x:v>2026-05-21 00:00:00</x:v>
      </x:c>
      <x:c r="E229" s="10" t="str">
        <x:v>Gerado pelo Dataverse</x:v>
      </x:c>
      <x:c r="F229" s="10" t="str">
        <x:v>Texto nato-digital</x:v>
      </x:c>
      <x:c r="G229" s="10" t="str">
        <x:v>São Paulo, Brasil</x:v>
      </x:c>
      <x:c r="H229" s="10" t="str">
        <x:v>Grupo de Pesquisa em Direito e Violência de Estado</x:v>
      </x:c>
      <x:c r="I229" s="10" t="str">
        <x:v>Arcoenge - Demolição - Casa de Detenção do Carandiru (Fotografias)</x:v>
      </x:c>
      <x:c r="J229" s="10" t="str">
        <x:v>Pasta: 0002</x:v>
      </x:c>
      <x:c r="K229" s="10" t="str">
        <x:v>BR-SPCARANDIRU_ARCOENGE-DEMOLICAO-CSDTCARANDIRU_TXT-REL-NDG-MB0_0001-032.txt</x:v>
      </x:c>
      <x:c r="L229"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29" s="10" t="str">
        <x:v>Fotografia em vista elevada. No primeiro plano, à esquerda, desponta o topo texturizado de um muro de concreto espesso que cruza o canto em diagonal. O centro da imagem é tomado por um amplo pátio de terra batida onde dezenas de pessoas estão distribuídas. Algumas agrupam-se e interagem próximas a uma trave metálica de futebol instalada no meio do campo, enquanto outras caminham ou descansam nas margens. À direita, domina a cena a extensa fachada de um grande pavilhão de concreto com cinco andares de janelas retangulares recuadas, muitas exibindo roupas estendidas. Ao fundo, do lado esquerdo, um longo muro escuro separa o pátio de outras construções com telhados alongados côncavos.</x:v>
      </x:c>
      <x:c r="N229"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29" s="10" t="str">
        <x:v>Sistema prisional; Arquitetura prisional; Casa de Detenção de São Paulo; Carandiru</x:v>
      </x:c>
      <x:c r="P229" s="10" t="str">
        <x:v>Textual</x:v>
      </x:c>
      <x:c r="Q229" s="10" t="str">
        <x:v>Nato-digital</x:v>
      </x:c>
      <x:c r="R229" s="10" t="str">
        <x:v>Figura n – [Relatório de correspondência de nomes ] Fonte: ARCOENGE, 2026.</x:v>
      </x:c>
      <x:c r="S229" s="10" t="str">
        <x:v>ARCOENGE. [Relatório de correspondência de nomes ]. São Paulo, Brasil. 21 mai. 2026. Texto nato-digital. Disponível em: &lt;link do dataverse&gt;. Acesso em: 25 mai. 2026.</x:v>
      </x:c>
      <x:c r="T229" s="10" t="str">
        <x:v>Este item foi gerado automaticamente pelo aplicativo de gestão de acervos "Mnema 1.0".</x:v>
      </x:c>
      <x:c r="U229" s="10" t="str">
        <x:v>TXT</x:v>
      </x:c>
      <x:c r="V229" s="10" t="str">
        <x:v>REL</x:v>
      </x:c>
      <x:c r="W229" s="10" t="str">
        <x:v>NDG</x:v>
      </x:c>
      <x:c r="X229" s="10" t="str">
        <x:v>MB0</x:v>
      </x:c>
      <x:c r="Y229" s="10" t="str">
        <x:v>BR-SPCARANDIRU_ARCOENGE-DEMOLICAO-CSDTCARANDIRU.xlsx</x:v>
      </x:c>
      <x:c r="Z229" s="10" t="str">
        <x:v>0001</x:v>
      </x:c>
      <x:c r="AA229" s="11" t="n">
        <x:v>33</x:v>
      </x:c>
      <x:c r="AB229" s="10" t="str">
        <x:v>BR-SPCARANDIRU_ARCOENGE-DEMOLICAO-CSDTCARANDIRU.xlsx:0001:33</x:v>
      </x:c>
      <x:c r="AC229" s="11" t="n">
        <x:f>COLUMNS(A229:T229)-COUNTBLANK(A229:T229)</x:f>
        <x:v>20</x:v>
      </x:c>
    </x:row>
    <x:row r="230" ht="48" hidden="0" customHeight="1">
      <x:c r="A230" s="10" t="str">
        <x:v>001</x:v>
      </x:c>
      <x:c r="B230" s="10" t="str">
        <x:v>Vista geral da torre de água e bairro residencial ao fundo.</x:v>
      </x:c>
      <x:c r="C230" s="10" t="str">
        <x:v>Item</x:v>
      </x:c>
      <x:c r="D230" s="10" t="str">
        <x:v>2003-03-10 00:00:00</x:v>
      </x:c>
      <x:c r="E230" s="10" t="str">
        <x:v>Gerado pelo Dataverse</x:v>
      </x:c>
      <x:c r="F230" s="10" t="str">
        <x:v>Nato-digital</x:v>
      </x:c>
      <x:c r="G230" s="10" t="str">
        <x:v>São Paulo, Brasil</x:v>
      </x:c>
      <x:c r="H230" s="10" t="str">
        <x:v>Grupo de Pesquisa em Direito e Violência de Estado</x:v>
      </x:c>
      <x:c r="I230" s="10" t="str">
        <x:v>Arcoenge - Demolição - Casa de Detenção do Carandiru (Fotografias)</x:v>
      </x:c>
      <x:c r="J230" s="10" t="str">
        <x:v>Pasta: 0002</x:v>
      </x:c>
      <x:c r="K230" s="10" t="str">
        <x:v>BR-SPCARANDIRU_ARCOENGE-DEMOLICAO-CSDTCARANDIRU_ICO-FOT-NDG-MB0_0002-001.JPG</x:v>
      </x:c>
      <x:c r="L230"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30" s="10" t="str">
        <x:v>Fotografia de uma ampla área de terreno em terra batida, com marcas de escavação e entulho em primeiro plano. À esquerda, destaca-se uma alta torre de água cilíndrica de concreto com escada externa. Próximo à base da torre, observam-se equipamentos e trabalhadores da construção civil utilizando capacetes de segurança. Ao fundo, vê-se o perfil de construções de um bairro residencial sob um céu parcialmente nublado. A imagem possui um Marcador numérico "3 3 '03" no canto inferior direito.</x:v>
      </x:c>
      <x:c r="N230"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30" s="10" t="str">
        <x:v>Sistema prisional; Arquitetura prisional; Casa de Detenção de São Paulo; Carandiru</x:v>
      </x:c>
      <x:c r="P230" s="10" t="str">
        <x:v>Fotografia (Iconográfico)</x:v>
      </x:c>
      <x:c r="Q230" s="10" t="str">
        <x:v>Nato-digital</x:v>
      </x:c>
      <x:c r="R230" s="10" t="str">
        <x:v>Figura n – [Vista geral da torre de água e bairro residencial ao fundo.] Fonte: ARCOENGE, 2003.</x:v>
      </x:c>
      <x:c r="S230" s="10" t="str">
        <x:v>ARCOENGE. [Vista geral da torre de água e bairro residencial ao fundo.]. São Paulo, Brasil. 10 mar. 2003. Nato-digital. Disponível em: &lt;link do dataverse&gt;. Acesso em: 25 mai. 2026.</x:v>
      </x:c>
      <x:c r="T230" s="10" t="str">
        <x:v>Este item pertencia à pasta intitulada "caixa-d'água 1". Com relação à data de produção da fotografia, embora a lateral das fotografias indiquem 03/03/03, optou-se por utilizar a data mais antiga contida nos metadados do arquivo digital.</x:v>
      </x:c>
      <x:c r="U230" s="10" t="str">
        <x:v>ICO</x:v>
      </x:c>
      <x:c r="V230" s="10" t="str">
        <x:v>FOT</x:v>
      </x:c>
      <x:c r="W230" s="10" t="str">
        <x:v>NDG</x:v>
      </x:c>
      <x:c r="X230" s="10" t="str">
        <x:v>MB0</x:v>
      </x:c>
      <x:c r="Y230" s="10" t="str">
        <x:v>BR-SPCARANDIRU_ARCOENGE-DEMOLICAO-CSDTCARANDIRU.xlsx</x:v>
      </x:c>
      <x:c r="Z230" s="10" t="str">
        <x:v>0002</x:v>
      </x:c>
      <x:c r="AA230" s="11" t="n">
        <x:v>2</x:v>
      </x:c>
      <x:c r="AB230" s="10" t="str">
        <x:v>BR-SPCARANDIRU_ARCOENGE-DEMOLICAO-CSDTCARANDIRU.xlsx:0002:2</x:v>
      </x:c>
      <x:c r="AC230" s="11" t="n">
        <x:f>COLUMNS(A230:T230)-COUNTBLANK(A230:T230)</x:f>
        <x:v>20</x:v>
      </x:c>
    </x:row>
    <x:row r="231" ht="48" hidden="0" customHeight="1">
      <x:c r="A231" s="10" t="str">
        <x:v>002</x:v>
      </x:c>
      <x:c r="B231" s="10" t="str">
        <x:v>Torre de água de concreto e trabalhadores.</x:v>
      </x:c>
      <x:c r="C231" s="10" t="str">
        <x:v>Item</x:v>
      </x:c>
      <x:c r="D231" s="10" t="str">
        <x:v>2003-03-10 00:00:00</x:v>
      </x:c>
      <x:c r="E231" s="10" t="str">
        <x:v>Gerado pelo Dataverse</x:v>
      </x:c>
      <x:c r="F231" s="10" t="str">
        <x:v>Nato-digital</x:v>
      </x:c>
      <x:c r="G231" s="10" t="str">
        <x:v>São Paulo, Brasil</x:v>
      </x:c>
      <x:c r="H231" s="10" t="str">
        <x:v>Grupo de Pesquisa em Direito e Violência de Estado</x:v>
      </x:c>
      <x:c r="I231" s="10" t="str">
        <x:v>Arcoenge - Demolição - Casa de Detenção do Carandiru (Fotografias)</x:v>
      </x:c>
      <x:c r="J231" s="10" t="str">
        <x:v>Pasta: 0002</x:v>
      </x:c>
      <x:c r="K231" s="10" t="str">
        <x:v>BR-SPCARANDIRU_ARCOENGE-DEMOLICAO-CSDTCARANDIRU_ICO-FOT-NDG-MB0_0002-002.JPG</x:v>
      </x:c>
      <x:c r="L231"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31" s="10" t="str">
        <x:v>Imagem com enquadramento focado na alta torre de água de concreto, posicionada à direita, com tubulações e escada metálica visíveis. À esquerda, uma árvore de grande porte compõe o primeiro plano. No solo de terra revirada, identificam-se trabalhadores da construção civil caminhando. Ao fundo, observam-se as fachadas traseiras e telhados de edificações baixas, além de torres de transmissão elétrica no horizonte. Marcador numérico "3 3 '03" no canto inferior direito.</x:v>
      </x:c>
      <x:c r="N231"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31" s="10" t="str">
        <x:v>Sistema prisional; Arquitetura prisional; Casa de Detenção de São Paulo; Carandiru</x:v>
      </x:c>
      <x:c r="P231" s="10" t="str">
        <x:v>Fotografia (Iconográfico)</x:v>
      </x:c>
      <x:c r="Q231" s="10" t="str">
        <x:v>Nato-digital</x:v>
      </x:c>
      <x:c r="R231" s="10" t="str">
        <x:v>Figura n – [Torre de água de concreto e trabalhadores.] Fonte: ARCOENGE, 2003.</x:v>
      </x:c>
      <x:c r="S231" s="10" t="str">
        <x:v>ARCOENGE. [Torre de água de concreto e trabalhadores.]. São Paulo, Brasil. 10 mar. 2003. Nato-digital. Disponível em: &lt;link do dataverse&gt;. Acesso em: 25 mai. 2026.</x:v>
      </x:c>
      <x:c r="T231" s="10" t="str">
        <x:v>Este item pertencia à pasta intitulada "caixa-d'água 1". Com relação à data de produção da fotografia, embora a lateral das fotografias indiquem 03/03/03, optou-se por utilizar a data mais antiga contida nos metadados do arquivo digital.</x:v>
      </x:c>
      <x:c r="U231" s="10" t="str">
        <x:v>ICO</x:v>
      </x:c>
      <x:c r="V231" s="10" t="str">
        <x:v>FOT</x:v>
      </x:c>
      <x:c r="W231" s="10" t="str">
        <x:v>NDG</x:v>
      </x:c>
      <x:c r="X231" s="10" t="str">
        <x:v>MB0</x:v>
      </x:c>
      <x:c r="Y231" s="10" t="str">
        <x:v>BR-SPCARANDIRU_ARCOENGE-DEMOLICAO-CSDTCARANDIRU.xlsx</x:v>
      </x:c>
      <x:c r="Z231" s="10" t="str">
        <x:v>0002</x:v>
      </x:c>
      <x:c r="AA231" s="11" t="n">
        <x:v>3</x:v>
      </x:c>
      <x:c r="AB231" s="10" t="str">
        <x:v>BR-SPCARANDIRU_ARCOENGE-DEMOLICAO-CSDTCARANDIRU.xlsx:0002:3</x:v>
      </x:c>
      <x:c r="AC231" s="11" t="n">
        <x:f>COLUMNS(A231:T231)-COUNTBLANK(A231:T231)</x:f>
        <x:v>20</x:v>
      </x:c>
    </x:row>
    <x:row r="232" ht="48" hidden="0" customHeight="1">
      <x:c r="A232" s="10" t="str">
        <x:v>003</x:v>
      </x:c>
      <x:c r="B232" s="10" t="str">
        <x:v>Telhados residenciais e pavilhões da Casa de Detenção do Carandiru.</x:v>
      </x:c>
      <x:c r="C232" s="10" t="str">
        <x:v>Item</x:v>
      </x:c>
      <x:c r="D232" s="10" t="str">
        <x:v>2003-03-10 00:00:00</x:v>
      </x:c>
      <x:c r="E232" s="10" t="str">
        <x:v>Gerado pelo Dataverse</x:v>
      </x:c>
      <x:c r="F232" s="10" t="str">
        <x:v>Nato-digital</x:v>
      </x:c>
      <x:c r="G232" s="10" t="str">
        <x:v>São Paulo, Brasil</x:v>
      </x:c>
      <x:c r="H232" s="10" t="str">
        <x:v>Grupo de Pesquisa em Direito e Violência de Estado</x:v>
      </x:c>
      <x:c r="I232" s="10" t="str">
        <x:v>Arcoenge - Demolição - Casa de Detenção do Carandiru (Fotografias)</x:v>
      </x:c>
      <x:c r="J232" s="10" t="str">
        <x:v>Pasta: 0002</x:v>
      </x:c>
      <x:c r="K232" s="10" t="str">
        <x:v>BR-SPCARANDIRU_ARCOENGE-DEMOLICAO-CSDTCARANDIRU_ICO-FOT-NDG-MB0_0002-003.JPG</x:v>
      </x:c>
      <x:c r="L232"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32" s="10" t="str">
        <x:v>Fotografia em ângulo mergulhante que contrapõe o ambiente residencial à arquitetura prisional. Em primeiro e médio plano, vê-se um aglomerado de telhados de casas, intercalando telhas cerâmicas e de fibrocimento. Ao fundo, estendem-se os muros de contenção e os longos pavilhões paralelos da Casa de Detenção do Carandiru, caracterizados por pequenas janelas enfileiradas. Um campo de futebol e áreas gramadas são visíveis entre os limites do presídio e o bairro. Marcador numérico "3 3 '03" no canto inferior direito.</x:v>
      </x:c>
      <x:c r="N232"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32" s="10" t="str">
        <x:v>Sistema prisional; Arquitetura prisional; Casa de Detenção de São Paulo; Carandiru</x:v>
      </x:c>
      <x:c r="P232" s="10" t="str">
        <x:v>Fotografia (Iconográfico)</x:v>
      </x:c>
      <x:c r="Q232" s="10" t="str">
        <x:v>Nato-digital</x:v>
      </x:c>
      <x:c r="R232" s="10" t="str">
        <x:v>Figura n – [Telhados residenciais e pavilhões da Casa de Detenção do Carandiru.] Fonte: ARCOENGE, 2003.</x:v>
      </x:c>
      <x:c r="S232" s="10" t="str">
        <x:v>ARCOENGE. [Telhados residenciais e pavilhões da Casa de Detenção do Carandiru.]. São Paulo, Brasil. 10 mar. 2003. Nato-digital. Disponível em: &lt;link do dataverse&gt;. Acesso em: 25 mai. 2026.</x:v>
      </x:c>
      <x:c r="T232" s="10" t="str">
        <x:v>Este item pertencia à pasta intitulada "caixa-d'água 1". Com relação à data de produção da fotografia, embora a lateral das fotografias indiquem 03/03/03, optou-se por utilizar a data mais antiga contida nos metadados do arquivo digital.</x:v>
      </x:c>
      <x:c r="U232" s="10" t="str">
        <x:v>ICO</x:v>
      </x:c>
      <x:c r="V232" s="10" t="str">
        <x:v>FOT</x:v>
      </x:c>
      <x:c r="W232" s="10" t="str">
        <x:v>NDG</x:v>
      </x:c>
      <x:c r="X232" s="10" t="str">
        <x:v>MB0</x:v>
      </x:c>
      <x:c r="Y232" s="10" t="str">
        <x:v>BR-SPCARANDIRU_ARCOENGE-DEMOLICAO-CSDTCARANDIRU.xlsx</x:v>
      </x:c>
      <x:c r="Z232" s="10" t="str">
        <x:v>0002</x:v>
      </x:c>
      <x:c r="AA232" s="11" t="n">
        <x:v>4</x:v>
      </x:c>
      <x:c r="AB232" s="10" t="str">
        <x:v>BR-SPCARANDIRU_ARCOENGE-DEMOLICAO-CSDTCARANDIRU.xlsx:0002:4</x:v>
      </x:c>
      <x:c r="AC232" s="11" t="n">
        <x:f>COLUMNS(A232:T232)-COUNTBLANK(A232:T232)</x:f>
        <x:v>20</x:v>
      </x:c>
    </x:row>
    <x:row r="233" ht="48" hidden="0" customHeight="1">
      <x:c r="A233" s="10" t="str">
        <x:v>004</x:v>
      </x:c>
      <x:c r="B233" s="10" t="str">
        <x:v>Vista superior de imóveis residenciais contíguos.</x:v>
      </x:c>
      <x:c r="C233" s="10" t="str">
        <x:v>Item</x:v>
      </x:c>
      <x:c r="D233" s="10" t="str">
        <x:v>2003-03-10 00:00:00</x:v>
      </x:c>
      <x:c r="E233" s="10" t="str">
        <x:v>Gerado pelo Dataverse</x:v>
      </x:c>
      <x:c r="F233" s="10" t="str">
        <x:v>Nato-digital</x:v>
      </x:c>
      <x:c r="G233" s="10" t="str">
        <x:v>São Paulo, Brasil</x:v>
      </x:c>
      <x:c r="H233" s="10" t="str">
        <x:v>Grupo de Pesquisa em Direito e Violência de Estado</x:v>
      </x:c>
      <x:c r="I233" s="10" t="str">
        <x:v>Arcoenge - Demolição - Casa de Detenção do Carandiru (Fotografias)</x:v>
      </x:c>
      <x:c r="J233" s="10" t="str">
        <x:v>Pasta: 0002</x:v>
      </x:c>
      <x:c r="K233" s="10" t="str">
        <x:v>BR-SPCARANDIRU_ARCOENGE-DEMOLICAO-CSDTCARANDIRU_ICO-FOT-NDG-MB0_0002-004.JPG</x:v>
      </x:c>
      <x:c r="L233"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33" s="10" t="str">
        <x:v>Vista em ângulo fortemente mergulhante focada na malha de telhados do bairro vizinho ao complexo prisional. Observa-se a densa justaposição de coberturas predominantemente de telhas cerâmicas vermelhas, intercaladas com algumas extensões de fibrocimento. À esquerda, registra-se um trecho de rua asfaltada com poste de fiação elétrica, árvores e um veículo estacionado. Marcador numérico "3 3 '03" no canto inferior direito.</x:v>
      </x:c>
      <x:c r="N233"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33" s="10" t="str">
        <x:v>Sistema prisional; Arquitetura prisional; Casa de Detenção de São Paulo; Carandiru</x:v>
      </x:c>
      <x:c r="P233" s="10" t="str">
        <x:v>Fotografia (Iconográfico)</x:v>
      </x:c>
      <x:c r="Q233" s="10" t="str">
        <x:v>Nato-digital</x:v>
      </x:c>
      <x:c r="R233" s="10" t="str">
        <x:v>Figura n – [Vista superior de imóveis residenciais contíguos.] Fonte: ARCOENGE, 2003.</x:v>
      </x:c>
      <x:c r="S233" s="10" t="str">
        <x:v>ARCOENGE. [Vista superior de imóveis residenciais contíguos.]. São Paulo, Brasil. 10 mar. 2003. Nato-digital. Disponível em: &lt;link do dataverse&gt;. Acesso em: 25 mai. 2026.</x:v>
      </x:c>
      <x:c r="T233" s="10" t="str">
        <x:v>Este item pertencia à pasta intitulada "caixa-d'água 1". Com relação à data de produção da fotografia, embora a lateral das fotografias indiquem 03/03/03, optou-se por utilizar a data mais antiga contida nos metadados do arquivo digital.</x:v>
      </x:c>
      <x:c r="U233" s="10" t="str">
        <x:v>ICO</x:v>
      </x:c>
      <x:c r="V233" s="10" t="str">
        <x:v>FOT</x:v>
      </x:c>
      <x:c r="W233" s="10" t="str">
        <x:v>NDG</x:v>
      </x:c>
      <x:c r="X233" s="10" t="str">
        <x:v>MB0</x:v>
      </x:c>
      <x:c r="Y233" s="10" t="str">
        <x:v>BR-SPCARANDIRU_ARCOENGE-DEMOLICAO-CSDTCARANDIRU.xlsx</x:v>
      </x:c>
      <x:c r="Z233" s="10" t="str">
        <x:v>0002</x:v>
      </x:c>
      <x:c r="AA233" s="11" t="n">
        <x:v>5</x:v>
      </x:c>
      <x:c r="AB233" s="10" t="str">
        <x:v>BR-SPCARANDIRU_ARCOENGE-DEMOLICAO-CSDTCARANDIRU.xlsx:0002:5</x:v>
      </x:c>
      <x:c r="AC233" s="11" t="n">
        <x:f>COLUMNS(A233:T233)-COUNTBLANK(A233:T233)</x:f>
        <x:v>20</x:v>
      </x:c>
    </x:row>
    <x:row r="234" ht="48" hidden="0" customHeight="1">
      <x:c r="A234" s="10" t="str">
        <x:v>005</x:v>
      </x:c>
      <x:c r="B234" s="10" t="str">
        <x:v>Edificação com laje e alvenaria expostas.</x:v>
      </x:c>
      <x:c r="C234" s="10" t="str">
        <x:v>Item</x:v>
      </x:c>
      <x:c r="D234" s="10" t="str">
        <x:v>2003-03-10 00:00:00</x:v>
      </x:c>
      <x:c r="E234" s="10" t="str">
        <x:v>Gerado pelo Dataverse</x:v>
      </x:c>
      <x:c r="F234" s="10" t="str">
        <x:v>Nato-digital</x:v>
      </x:c>
      <x:c r="G234" s="10" t="str">
        <x:v>São Paulo, Brasil</x:v>
      </x:c>
      <x:c r="H234" s="10" t="str">
        <x:v>Grupo de Pesquisa em Direito e Violência de Estado</x:v>
      </x:c>
      <x:c r="I234" s="10" t="str">
        <x:v>Arcoenge - Demolição - Casa de Detenção do Carandiru (Fotografias)</x:v>
      </x:c>
      <x:c r="J234" s="10" t="str">
        <x:v>Pasta: 0002</x:v>
      </x:c>
      <x:c r="K234" s="10" t="str">
        <x:v>BR-SPCARANDIRU_ARCOENGE-DEMOLICAO-CSDTCARANDIRU_ICO-FOT-NDG-MB0_0002-005.JPG</x:v>
      </x:c>
      <x:c r="L234"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34" s="10" t="str">
        <x:v>Imagem aérea detalhando uma propriedade inserida na malha urbana que passa por intervenção estrutural. O telhado está ausente em um setor central, revelando a laje de piso, paredes de tijolos expostos sem reboco, restos de madeiramento e materiais de construção acumulados. A rua asfaltada contígua ao lote é visível na parte superior do quadro. Marcador numérico "3 3 '03" na lateral esquerda inferior.</x:v>
      </x:c>
      <x:c r="N234"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34" s="10" t="str">
        <x:v>Sistema prisional; Arquitetura prisional; Casa de Detenção de São Paulo; Carandiru</x:v>
      </x:c>
      <x:c r="P234" s="10" t="str">
        <x:v>Fotografia (Iconográfico)</x:v>
      </x:c>
      <x:c r="Q234" s="10" t="str">
        <x:v>Nato-digital</x:v>
      </x:c>
      <x:c r="R234" s="10" t="str">
        <x:v>Figura n – [Edificação com laje e alvenaria expostas.] Fonte: ARCOENGE, 2003.</x:v>
      </x:c>
      <x:c r="S234" s="10" t="str">
        <x:v>ARCOENGE. [Edificação com laje e alvenaria expostas.]. São Paulo, Brasil. 10 mar. 2003. Nato-digital. Disponível em: &lt;link do dataverse&gt;. Acesso em: 25 mai. 2026.</x:v>
      </x:c>
      <x:c r="T234" s="10" t="str">
        <x:v>Este item pertencia à pasta intitulada "caixa-d'água 1". Com relação à data de produção da fotografia, embora a lateral das fotografias indiquem 03/03/03, optou-se por utilizar a data mais antiga contida nos metadados do arquivo digital.</x:v>
      </x:c>
      <x:c r="U234" s="10" t="str">
        <x:v>ICO</x:v>
      </x:c>
      <x:c r="V234" s="10" t="str">
        <x:v>FOT</x:v>
      </x:c>
      <x:c r="W234" s="10" t="str">
        <x:v>NDG</x:v>
      </x:c>
      <x:c r="X234" s="10" t="str">
        <x:v>MB0</x:v>
      </x:c>
      <x:c r="Y234" s="10" t="str">
        <x:v>BR-SPCARANDIRU_ARCOENGE-DEMOLICAO-CSDTCARANDIRU.xlsx</x:v>
      </x:c>
      <x:c r="Z234" s="10" t="str">
        <x:v>0002</x:v>
      </x:c>
      <x:c r="AA234" s="11" t="n">
        <x:v>6</x:v>
      </x:c>
      <x:c r="AB234" s="10" t="str">
        <x:v>BR-SPCARANDIRU_ARCOENGE-DEMOLICAO-CSDTCARANDIRU.xlsx:0002:6</x:v>
      </x:c>
      <x:c r="AC234" s="11" t="n">
        <x:f>COLUMNS(A234:T234)-COUNTBLANK(A234:T234)</x:f>
        <x:v>20</x:v>
      </x:c>
    </x:row>
    <x:row r="235" ht="48" hidden="0" customHeight="1">
      <x:c r="A235" s="10" t="str">
        <x:v>006</x:v>
      </x:c>
      <x:c r="B235" s="10" t="str">
        <x:v>Detalhe superior de imóvel parcialmente destelhado.</x:v>
      </x:c>
      <x:c r="C235" s="10" t="str">
        <x:v>Item</x:v>
      </x:c>
      <x:c r="D235" s="10" t="str">
        <x:v>2003-03-10 00:00:00</x:v>
      </x:c>
      <x:c r="E235" s="10" t="str">
        <x:v>Gerado pelo Dataverse</x:v>
      </x:c>
      <x:c r="F235" s="10" t="str">
        <x:v>Nato-digital</x:v>
      </x:c>
      <x:c r="G235" s="10" t="str">
        <x:v>São Paulo, Brasil</x:v>
      </x:c>
      <x:c r="H235" s="10" t="str">
        <x:v>Grupo de Pesquisa em Direito e Violência de Estado</x:v>
      </x:c>
      <x:c r="I235" s="10" t="str">
        <x:v>Arcoenge - Demolição - Casa de Detenção do Carandiru (Fotografias)</x:v>
      </x:c>
      <x:c r="J235" s="10" t="str">
        <x:v>Pasta: 0002</x:v>
      </x:c>
      <x:c r="K235" s="10" t="str">
        <x:v>BR-SPCARANDIRU_ARCOENGE-DEMOLICAO-CSDTCARANDIRU_ICO-FOT-NDG-MB0_0002-006.JPG</x:v>
      </x:c>
      <x:c r="L235"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35" s="10" t="str">
        <x:v>Fotografia semelhante à anterior, com variação leve de ângulo, mantendo o foco na edificação com o telhado parcialmente ausente. Destacam-se as paredes de alvenaria interna expostas, caçilhos vazios e uma área de laje contendo tábuas de madeira empilhadas, entulho e um balde. A estrutura contrasta com os telhados intactos (cerâmicos e de fibrocimento) das construções imediatamente adjacentes. Marcador numérico "3 3 '03" no canto inferior direito.</x:v>
      </x:c>
      <x:c r="N235"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35" s="10" t="str">
        <x:v>Sistema prisional; Arquitetura prisional; Casa de Detenção de São Paulo; Carandiru</x:v>
      </x:c>
      <x:c r="P235" s="10" t="str">
        <x:v>Fotografia (Iconográfico)</x:v>
      </x:c>
      <x:c r="Q235" s="10" t="str">
        <x:v>Nato-digital</x:v>
      </x:c>
      <x:c r="R235" s="10" t="str">
        <x:v>Figura n – [Detalhe superior de imóvel parcialmente destelhado.] Fonte: ARCOENGE, 2003.</x:v>
      </x:c>
      <x:c r="S235" s="10" t="str">
        <x:v>ARCOENGE. [Detalhe superior de imóvel parcialmente destelhado.]. São Paulo, Brasil. 10 mar. 2003. Nato-digital. Disponível em: &lt;link do dataverse&gt;. Acesso em: 25 mai. 2026.</x:v>
      </x:c>
      <x:c r="T235" s="10" t="str">
        <x:v>Este item pertencia à pasta intitulada "caixa-d'água 1". Com relação à data de produção da fotografia, embora a lateral das fotografias indiquem 03/03/03, optou-se por utilizar a data mais antiga contida nos metadados do arquivo digital.</x:v>
      </x:c>
      <x:c r="U235" s="10" t="str">
        <x:v>ICO</x:v>
      </x:c>
      <x:c r="V235" s="10" t="str">
        <x:v>FOT</x:v>
      </x:c>
      <x:c r="W235" s="10" t="str">
        <x:v>NDG</x:v>
      </x:c>
      <x:c r="X235" s="10" t="str">
        <x:v>MB0</x:v>
      </x:c>
      <x:c r="Y235" s="10" t="str">
        <x:v>BR-SPCARANDIRU_ARCOENGE-DEMOLICAO-CSDTCARANDIRU.xlsx</x:v>
      </x:c>
      <x:c r="Z235" s="10" t="str">
        <x:v>0002</x:v>
      </x:c>
      <x:c r="AA235" s="11" t="n">
        <x:v>7</x:v>
      </x:c>
      <x:c r="AB235" s="10" t="str">
        <x:v>BR-SPCARANDIRU_ARCOENGE-DEMOLICAO-CSDTCARANDIRU.xlsx:0002:7</x:v>
      </x:c>
      <x:c r="AC235" s="11" t="n">
        <x:f>COLUMNS(A235:T235)-COUNTBLANK(A235:T235)</x:f>
        <x:v>20</x:v>
      </x:c>
    </x:row>
    <x:row r="236" ht="48" hidden="0" customHeight="1">
      <x:c r="A236" s="10" t="str">
        <x:v>007</x:v>
      </x:c>
      <x:c r="B236" s="10" t="str">
        <x:v>Cobertura de fibrocimento de galpão e via pública.</x:v>
      </x:c>
      <x:c r="C236" s="10" t="str">
        <x:v>Item</x:v>
      </x:c>
      <x:c r="D236" s="10" t="str">
        <x:v>2003-03-10 00:00:00</x:v>
      </x:c>
      <x:c r="E236" s="10" t="str">
        <x:v>Gerado pelo Dataverse</x:v>
      </x:c>
      <x:c r="F236" s="10" t="str">
        <x:v>Nato-digital</x:v>
      </x:c>
      <x:c r="G236" s="10" t="str">
        <x:v>São Paulo, Brasil</x:v>
      </x:c>
      <x:c r="H236" s="10" t="str">
        <x:v>Grupo de Pesquisa em Direito e Violência de Estado</x:v>
      </x:c>
      <x:c r="I236" s="10" t="str">
        <x:v>Arcoenge - Demolição - Casa de Detenção do Carandiru (Fotografias)</x:v>
      </x:c>
      <x:c r="J236" s="10" t="str">
        <x:v>Pasta: 0002</x:v>
      </x:c>
      <x:c r="K236" s="10" t="str">
        <x:v>BR-SPCARANDIRU_ARCOENGE-DEMOLICAO-CSDTCARANDIRU_ICO-FOT-NDG-MB0_0002-007.JPG</x:v>
      </x:c>
      <x:c r="L236"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36" s="10" t="str">
        <x:v>Vista aérea perpendicular focada em uma extensa cobertura retangular de fibrocimento, típica de galpões ou imóveis comerciais/industriais de médio porte, que preenche grande parte do enquadramento. Na extremidade superior da imagem, visualiza-se um trecho linear de calçada e rua asfaltada, além da fachada de propriedades vizinhas do outro lado da via. Marcador numérico "3 3 '03" na lateral esquerda inferior.</x:v>
      </x:c>
      <x:c r="N236"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36" s="10" t="str">
        <x:v>Sistema prisional; Arquitetura prisional; Casa de Detenção de São Paulo; Carandiru</x:v>
      </x:c>
      <x:c r="P236" s="10" t="str">
        <x:v>Fotografia (Iconográfico)</x:v>
      </x:c>
      <x:c r="Q236" s="10" t="str">
        <x:v>Nato-digital</x:v>
      </x:c>
      <x:c r="R236" s="10" t="str">
        <x:v>Figura n – [Cobertura de fibrocimento de galpão e via pública.] Fonte: ARCOENGE, 2003.</x:v>
      </x:c>
      <x:c r="S236" s="10" t="str">
        <x:v>ARCOENGE. [Cobertura de fibrocimento de galpão e via pública.]. São Paulo, Brasil. 10 mar. 2003. Nato-digital. Disponível em: &lt;link do dataverse&gt;. Acesso em: 25 mai. 2026.</x:v>
      </x:c>
      <x:c r="T236" s="10" t="str">
        <x:v>Este item pertencia à pasta intitulada "caixa-d'água 1". Com relação à data de produção da fotografia, embora a lateral das fotografias indiquem 03/03/03, optou-se por utilizar a data mais antiga contida nos metadados do arquivo digital.</x:v>
      </x:c>
      <x:c r="U236" s="10" t="str">
        <x:v>ICO</x:v>
      </x:c>
      <x:c r="V236" s="10" t="str">
        <x:v>FOT</x:v>
      </x:c>
      <x:c r="W236" s="10" t="str">
        <x:v>NDG</x:v>
      </x:c>
      <x:c r="X236" s="10" t="str">
        <x:v>MB0</x:v>
      </x:c>
      <x:c r="Y236" s="10" t="str">
        <x:v>BR-SPCARANDIRU_ARCOENGE-DEMOLICAO-CSDTCARANDIRU.xlsx</x:v>
      </x:c>
      <x:c r="Z236" s="10" t="str">
        <x:v>0002</x:v>
      </x:c>
      <x:c r="AA236" s="11" t="n">
        <x:v>8</x:v>
      </x:c>
      <x:c r="AB236" s="10" t="str">
        <x:v>BR-SPCARANDIRU_ARCOENGE-DEMOLICAO-CSDTCARANDIRU.xlsx:0002:8</x:v>
      </x:c>
      <x:c r="AC236" s="11" t="n">
        <x:f>COLUMNS(A236:T236)-COUNTBLANK(A236:T236)</x:f>
        <x:v>20</x:v>
      </x:c>
    </x:row>
    <x:row r="237" ht="48" hidden="0" customHeight="1">
      <x:c r="A237" s="10" t="str">
        <x:v>008</x:v>
      </x:c>
      <x:c r="B237" s="10" t="str">
        <x:v>Justaposição de coberturas de fibrocimento e terreno descampado.</x:v>
      </x:c>
      <x:c r="C237" s="10" t="str">
        <x:v>Item</x:v>
      </x:c>
      <x:c r="D237" s="10" t="str">
        <x:v>2003-03-10 00:00:00</x:v>
      </x:c>
      <x:c r="E237" s="10" t="str">
        <x:v>Gerado pelo Dataverse</x:v>
      </x:c>
      <x:c r="F237" s="10" t="str">
        <x:v>Nato-digital</x:v>
      </x:c>
      <x:c r="G237" s="10" t="str">
        <x:v>São Paulo, Brasil</x:v>
      </x:c>
      <x:c r="H237" s="10" t="str">
        <x:v>Grupo de Pesquisa em Direito e Violência de Estado</x:v>
      </x:c>
      <x:c r="I237" s="10" t="str">
        <x:v>Arcoenge - Demolição - Casa de Detenção do Carandiru (Fotografias)</x:v>
      </x:c>
      <x:c r="J237" s="10" t="str">
        <x:v>Pasta: 0002</x:v>
      </x:c>
      <x:c r="K237" s="10" t="str">
        <x:v>BR-SPCARANDIRU_ARCOENGE-DEMOLICAO-CSDTCARANDIRU_ICO-FOT-NDG-MB0_0002-008.JPG</x:v>
      </x:c>
      <x:c r="L237"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37" s="10" t="str">
        <x:v>Fotografia em vista superior registrando predominantemente telhados de fibrocimento em diferentes níveis estruturais. À direita da composição, capta-se uma faixa de terreno não pavimentado de terra avermelhada. Marcador numérico "3 3 '03" no canto inferior direito.</x:v>
      </x:c>
      <x:c r="N237"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37" s="10" t="str">
        <x:v>Sistema prisional; Arquitetura prisional; Casa de Detenção de São Paulo; Carandiru</x:v>
      </x:c>
      <x:c r="P237" s="10" t="str">
        <x:v>Fotografia (Iconográfico)</x:v>
      </x:c>
      <x:c r="Q237" s="10" t="str">
        <x:v>Nato-digital</x:v>
      </x:c>
      <x:c r="R237" s="10" t="str">
        <x:v>Figura n – [Justaposição de coberturas de fibrocimento e terreno descampado.] Fonte: ARCOENGE, 2003.</x:v>
      </x:c>
      <x:c r="S237" s="10" t="str">
        <x:v>ARCOENGE. [Justaposição de coberturas de fibrocimento e terreno descampado.]. São Paulo, Brasil. 10 mar. 2003. Nato-digital. Disponível em: &lt;link do dataverse&gt;. Acesso em: 25 mai. 2026.</x:v>
      </x:c>
      <x:c r="T237" s="10" t="str">
        <x:v>Este item pertencia à pasta intitulada "caixa-d'água 1". Com relação à data de produção da fotografia, embora a lateral das fotografias indiquem 03/03/03, optou-se por utilizar a data mais antiga contida nos metadados do arquivo digital.</x:v>
      </x:c>
      <x:c r="U237" s="10" t="str">
        <x:v>ICO</x:v>
      </x:c>
      <x:c r="V237" s="10" t="str">
        <x:v>FOT</x:v>
      </x:c>
      <x:c r="W237" s="10" t="str">
        <x:v>NDG</x:v>
      </x:c>
      <x:c r="X237" s="10" t="str">
        <x:v>MB0</x:v>
      </x:c>
      <x:c r="Y237" s="10" t="str">
        <x:v>BR-SPCARANDIRU_ARCOENGE-DEMOLICAO-CSDTCARANDIRU.xlsx</x:v>
      </x:c>
      <x:c r="Z237" s="10" t="str">
        <x:v>0002</x:v>
      </x:c>
      <x:c r="AA237" s="11" t="n">
        <x:v>9</x:v>
      </x:c>
      <x:c r="AB237" s="10" t="str">
        <x:v>BR-SPCARANDIRU_ARCOENGE-DEMOLICAO-CSDTCARANDIRU.xlsx:0002:9</x:v>
      </x:c>
      <x:c r="AC237" s="11" t="n">
        <x:f>COLUMNS(A237:T237)-COUNTBLANK(A237:T237)</x:f>
        <x:v>20</x:v>
      </x:c>
    </x:row>
    <x:row r="238" ht="48" hidden="0" customHeight="1">
      <x:c r="A238" s="10" t="str">
        <x:v>009</x:v>
      </x:c>
      <x:c r="B238" s="10" t="str">
        <x:v>Edificação estreita e corredor de acesso lateral.</x:v>
      </x:c>
      <x:c r="C238" s="10" t="str">
        <x:v>Item</x:v>
      </x:c>
      <x:c r="D238" s="10" t="str">
        <x:v>2003-03-10 00:00:00</x:v>
      </x:c>
      <x:c r="E238" s="10" t="str">
        <x:v>Gerado pelo Dataverse</x:v>
      </x:c>
      <x:c r="F238" s="10" t="str">
        <x:v>Nato-digital</x:v>
      </x:c>
      <x:c r="G238" s="10" t="str">
        <x:v>São Paulo, Brasil</x:v>
      </x:c>
      <x:c r="H238" s="10" t="str">
        <x:v>Grupo de Pesquisa em Direito e Violência de Estado</x:v>
      </x:c>
      <x:c r="I238" s="10" t="str">
        <x:v>Arcoenge - Demolição - Casa de Detenção do Carandiru (Fotografias)</x:v>
      </x:c>
      <x:c r="J238" s="10" t="str">
        <x:v>Pasta: 0002</x:v>
      </x:c>
      <x:c r="K238" s="10" t="str">
        <x:v>BR-SPCARANDIRU_ARCOENGE-DEMOLICAO-CSDTCARANDIRU_ICO-FOT-NDG-MB0_0002-009.JPG</x:v>
      </x:c>
      <x:c r="L238"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38" s="10" t="str">
        <x:v>Vista em ângulo mergulhante de uma edificação residencial ou de serviço de formato estreito e alongado, coberta por telhas de fibrocimento que apresentam sinais de desgaste e reparos. Lateralmente ao imóvel, observa-se um corredor/quintal parcialmente gramado que conecta os fundos do lote ao portão de acesso na via pública, visível no topo da imagem. Marcador numérico "3 3 '03" no canto inferior direito.</x:v>
      </x:c>
      <x:c r="N238"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38" s="10" t="str">
        <x:v>Sistema prisional; Arquitetura prisional; Casa de Detenção de São Paulo; Carandiru</x:v>
      </x:c>
      <x:c r="P238" s="10" t="str">
        <x:v>Fotografia (Iconográfico)</x:v>
      </x:c>
      <x:c r="Q238" s="10" t="str">
        <x:v>Nato-digital</x:v>
      </x:c>
      <x:c r="R238" s="10" t="str">
        <x:v>Figura n – [Edificação estreita e corredor de acesso lateral.] Fonte: ARCOENGE, 2003.</x:v>
      </x:c>
      <x:c r="S238" s="10" t="str">
        <x:v>ARCOENGE. [Edificação estreita e corredor de acesso lateral.]. São Paulo, Brasil. 10 mar. 2003. Nato-digital. Disponível em: &lt;link do dataverse&gt;. Acesso em: 25 mai. 2026.</x:v>
      </x:c>
      <x:c r="T238" s="10" t="str">
        <x:v>Este item pertencia à pasta intitulada "caixa-d'água 1". Com relação à data de produção da fotografia, embora a lateral das fotografias indiquem 03/03/03, optou-se por utilizar a data mais antiga contida nos metadados do arquivo digital.</x:v>
      </x:c>
      <x:c r="U238" s="10" t="str">
        <x:v>ICO</x:v>
      </x:c>
      <x:c r="V238" s="10" t="str">
        <x:v>FOT</x:v>
      </x:c>
      <x:c r="W238" s="10" t="str">
        <x:v>NDG</x:v>
      </x:c>
      <x:c r="X238" s="10" t="str">
        <x:v>MB0</x:v>
      </x:c>
      <x:c r="Y238" s="10" t="str">
        <x:v>BR-SPCARANDIRU_ARCOENGE-DEMOLICAO-CSDTCARANDIRU.xlsx</x:v>
      </x:c>
      <x:c r="Z238" s="10" t="str">
        <x:v>0002</x:v>
      </x:c>
      <x:c r="AA238" s="11" t="n">
        <x:v>10</x:v>
      </x:c>
      <x:c r="AB238" s="10" t="str">
        <x:v>BR-SPCARANDIRU_ARCOENGE-DEMOLICAO-CSDTCARANDIRU.xlsx:0002:10</x:v>
      </x:c>
      <x:c r="AC238" s="11" t="n">
        <x:f>COLUMNS(A238:T238)-COUNTBLANK(A238:T238)</x:f>
        <x:v>20</x:v>
      </x:c>
    </x:row>
    <x:row r="239" ht="48" hidden="0" customHeight="1">
      <x:c r="A239" s="10" t="str">
        <x:v>010</x:v>
      </x:c>
      <x:c r="B239" s="10" t="str">
        <x:v>Cobertura de telhas cerâmicas com colapso parcial.</x:v>
      </x:c>
      <x:c r="C239" s="10" t="str">
        <x:v>Item</x:v>
      </x:c>
      <x:c r="D239" s="10" t="str">
        <x:v>2003-03-10 00:00:00</x:v>
      </x:c>
      <x:c r="E239" s="10" t="str">
        <x:v>Gerado pelo Dataverse</x:v>
      </x:c>
      <x:c r="F239" s="10" t="str">
        <x:v>Nato-digital</x:v>
      </x:c>
      <x:c r="G239" s="10" t="str">
        <x:v>São Paulo, Brasil</x:v>
      </x:c>
      <x:c r="H239" s="10" t="str">
        <x:v>Grupo de Pesquisa em Direito e Violência de Estado</x:v>
      </x:c>
      <x:c r="I239" s="10" t="str">
        <x:v>Arcoenge - Demolição - Casa de Detenção do Carandiru (Fotografias)</x:v>
      </x:c>
      <x:c r="J239" s="10" t="str">
        <x:v>Pasta: 0002</x:v>
      </x:c>
      <x:c r="K239" s="10" t="str">
        <x:v>BR-SPCARANDIRU_ARCOENGE-DEMOLICAO-CSDTCARANDIRU_ICO-FOT-NDG-MB0_0002-010.JPG</x:v>
      </x:c>
      <x:c r="L239"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39" s="10" t="str">
        <x:v>Fotografia aérea detalhando um adensamento de telhados no limite da área de demolição. O elemento central é um telhado de duas águas em telha cerâmica que apresenta um dano estrutural significativo ou colapso parcial na sua lateral direita, com telhas quebradas e madeiramento escuro exposto. A estrutura é circundada por outras coberturas de fibrocimento e elementos urbanos como uma caixa d'água azul. Marcador numérico "3 3 '03" no canto inferior direito.</x:v>
      </x:c>
      <x:c r="N239"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39" s="10" t="str">
        <x:v>Sistema prisional; Arquitetura prisional; Casa de Detenção de São Paulo; Carandiru</x:v>
      </x:c>
      <x:c r="P239" s="10" t="str">
        <x:v>Fotografia (Iconográfico)</x:v>
      </x:c>
      <x:c r="Q239" s="10" t="str">
        <x:v>Nato-digital</x:v>
      </x:c>
      <x:c r="R239" s="10" t="str">
        <x:v>Figura n – [Cobertura de telhas cerâmicas com colapso parcial.] Fonte: ARCOENGE, 2003.</x:v>
      </x:c>
      <x:c r="S239" s="10" t="str">
        <x:v>ARCOENGE. [Cobertura de telhas cerâmicas com colapso parcial.]. São Paulo, Brasil. 10 mar. 2003. Nato-digital. Disponível em: &lt;link do dataverse&gt;. Acesso em: 25 mai. 2026.</x:v>
      </x:c>
      <x:c r="T239" s="10" t="str">
        <x:v>Este item pertencia à pasta intitulada "caixa-d'água 1". Com relação à data de produção da fotografia, embora a lateral das fotografias indiquem 03/03/03, optou-se por utilizar a data mais antiga contida nos metadados do arquivo digital.</x:v>
      </x:c>
      <x:c r="U239" s="10" t="str">
        <x:v>ICO</x:v>
      </x:c>
      <x:c r="V239" s="10" t="str">
        <x:v>FOT</x:v>
      </x:c>
      <x:c r="W239" s="10" t="str">
        <x:v>NDG</x:v>
      </x:c>
      <x:c r="X239" s="10" t="str">
        <x:v>MB0</x:v>
      </x:c>
      <x:c r="Y239" s="10" t="str">
        <x:v>BR-SPCARANDIRU_ARCOENGE-DEMOLICAO-CSDTCARANDIRU.xlsx</x:v>
      </x:c>
      <x:c r="Z239" s="10" t="str">
        <x:v>0002</x:v>
      </x:c>
      <x:c r="AA239" s="11" t="n">
        <x:v>11</x:v>
      </x:c>
      <x:c r="AB239" s="10" t="str">
        <x:v>BR-SPCARANDIRU_ARCOENGE-DEMOLICAO-CSDTCARANDIRU.xlsx:0002:11</x:v>
      </x:c>
      <x:c r="AC239" s="11" t="n">
        <x:f>COLUMNS(A239:T239)-COUNTBLANK(A239:T239)</x:f>
        <x:v>20</x:v>
      </x:c>
    </x:row>
    <x:row r="240" ht="48" hidden="0" customHeight="1">
      <x:c r="A240" s="10" t="str">
        <x:v>011</x:v>
      </x:c>
      <x:c r="B240" s="10" t="str">
        <x:v>Vista superior de telhados e escavação em canteiro de obras.</x:v>
      </x:c>
      <x:c r="C240" s="10" t="str">
        <x:v>Item</x:v>
      </x:c>
      <x:c r="D240" s="10" t="str">
        <x:v>2003-03-10 00:00:00</x:v>
      </x:c>
      <x:c r="E240" s="10" t="str">
        <x:v>Gerado pelo Dataverse</x:v>
      </x:c>
      <x:c r="F240" s="10" t="str">
        <x:v>Nato-digital</x:v>
      </x:c>
      <x:c r="G240" s="10" t="str">
        <x:v>São Paulo, Brasil</x:v>
      </x:c>
      <x:c r="H240" s="10" t="str">
        <x:v>Grupo de Pesquisa em Direito e Violência de Estado</x:v>
      </x:c>
      <x:c r="I240" s="10" t="str">
        <x:v>Arcoenge - Demolição - Casa de Detenção do Carandiru (Fotografias)</x:v>
      </x:c>
      <x:c r="J240" s="10" t="str">
        <x:v>Pasta: 0002</x:v>
      </x:c>
      <x:c r="K240" s="10" t="str">
        <x:v>BR-SPCARANDIRU_ARCOENGE-DEMOLICAO-CSDTCARANDIRU_ICO-FOT-NDG-MB0_0002-011.JPG</x:v>
      </x:c>
      <x:c r="L240"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40" s="10" t="str">
        <x:v>Fotografia em ângulo mergulhante mostrando um adensamento de telhados cerâmicos e de fibrocimento de edificações residenciais. Ao centro, destaca-se uma estrutura inacabada ou em desmanche com vigas de concreto expostas. À direita, observa-se uma via pública asfaltada com um veículo escuro estacionado e um pedestre. À extrema esquerda, nota-se uma borda de área de escavação em terra nua com a presença de um trabalhador utilizando capacete de segurança amarelo. Marcador numérico "3 3 '03" no canto inferior direito.</x:v>
      </x:c>
      <x:c r="N240"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40" s="10" t="str">
        <x:v>Sistema prisional; Arquitetura prisional; Casa de Detenção de São Paulo; Carandiru</x:v>
      </x:c>
      <x:c r="P240" s="10" t="str">
        <x:v>Fotografia (Iconográfico)</x:v>
      </x:c>
      <x:c r="Q240" s="10" t="str">
        <x:v>Nato-digital</x:v>
      </x:c>
      <x:c r="R240" s="10" t="str">
        <x:v>Figura n – [Vista superior de telhados e escavação em canteiro de obras.] Fonte: ARCOENGE, 2003.</x:v>
      </x:c>
      <x:c r="S240" s="10" t="str">
        <x:v>ARCOENGE. [Vista superior de telhados e escavação em canteiro de obras.]. São Paulo, Brasil. 10 mar. 2003. Nato-digital. Disponível em: &lt;link do dataverse&gt;. Acesso em: 25 mai. 2026.</x:v>
      </x:c>
      <x:c r="T240" s="10" t="str">
        <x:v>Este item pertencia à pasta intitulada "caixa-d'água 1". Com relação à data de produção da fotografia, embora a lateral das fotografias indiquem 03/03/03, optou-se por utilizar a data mais antiga contida nos metadados do arquivo digital.</x:v>
      </x:c>
      <x:c r="U240" s="10" t="str">
        <x:v>ICO</x:v>
      </x:c>
      <x:c r="V240" s="10" t="str">
        <x:v>FOT</x:v>
      </x:c>
      <x:c r="W240" s="10" t="str">
        <x:v>NDG</x:v>
      </x:c>
      <x:c r="X240" s="10" t="str">
        <x:v>MB0</x:v>
      </x:c>
      <x:c r="Y240" s="10" t="str">
        <x:v>BR-SPCARANDIRU_ARCOENGE-DEMOLICAO-CSDTCARANDIRU.xlsx</x:v>
      </x:c>
      <x:c r="Z240" s="10" t="str">
        <x:v>0002</x:v>
      </x:c>
      <x:c r="AA240" s="11" t="n">
        <x:v>12</x:v>
      </x:c>
      <x:c r="AB240" s="10" t="str">
        <x:v>BR-SPCARANDIRU_ARCOENGE-DEMOLICAO-CSDTCARANDIRU.xlsx:0002:12</x:v>
      </x:c>
      <x:c r="AC240" s="11" t="n">
        <x:f>COLUMNS(A240:T240)-COUNTBLANK(A240:T240)</x:f>
        <x:v>20</x:v>
      </x:c>
    </x:row>
    <x:row r="241" ht="48" hidden="0" customHeight="1">
      <x:c r="A241" s="10" t="str">
        <x:v>012</x:v>
      </x:c>
      <x:c r="B241" s="10" t="str">
        <x:v>Telhados residenciais adjacentes a canteiro de obras e via pública.</x:v>
      </x:c>
      <x:c r="C241" s="10" t="str">
        <x:v>Item</x:v>
      </x:c>
      <x:c r="D241" s="10" t="str">
        <x:v>2003-03-10 00:00:00</x:v>
      </x:c>
      <x:c r="E241" s="10" t="str">
        <x:v>Gerado pelo Dataverse</x:v>
      </x:c>
      <x:c r="F241" s="10" t="str">
        <x:v>Nato-digital</x:v>
      </x:c>
      <x:c r="G241" s="10" t="str">
        <x:v>São Paulo, Brasil</x:v>
      </x:c>
      <x:c r="H241" s="10" t="str">
        <x:v>Grupo de Pesquisa em Direito e Violência de Estado</x:v>
      </x:c>
      <x:c r="I241" s="10" t="str">
        <x:v>Arcoenge - Demolição - Casa de Detenção do Carandiru (Fotografias)</x:v>
      </x:c>
      <x:c r="J241" s="10" t="str">
        <x:v>Pasta: 0002</x:v>
      </x:c>
      <x:c r="K241" s="10" t="str">
        <x:v>BR-SPCARANDIRU_ARCOENGE-DEMOLICAO-CSDTCARANDIRU_ICO-FOT-NDG-MB0_0002-012.JPG</x:v>
      </x:c>
      <x:c r="L241"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41" s="10" t="str">
        <x:v>Vista aérea similar à imagem anterior, com ligeira variação de enquadramento, detalhando a justaposição de imóveis residenciais. No centro, uma edificação apresenta laje descoberta com vigamento aparente e uma pequena piscina de lona azul. À esquerda, a margem do canteiro de obras exibe solo escavado e trabalhadores. À direita, a rua asfaltada com calçadas e arborização. Marcador numérico "3 3 '03" no canto inferior direito.</x:v>
      </x:c>
      <x:c r="N241"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41" s="10" t="str">
        <x:v>Sistema prisional; Arquitetura prisional; Casa de Detenção de São Paulo; Carandiru</x:v>
      </x:c>
      <x:c r="P241" s="10" t="str">
        <x:v>Fotografia (Iconográfico)</x:v>
      </x:c>
      <x:c r="Q241" s="10" t="str">
        <x:v>Nato-digital</x:v>
      </x:c>
      <x:c r="R241" s="10" t="str">
        <x:v>Figura n – [Telhados residenciais adjacentes a canteiro de obras e via pública.] Fonte: ARCOENGE, 2003.</x:v>
      </x:c>
      <x:c r="S241" s="10" t="str">
        <x:v>ARCOENGE. [Telhados residenciais adjacentes a canteiro de obras e via pública.]. São Paulo, Brasil. 10 mar. 2003. Nato-digital. Disponível em: &lt;link do dataverse&gt;. Acesso em: 25 mai. 2026.</x:v>
      </x:c>
      <x:c r="T241" s="10" t="str">
        <x:v>Este item pertencia à pasta intitulada "caixa-d'água 1". Com relação à data de produção da fotografia, embora a lateral das fotografias indiquem 03/03/03, optou-se por utilizar a data mais antiga contida nos metadados do arquivo digital.</x:v>
      </x:c>
      <x:c r="U241" s="10" t="str">
        <x:v>ICO</x:v>
      </x:c>
      <x:c r="V241" s="10" t="str">
        <x:v>FOT</x:v>
      </x:c>
      <x:c r="W241" s="10" t="str">
        <x:v>NDG</x:v>
      </x:c>
      <x:c r="X241" s="10" t="str">
        <x:v>MB0</x:v>
      </x:c>
      <x:c r="Y241" s="10" t="str">
        <x:v>BR-SPCARANDIRU_ARCOENGE-DEMOLICAO-CSDTCARANDIRU.xlsx</x:v>
      </x:c>
      <x:c r="Z241" s="10" t="str">
        <x:v>0002</x:v>
      </x:c>
      <x:c r="AA241" s="11" t="n">
        <x:v>13</x:v>
      </x:c>
      <x:c r="AB241" s="10" t="str">
        <x:v>BR-SPCARANDIRU_ARCOENGE-DEMOLICAO-CSDTCARANDIRU.xlsx:0002:13</x:v>
      </x:c>
      <x:c r="AC241" s="11" t="n">
        <x:f>COLUMNS(A241:T241)-COUNTBLANK(A241:T241)</x:f>
        <x:v>20</x:v>
      </x:c>
    </x:row>
    <x:row r="242" ht="48" hidden="0" customHeight="1">
      <x:c r="A242" s="10" t="str">
        <x:v>013</x:v>
      </x:c>
      <x:c r="B242" s="10" t="str">
        <x:v>Perspectiva de casas enfileiradas e área de demolição com maquinário.</x:v>
      </x:c>
      <x:c r="C242" s="10" t="str">
        <x:v>Item</x:v>
      </x:c>
      <x:c r="D242" s="10" t="str">
        <x:v>2003-03-10 00:00:00</x:v>
      </x:c>
      <x:c r="E242" s="10" t="str">
        <x:v>Gerado pelo Dataverse</x:v>
      </x:c>
      <x:c r="F242" s="10" t="str">
        <x:v>Nato-digital</x:v>
      </x:c>
      <x:c r="G242" s="10" t="str">
        <x:v>São Paulo, Brasil</x:v>
      </x:c>
      <x:c r="H242" s="10" t="str">
        <x:v>Grupo de Pesquisa em Direito e Violência de Estado</x:v>
      </x:c>
      <x:c r="I242" s="10" t="str">
        <x:v>Arcoenge - Demolição - Casa de Detenção do Carandiru (Fotografias)</x:v>
      </x:c>
      <x:c r="J242" s="10" t="str">
        <x:v>Pasta: 0002</x:v>
      </x:c>
      <x:c r="K242" s="10" t="str">
        <x:v>BR-SPCARANDIRU_ARCOENGE-DEMOLICAO-CSDTCARANDIRU_ICO-FOT-NDG-MB0_0002-013.JPG</x:v>
      </x:c>
      <x:c r="L242"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42" s="10" t="str">
        <x:v>Fotografia em ângulo mergulhante que abrange uma extensa fileira de imóveis residenciais com telhados predominantes de cerâmica, margeados por uma via pública à direita. À esquerda, separada por um longo muro de contenção em diferentes níveis, estende-se uma ampla área de terra correspondente ao canteiro de obras. No terreno, visualiza-se uma retroescavadeira amarela e operários trabalhando junto à base do muro. Marcador numérico "3 3 '03" no canto inferior direito.</x:v>
      </x:c>
      <x:c r="N242"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42" s="10" t="str">
        <x:v>Sistema prisional; Arquitetura prisional; Casa de Detenção de São Paulo; Carandiru</x:v>
      </x:c>
      <x:c r="P242" s="10" t="str">
        <x:v>Fotografia (Iconográfico)</x:v>
      </x:c>
      <x:c r="Q242" s="10" t="str">
        <x:v>Nato-digital</x:v>
      </x:c>
      <x:c r="R242" s="10" t="str">
        <x:v>Figura n – [Perspectiva de casas enfileiradas e área de demolição com maquinário.] Fonte: ARCOENGE, 2003.</x:v>
      </x:c>
      <x:c r="S242" s="10" t="str">
        <x:v>ARCOENGE. [Perspectiva de casas enfileiradas e área de demolição com maquinário.]. São Paulo, Brasil. 10 mar. 2003. Nato-digital. Disponível em: &lt;link do dataverse&gt;. Acesso em: 25 mai. 2026.</x:v>
      </x:c>
      <x:c r="T242" s="10" t="str">
        <x:v>Este item pertencia à pasta intitulada "caixa-d'água 1". Com relação à data de produção da fotografia, embora a lateral das fotografias indiquem 03/03/03, optou-se por utilizar a data mais antiga contida nos metadados do arquivo digital.</x:v>
      </x:c>
      <x:c r="U242" s="10" t="str">
        <x:v>ICO</x:v>
      </x:c>
      <x:c r="V242" s="10" t="str">
        <x:v>FOT</x:v>
      </x:c>
      <x:c r="W242" s="10" t="str">
        <x:v>NDG</x:v>
      </x:c>
      <x:c r="X242" s="10" t="str">
        <x:v>MB0</x:v>
      </x:c>
      <x:c r="Y242" s="10" t="str">
        <x:v>BR-SPCARANDIRU_ARCOENGE-DEMOLICAO-CSDTCARANDIRU.xlsx</x:v>
      </x:c>
      <x:c r="Z242" s="10" t="str">
        <x:v>0002</x:v>
      </x:c>
      <x:c r="AA242" s="11" t="n">
        <x:v>14</x:v>
      </x:c>
      <x:c r="AB242" s="10" t="str">
        <x:v>BR-SPCARANDIRU_ARCOENGE-DEMOLICAO-CSDTCARANDIRU.xlsx:0002:14</x:v>
      </x:c>
      <x:c r="AC242" s="11" t="n">
        <x:f>COLUMNS(A242:T242)-COUNTBLANK(A242:T242)</x:f>
        <x:v>20</x:v>
      </x:c>
    </x:row>
    <x:row r="243" ht="48" hidden="0" customHeight="1">
      <x:c r="A243" s="10" t="str">
        <x:v>014</x:v>
      </x:c>
      <x:c r="B243" s="10" t="str">
        <x:v>Vista panorâmica do bairro, canteiro de obras e horizonte da cidade.</x:v>
      </x:c>
      <x:c r="C243" s="10" t="str">
        <x:v>Item</x:v>
      </x:c>
      <x:c r="D243" s="10" t="str">
        <x:v>2003-03-10 00:00:00</x:v>
      </x:c>
      <x:c r="E243" s="10" t="str">
        <x:v>Gerado pelo Dataverse</x:v>
      </x:c>
      <x:c r="F243" s="10" t="str">
        <x:v>Nato-digital</x:v>
      </x:c>
      <x:c r="G243" s="10" t="str">
        <x:v>São Paulo, Brasil</x:v>
      </x:c>
      <x:c r="H243" s="10" t="str">
        <x:v>Grupo de Pesquisa em Direito e Violência de Estado</x:v>
      </x:c>
      <x:c r="I243" s="10" t="str">
        <x:v>Arcoenge - Demolição - Casa de Detenção do Carandiru (Fotografias)</x:v>
      </x:c>
      <x:c r="J243" s="10" t="str">
        <x:v>Pasta: 0002</x:v>
      </x:c>
      <x:c r="K243" s="10" t="str">
        <x:v>BR-SPCARANDIRU_ARCOENGE-DEMOLICAO-CSDTCARANDIRU_ICO-FOT-NDG-MB0_0002-014.JPG</x:v>
      </x:c>
      <x:c r="L243"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43" s="10" t="str">
        <x:v>Imagem aérea de grande amplitude registrando a extensão do bairro residencial à direita e a vasta área de terra batida do canteiro de obras à esquerda, ambos separados de forma linear por um muro contínuo. No canteiro, visualiza-se maquinário pesado (retroescavadeira). Ao fundo, no horizonte, destaca-se o perfil urbano verticalizado da cidade de São Paulo, sob céu claro. Marcador numérico "3 3 '03" alinhado verticalmente na lateral inferior esquerda.</x:v>
      </x:c>
      <x:c r="N243"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43" s="10" t="str">
        <x:v>Sistema prisional; Arquitetura prisional; Casa de Detenção de São Paulo; Carandiru</x:v>
      </x:c>
      <x:c r="P243" s="10" t="str">
        <x:v>Fotografia (Iconográfico)</x:v>
      </x:c>
      <x:c r="Q243" s="10" t="str">
        <x:v>Nato-digital</x:v>
      </x:c>
      <x:c r="R243" s="10" t="str">
        <x:v>Figura n – [Vista panorâmica do bairro, canteiro de obras e horizonte da cidade.] Fonte: ARCOENGE, 2003.</x:v>
      </x:c>
      <x:c r="S243" s="10" t="str">
        <x:v>ARCOENGE. [Vista panorâmica do bairro, canteiro de obras e horizonte da cidade.]. São Paulo, Brasil. 10 mar. 2003. Nato-digital. Disponível em: &lt;link do dataverse&gt;. Acesso em: 25 mai. 2026.</x:v>
      </x:c>
      <x:c r="T243" s="10" t="str">
        <x:v>Este item pertencia à pasta intitulada "caixa-d'água 1". Com relação à data de produção da fotografia, embora a lateral das fotografias indiquem 03/03/03, optou-se por utilizar a data mais antiga contida nos metadados do arquivo digital.</x:v>
      </x:c>
      <x:c r="U243" s="10" t="str">
        <x:v>ICO</x:v>
      </x:c>
      <x:c r="V243" s="10" t="str">
        <x:v>FOT</x:v>
      </x:c>
      <x:c r="W243" s="10" t="str">
        <x:v>NDG</x:v>
      </x:c>
      <x:c r="X243" s="10" t="str">
        <x:v>MB0</x:v>
      </x:c>
      <x:c r="Y243" s="10" t="str">
        <x:v>BR-SPCARANDIRU_ARCOENGE-DEMOLICAO-CSDTCARANDIRU.xlsx</x:v>
      </x:c>
      <x:c r="Z243" s="10" t="str">
        <x:v>0002</x:v>
      </x:c>
      <x:c r="AA243" s="11" t="n">
        <x:v>15</x:v>
      </x:c>
      <x:c r="AB243" s="10" t="str">
        <x:v>BR-SPCARANDIRU_ARCOENGE-DEMOLICAO-CSDTCARANDIRU.xlsx:0002:15</x:v>
      </x:c>
      <x:c r="AC243" s="11" t="n">
        <x:f>COLUMNS(A243:T243)-COUNTBLANK(A243:T243)</x:f>
        <x:v>20</x:v>
      </x:c>
    </x:row>
    <x:row r="244" ht="48" hidden="0" customHeight="1">
      <x:c r="A244" s="10" t="str">
        <x:v>015</x:v>
      </x:c>
      <x:c r="B244" s="10" t="str">
        <x:v>Contraste entre telhados de imóveis e os pavilhões da Casa de Detenção.</x:v>
      </x:c>
      <x:c r="C244" s="10" t="str">
        <x:v>Item</x:v>
      </x:c>
      <x:c r="D244" s="10" t="str">
        <x:v>2003-03-10 00:00:00</x:v>
      </x:c>
      <x:c r="E244" s="10" t="str">
        <x:v>Gerado pelo Dataverse</x:v>
      </x:c>
      <x:c r="F244" s="10" t="str">
        <x:v>Nato-digital</x:v>
      </x:c>
      <x:c r="G244" s="10" t="str">
        <x:v>São Paulo, Brasil</x:v>
      </x:c>
      <x:c r="H244" s="10" t="str">
        <x:v>Grupo de Pesquisa em Direito e Violência de Estado</x:v>
      </x:c>
      <x:c r="I244" s="10" t="str">
        <x:v>Arcoenge - Demolição - Casa de Detenção do Carandiru (Fotografias)</x:v>
      </x:c>
      <x:c r="J244" s="10" t="str">
        <x:v>Pasta: 0002</x:v>
      </x:c>
      <x:c r="K244" s="10" t="str">
        <x:v>BR-SPCARANDIRU_ARCOENGE-DEMOLICAO-CSDTCARANDIRU_ICO-FOT-NDG-MB0_0002-015.JPG</x:v>
      </x:c>
      <x:c r="L244"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44" s="10" t="str">
        <x:v>Fotografia em ângulo mergulhante retratando o adensamento de coberturas residenciais (mesclando cerâmica e fibrocimento) em primeiro plano. Ao fundo, compondo a metade superior da imagem, observam-se os altos muros de contenção e os blocos prisionais da Casa de Detenção do Carandiru, acompanhados por uma ampla área de campo de futebol e gramado. Marcador numérico "3 3 '03" no canto inferior direito.</x:v>
      </x:c>
      <x:c r="N244"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44" s="10" t="str">
        <x:v>Sistema prisional; Arquitetura prisional; Casa de Detenção de São Paulo; Carandiru</x:v>
      </x:c>
      <x:c r="P244" s="10" t="str">
        <x:v>Fotografia (Iconográfico)</x:v>
      </x:c>
      <x:c r="Q244" s="10" t="str">
        <x:v>Nato-digital</x:v>
      </x:c>
      <x:c r="R244" s="10" t="str">
        <x:v>Figura n – [Contraste entre telhados de imóveis e os pavilhões da Casa de Detenção.] Fonte: ARCOENGE, 2003.</x:v>
      </x:c>
      <x:c r="S244" s="10" t="str">
        <x:v>ARCOENGE. [Contraste entre telhados de imóveis e os pavilhões da Casa de Detenção.]. São Paulo, Brasil. 10 mar. 2003. Nato-digital. Disponível em: &lt;link do dataverse&gt;. Acesso em: 25 mai. 2026.</x:v>
      </x:c>
      <x:c r="T244" s="10" t="str">
        <x:v>Este item pertencia à pasta intitulada "caixa-d'água 1". Com relação à data de produção da fotografia, embora a lateral das fotografias indiquem 03/03/03, optou-se por utilizar a data mais antiga contida nos metadados do arquivo digital.</x:v>
      </x:c>
      <x:c r="U244" s="10" t="str">
        <x:v>ICO</x:v>
      </x:c>
      <x:c r="V244" s="10" t="str">
        <x:v>FOT</x:v>
      </x:c>
      <x:c r="W244" s="10" t="str">
        <x:v>NDG</x:v>
      </x:c>
      <x:c r="X244" s="10" t="str">
        <x:v>MB0</x:v>
      </x:c>
      <x:c r="Y244" s="10" t="str">
        <x:v>BR-SPCARANDIRU_ARCOENGE-DEMOLICAO-CSDTCARANDIRU.xlsx</x:v>
      </x:c>
      <x:c r="Z244" s="10" t="str">
        <x:v>0002</x:v>
      </x:c>
      <x:c r="AA244" s="11" t="n">
        <x:v>16</x:v>
      </x:c>
      <x:c r="AB244" s="10" t="str">
        <x:v>BR-SPCARANDIRU_ARCOENGE-DEMOLICAO-CSDTCARANDIRU.xlsx:0002:16</x:v>
      </x:c>
      <x:c r="AC244" s="11" t="n">
        <x:f>COLUMNS(A244:T244)-COUNTBLANK(A244:T244)</x:f>
        <x:v>20</x:v>
      </x:c>
    </x:row>
    <x:row r="245" ht="48" hidden="0" customHeight="1">
      <x:c r="A245" s="10" t="str">
        <x:v>016</x:v>
      </x:c>
      <x:c r="B245" s="10" t="str">
        <x:v>Detalhe superior de telhado cerâmico avariado e muro divisório.</x:v>
      </x:c>
      <x:c r="C245" s="10" t="str">
        <x:v>Item</x:v>
      </x:c>
      <x:c r="D245" s="10" t="str">
        <x:v>2003-03-10 00:00:00</x:v>
      </x:c>
      <x:c r="E245" s="10" t="str">
        <x:v>Gerado pelo Dataverse</x:v>
      </x:c>
      <x:c r="F245" s="10" t="str">
        <x:v>Nato-digital</x:v>
      </x:c>
      <x:c r="G245" s="10" t="str">
        <x:v>São Paulo, Brasil</x:v>
      </x:c>
      <x:c r="H245" s="10" t="str">
        <x:v>Grupo de Pesquisa em Direito e Violência de Estado</x:v>
      </x:c>
      <x:c r="I245" s="10" t="str">
        <x:v>Arcoenge - Demolição - Casa de Detenção do Carandiru (Fotografias)</x:v>
      </x:c>
      <x:c r="J245" s="10" t="str">
        <x:v>Pasta: 0002</x:v>
      </x:c>
      <x:c r="K245" s="10" t="str">
        <x:v>BR-SPCARANDIRU_ARCOENGE-DEMOLICAO-CSDTCARANDIRU_ICO-FOT-NDG-MB0_0002-016.JPG</x:v>
      </x:c>
      <x:c r="L245"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45" s="10" t="str">
        <x:v>Imagem em plano mais fechado e ângulo superior focando no encontro estrutural entre o telhado cerâmico de uma edificação residencial e um muro divisório de alvenaria com acabamento rústico. Observam-se áreas com telhas quebradas, falhas na cobertura, madeiramento exposto e uma haste/tubulação metálica vertical apoiada no muro. Marcador numérico "3 3 '03" no canto inferior direito.</x:v>
      </x:c>
      <x:c r="N245"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45" s="10" t="str">
        <x:v>Sistema prisional; Arquitetura prisional; Casa de Detenção de São Paulo; Carandiru</x:v>
      </x:c>
      <x:c r="P245" s="10" t="str">
        <x:v>Fotografia (Iconográfico)</x:v>
      </x:c>
      <x:c r="Q245" s="10" t="str">
        <x:v>Nato-digital</x:v>
      </x:c>
      <x:c r="R245" s="10" t="str">
        <x:v>Figura n – [Detalhe superior de telhado cerâmico avariado e muro divisório.] Fonte: ARCOENGE, 2003.</x:v>
      </x:c>
      <x:c r="S245" s="10" t="str">
        <x:v>ARCOENGE. [Detalhe superior de telhado cerâmico avariado e muro divisório.]. São Paulo, Brasil. 10 mar. 2003. Nato-digital. Disponível em: &lt;link do dataverse&gt;. Acesso em: 25 mai. 2026.</x:v>
      </x:c>
      <x:c r="T245" s="10" t="str">
        <x:v>Este item pertencia à pasta intitulada "caixa-d'água 1". Com relação à data de produção da fotografia, embora a lateral das fotografias indiquem 03/03/03, optou-se por utilizar a data mais antiga contida nos metadados do arquivo digital.</x:v>
      </x:c>
      <x:c r="U245" s="10" t="str">
        <x:v>ICO</x:v>
      </x:c>
      <x:c r="V245" s="10" t="str">
        <x:v>FOT</x:v>
      </x:c>
      <x:c r="W245" s="10" t="str">
        <x:v>NDG</x:v>
      </x:c>
      <x:c r="X245" s="10" t="str">
        <x:v>MB0</x:v>
      </x:c>
      <x:c r="Y245" s="10" t="str">
        <x:v>BR-SPCARANDIRU_ARCOENGE-DEMOLICAO-CSDTCARANDIRU.xlsx</x:v>
      </x:c>
      <x:c r="Z245" s="10" t="str">
        <x:v>0002</x:v>
      </x:c>
      <x:c r="AA245" s="11" t="n">
        <x:v>17</x:v>
      </x:c>
      <x:c r="AB245" s="10" t="str">
        <x:v>BR-SPCARANDIRU_ARCOENGE-DEMOLICAO-CSDTCARANDIRU.xlsx:0002:17</x:v>
      </x:c>
      <x:c r="AC245" s="11" t="n">
        <x:f>COLUMNS(A245:T245)-COUNTBLANK(A245:T245)</x:f>
        <x:v>20</x:v>
      </x:c>
    </x:row>
    <x:row r="246" ht="48" hidden="0" customHeight="1">
      <x:c r="A246" s="10" t="str">
        <x:v>017</x:v>
      </x:c>
      <x:c r="B246" s="10" t="str">
        <x:v>Muro de divisa desgastado e tapume de madeira em primeiro plano.</x:v>
      </x:c>
      <x:c r="C246" s="10" t="str">
        <x:v>Item</x:v>
      </x:c>
      <x:c r="D246" s="10" t="str">
        <x:v>2003-03-10 00:00:00</x:v>
      </x:c>
      <x:c r="E246" s="10" t="str">
        <x:v>Gerado pelo Dataverse</x:v>
      </x:c>
      <x:c r="F246" s="10" t="str">
        <x:v>Nato-digital</x:v>
      </x:c>
      <x:c r="G246" s="10" t="str">
        <x:v>São Paulo, Brasil</x:v>
      </x:c>
      <x:c r="H246" s="10" t="str">
        <x:v>Grupo de Pesquisa em Direito e Violência de Estado</x:v>
      </x:c>
      <x:c r="I246" s="10" t="str">
        <x:v>Arcoenge - Demolição - Casa de Detenção do Carandiru (Fotografias)</x:v>
      </x:c>
      <x:c r="J246" s="10" t="str">
        <x:v>Pasta: 0002</x:v>
      </x:c>
      <x:c r="K246" s="10" t="str">
        <x:v>BR-SPCARANDIRU_ARCOENGE-DEMOLICAO-CSDTCARANDIRU_ICO-FOT-NDG-MB0_0002-017.JPG</x:v>
      </x:c>
      <x:c r="L246"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46" s="10" t="str">
        <x:v>Fotografia capturada próxima ao nível do solo retratando um longo muro de alvenaria com sinais visíveis de desgaste, umidade e variação de pintura, que oculta parcialmente os telhados de fibrocimento das propriedades vizinhas. À direita, nota-se uma grande estrutura em tapume de madeira. O primeiro plano é dominado por solo de terra batida, pedregulhos e entulho disperso, típico de área de demolição. Marcador numérico "3 3 '03" no canto inferior direito.</x:v>
      </x:c>
      <x:c r="N246"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46" s="10" t="str">
        <x:v>Sistema prisional; Arquitetura prisional; Casa de Detenção de São Paulo; Carandiru</x:v>
      </x:c>
      <x:c r="P246" s="10" t="str">
        <x:v>Fotografia (Iconográfico)</x:v>
      </x:c>
      <x:c r="Q246" s="10" t="str">
        <x:v>Nato-digital</x:v>
      </x:c>
      <x:c r="R246" s="10" t="str">
        <x:v>Figura n – [Muro de divisa desgastado e tapume de madeira em primeiro plano.] Fonte: ARCOENGE, 2003.</x:v>
      </x:c>
      <x:c r="S246" s="10" t="str">
        <x:v>ARCOENGE. [Muro de divisa desgastado e tapume de madeira em primeiro plano.]. São Paulo, Brasil. 10 mar. 2003. Nato-digital. Disponível em: &lt;link do dataverse&gt;. Acesso em: 25 mai. 2026.</x:v>
      </x:c>
      <x:c r="T246" s="10" t="str">
        <x:v>Este item pertencia à pasta intitulada "caixa-d'água 1". Com relação à data de produção da fotografia, embora a lateral das fotografias indiquem 03/03/03, optou-se por utilizar a data mais antiga contida nos metadados do arquivo digital.</x:v>
      </x:c>
      <x:c r="U246" s="10" t="str">
        <x:v>ICO</x:v>
      </x:c>
      <x:c r="V246" s="10" t="str">
        <x:v>FOT</x:v>
      </x:c>
      <x:c r="W246" s="10" t="str">
        <x:v>NDG</x:v>
      </x:c>
      <x:c r="X246" s="10" t="str">
        <x:v>MB0</x:v>
      </x:c>
      <x:c r="Y246" s="10" t="str">
        <x:v>BR-SPCARANDIRU_ARCOENGE-DEMOLICAO-CSDTCARANDIRU.xlsx</x:v>
      </x:c>
      <x:c r="Z246" s="10" t="str">
        <x:v>0002</x:v>
      </x:c>
      <x:c r="AA246" s="11" t="n">
        <x:v>18</x:v>
      </x:c>
      <x:c r="AB246" s="10" t="str">
        <x:v>BR-SPCARANDIRU_ARCOENGE-DEMOLICAO-CSDTCARANDIRU.xlsx:0002:18</x:v>
      </x:c>
      <x:c r="AC246" s="11" t="n">
        <x:f>COLUMNS(A246:T246)-COUNTBLANK(A246:T246)</x:f>
        <x:v>20</x:v>
      </x:c>
    </x:row>
    <x:row r="247" ht="48" hidden="0" customHeight="1">
      <x:c r="A247" s="10" t="str">
        <x:v>018</x:v>
      </x:c>
      <x:c r="B247" s="10" t="str">
        <x:v>Grupo de trabalhadores junto a muro.</x:v>
      </x:c>
      <x:c r="C247" s="10" t="str">
        <x:v>Item</x:v>
      </x:c>
      <x:c r="D247" s="10" t="str">
        <x:v>2003-03-10 00:00:00</x:v>
      </x:c>
      <x:c r="E247" s="10" t="str">
        <x:v>Gerado pelo Dataverse</x:v>
      </x:c>
      <x:c r="F247" s="10" t="str">
        <x:v>Nato-digital</x:v>
      </x:c>
      <x:c r="G247" s="10" t="str">
        <x:v>São Paulo, Brasil</x:v>
      </x:c>
      <x:c r="H247" s="10" t="str">
        <x:v>Grupo de Pesquisa em Direito e Violência de Estado</x:v>
      </x:c>
      <x:c r="I247" s="10" t="str">
        <x:v>Arcoenge - Demolição - Casa de Detenção do Carandiru (Fotografias)</x:v>
      </x:c>
      <x:c r="J247" s="10" t="str">
        <x:v>Pasta: 0002</x:v>
      </x:c>
      <x:c r="K247" s="10" t="str">
        <x:v>BR-SPCARANDIRU_ARCOENGE-DEMOLICAO-CSDTCARANDIRU_ICO-FOT-NDG-MB0_0002-018.JPG</x:v>
      </x:c>
      <x:c r="L247"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47" s="10" t="str">
        <x:v>Fotografia ao nível do solo registrando um grupo de cinco trabalhadores da construção civil, equipados com capacetes de segurança (amarelos e brancos), parados junto a um longo muro de divisa. O muro apresenta uma estética fragmentada, exibindo áreas com blocos de concreto aparentes, tijolos de barro expostos e diferentes texturas de reboco e pintura. Por trás da barreira, despontam os telhados das casas do entorno. O solo em primeiro plano contém terra revolvida e restos estruturais. Marcador numérico "3 3 '03" no canto inferior direito.</x:v>
      </x:c>
      <x:c r="N247"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47" s="10" t="str">
        <x:v>Sistema prisional; Arquitetura prisional; Casa de Detenção de São Paulo; Carandiru</x:v>
      </x:c>
      <x:c r="P247" s="10" t="str">
        <x:v>Fotografia (Iconográfico)</x:v>
      </x:c>
      <x:c r="Q247" s="10" t="str">
        <x:v>Nato-digital</x:v>
      </x:c>
      <x:c r="R247" s="10" t="str">
        <x:v>Figura n – [Grupo de trabalhadores junto a muro.] Fonte: ARCOENGE, 2003.</x:v>
      </x:c>
      <x:c r="S247" s="10" t="str">
        <x:v>ARCOENGE. [Grupo de trabalhadores junto a muro.]. São Paulo, Brasil. 10 mar. 2003. Nato-digital. Disponível em: &lt;link do dataverse&gt;. Acesso em: 25 mai. 2026.</x:v>
      </x:c>
      <x:c r="T247" s="10" t="str">
        <x:v>Este item pertencia à pasta intitulada "caixa-d'água 1". Com relação à data de produção da fotografia, embora a lateral das fotografias indiquem 03/03/03, optou-se por utilizar a data mais antiga contida nos metadados do arquivo digital.</x:v>
      </x:c>
      <x:c r="U247" s="10" t="str">
        <x:v>ICO</x:v>
      </x:c>
      <x:c r="V247" s="10" t="str">
        <x:v>FOT</x:v>
      </x:c>
      <x:c r="W247" s="10" t="str">
        <x:v>NDG</x:v>
      </x:c>
      <x:c r="X247" s="10" t="str">
        <x:v>MB0</x:v>
      </x:c>
      <x:c r="Y247" s="10" t="str">
        <x:v>BR-SPCARANDIRU_ARCOENGE-DEMOLICAO-CSDTCARANDIRU.xlsx</x:v>
      </x:c>
      <x:c r="Z247" s="10" t="str">
        <x:v>0002</x:v>
      </x:c>
      <x:c r="AA247" s="11" t="n">
        <x:v>19</x:v>
      </x:c>
      <x:c r="AB247" s="10" t="str">
        <x:v>BR-SPCARANDIRU_ARCOENGE-DEMOLICAO-CSDTCARANDIRU.xlsx:0002:19</x:v>
      </x:c>
      <x:c r="AC247" s="11" t="n">
        <x:f>COLUMNS(A247:T247)-COUNTBLANK(A247:T247)</x:f>
        <x:v>20</x:v>
      </x:c>
    </x:row>
    <x:row r="248" ht="48" hidden="0" customHeight="1">
      <x:c r="A248" s="10" t="str">
        <x:v>019</x:v>
      </x:c>
      <x:c r="B248" s="10" t="str">
        <x:v>Trabalhadores e caixa d'água visível sobre extenso muro de divisa.</x:v>
      </x:c>
      <x:c r="C248" s="10" t="str">
        <x:v>Item</x:v>
      </x:c>
      <x:c r="D248" s="10" t="str">
        <x:v>2003-03-10 00:00:00</x:v>
      </x:c>
      <x:c r="E248" s="10" t="str">
        <x:v>Gerado pelo Dataverse</x:v>
      </x:c>
      <x:c r="F248" s="10" t="str">
        <x:v>Nato-digital</x:v>
      </x:c>
      <x:c r="G248" s="10" t="str">
        <x:v>São Paulo, Brasil</x:v>
      </x:c>
      <x:c r="H248" s="10" t="str">
        <x:v>Grupo de Pesquisa em Direito e Violência de Estado</x:v>
      </x:c>
      <x:c r="I248" s="10" t="str">
        <x:v>Arcoenge - Demolição - Casa de Detenção do Carandiru (Fotografias)</x:v>
      </x:c>
      <x:c r="J248" s="10" t="str">
        <x:v>Pasta: 0002</x:v>
      </x:c>
      <x:c r="K248" s="10" t="str">
        <x:v>BR-SPCARANDIRU_ARCOENGE-DEMOLICAO-CSDTCARANDIRU_ICO-FOT-NDG-MB0_0002-019.JPG</x:v>
      </x:c>
      <x:c r="L248"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48" s="10" t="str">
        <x:v>Imagem semelhante à anterior, mostrando um trecho adjacente do mesmo longo muro de separação, caracterizado por diferentes camadas e colorações de alvenaria envelhecida. À direita, três trabalhadores com capacetes são parcialmente enquadrados operando ferramentas manuais. Destaca-se na silhueta superior esquerda uma caixa d'água retangular apoiada em estrutura metálica sobre a cobertura de um dos imóveis vizinhos. Marcador numérico "3 3 '03" no canto inferior direito.</x:v>
      </x:c>
      <x:c r="N248"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48" s="10" t="str">
        <x:v>Sistema prisional; Arquitetura prisional; Casa de Detenção de São Paulo; Carandiru</x:v>
      </x:c>
      <x:c r="P248" s="10" t="str">
        <x:v>Fotografia (Iconográfico)</x:v>
      </x:c>
      <x:c r="Q248" s="10" t="str">
        <x:v>Nato-digital</x:v>
      </x:c>
      <x:c r="R248" s="10" t="str">
        <x:v>Figura n – [Trabalhadores e caixa d'água visível sobre extenso muro de divisa.] Fonte: ARCOENGE, 2003.</x:v>
      </x:c>
      <x:c r="S248" s="10" t="str">
        <x:v>ARCOENGE. [Trabalhadores e caixa d'água visível sobre extenso muro de divisa.]. São Paulo, Brasil. 10 mar. 2003. Nato-digital. Disponível em: &lt;link do dataverse&gt;. Acesso em: 25 mai. 2026.</x:v>
      </x:c>
      <x:c r="T248" s="10" t="str">
        <x:v>Este item pertencia à pasta intitulada "caixa-d'água 1". Com relação à data de produção da fotografia, embora a lateral das fotografias indiquem 03/03/03, optou-se por utilizar a data mais antiga contida nos metadados do arquivo digital.</x:v>
      </x:c>
      <x:c r="U248" s="10" t="str">
        <x:v>ICO</x:v>
      </x:c>
      <x:c r="V248" s="10" t="str">
        <x:v>FOT</x:v>
      </x:c>
      <x:c r="W248" s="10" t="str">
        <x:v>NDG</x:v>
      </x:c>
      <x:c r="X248" s="10" t="str">
        <x:v>MB0</x:v>
      </x:c>
      <x:c r="Y248" s="10" t="str">
        <x:v>BR-SPCARANDIRU_ARCOENGE-DEMOLICAO-CSDTCARANDIRU.xlsx</x:v>
      </x:c>
      <x:c r="Z248" s="10" t="str">
        <x:v>0002</x:v>
      </x:c>
      <x:c r="AA248" s="11" t="n">
        <x:v>20</x:v>
      </x:c>
      <x:c r="AB248" s="10" t="str">
        <x:v>BR-SPCARANDIRU_ARCOENGE-DEMOLICAO-CSDTCARANDIRU.xlsx:0002:20</x:v>
      </x:c>
      <x:c r="AC248" s="11" t="n">
        <x:f>COLUMNS(A248:T248)-COUNTBLANK(A248:T248)</x:f>
        <x:v>20</x:v>
      </x:c>
    </x:row>
    <x:row r="249" ht="48" hidden="0" customHeight="1">
      <x:c r="A249" s="10" t="str">
        <x:v>020</x:v>
      </x:c>
      <x:c r="B249" s="10" t="str">
        <x:v>Trecho de muro divisório com faixas de coloração e antenas.</x:v>
      </x:c>
      <x:c r="C249" s="10" t="str">
        <x:v>Item</x:v>
      </x:c>
      <x:c r="D249" s="10" t="str">
        <x:v>2003-03-10 00:00:00</x:v>
      </x:c>
      <x:c r="E249" s="10" t="str">
        <x:v>Gerado pelo Dataverse</x:v>
      </x:c>
      <x:c r="F249" s="10" t="str">
        <x:v>Nato-digital</x:v>
      </x:c>
      <x:c r="G249" s="10" t="str">
        <x:v>São Paulo, Brasil</x:v>
      </x:c>
      <x:c r="H249" s="10" t="str">
        <x:v>Grupo de Pesquisa em Direito e Violência de Estado</x:v>
      </x:c>
      <x:c r="I249" s="10" t="str">
        <x:v>Arcoenge - Demolição - Casa de Detenção do Carandiru (Fotografias)</x:v>
      </x:c>
      <x:c r="J249" s="10" t="str">
        <x:v>Pasta: 0002</x:v>
      </x:c>
      <x:c r="K249" s="10" t="str">
        <x:v>BR-SPCARANDIRU_ARCOENGE-DEMOLICAO-CSDTCARANDIRU_ICO-FOT-NDG-MB0_0002-020.JPG</x:v>
      </x:c>
      <x:c r="L249"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49" s="10" t="str">
        <x:v>Fotografia ao nível do solo detalhando outro segmento do extenso muro que separa o canteiro de obras das propriedades residenciais. O muro apresenta faixas longitudinais de coloração amarelada e branca, indicando desgaste histórico da pintura e reboco. No contorno superior da construção, avistam-se elementos das edificações ocultas, como coberturas secundárias, antenas de televisão e uma caixa d'água à direita. O primeiro plano é composto por terra nua e pedaços de entulho. Marcador numérico "3 3 '03" no canto inferior direito.</x:v>
      </x:c>
      <x:c r="N249"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49" s="10" t="str">
        <x:v>Sistema prisional; Arquitetura prisional; Casa de Detenção de São Paulo; Carandiru</x:v>
      </x:c>
      <x:c r="P249" s="10" t="str">
        <x:v>Fotografia (Iconográfico)</x:v>
      </x:c>
      <x:c r="Q249" s="10" t="str">
        <x:v>Nato-digital</x:v>
      </x:c>
      <x:c r="R249" s="10" t="str">
        <x:v>Figura n – [Trecho de muro divisório com faixas de coloração e antenas.] Fonte: ARCOENGE, 2003.</x:v>
      </x:c>
      <x:c r="S249" s="10" t="str">
        <x:v>ARCOENGE. [Trecho de muro divisório com faixas de coloração e antenas.]. São Paulo, Brasil. 10 mar. 2003. Nato-digital. Disponível em: &lt;link do dataverse&gt;. Acesso em: 25 mai. 2026.</x:v>
      </x:c>
      <x:c r="T249" s="10" t="str">
        <x:v>Este item pertencia à pasta intitulada "caixa-d'água 1". Com relação à data de produção da fotografia, embora a lateral das fotografias indiquem 03/03/03, optou-se por utilizar a data mais antiga contida nos metadados do arquivo digital.</x:v>
      </x:c>
      <x:c r="U249" s="10" t="str">
        <x:v>ICO</x:v>
      </x:c>
      <x:c r="V249" s="10" t="str">
        <x:v>FOT</x:v>
      </x:c>
      <x:c r="W249" s="10" t="str">
        <x:v>NDG</x:v>
      </x:c>
      <x:c r="X249" s="10" t="str">
        <x:v>MB0</x:v>
      </x:c>
      <x:c r="Y249" s="10" t="str">
        <x:v>BR-SPCARANDIRU_ARCOENGE-DEMOLICAO-CSDTCARANDIRU.xlsx</x:v>
      </x:c>
      <x:c r="Z249" s="10" t="str">
        <x:v>0002</x:v>
      </x:c>
      <x:c r="AA249" s="11" t="n">
        <x:v>21</x:v>
      </x:c>
      <x:c r="AB249" s="10" t="str">
        <x:v>BR-SPCARANDIRU_ARCOENGE-DEMOLICAO-CSDTCARANDIRU.xlsx:0002:21</x:v>
      </x:c>
      <x:c r="AC249" s="11" t="n">
        <x:f>COLUMNS(A249:T249)-COUNTBLANK(A249:T249)</x:f>
        <x:v>20</x:v>
      </x:c>
    </x:row>
    <x:row r="250" ht="48" hidden="0" customHeight="1">
      <x:c r="A250" s="10" t="str">
        <x:v>021</x:v>
      </x:c>
      <x:c r="B250" s="10" t="str">
        <x:v>Fachada lateral de edificação vizinha e base de torre.</x:v>
      </x:c>
      <x:c r="C250" s="10" t="str">
        <x:v>Item</x:v>
      </x:c>
      <x:c r="D250" s="10" t="str">
        <x:v>2003-03-10 00:00:00</x:v>
      </x:c>
      <x:c r="E250" s="10" t="str">
        <x:v>Gerado pelo Dataverse</x:v>
      </x:c>
      <x:c r="F250" s="10" t="str">
        <x:v>Nato-digital</x:v>
      </x:c>
      <x:c r="G250" s="10" t="str">
        <x:v>São Paulo, Brasil</x:v>
      </x:c>
      <x:c r="H250" s="10" t="str">
        <x:v>Grupo de Pesquisa em Direito e Violência de Estado</x:v>
      </x:c>
      <x:c r="I250" s="10" t="str">
        <x:v>Arcoenge - Demolição - Casa de Detenção do Carandiru (Fotografias)</x:v>
      </x:c>
      <x:c r="J250" s="10" t="str">
        <x:v>Pasta: 0002</x:v>
      </x:c>
      <x:c r="K250" s="10" t="str">
        <x:v>BR-SPCARANDIRU_ARCOENGE-DEMOLICAO-CSDTCARANDIRU_ICO-FOT-NDG-MB0_0002-021.JPG</x:v>
      </x:c>
      <x:c r="L250"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50" s="10" t="str">
        <x:v>Fotografia capturada ao nível do solo retratando extensa parede lateral sem aberturas, de uma edificação de alvenaria, com acabamento em reboco acinzentado e marcas de desgaste. À extrema esquerda, observa-se a base e parte da estrutura cilíndrica da torre de água de concreto ou amianto. No topo do edifício vizinho, há uma estrutura abrigando caixas d'água de amianto ou cobertura de fibrocimento e a inscrição "Eternit". O primeiro plano é dominado por um terreno de terra batida, pedras e entulhos. Marcador numérico "3 3 '03" no canto inferior direito.</x:v>
      </x:c>
      <x:c r="N250"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50" s="10" t="str">
        <x:v>Sistema prisional; Arquitetura prisional; Casa de Detenção de São Paulo; Carandiru</x:v>
      </x:c>
      <x:c r="P250" s="10" t="str">
        <x:v>Fotografia (Iconográfico)</x:v>
      </x:c>
      <x:c r="Q250" s="10" t="str">
        <x:v>Nato-digital</x:v>
      </x:c>
      <x:c r="R250" s="10" t="str">
        <x:v>Figura n – [Fachada lateral de edificação vizinha e base de torre.] Fonte: ARCOENGE, 2003.</x:v>
      </x:c>
      <x:c r="S250" s="10" t="str">
        <x:v>ARCOENGE. [Fachada lateral de edificação vizinha e base de torre.]. São Paulo, Brasil. 10 mar. 2003. Nato-digital. Disponível em: &lt;link do dataverse&gt;. Acesso em: 25 mai. 2026.</x:v>
      </x:c>
      <x:c r="T250" s="10" t="str">
        <x:v>Este item pertencia à pasta intitulada "caixa-d'água 1". Com relação à data de produção da fotografia, embora a lateral das fotografias indiquem 03/03/03, optou-se por utilizar a data mais antiga contida nos metadados do arquivo digital.</x:v>
      </x:c>
      <x:c r="U250" s="10" t="str">
        <x:v>ICO</x:v>
      </x:c>
      <x:c r="V250" s="10" t="str">
        <x:v>FOT</x:v>
      </x:c>
      <x:c r="W250" s="10" t="str">
        <x:v>NDG</x:v>
      </x:c>
      <x:c r="X250" s="10" t="str">
        <x:v>MB0</x:v>
      </x:c>
      <x:c r="Y250" s="10" t="str">
        <x:v>BR-SPCARANDIRU_ARCOENGE-DEMOLICAO-CSDTCARANDIRU.xlsx</x:v>
      </x:c>
      <x:c r="Z250" s="10" t="str">
        <x:v>0002</x:v>
      </x:c>
      <x:c r="AA250" s="11" t="n">
        <x:v>22</x:v>
      </x:c>
      <x:c r="AB250" s="10" t="str">
        <x:v>BR-SPCARANDIRU_ARCOENGE-DEMOLICAO-CSDTCARANDIRU.xlsx:0002:22</x:v>
      </x:c>
      <x:c r="AC250" s="11" t="n">
        <x:f>COLUMNS(A250:T250)-COUNTBLANK(A250:T250)</x:f>
        <x:v>20</x:v>
      </x:c>
    </x:row>
    <x:row r="251" ht="48" hidden="0" customHeight="1">
      <x:c r="A251" s="10" t="str">
        <x:v>022</x:v>
      </x:c>
      <x:c r="B251" s="10" t="str">
        <x:v>Muro divisório escurecido e materiais de construção em solo de terra.</x:v>
      </x:c>
      <x:c r="C251" s="10" t="str">
        <x:v>Item</x:v>
      </x:c>
      <x:c r="D251" s="10" t="str">
        <x:v>2003-03-10 00:00:00</x:v>
      </x:c>
      <x:c r="E251" s="10" t="str">
        <x:v>Gerado pelo Dataverse</x:v>
      </x:c>
      <x:c r="F251" s="10" t="str">
        <x:v>Nato-digital</x:v>
      </x:c>
      <x:c r="G251" s="10" t="str">
        <x:v>São Paulo, Brasil</x:v>
      </x:c>
      <x:c r="H251" s="10" t="str">
        <x:v>Grupo de Pesquisa em Direito e Violência de Estado</x:v>
      </x:c>
      <x:c r="I251" s="10" t="str">
        <x:v>Arcoenge - Demolição - Casa de Detenção do Carandiru (Fotografias)</x:v>
      </x:c>
      <x:c r="J251" s="10" t="str">
        <x:v>Pasta: 0002</x:v>
      </x:c>
      <x:c r="K251" s="10" t="str">
        <x:v>BR-SPCARANDIRU_ARCOENGE-DEMOLICAO-CSDTCARANDIRU_ICO-FOT-NDG-MB0_0002-022.JPG</x:v>
      </x:c>
      <x:c r="L251"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51" s="10" t="str">
        <x:v>Imagem frontal e ao nível do solo focada em um longo muro de delimitação construído em blocos de concreto e alvenaria. A superfície do muro apresenta extensas manchas escuras, indicativas de umidade e envelhecimento. Atrás da barreira física, despontam as partes superiores e telhados de residências contíguas. No lado correspondente ao canteiro de obras, o solo de terra vermelha expõe madeiras empilhadas, à direita e restos de entulho dispersos. Marcador numérico "3 3 '03" no canto inferior direito.</x:v>
      </x:c>
      <x:c r="N251"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51" s="10" t="str">
        <x:v>Sistema prisional; Arquitetura prisional; Casa de Detenção de São Paulo; Carandiru</x:v>
      </x:c>
      <x:c r="P251" s="10" t="str">
        <x:v>Fotografia (Iconográfico)</x:v>
      </x:c>
      <x:c r="Q251" s="10" t="str">
        <x:v>Nato-digital</x:v>
      </x:c>
      <x:c r="R251" s="10" t="str">
        <x:v>Figura n – [Muro divisório escurecido e materiais de construção em solo de terra.] Fonte: ARCOENGE, 2003.</x:v>
      </x:c>
      <x:c r="S251" s="10" t="str">
        <x:v>ARCOENGE. [Muro divisório escurecido e materiais de construção em solo de terra.]. São Paulo, Brasil. 10 mar. 2003. Nato-digital. Disponível em: &lt;link do dataverse&gt;. Acesso em: 25 mai. 2026.</x:v>
      </x:c>
      <x:c r="T251" s="10" t="str">
        <x:v>Este item pertencia à pasta intitulada "caixa-d'água 1". Com relação à data de produção da fotografia, embora a lateral das fotografias indiquem 03/03/03, optou-se por utilizar a data mais antiga contida nos metadados do arquivo digital.</x:v>
      </x:c>
      <x:c r="U251" s="10" t="str">
        <x:v>ICO</x:v>
      </x:c>
      <x:c r="V251" s="10" t="str">
        <x:v>FOT</x:v>
      </x:c>
      <x:c r="W251" s="10" t="str">
        <x:v>NDG</x:v>
      </x:c>
      <x:c r="X251" s="10" t="str">
        <x:v>MB0</x:v>
      </x:c>
      <x:c r="Y251" s="10" t="str">
        <x:v>BR-SPCARANDIRU_ARCOENGE-DEMOLICAO-CSDTCARANDIRU.xlsx</x:v>
      </x:c>
      <x:c r="Z251" s="10" t="str">
        <x:v>0002</x:v>
      </x:c>
      <x:c r="AA251" s="11" t="n">
        <x:v>23</x:v>
      </x:c>
      <x:c r="AB251" s="10" t="str">
        <x:v>BR-SPCARANDIRU_ARCOENGE-DEMOLICAO-CSDTCARANDIRU.xlsx:0002:23</x:v>
      </x:c>
      <x:c r="AC251" s="11" t="n">
        <x:f>COLUMNS(A251:T251)-COUNTBLANK(A251:T251)</x:f>
        <x:v>20</x:v>
      </x:c>
    </x:row>
    <x:row r="252" ht="48" hidden="0" customHeight="1">
      <x:c r="A252" s="10" t="str">
        <x:v>023</x:v>
      </x:c>
      <x:c r="B252" s="10" t="str">
        <x:v>Muro de blocos de concreto com equipamentos industriais superiores.</x:v>
      </x:c>
      <x:c r="C252" s="10" t="str">
        <x:v>Item</x:v>
      </x:c>
      <x:c r="D252" s="10" t="str">
        <x:v>2003-03-10 00:00:00</x:v>
      </x:c>
      <x:c r="E252" s="10" t="str">
        <x:v>Gerado pelo Dataverse</x:v>
      </x:c>
      <x:c r="F252" s="10" t="str">
        <x:v>Nato-digital</x:v>
      </x:c>
      <x:c r="G252" s="10" t="str">
        <x:v>São Paulo, Brasil</x:v>
      </x:c>
      <x:c r="H252" s="10" t="str">
        <x:v>Grupo de Pesquisa em Direito e Violência de Estado</x:v>
      </x:c>
      <x:c r="I252" s="10" t="str">
        <x:v>Arcoenge - Demolição - Casa de Detenção do Carandiru (Fotografias)</x:v>
      </x:c>
      <x:c r="J252" s="10" t="str">
        <x:v>Pasta: 0002</x:v>
      </x:c>
      <x:c r="K252" s="10" t="str">
        <x:v>BR-SPCARANDIRU_ARCOENGE-DEMOLICAO-CSDTCARANDIRU_ICO-FOT-NDG-MB0_0002-023.JPG</x:v>
      </x:c>
      <x:c r="L252"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52" s="10" t="str">
        <x:v>Fotografia detalhando um trecho específico do muro divisório feito de blocos de concreto sem revestimento, que apresenta pequenos furos em sua extensão e uma fenda/junção vertical perceptível à direita. Acima do nível do muro, na propriedade adjacente, destacam-se equipamentos de configuração industrial ou comercial, incluindo uma torre de resfriamento azul com a marca "ALFATERM" e tanques metálicos. O chão exibe terra avermelhada revolvida. Marcador numérico "3 3 '03" no canto inferior direito.</x:v>
      </x:c>
      <x:c r="N252"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52" s="10" t="str">
        <x:v>Sistema prisional; Arquitetura prisional; Casa de Detenção de São Paulo; Carandiru</x:v>
      </x:c>
      <x:c r="P252" s="10" t="str">
        <x:v>Fotografia (Iconográfico)</x:v>
      </x:c>
      <x:c r="Q252" s="10" t="str">
        <x:v>Nato-digital</x:v>
      </x:c>
      <x:c r="R252" s="10" t="str">
        <x:v>Figura n – [Muro de blocos de concreto com equipamentos industriais superiores.] Fonte: ARCOENGE, 2003.</x:v>
      </x:c>
      <x:c r="S252" s="10" t="str">
        <x:v>ARCOENGE. [Muro de blocos de concreto com equipamentos industriais superiores.]. São Paulo, Brasil. 10 mar. 2003. Nato-digital. Disponível em: &lt;link do dataverse&gt;. Acesso em: 25 mai. 2026.</x:v>
      </x:c>
      <x:c r="T252" s="10" t="str">
        <x:v>Este item pertencia à pasta intitulada "caixa-d'água 1". Com relação à data de produção da fotografia, embora a lateral das fotografias indiquem 03/03/03, optou-se por utilizar a data mais antiga contida nos metadados do arquivo digital.</x:v>
      </x:c>
      <x:c r="U252" s="10" t="str">
        <x:v>ICO</x:v>
      </x:c>
      <x:c r="V252" s="10" t="str">
        <x:v>FOT</x:v>
      </x:c>
      <x:c r="W252" s="10" t="str">
        <x:v>NDG</x:v>
      </x:c>
      <x:c r="X252" s="10" t="str">
        <x:v>MB0</x:v>
      </x:c>
      <x:c r="Y252" s="10" t="str">
        <x:v>BR-SPCARANDIRU_ARCOENGE-DEMOLICAO-CSDTCARANDIRU.xlsx</x:v>
      </x:c>
      <x:c r="Z252" s="10" t="str">
        <x:v>0002</x:v>
      </x:c>
      <x:c r="AA252" s="11" t="n">
        <x:v>24</x:v>
      </x:c>
      <x:c r="AB252" s="10" t="str">
        <x:v>BR-SPCARANDIRU_ARCOENGE-DEMOLICAO-CSDTCARANDIRU.xlsx:0002:24</x:v>
      </x:c>
      <x:c r="AC252" s="11" t="n">
        <x:f>COLUMNS(A252:T252)-COUNTBLANK(A252:T252)</x:f>
        <x:v>20</x:v>
      </x:c>
    </x:row>
    <x:row r="253" ht="48" hidden="0" customHeight="1">
      <x:c r="A253" s="10" t="str">
        <x:v>024</x:v>
      </x:c>
      <x:c r="B253" s="10" t="str">
        <x:v>Vistoria técnica apontando fissura em muro divisório (plano aberto).</x:v>
      </x:c>
      <x:c r="C253" s="10" t="str">
        <x:v>Item</x:v>
      </x:c>
      <x:c r="D253" s="10" t="str">
        <x:v>2003-03-10 00:00:00</x:v>
      </x:c>
      <x:c r="E253" s="10" t="str">
        <x:v>Gerado pelo Dataverse</x:v>
      </x:c>
      <x:c r="F253" s="10" t="str">
        <x:v>Nato-digital</x:v>
      </x:c>
      <x:c r="G253" s="10" t="str">
        <x:v>São Paulo, Brasil</x:v>
      </x:c>
      <x:c r="H253" s="10" t="str">
        <x:v>Grupo de Pesquisa em Direito e Violência de Estado</x:v>
      </x:c>
      <x:c r="I253" s="10" t="str">
        <x:v>Arcoenge - Demolição - Casa de Detenção do Carandiru (Fotografias)</x:v>
      </x:c>
      <x:c r="J253" s="10" t="str">
        <x:v>Pasta: 0002</x:v>
      </x:c>
      <x:c r="K253" s="10" t="str">
        <x:v>BR-SPCARANDIRU_ARCOENGE-DEMOLICAO-CSDTCARANDIRU_ICO-FOT-NDG-MB0_0002-024.JPG</x:v>
      </x:c>
      <x:c r="L253"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53" s="10" t="str">
        <x:v>Fotografia em orientação retrato (vertical) mostrando um homem realizando uma vistoria. Ele veste camisa polo branca, calça jeans e óculos escuros. O indivíduo segura uma prancheta sob o braço esquerdo enquanto aponta com um objeto pontiagudo (caneta) na mão direita para uma fissura estrutural vertical presente no muro de blocos de concreto. O solo no entorno contém terra, mato e entulho. Marcador numérico "3 3 '03" alinhado verticalmente na lateral inferior esquerda.</x:v>
      </x:c>
      <x:c r="N253"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53" s="10" t="str">
        <x:v>Sistema prisional; Arquitetura prisional; Casa de Detenção de São Paulo; Carandiru</x:v>
      </x:c>
      <x:c r="P253" s="10" t="str">
        <x:v>Fotografia (Iconográfico)</x:v>
      </x:c>
      <x:c r="Q253" s="10" t="str">
        <x:v>Nato-digital</x:v>
      </x:c>
      <x:c r="R253" s="10" t="str">
        <x:v>Figura n – [Vistoria técnica apontando fissura em muro divisório (plano aberto).] Fonte: ARCOENGE, 2003.</x:v>
      </x:c>
      <x:c r="S253" s="10" t="str">
        <x:v>ARCOENGE. [Vistoria técnica apontando fissura em muro divisório (plano aberto).]. São Paulo, Brasil. 10 mar. 2003. Nato-digital. Disponível em: &lt;link do dataverse&gt;. Acesso em: 25 mai. 2026.</x:v>
      </x:c>
      <x:c r="T253" s="10" t="str">
        <x:v>Este item pertencia à pasta intitulada "caixa-d'água 1". Com relação à data de produção da fotografia, embora a lateral das fotografias indiquem 03/03/03, optou-se por utilizar a data mais antiga contida nos metadados do arquivo digital.</x:v>
      </x:c>
      <x:c r="U253" s="10" t="str">
        <x:v>ICO</x:v>
      </x:c>
      <x:c r="V253" s="10" t="str">
        <x:v>FOT</x:v>
      </x:c>
      <x:c r="W253" s="10" t="str">
        <x:v>NDG</x:v>
      </x:c>
      <x:c r="X253" s="10" t="str">
        <x:v>MB0</x:v>
      </x:c>
      <x:c r="Y253" s="10" t="str">
        <x:v>BR-SPCARANDIRU_ARCOENGE-DEMOLICAO-CSDTCARANDIRU.xlsx</x:v>
      </x:c>
      <x:c r="Z253" s="10" t="str">
        <x:v>0002</x:v>
      </x:c>
      <x:c r="AA253" s="11" t="n">
        <x:v>25</x:v>
      </x:c>
      <x:c r="AB253" s="10" t="str">
        <x:v>BR-SPCARANDIRU_ARCOENGE-DEMOLICAO-CSDTCARANDIRU.xlsx:0002:25</x:v>
      </x:c>
      <x:c r="AC253" s="11" t="n">
        <x:f>COLUMNS(A253:T253)-COUNTBLANK(A253:T253)</x:f>
        <x:v>20</x:v>
      </x:c>
    </x:row>
    <x:row r="254" ht="48" hidden="0" customHeight="1">
      <x:c r="A254" s="10" t="str">
        <x:v>025</x:v>
      </x:c>
      <x:c r="B254" s="10" t="str">
        <x:v>Vistoria técnica apontando fissura em muro divisório (plano fechado).</x:v>
      </x:c>
      <x:c r="C254" s="10" t="str">
        <x:v>Item</x:v>
      </x:c>
      <x:c r="D254" s="10" t="str">
        <x:v>2003-03-10 00:00:00</x:v>
      </x:c>
      <x:c r="E254" s="10" t="str">
        <x:v>Gerado pelo Dataverse</x:v>
      </x:c>
      <x:c r="F254" s="10" t="str">
        <x:v>Nato-digital</x:v>
      </x:c>
      <x:c r="G254" s="10" t="str">
        <x:v>São Paulo, Brasil</x:v>
      </x:c>
      <x:c r="H254" s="10" t="str">
        <x:v>Grupo de Pesquisa em Direito e Violência de Estado</x:v>
      </x:c>
      <x:c r="I254" s="10" t="str">
        <x:v>Arcoenge - Demolição - Casa de Detenção do Carandiru (Fotografias)</x:v>
      </x:c>
      <x:c r="J254" s="10" t="str">
        <x:v>Pasta: 0002</x:v>
      </x:c>
      <x:c r="K254" s="10" t="str">
        <x:v>BR-SPCARANDIRU_ARCOENGE-DEMOLICAO-CSDTCARANDIRU_ICO-FOT-NDG-MB0_0002-025.JPG</x:v>
      </x:c>
      <x:c r="L254"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54" s="10" t="str">
        <x:v>Imagem muito semelhante à anterior, com variação sutil de enquadramento, aproximando-se do sujeito e da área inspecionada. O mesmo profissional é registrado apontando para a rachadura vertical no muro divisório de blocos de concreto. No limite superior da imagem, são visíveis as bases dos reservatórios e equipamentos (identificados na foto 23) pertencentes ao lote vizinho. O contexto do terreno permanece com aspecto de canteiro incipiente. Marcador numérico "3 3 '03" alinhado verticalmente na lateral inferior esquerda.</x:v>
      </x:c>
      <x:c r="N254"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54" s="10" t="str">
        <x:v>Sistema prisional; Arquitetura prisional; Casa de Detenção de São Paulo; Carandiru</x:v>
      </x:c>
      <x:c r="P254" s="10" t="str">
        <x:v>Fotografia (Iconográfico)</x:v>
      </x:c>
      <x:c r="Q254" s="10" t="str">
        <x:v>Nato-digital</x:v>
      </x:c>
      <x:c r="R254" s="10" t="str">
        <x:v>Figura n – [Vistoria técnica apontando fissura em muro divisório (plano fechado).] Fonte: ARCOENGE, 2003.</x:v>
      </x:c>
      <x:c r="S254" s="10" t="str">
        <x:v>ARCOENGE. [Vistoria técnica apontando fissura em muro divisório (plano fechado).]. São Paulo, Brasil. 10 mar. 2003. Nato-digital. Disponível em: &lt;link do dataverse&gt;. Acesso em: 25 mai. 2026.</x:v>
      </x:c>
      <x:c r="T254" s="10" t="str">
        <x:v>Este item pertencia à pasta intitulada "caixa-d'água 1". Com relação à data de produção da fotografia, embora a lateral das fotografias indiquem 03/03/03, optou-se por utilizar a data mais antiga contida nos metadados do arquivo digital.</x:v>
      </x:c>
      <x:c r="U254" s="10" t="str">
        <x:v>ICO</x:v>
      </x:c>
      <x:c r="V254" s="10" t="str">
        <x:v>FOT</x:v>
      </x:c>
      <x:c r="W254" s="10" t="str">
        <x:v>NDG</x:v>
      </x:c>
      <x:c r="X254" s="10" t="str">
        <x:v>MB0</x:v>
      </x:c>
      <x:c r="Y254" s="10" t="str">
        <x:v>BR-SPCARANDIRU_ARCOENGE-DEMOLICAO-CSDTCARANDIRU.xlsx</x:v>
      </x:c>
      <x:c r="Z254" s="10" t="str">
        <x:v>0002</x:v>
      </x:c>
      <x:c r="AA254" s="11" t="n">
        <x:v>26</x:v>
      </x:c>
      <x:c r="AB254" s="10" t="str">
        <x:v>BR-SPCARANDIRU_ARCOENGE-DEMOLICAO-CSDTCARANDIRU.xlsx:0002:26</x:v>
      </x:c>
      <x:c r="AC254" s="11" t="n">
        <x:f>COLUMNS(A254:T254)-COUNTBLANK(A254:T254)</x:f>
        <x:v>20</x:v>
      </x:c>
    </x:row>
    <x:row r="255" ht="48" hidden="0" customHeight="1">
      <x:c r="A255" s="10" t="str">
        <x:v>026</x:v>
      </x:c>
      <x:c r="B255" s="10" t="str">
        <x:v>Relatório de correspondência de nomes</x:v>
      </x:c>
      <x:c r="C255" s="10" t="str">
        <x:v>Item</x:v>
      </x:c>
      <x:c r="D255" s="10" t="str">
        <x:v>2026-05-21 00:00:00</x:v>
      </x:c>
      <x:c r="E255" s="10" t="str">
        <x:v>Gerado pelo Dataverse</x:v>
      </x:c>
      <x:c r="F255" s="10" t="str">
        <x:v>Nato-digital</x:v>
      </x:c>
      <x:c r="G255" s="10" t="str">
        <x:v>São Paulo, Brasil</x:v>
      </x:c>
      <x:c r="H255" s="10" t="str">
        <x:v>Grupo de Pesquisa em Direito e Violência de Estado</x:v>
      </x:c>
      <x:c r="I255" s="10" t="str">
        <x:v>Arcoenge - Demolição - Casa de Detenção do Carandiru (Fotografias)</x:v>
      </x:c>
      <x:c r="J255" s="10" t="str">
        <x:v>Pasta: 0003</x:v>
      </x:c>
      <x:c r="K255" s="10" t="str">
        <x:v>BR-SPCARANDIRU_ARCOENGE-DEMOLICAO-CSDTCARANDIRU_TXT-REL-NDG-MB0_0002-026.txt</x:v>
      </x:c>
      <x:c r="L255"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55" s="10" t="str">
        <x:v>Imagem muito semelhante à anterior, com variação sutil de enquadramento, aproximando-se do sujeito e da área inspecionada. O mesmo profissional é registrado apontando para a rachadura vertical no muro divisório de blocos de concreto. No limite superior da imagem, são visíveis as bases dos reservatórios e equipamentos (identificados na foto 23) pertencentes ao lote vizinho. O contexto do terreno permanece com aspecto de canteiro incipiente. Marcador numérico "3 3 '03" alinhado verticalmente na lateral inferior esquerda.</x:v>
      </x:c>
      <x:c r="N255"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55" s="10" t="str">
        <x:v>Sistema prisional; Arquitetura prisional; Casa de Detenção de São Paulo; Carandiru</x:v>
      </x:c>
      <x:c r="P255" s="10" t="str">
        <x:v>Textual</x:v>
      </x:c>
      <x:c r="Q255" s="10" t="str">
        <x:v>Nato-digital</x:v>
      </x:c>
      <x:c r="R255" s="10" t="str">
        <x:v>Figura n – [Relatório de correspondência de nomes ] Fonte: ARCOENGE, 2026.</x:v>
      </x:c>
      <x:c r="S255" s="10" t="str">
        <x:v>ARCOENGE. [Relatório de correspondência de nomes ]. São Paulo, Brasil. 21 mai. 2026. Nato-digital. Disponível em: &lt;link do dataverse&gt;. Acesso em: 25 mai. 2026.</x:v>
      </x:c>
      <x:c r="T255" s="10" t="str">
        <x:v>Este item foi gerado automaticamente pelo aplicativo de gestão de acervos "Mnema 1.0".</x:v>
      </x:c>
      <x:c r="U255" s="10" t="str">
        <x:v>TXT</x:v>
      </x:c>
      <x:c r="V255" s="10" t="str">
        <x:v>REL</x:v>
      </x:c>
      <x:c r="W255" s="10" t="str">
        <x:v>NDG</x:v>
      </x:c>
      <x:c r="X255" s="10" t="str">
        <x:v>MB0</x:v>
      </x:c>
      <x:c r="Y255" s="10" t="str">
        <x:v>BR-SPCARANDIRU_ARCOENGE-DEMOLICAO-CSDTCARANDIRU.xlsx</x:v>
      </x:c>
      <x:c r="Z255" s="10" t="str">
        <x:v>0002</x:v>
      </x:c>
      <x:c r="AA255" s="11" t="n">
        <x:v>27</x:v>
      </x:c>
      <x:c r="AB255" s="10" t="str">
        <x:v>BR-SPCARANDIRU_ARCOENGE-DEMOLICAO-CSDTCARANDIRU.xlsx:0002:27</x:v>
      </x:c>
      <x:c r="AC255" s="11" t="n">
        <x:f>COLUMNS(A255:T255)-COUNTBLANK(A255:T255)</x:f>
        <x:v>20</x:v>
      </x:c>
    </x:row>
    <x:row r="256" ht="48" hidden="0" customHeight="1">
      <x:c r="A256" s="10" t="str">
        <x:v>001</x:v>
      </x:c>
      <x:c r="B256" s="10" t="str">
        <x:v>Fachada cega com manchas de umidade e técnico em deslocamento.</x:v>
      </x:c>
      <x:c r="C256" s="10" t="str">
        <x:v>Item</x:v>
      </x:c>
      <x:c r="D256" s="10" t="str">
        <x:v>2003-03-10 00:00:00</x:v>
      </x:c>
      <x:c r="E256" s="10" t="str">
        <x:v>Gerado pelo Dataverse</x:v>
      </x:c>
      <x:c r="F256" s="10" t="str">
        <x:v>Nato-digital</x:v>
      </x:c>
      <x:c r="G256" s="10" t="str">
        <x:v>São Paulo, Brasil</x:v>
      </x:c>
      <x:c r="H256" s="10" t="str">
        <x:v>Grupo de Pesquisa em Direito e Violência de Estado</x:v>
      </x:c>
      <x:c r="I256" s="10" t="str">
        <x:v>Arcoenge - Demolição - Casa de Detenção do Carandiru (Fotografias)</x:v>
      </x:c>
      <x:c r="J256" s="10" t="str">
        <x:v>Pasta: 0004</x:v>
      </x:c>
      <x:c r="K256" s="10" t="str">
        <x:v>BR-SPCARANDIRU_ARCOENGE-DEMOLICAO-CSDTCARANDIRU_ICO-FOT-NDG-MB0_0003-001.JPG</x:v>
      </x:c>
      <x:c r="L256"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56" s="10" t="str">
        <x:v>Vista ao nível do solo de uma grande parede lateral com intensas manchas escuras de umidade formando um padrão reticular horizontal. À esquerda, um técnico vestindo camisa clara e calça escura caminha de costas pelo terreno de terra batida, carregando uma prancheta. À direita, sobre um muro mais baixo, visualiza-se aparato azul com o texto/rótulo ALFATERM. Marcador numérico "3 3 '03" no canto inferior direito.</x:v>
      </x:c>
      <x:c r="N256"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56" s="10" t="str">
        <x:v>Sistema prisional; Arquitetura prisional; Casa de Detenção de São Paulo; Carandiru</x:v>
      </x:c>
      <x:c r="P256" s="10" t="str">
        <x:v>Fotografia (Iconográfico)</x:v>
      </x:c>
      <x:c r="Q256" s="10" t="str">
        <x:v>Nato-digital</x:v>
      </x:c>
      <x:c r="R256" s="10" t="str">
        <x:v>Figura n – [Fachada cega com manchas de umidade e técnico em deslocamento.] Fonte: ARCOENGE, 2003.</x:v>
      </x:c>
      <x:c r="S256" s="10" t="str">
        <x:v>ARCOENGE. [Fachada cega com manchas de umidade e técnico em deslocamento.]. São Paulo, Brasil. 10 mar. 2003. Nato-digital. Disponível em: &lt;link do dataverse&gt;. Acesso em: 28 mai. 2026.</x:v>
      </x:c>
      <x:c r="T256" s="10" t="str">
        <x:v>Este item pertencia à pasta intitulada "caixa-d'água 2".</x:v>
      </x:c>
      <x:c r="U256" s="10" t="str">
        <x:v>ICO</x:v>
      </x:c>
      <x:c r="V256" s="10" t="str">
        <x:v>FOT</x:v>
      </x:c>
      <x:c r="W256" s="10" t="str">
        <x:v>NDG</x:v>
      </x:c>
      <x:c r="X256" s="10" t="str">
        <x:v>MB0</x:v>
      </x:c>
      <x:c r="Y256" s="10" t="str">
        <x:v>BR-SPCARANDIRU_ARCOENGE-DEMOLICAO-CSDTCARANDIRU.xlsx</x:v>
      </x:c>
      <x:c r="Z256" s="10" t="str">
        <x:v>0003</x:v>
      </x:c>
      <x:c r="AA256" s="11" t="n">
        <x:v>2</x:v>
      </x:c>
      <x:c r="AB256" s="10" t="str">
        <x:v>BR-SPCARANDIRU_ARCOENGE-DEMOLICAO-CSDTCARANDIRU.xlsx:0003:2</x:v>
      </x:c>
      <x:c r="AC256" s="11" t="n">
        <x:f>COLUMNS(A256:T256)-COUNTBLANK(A256:T256)</x:f>
        <x:v>20</x:v>
      </x:c>
    </x:row>
    <x:row r="257" ht="48" hidden="0" customHeight="1">
      <x:c r="A257" s="10" t="str">
        <x:v>002</x:v>
      </x:c>
      <x:c r="B257" s="10" t="str">
        <x:v>Muro divisório com pichações sutis e técnico apontando fissura.</x:v>
      </x:c>
      <x:c r="C257" s="10" t="str">
        <x:v>Item</x:v>
      </x:c>
      <x:c r="D257" s="10" t="str">
        <x:v>2003-03-10 00:00:00</x:v>
      </x:c>
      <x:c r="E257" s="10" t="str">
        <x:v>Gerado pelo Dataverse</x:v>
      </x:c>
      <x:c r="F257" s="10" t="str">
        <x:v>Nato-digital</x:v>
      </x:c>
      <x:c r="G257" s="10" t="str">
        <x:v>São Paulo, Brasil</x:v>
      </x:c>
      <x:c r="H257" s="10" t="str">
        <x:v>Grupo de Pesquisa em Direito e Violência de Estado</x:v>
      </x:c>
      <x:c r="I257" s="10" t="str">
        <x:v>Arcoenge - Demolição - Casa de Detenção do Carandiru (Fotografias)</x:v>
      </x:c>
      <x:c r="J257" s="10" t="str">
        <x:v>Pasta: 0004</x:v>
      </x:c>
      <x:c r="K257" s="10" t="str">
        <x:v>BR-SPCARANDIRU_ARCOENGE-DEMOLICAO-CSDTCARANDIRU_ICO-FOT-NDG-MB0_0003-002.JPG</x:v>
      </x:c>
      <x:c r="L257"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57" s="10" t="str">
        <x:v>Fotografia panorâmica de um extenso muro divisório com pintura clara desgastada, apresentando manchas escuras de umidade no topo e na base, além de pichações esmaecidas. À direita, um técnico de camisa branca, calça jeans e óculos escuros segura uma prancheta e aponta fissura vertical no muro. À esquerda, outro homem caminha em direção oposta. O primeiro plano é de terra vermelha irregular. Marcador numérico "3 3 '03" no canto inferior direito.</x:v>
      </x:c>
      <x:c r="N257"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57" s="10" t="str">
        <x:v>Sistema prisional; Arquitetura prisional; Casa de Detenção de São Paulo; Carandiru</x:v>
      </x:c>
      <x:c r="P257" s="10" t="str">
        <x:v>Fotografia (Iconográfico)</x:v>
      </x:c>
      <x:c r="Q257" s="10" t="str">
        <x:v>Nato-digital</x:v>
      </x:c>
      <x:c r="R257" s="10" t="str">
        <x:v>Figura n – [Muro divisório com pichações sutis e técnico apontando fissura.] Fonte: ARCOENGE, 2003.</x:v>
      </x:c>
      <x:c r="S257" s="10" t="str">
        <x:v>ARCOENGE. [Muro divisório com pichações sutis e técnico apontando fissura.]. São Paulo, Brasil. 10 mar. 2003. Nato-digital. Disponível em: &lt;link do dataverse&gt;. Acesso em: 28 mai. 2026.</x:v>
      </x:c>
      <x:c r="T257" s="10" t="str">
        <x:v>Este item pertencia à pasta intitulada "caixa-d'água 2".</x:v>
      </x:c>
      <x:c r="U257" s="10" t="str">
        <x:v>ICO</x:v>
      </x:c>
      <x:c r="V257" s="10" t="str">
        <x:v>FOT</x:v>
      </x:c>
      <x:c r="W257" s="10" t="str">
        <x:v>NDG</x:v>
      </x:c>
      <x:c r="X257" s="10" t="str">
        <x:v>MB0</x:v>
      </x:c>
      <x:c r="Y257" s="10" t="str">
        <x:v>BR-SPCARANDIRU_ARCOENGE-DEMOLICAO-CSDTCARANDIRU.xlsx</x:v>
      </x:c>
      <x:c r="Z257" s="10" t="str">
        <x:v>0003</x:v>
      </x:c>
      <x:c r="AA257" s="11" t="n">
        <x:v>3</x:v>
      </x:c>
      <x:c r="AB257" s="10" t="str">
        <x:v>BR-SPCARANDIRU_ARCOENGE-DEMOLICAO-CSDTCARANDIRU.xlsx:0003:3</x:v>
      </x:c>
      <x:c r="AC257" s="11" t="n">
        <x:f>COLUMNS(A257:T257)-COUNTBLANK(A257:T257)</x:f>
        <x:v>20</x:v>
      </x:c>
    </x:row>
    <x:row r="258" ht="48" hidden="0" customHeight="1">
      <x:c r="A258" s="10" t="str">
        <x:v>003</x:v>
      </x:c>
      <x:c r="B258" s="10" t="str">
        <x:v>Vistoria de fenda estrutural entre muros de divisa.</x:v>
      </x:c>
      <x:c r="C258" s="10" t="str">
        <x:v>Item</x:v>
      </x:c>
      <x:c r="D258" s="10" t="str">
        <x:v>2003-03-10 00:00:00</x:v>
      </x:c>
      <x:c r="E258" s="10" t="str">
        <x:v>Gerado pelo Dataverse</x:v>
      </x:c>
      <x:c r="F258" s="10" t="str">
        <x:v>Nato-digital</x:v>
      </x:c>
      <x:c r="G258" s="10" t="str">
        <x:v>São Paulo, Brasil</x:v>
      </x:c>
      <x:c r="H258" s="10" t="str">
        <x:v>Grupo de Pesquisa em Direito e Violência de Estado</x:v>
      </x:c>
      <x:c r="I258" s="10" t="str">
        <x:v>Arcoenge - Demolição - Casa de Detenção do Carandiru (Fotografias)</x:v>
      </x:c>
      <x:c r="J258" s="10" t="str">
        <x:v>Pasta: 0004</x:v>
      </x:c>
      <x:c r="K258" s="10" t="str">
        <x:v>BR-SPCARANDIRU_ARCOENGE-DEMOLICAO-CSDTCARANDIRU_ICO-FOT-NDG-MB0_0003-003.JPG</x:v>
      </x:c>
      <x:c r="L258"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58" s="10" t="str">
        <x:v>Imagem detalhando o encontro entre duas estruturas de alvenaria: um muro de revestimento claro à esquerda e uma parede com pintura escura à direita. O técnico responsável, portando prancheta, utiliza uma caneta para apontar fenda que separa fisicamente as duas construções. O solo contém terra avermelhada e restos de vegetação. Marcador numérico "3 3 '03" alinhado verticalmente na lateral inferior esquerda.</x:v>
      </x:c>
      <x:c r="N258"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58" s="10" t="str">
        <x:v>Sistema prisional; Arquitetura prisional; Casa de Detenção de São Paulo; Carandiru</x:v>
      </x:c>
      <x:c r="P258" s="10" t="str">
        <x:v>Fotografia (Iconográfico)</x:v>
      </x:c>
      <x:c r="Q258" s="10" t="str">
        <x:v>Nato-digital</x:v>
      </x:c>
      <x:c r="R258" s="10" t="str">
        <x:v>Figura n – [Vistoria de fenda estrutural entre muros de divisa.] Fonte: ARCOENGE, 2003.</x:v>
      </x:c>
      <x:c r="S258" s="10" t="str">
        <x:v>ARCOENGE. [Vistoria de fenda estrutural entre muros de divisa.]. São Paulo, Brasil. 10 mar. 2003. Nato-digital. Disponível em: &lt;link do dataverse&gt;. Acesso em: 28 mai. 2026.</x:v>
      </x:c>
      <x:c r="T258" s="10" t="str">
        <x:v>Este item pertencia à pasta intitulada "caixa-d'água 2".</x:v>
      </x:c>
      <x:c r="U258" s="10" t="str">
        <x:v>ICO</x:v>
      </x:c>
      <x:c r="V258" s="10" t="str">
        <x:v>FOT</x:v>
      </x:c>
      <x:c r="W258" s="10" t="str">
        <x:v>NDG</x:v>
      </x:c>
      <x:c r="X258" s="10" t="str">
        <x:v>MB0</x:v>
      </x:c>
      <x:c r="Y258" s="10" t="str">
        <x:v>BR-SPCARANDIRU_ARCOENGE-DEMOLICAO-CSDTCARANDIRU.xlsx</x:v>
      </x:c>
      <x:c r="Z258" s="10" t="str">
        <x:v>0003</x:v>
      </x:c>
      <x:c r="AA258" s="11" t="n">
        <x:v>4</x:v>
      </x:c>
      <x:c r="AB258" s="10" t="str">
        <x:v>BR-SPCARANDIRU_ARCOENGE-DEMOLICAO-CSDTCARANDIRU.xlsx:0003:4</x:v>
      </x:c>
      <x:c r="AC258" s="11" t="n">
        <x:f>COLUMNS(A258:T258)-COUNTBLANK(A258:T258)</x:f>
        <x:v>20</x:v>
      </x:c>
    </x:row>
    <x:row r="259" ht="48" hidden="0" customHeight="1">
      <x:c r="A259" s="10" t="str">
        <x:v>004</x:v>
      </x:c>
      <x:c r="B259" s="10" t="str">
        <x:v>Detalhe de avarias no reboco com exposição de alvenaria.</x:v>
      </x:c>
      <x:c r="C259" s="10" t="str">
        <x:v>Item</x:v>
      </x:c>
      <x:c r="D259" s="10" t="str">
        <x:v>2003-03-10 00:00:00</x:v>
      </x:c>
      <x:c r="E259" s="10" t="str">
        <x:v>Gerado pelo Dataverse</x:v>
      </x:c>
      <x:c r="F259" s="10" t="str">
        <x:v>Nato-digital</x:v>
      </x:c>
      <x:c r="G259" s="10" t="str">
        <x:v>São Paulo, Brasil</x:v>
      </x:c>
      <x:c r="H259" s="10" t="str">
        <x:v>Grupo de Pesquisa em Direito e Violência de Estado</x:v>
      </x:c>
      <x:c r="I259" s="10" t="str">
        <x:v>Arcoenge - Demolição - Casa de Detenção do Carandiru (Fotografias)</x:v>
      </x:c>
      <x:c r="J259" s="10" t="str">
        <x:v>Pasta: 0004</x:v>
      </x:c>
      <x:c r="K259" s="10" t="str">
        <x:v>BR-SPCARANDIRU_ARCOENGE-DEMOLICAO-CSDTCARANDIRU_ICO-FOT-NDG-MB0_0003-004.JPG</x:v>
      </x:c>
      <x:c r="L259"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59" s="10" t="str">
        <x:v>Plano fechado de um trecho de muro com revestimento claro envelhecido. A superfície apresenta falhas do reboco, expondo a estrutura interna de tijolos avermelhados. Observam-se também respingos de tinta preta espessos na parede. A base do muro é margeada por vegetação rasteira crescendo sobre o solo. Marcador numérico "3 3 '03" alinhado verticalmente na lateral inferior esquerda.</x:v>
      </x:c>
      <x:c r="N259"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59" s="10" t="str">
        <x:v>Sistema prisional; Arquitetura prisional; Casa de Detenção de São Paulo; Carandiru</x:v>
      </x:c>
      <x:c r="P259" s="10" t="str">
        <x:v>Fotografia (Iconográfico)</x:v>
      </x:c>
      <x:c r="Q259" s="10" t="str">
        <x:v>Nato-digital</x:v>
      </x:c>
      <x:c r="R259" s="10" t="str">
        <x:v>Figura n – [Detalhe de avarias no reboco com exposição de alvenaria.] Fonte: ARCOENGE, 2003.</x:v>
      </x:c>
      <x:c r="S259" s="10" t="str">
        <x:v>ARCOENGE. [Detalhe de avarias no reboco com exposição de alvenaria.]. São Paulo, Brasil. 10 mar. 2003. Nato-digital. Disponível em: &lt;link do dataverse&gt;. Acesso em: 28 mai. 2026.</x:v>
      </x:c>
      <x:c r="T259" s="10" t="str">
        <x:v>Este item pertencia à pasta intitulada "caixa-d'água 2".</x:v>
      </x:c>
      <x:c r="U259" s="10" t="str">
        <x:v>ICO</x:v>
      </x:c>
      <x:c r="V259" s="10" t="str">
        <x:v>FOT</x:v>
      </x:c>
      <x:c r="W259" s="10" t="str">
        <x:v>NDG</x:v>
      </x:c>
      <x:c r="X259" s="10" t="str">
        <x:v>MB0</x:v>
      </x:c>
      <x:c r="Y259" s="10" t="str">
        <x:v>BR-SPCARANDIRU_ARCOENGE-DEMOLICAO-CSDTCARANDIRU.xlsx</x:v>
      </x:c>
      <x:c r="Z259" s="10" t="str">
        <x:v>0003</x:v>
      </x:c>
      <x:c r="AA259" s="11" t="n">
        <x:v>5</x:v>
      </x:c>
      <x:c r="AB259" s="10" t="str">
        <x:v>BR-SPCARANDIRU_ARCOENGE-DEMOLICAO-CSDTCARANDIRU.xlsx:0003:5</x:v>
      </x:c>
      <x:c r="AC259" s="11" t="n">
        <x:f>COLUMNS(A259:T259)-COUNTBLANK(A259:T259)</x:f>
        <x:v>20</x:v>
      </x:c>
    </x:row>
    <x:row r="260" ht="48" hidden="0" customHeight="1">
      <x:c r="A260" s="10" t="str">
        <x:v>005</x:v>
      </x:c>
      <x:c r="B260" s="10" t="str">
        <x:v>Técnico apontando extensa fissura vertical em muro.</x:v>
      </x:c>
      <x:c r="C260" s="10" t="str">
        <x:v>Item</x:v>
      </x:c>
      <x:c r="D260" s="10" t="str">
        <x:v>2003-03-10 00:00:00</x:v>
      </x:c>
      <x:c r="E260" s="10" t="str">
        <x:v>Gerado pelo Dataverse</x:v>
      </x:c>
      <x:c r="F260" s="10" t="str">
        <x:v>Nato-digital</x:v>
      </x:c>
      <x:c r="G260" s="10" t="str">
        <x:v>São Paulo, Brasil</x:v>
      </x:c>
      <x:c r="H260" s="10" t="str">
        <x:v>Grupo de Pesquisa em Direito e Violência de Estado</x:v>
      </x:c>
      <x:c r="I260" s="10" t="str">
        <x:v>Arcoenge - Demolição - Casa de Detenção do Carandiru (Fotografias)</x:v>
      </x:c>
      <x:c r="J260" s="10" t="str">
        <x:v>Pasta: 0004</x:v>
      </x:c>
      <x:c r="K260" s="10" t="str">
        <x:v>BR-SPCARANDIRU_ARCOENGE-DEMOLICAO-CSDTCARANDIRU_ICO-FOT-NDG-MB0_0003-005.JPG</x:v>
      </x:c>
      <x:c r="L260"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60" s="10" t="str">
        <x:v>Fotografia focada no técnico realizando vistoria estrutural. Ele aponta com uma caneta para uma longa e sinuosa trinca vertical que se estende do topo (onde há telhas e manchas de umidade escuras) até o centro de um muro claro. Na parte inferior da parede, há inscrições grossas em tinta preta. Marcador numérico "3 3 '03" alinhado verticalmente na lateral inferior esquerda.</x:v>
      </x:c>
      <x:c r="N260"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60" s="10" t="str">
        <x:v>Sistema prisional; Arquitetura prisional; Casa de Detenção de São Paulo; Carandiru</x:v>
      </x:c>
      <x:c r="P260" s="10" t="str">
        <x:v>Fotografia (Iconográfico)</x:v>
      </x:c>
      <x:c r="Q260" s="10" t="str">
        <x:v>Nato-digital</x:v>
      </x:c>
      <x:c r="R260" s="10" t="str">
        <x:v>Figura n – [Técnico apontando extensa fissura vertical em muro.] Fonte: ARCOENGE, 2003.</x:v>
      </x:c>
      <x:c r="S260" s="10" t="str">
        <x:v>ARCOENGE. [Técnico apontando extensa fissura vertical em muro.]. São Paulo, Brasil. 10 mar. 2003. Nato-digital. Disponível em: &lt;link do dataverse&gt;. Acesso em: 28 mai. 2026.</x:v>
      </x:c>
      <x:c r="T260" s="10" t="str">
        <x:v>Este item pertencia à pasta intitulada "caixa-d'água 2".</x:v>
      </x:c>
      <x:c r="U260" s="10" t="str">
        <x:v>ICO</x:v>
      </x:c>
      <x:c r="V260" s="10" t="str">
        <x:v>FOT</x:v>
      </x:c>
      <x:c r="W260" s="10" t="str">
        <x:v>NDG</x:v>
      </x:c>
      <x:c r="X260" s="10" t="str">
        <x:v>MB0</x:v>
      </x:c>
      <x:c r="Y260" s="10" t="str">
        <x:v>BR-SPCARANDIRU_ARCOENGE-DEMOLICAO-CSDTCARANDIRU.xlsx</x:v>
      </x:c>
      <x:c r="Z260" s="10" t="str">
        <x:v>0003</x:v>
      </x:c>
      <x:c r="AA260" s="11" t="n">
        <x:v>6</x:v>
      </x:c>
      <x:c r="AB260" s="10" t="str">
        <x:v>BR-SPCARANDIRU_ARCOENGE-DEMOLICAO-CSDTCARANDIRU.xlsx:0003:6</x:v>
      </x:c>
      <x:c r="AC260" s="11" t="n">
        <x:f>COLUMNS(A260:T260)-COUNTBLANK(A260:T260)</x:f>
        <x:v>20</x:v>
      </x:c>
    </x:row>
    <x:row r="261" ht="48" hidden="0" customHeight="1">
      <x:c r="A261" s="10" t="str">
        <x:v>006</x:v>
      </x:c>
      <x:c r="B261" s="10" t="str">
        <x:v>Vistoria de trinca vertical.</x:v>
      </x:c>
      <x:c r="C261" s="10" t="str">
        <x:v>Item</x:v>
      </x:c>
      <x:c r="D261" s="10" t="str">
        <x:v>2003-03-10 00:00:00</x:v>
      </x:c>
      <x:c r="E261" s="10" t="str">
        <x:v>Gerado pelo Dataverse</x:v>
      </x:c>
      <x:c r="F261" s="10" t="str">
        <x:v>Nato-digital</x:v>
      </x:c>
      <x:c r="G261" s="10" t="str">
        <x:v>São Paulo, Brasil</x:v>
      </x:c>
      <x:c r="H261" s="10" t="str">
        <x:v>Grupo de Pesquisa em Direito e Violência de Estado</x:v>
      </x:c>
      <x:c r="I261" s="10" t="str">
        <x:v>Arcoenge - Demolição - Casa de Detenção do Carandiru (Fotografias)</x:v>
      </x:c>
      <x:c r="J261" s="10" t="str">
        <x:v>Pasta: 0004</x:v>
      </x:c>
      <x:c r="K261" s="10" t="str">
        <x:v>BR-SPCARANDIRU_ARCOENGE-DEMOLICAO-CSDTCARANDIRU_ICO-FOT-NDG-MB0_0003-006.JPG</x:v>
      </x:c>
      <x:c r="L261"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61" s="10" t="str">
        <x:v>Imagem muito semelhante à 0004-005, com pequena alteração de ângulo, mostrando o mesmo profissional apontando para um trecho inferior da mesma fissura vertical no muro claro. Na base da imagem, sobressai uma pichação em tinta avermelhada com os dizeres parciais "AQUEIRO". Marcador numérico "3 3 '03" alinhado verticalmente na lateral inferior esquerda.</x:v>
      </x:c>
      <x:c r="N261"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61" s="10" t="str">
        <x:v>Sistema prisional; Arquitetura prisional; Casa de Detenção de São Paulo; Carandiru</x:v>
      </x:c>
      <x:c r="P261" s="10" t="str">
        <x:v>Fotografia (Iconográfico)</x:v>
      </x:c>
      <x:c r="Q261" s="10" t="str">
        <x:v>Nato-digital</x:v>
      </x:c>
      <x:c r="R261" s="10" t="str">
        <x:v>Figura n – [Vistoria de trinca vertical.] Fonte: ARCOENGE, 2003.</x:v>
      </x:c>
      <x:c r="S261" s="10" t="str">
        <x:v>ARCOENGE. [Vistoria de trinca vertical.]. São Paulo, Brasil. 10 mar. 2003. Nato-digital. Disponível em: &lt;link do dataverse&gt;. Acesso em: 28 mai. 2026.</x:v>
      </x:c>
      <x:c r="T261" s="10" t="str">
        <x:v>Este item pertencia à pasta intitulada "caixa-d'água 2".</x:v>
      </x:c>
      <x:c r="U261" s="10" t="str">
        <x:v>ICO</x:v>
      </x:c>
      <x:c r="V261" s="10" t="str">
        <x:v>FOT</x:v>
      </x:c>
      <x:c r="W261" s="10" t="str">
        <x:v>NDG</x:v>
      </x:c>
      <x:c r="X261" s="10" t="str">
        <x:v>MB0</x:v>
      </x:c>
      <x:c r="Y261" s="10" t="str">
        <x:v>BR-SPCARANDIRU_ARCOENGE-DEMOLICAO-CSDTCARANDIRU.xlsx</x:v>
      </x:c>
      <x:c r="Z261" s="10" t="str">
        <x:v>0003</x:v>
      </x:c>
      <x:c r="AA261" s="11" t="n">
        <x:v>7</x:v>
      </x:c>
      <x:c r="AB261" s="10" t="str">
        <x:v>BR-SPCARANDIRU_ARCOENGE-DEMOLICAO-CSDTCARANDIRU.xlsx:0003:7</x:v>
      </x:c>
      <x:c r="AC261" s="11" t="n">
        <x:f>COLUMNS(A261:T261)-COUNTBLANK(A261:T261)</x:f>
        <x:v>20</x:v>
      </x:c>
    </x:row>
    <x:row r="262" ht="48" hidden="0" customHeight="1">
      <x:c r="A262" s="10" t="str">
        <x:v>007</x:v>
      </x:c>
      <x:c r="B262" s="10" t="str">
        <x:v>Técnico indicando ruptura com desprendimento de reboco.</x:v>
      </x:c>
      <x:c r="C262" s="10" t="str">
        <x:v>Item</x:v>
      </x:c>
      <x:c r="D262" s="10" t="str">
        <x:v>2003-03-10 00:00:00</x:v>
      </x:c>
      <x:c r="E262" s="10" t="str">
        <x:v>Gerado pelo Dataverse</x:v>
      </x:c>
      <x:c r="F262" s="10" t="str">
        <x:v>Nato-digital</x:v>
      </x:c>
      <x:c r="G262" s="10" t="str">
        <x:v>São Paulo, Brasil</x:v>
      </x:c>
      <x:c r="H262" s="10" t="str">
        <x:v>Grupo de Pesquisa em Direito e Violência de Estado</x:v>
      </x:c>
      <x:c r="I262" s="10" t="str">
        <x:v>Arcoenge - Demolição - Casa de Detenção do Carandiru (Fotografias)</x:v>
      </x:c>
      <x:c r="J262" s="10" t="str">
        <x:v>Pasta: 0004</x:v>
      </x:c>
      <x:c r="K262" s="10" t="str">
        <x:v>BR-SPCARANDIRU_ARCOENGE-DEMOLICAO-CSDTCARANDIRU_ICO-FOT-NDG-MB0_0003-007.JPG</x:v>
      </x:c>
      <x:c r="L262"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62" s="10" t="str">
        <x:v>Fotografia de corpo inteiro do técnico inspecionando um dano severo no muro divisório. Ele aponta para uma falha estrutural diagonal/vertical onde grande parte do reboco cedeu, expondo os tijolos de forma irregular. No solo, junto ao muro, há terra escavada, uma estaca de madeira, uma mangueira de nível transparente e um saco plástico com materiais. Marcador numérico "3 3 '03" alinhado verticalmente na lateral inferior esquerda.</x:v>
      </x:c>
      <x:c r="N262"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62" s="10" t="str">
        <x:v>Sistema prisional; Arquitetura prisional; Casa de Detenção de São Paulo; Carandiru</x:v>
      </x:c>
      <x:c r="P262" s="10" t="str">
        <x:v>Fotografia (Iconográfico)</x:v>
      </x:c>
      <x:c r="Q262" s="10" t="str">
        <x:v>Nato-digital</x:v>
      </x:c>
      <x:c r="R262" s="10" t="str">
        <x:v>Figura n – [Técnico indicando ruptura com desprendimento de reboco.] Fonte: ARCOENGE, 2003.</x:v>
      </x:c>
      <x:c r="S262" s="10" t="str">
        <x:v>ARCOENGE. [Técnico indicando ruptura com desprendimento de reboco.]. São Paulo, Brasil. 10 mar. 2003. Nato-digital. Disponível em: &lt;link do dataverse&gt;. Acesso em: 28 mai. 2026.</x:v>
      </x:c>
      <x:c r="T262" s="10" t="str">
        <x:v>Este item pertencia à pasta intitulada "caixa-d'água 2".</x:v>
      </x:c>
      <x:c r="U262" s="10" t="str">
        <x:v>ICO</x:v>
      </x:c>
      <x:c r="V262" s="10" t="str">
        <x:v>FOT</x:v>
      </x:c>
      <x:c r="W262" s="10" t="str">
        <x:v>NDG</x:v>
      </x:c>
      <x:c r="X262" s="10" t="str">
        <x:v>MB0</x:v>
      </x:c>
      <x:c r="Y262" s="10" t="str">
        <x:v>BR-SPCARANDIRU_ARCOENGE-DEMOLICAO-CSDTCARANDIRU.xlsx</x:v>
      </x:c>
      <x:c r="Z262" s="10" t="str">
        <x:v>0003</x:v>
      </x:c>
      <x:c r="AA262" s="11" t="n">
        <x:v>8</x:v>
      </x:c>
      <x:c r="AB262" s="10" t="str">
        <x:v>BR-SPCARANDIRU_ARCOENGE-DEMOLICAO-CSDTCARANDIRU.xlsx:0003:8</x:v>
      </x:c>
      <x:c r="AC262" s="11" t="n">
        <x:f>COLUMNS(A262:T262)-COUNTBLANK(A262:T262)</x:f>
        <x:v>20</x:v>
      </x:c>
    </x:row>
    <x:row r="263" ht="48" hidden="0" customHeight="1">
      <x:c r="A263" s="10" t="str">
        <x:v>008</x:v>
      </x:c>
      <x:c r="B263" s="10" t="str">
        <x:v>Técnico encostado em quina de muro com buracos profundos.</x:v>
      </x:c>
      <x:c r="C263" s="10" t="str">
        <x:v>Item</x:v>
      </x:c>
      <x:c r="D263" s="10" t="str">
        <x:v>2003-03-10 00:00:00</x:v>
      </x:c>
      <x:c r="E263" s="10" t="str">
        <x:v>Gerado pelo Dataverse</x:v>
      </x:c>
      <x:c r="F263" s="10" t="str">
        <x:v>Nato-digital</x:v>
      </x:c>
      <x:c r="G263" s="10" t="str">
        <x:v>São Paulo, Brasil</x:v>
      </x:c>
      <x:c r="H263" s="10" t="str">
        <x:v>Grupo de Pesquisa em Direito e Violência de Estado</x:v>
      </x:c>
      <x:c r="I263" s="10" t="str">
        <x:v>Arcoenge - Demolição - Casa de Detenção do Carandiru (Fotografias)</x:v>
      </x:c>
      <x:c r="J263" s="10" t="str">
        <x:v>Pasta: 0004</x:v>
      </x:c>
      <x:c r="K263" s="10" t="str">
        <x:v>BR-SPCARANDIRU_ARCOENGE-DEMOLICAO-CSDTCARANDIRU_ICO-FOT-NDG-MB0_0003-008.JPG</x:v>
      </x:c>
      <x:c r="L263"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63" s="10" t="str">
        <x:v>O técnico apoia-se e aponta para a quina divisória de um muro de revestimento claro. No trecho adjacente do muro frontal, registram-se duas falhas significativas e profundas no reboco, que deixam exposta a alvenaria de tijolos e tubulações/ferragens internas. O primeiro plano é uma vala escavada com pedaços de madeira e vegetação solta. Marcador numérico "3 3 '03" alinhado verticalmente na lateral inferior esquerda.</x:v>
      </x:c>
      <x:c r="N263"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63" s="10" t="str">
        <x:v>Sistema prisional; Arquitetura prisional; Casa de Detenção de São Paulo; Carandiru</x:v>
      </x:c>
      <x:c r="P263" s="10" t="str">
        <x:v>Fotografia (Iconográfico)</x:v>
      </x:c>
      <x:c r="Q263" s="10" t="str">
        <x:v>Nato-digital</x:v>
      </x:c>
      <x:c r="R263" s="10" t="str">
        <x:v>Figura n – [Técnico encostado em quina de muro com buracos profundos.] Fonte: ARCOENGE, 2003.</x:v>
      </x:c>
      <x:c r="S263" s="10" t="str">
        <x:v>ARCOENGE. [Técnico encostado em quina de muro com buracos profundos.]. São Paulo, Brasil. 10 mar. 2003. Nato-digital. Disponível em: &lt;link do dataverse&gt;. Acesso em: 28 mai. 2026.</x:v>
      </x:c>
      <x:c r="T263" s="10" t="str">
        <x:v>Este item pertencia à pasta intitulada "caixa-d'água 2".</x:v>
      </x:c>
      <x:c r="U263" s="10" t="str">
        <x:v>ICO</x:v>
      </x:c>
      <x:c r="V263" s="10" t="str">
        <x:v>FOT</x:v>
      </x:c>
      <x:c r="W263" s="10" t="str">
        <x:v>NDG</x:v>
      </x:c>
      <x:c r="X263" s="10" t="str">
        <x:v>MB0</x:v>
      </x:c>
      <x:c r="Y263" s="10" t="str">
        <x:v>BR-SPCARANDIRU_ARCOENGE-DEMOLICAO-CSDTCARANDIRU.xlsx</x:v>
      </x:c>
      <x:c r="Z263" s="10" t="str">
        <x:v>0003</x:v>
      </x:c>
      <x:c r="AA263" s="11" t="n">
        <x:v>9</x:v>
      </x:c>
      <x:c r="AB263" s="10" t="str">
        <x:v>BR-SPCARANDIRU_ARCOENGE-DEMOLICAO-CSDTCARANDIRU.xlsx:0003:9</x:v>
      </x:c>
      <x:c r="AC263" s="11" t="n">
        <x:f>COLUMNS(A263:T263)-COUNTBLANK(A263:T263)</x:f>
        <x:v>20</x:v>
      </x:c>
    </x:row>
    <x:row r="264" ht="48" hidden="0" customHeight="1">
      <x:c r="A264" s="10" t="str">
        <x:v>009</x:v>
      </x:c>
      <x:c r="B264" s="10" t="str">
        <x:v>Extensa fachada lateral com equipe em terreno de obras.</x:v>
      </x:c>
      <x:c r="C264" s="10" t="str">
        <x:v>Item</x:v>
      </x:c>
      <x:c r="D264" s="10" t="str">
        <x:v>2003-03-10 00:00:00</x:v>
      </x:c>
      <x:c r="E264" s="10" t="str">
        <x:v>Gerado pelo Dataverse</x:v>
      </x:c>
      <x:c r="F264" s="10" t="str">
        <x:v>Nato-digital</x:v>
      </x:c>
      <x:c r="G264" s="10" t="str">
        <x:v>São Paulo, Brasil</x:v>
      </x:c>
      <x:c r="H264" s="10" t="str">
        <x:v>Grupo de Pesquisa em Direito e Violência de Estado</x:v>
      </x:c>
      <x:c r="I264" s="10" t="str">
        <x:v>Arcoenge - Demolição - Casa de Detenção do Carandiru (Fotografias)</x:v>
      </x:c>
      <x:c r="J264" s="10" t="str">
        <x:v>Pasta: 0004</x:v>
      </x:c>
      <x:c r="K264" s="10" t="str">
        <x:v>BR-SPCARANDIRU_ARCOENGE-DEMOLICAO-CSDTCARANDIRU_ICO-FOT-NDG-MB0_0003-009.JPG</x:v>
      </x:c>
      <x:c r="L264"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64" s="10" t="str">
        <x:v>Imagem em plano muito aberto capturando uma longa e alta fachada lateral (empena) de reboco acinzentado, arrematada por telhas no topo. A parede exibe desgaste, umidade e pichações brancas quase apagadas. À esquerda, o técnico conversa com outro indivíduo de camisa clara. À direita, um operário de capacete amarelo é registrado de costas. O canteiro incipiente apresenta terra revolvida e formas de madeira no solo. Marcador numérico "3 3 '03" no canto inferior direito.</x:v>
      </x:c>
      <x:c r="N264"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64" s="10" t="str">
        <x:v>Sistema prisional; Arquitetura prisional; Casa de Detenção de São Paulo; Carandiru</x:v>
      </x:c>
      <x:c r="P264" s="10" t="str">
        <x:v>Fotografia (Iconográfico)</x:v>
      </x:c>
      <x:c r="Q264" s="10" t="str">
        <x:v>Nato-digital</x:v>
      </x:c>
      <x:c r="R264" s="10" t="str">
        <x:v>Figura n – [Extensa fachada lateral com equipe em terreno de obras.] Fonte: ARCOENGE, 2003.</x:v>
      </x:c>
      <x:c r="S264" s="10" t="str">
        <x:v>ARCOENGE. [Extensa fachada lateral com equipe em terreno de obras.]. São Paulo, Brasil. 10 mar. 2003. Nato-digital. Disponível em: &lt;link do dataverse&gt;. Acesso em: 28 mai. 2026.</x:v>
      </x:c>
      <x:c r="T264" s="10" t="str">
        <x:v>Este item pertencia à pasta intitulada "caixa-d'água 2".</x:v>
      </x:c>
      <x:c r="U264" s="10" t="str">
        <x:v>ICO</x:v>
      </x:c>
      <x:c r="V264" s="10" t="str">
        <x:v>FOT</x:v>
      </x:c>
      <x:c r="W264" s="10" t="str">
        <x:v>NDG</x:v>
      </x:c>
      <x:c r="X264" s="10" t="str">
        <x:v>MB0</x:v>
      </x:c>
      <x:c r="Y264" s="10" t="str">
        <x:v>BR-SPCARANDIRU_ARCOENGE-DEMOLICAO-CSDTCARANDIRU.xlsx</x:v>
      </x:c>
      <x:c r="Z264" s="10" t="str">
        <x:v>0003</x:v>
      </x:c>
      <x:c r="AA264" s="11" t="n">
        <x:v>10</x:v>
      </x:c>
      <x:c r="AB264" s="10" t="str">
        <x:v>BR-SPCARANDIRU_ARCOENGE-DEMOLICAO-CSDTCARANDIRU.xlsx:0003:10</x:v>
      </x:c>
      <x:c r="AC264" s="11" t="n">
        <x:f>COLUMNS(A264:T264)-COUNTBLANK(A264:T264)</x:f>
        <x:v>20</x:v>
      </x:c>
    </x:row>
    <x:row r="265" ht="48" hidden="0" customHeight="1">
      <x:c r="A265" s="10" t="str">
        <x:v>010</x:v>
      </x:c>
      <x:c r="B265" s="10" t="str">
        <x:v>Detalhe superior de empena cega com tijolos laterais expostos.</x:v>
      </x:c>
      <x:c r="C265" s="10" t="str">
        <x:v>Item</x:v>
      </x:c>
      <x:c r="D265" s="10" t="str">
        <x:v>2003-03-10 00:00:00</x:v>
      </x:c>
      <x:c r="E265" s="10" t="str">
        <x:v>Gerado pelo Dataverse</x:v>
      </x:c>
      <x:c r="F265" s="10" t="str">
        <x:v>Nato-digital</x:v>
      </x:c>
      <x:c r="G265" s="10" t="str">
        <x:v>São Paulo, Brasil</x:v>
      </x:c>
      <x:c r="H265" s="10" t="str">
        <x:v>Grupo de Pesquisa em Direito e Violência de Estado</x:v>
      </x:c>
      <x:c r="I265" s="10" t="str">
        <x:v>Arcoenge - Demolição - Casa de Detenção do Carandiru (Fotografias)</x:v>
      </x:c>
      <x:c r="J265" s="10" t="str">
        <x:v>Pasta: 0004</x:v>
      </x:c>
      <x:c r="K265" s="10" t="str">
        <x:v>BR-SPCARANDIRU_ARCOENGE-DEMOLICAO-CSDTCARANDIRU_ICO-FOT-NDG-MB0_0003-010.JPG</x:v>
      </x:c>
      <x:c r="L265"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65" s="10" t="str">
        <x:v>Plano fechado no canto superior direito de uma empena de alvenaria. A superfície cinza apresenta forte acúmulo de manchas de umidade escuras na faixa rente ao telhado. Ao longo de toda a borda lateral direita, o reboco está quebrado, expondo os tijolos vermelhos estruturais de forma irregular. Fundo composto por céu azul e nuvens claras. Marcador numérico "3 3 '03" no canto inferior direito.</x:v>
      </x:c>
      <x:c r="N265"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65" s="10" t="str">
        <x:v>Sistema prisional; Arquitetura prisional; Casa de Detenção de São Paulo; Carandiru</x:v>
      </x:c>
      <x:c r="P265" s="10" t="str">
        <x:v>Fotografia (Iconográfico)</x:v>
      </x:c>
      <x:c r="Q265" s="10" t="str">
        <x:v>Nato-digital</x:v>
      </x:c>
      <x:c r="R265" s="10" t="str">
        <x:v>Figura n – [Detalhe superior de empena cega com tijolos laterais expostos.] Fonte: ARCOENGE, 2003.</x:v>
      </x:c>
      <x:c r="S265" s="10" t="str">
        <x:v>ARCOENGE. [Detalhe superior de empena cega com tijolos laterais expostos.]. São Paulo, Brasil. 10 mar. 2003. Nato-digital. Disponível em: &lt;link do dataverse&gt;. Acesso em: 28 mai. 2026.</x:v>
      </x:c>
      <x:c r="T265" s="10" t="str">
        <x:v>Este item pertencia à pasta intitulada "caixa-d'água 2".</x:v>
      </x:c>
      <x:c r="U265" s="10" t="str">
        <x:v>ICO</x:v>
      </x:c>
      <x:c r="V265" s="10" t="str">
        <x:v>FOT</x:v>
      </x:c>
      <x:c r="W265" s="10" t="str">
        <x:v>NDG</x:v>
      </x:c>
      <x:c r="X265" s="10" t="str">
        <x:v>MB0</x:v>
      </x:c>
      <x:c r="Y265" s="10" t="str">
        <x:v>BR-SPCARANDIRU_ARCOENGE-DEMOLICAO-CSDTCARANDIRU.xlsx</x:v>
      </x:c>
      <x:c r="Z265" s="10" t="str">
        <x:v>0003</x:v>
      </x:c>
      <x:c r="AA265" s="11" t="n">
        <x:v>11</x:v>
      </x:c>
      <x:c r="AB265" s="10" t="str">
        <x:v>BR-SPCARANDIRU_ARCOENGE-DEMOLICAO-CSDTCARANDIRU.xlsx:0003:11</x:v>
      </x:c>
      <x:c r="AC265" s="11" t="n">
        <x:f>COLUMNS(A265:T265)-COUNTBLANK(A265:T265)</x:f>
        <x:v>20</x:v>
      </x:c>
    </x:row>
    <x:row r="266" ht="48" hidden="0" customHeight="1">
      <x:c r="A266" s="10" t="str">
        <x:v>011</x:v>
      </x:c>
      <x:c r="B266" s="10" t="str">
        <x:v>Detalhe de revestimento de muro divisório com manchas e escorrimentos escuros.</x:v>
      </x:c>
      <x:c r="C266" s="10" t="str">
        <x:v>Item</x:v>
      </x:c>
      <x:c r="D266" s="10" t="str">
        <x:v>2003-03-10 00:00:00</x:v>
      </x:c>
      <x:c r="E266" s="10" t="str">
        <x:v>Gerado pelo Dataverse</x:v>
      </x:c>
      <x:c r="F266" s="10" t="str">
        <x:v>Nato-digital</x:v>
      </x:c>
      <x:c r="G266" s="10" t="str">
        <x:v>São Paulo, Brasil</x:v>
      </x:c>
      <x:c r="H266" s="10" t="str">
        <x:v>Grupo de Pesquisa em Direito e Violência de Estado</x:v>
      </x:c>
      <x:c r="I266" s="10" t="str">
        <x:v>Arcoenge - Demolição - Casa de Detenção do Carandiru (Fotografias)</x:v>
      </x:c>
      <x:c r="J266" s="10" t="str">
        <x:v>Pasta: 0004</x:v>
      </x:c>
      <x:c r="K266" s="10" t="str">
        <x:v>BR-SPCARANDIRU_ARCOENGE-DEMOLICAO-CSDTCARANDIRU_ICO-FOT-NDG-MB0_0003-011.JPG</x:v>
      </x:c>
      <x:c r="L266"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66" s="10" t="str">
        <x:v>Plano fechado detalhando a superfície de um muro divisório de alvenaria. O reboco claro apresenta forte degradação, exibindo extensas manchas de umidade, escorrimentos verticais de substância escura (possivelmente piche ou tinta), manchas avermelhadas indicativas de oxidação, fissuras estruturais e duas áreas com pintura azul sobreposta irregularmente. Marcador numérico "3 3 '03" no canto inferior direito.</x:v>
      </x:c>
      <x:c r="N266"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66" s="10" t="str">
        <x:v>Sistema prisional; Arquitetura prisional; Casa de Detenção de São Paulo; Carandiru</x:v>
      </x:c>
      <x:c r="P266" s="10" t="str">
        <x:v>Fotografia (Iconográfico)</x:v>
      </x:c>
      <x:c r="Q266" s="10" t="str">
        <x:v>Nato-digital</x:v>
      </x:c>
      <x:c r="R266" s="10" t="str">
        <x:v>Figura n – [Detalhe de revestimento de muro divisório com manchas e escorrimentos escuros.] Fonte: ARCOENGE, 2003.</x:v>
      </x:c>
      <x:c r="S266" s="10" t="str">
        <x:v>ARCOENGE. [Detalhe de revestimento de muro divisório com manchas e escorrimentos escuros.]. São Paulo, Brasil. 10 mar. 2003. Nato-digital. Disponível em: &lt;link do dataverse&gt;. Acesso em: 28 mai. 2026.</x:v>
      </x:c>
      <x:c r="T266" s="10" t="str">
        <x:v>Este item pertencia à pasta intitulada "caixa-d'água 2".</x:v>
      </x:c>
      <x:c r="U266" s="10" t="str">
        <x:v>ICO</x:v>
      </x:c>
      <x:c r="V266" s="10" t="str">
        <x:v>FOT</x:v>
      </x:c>
      <x:c r="W266" s="10" t="str">
        <x:v>NDG</x:v>
      </x:c>
      <x:c r="X266" s="10" t="str">
        <x:v>MB0</x:v>
      </x:c>
      <x:c r="Y266" s="10" t="str">
        <x:v>BR-SPCARANDIRU_ARCOENGE-DEMOLICAO-CSDTCARANDIRU.xlsx</x:v>
      </x:c>
      <x:c r="Z266" s="10" t="str">
        <x:v>0003</x:v>
      </x:c>
      <x:c r="AA266" s="11" t="n">
        <x:v>12</x:v>
      </x:c>
      <x:c r="AB266" s="10" t="str">
        <x:v>BR-SPCARANDIRU_ARCOENGE-DEMOLICAO-CSDTCARANDIRU.xlsx:0003:12</x:v>
      </x:c>
      <x:c r="AC266" s="11" t="n">
        <x:f>COLUMNS(A266:T266)-COUNTBLANK(A266:T266)</x:f>
        <x:v>20</x:v>
      </x:c>
    </x:row>
    <x:row r="267" ht="48" hidden="0" customHeight="1">
      <x:c r="A267" s="10" t="str">
        <x:v>012</x:v>
      </x:c>
      <x:c r="B267" s="10" t="str">
        <x:v>Detalhe de avarias, umidade e oxidação em superfície de muro.</x:v>
      </x:c>
      <x:c r="C267" s="10" t="str">
        <x:v>Item</x:v>
      </x:c>
      <x:c r="D267" s="10" t="str">
        <x:v>2003-03-10 00:00:00</x:v>
      </x:c>
      <x:c r="E267" s="10" t="str">
        <x:v>Gerado pelo Dataverse</x:v>
      </x:c>
      <x:c r="F267" s="10" t="str">
        <x:v>Nato-digital</x:v>
      </x:c>
      <x:c r="G267" s="10" t="str">
        <x:v>São Paulo, Brasil</x:v>
      </x:c>
      <x:c r="H267" s="10" t="str">
        <x:v>Grupo de Pesquisa em Direito e Violência de Estado</x:v>
      </x:c>
      <x:c r="I267" s="10" t="str">
        <x:v>Arcoenge - Demolição - Casa de Detenção do Carandiru (Fotografias)</x:v>
      </x:c>
      <x:c r="J267" s="10" t="str">
        <x:v>Pasta: 0004</x:v>
      </x:c>
      <x:c r="K267" s="10" t="str">
        <x:v>BR-SPCARANDIRU_ARCOENGE-DEMOLICAO-CSDTCARANDIRU_ICO-FOT-NDG-MB0_0003-012.JPG</x:v>
      </x:c>
      <x:c r="L267"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67" s="10" t="str">
        <x:v>Imagem em plano fechado retratando outra seção do muro divisório degradado. A superfície texturizada revela marcas e sulcos horizontais no reboco, manchas espessas de escorrimento escuro concentradas na parte inferior, manchas de oxidação avermelhada na lateral direita e uma mancha escura isolada no centro. Marcador numérico "3 3 '03" no canto inferior direito.</x:v>
      </x:c>
      <x:c r="N267"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67" s="10" t="str">
        <x:v>Sistema prisional; Arquitetura prisional; Casa de Detenção de São Paulo; Carandiru</x:v>
      </x:c>
      <x:c r="P267" s="10" t="str">
        <x:v>Fotografia (Iconográfico)</x:v>
      </x:c>
      <x:c r="Q267" s="10" t="str">
        <x:v>Nato-digital</x:v>
      </x:c>
      <x:c r="R267" s="10" t="str">
        <x:v>Figura n – [Detalhe de avarias, umidade e oxidação em superfície de muro.] Fonte: ARCOENGE, 2003.</x:v>
      </x:c>
      <x:c r="S267" s="10" t="str">
        <x:v>ARCOENGE. [Detalhe de avarias, umidade e oxidação em superfície de muro.]. São Paulo, Brasil. 10 mar. 2003. Nato-digital. Disponível em: &lt;link do dataverse&gt;. Acesso em: 28 mai. 2026.</x:v>
      </x:c>
      <x:c r="T267" s="10" t="str">
        <x:v>Este item pertencia à pasta intitulada "caixa-d'água 2".</x:v>
      </x:c>
      <x:c r="U267" s="10" t="str">
        <x:v>ICO</x:v>
      </x:c>
      <x:c r="V267" s="10" t="str">
        <x:v>FOT</x:v>
      </x:c>
      <x:c r="W267" s="10" t="str">
        <x:v>NDG</x:v>
      </x:c>
      <x:c r="X267" s="10" t="str">
        <x:v>MB0</x:v>
      </x:c>
      <x:c r="Y267" s="10" t="str">
        <x:v>BR-SPCARANDIRU_ARCOENGE-DEMOLICAO-CSDTCARANDIRU.xlsx</x:v>
      </x:c>
      <x:c r="Z267" s="10" t="str">
        <x:v>0003</x:v>
      </x:c>
      <x:c r="AA267" s="11" t="n">
        <x:v>13</x:v>
      </x:c>
      <x:c r="AB267" s="10" t="str">
        <x:v>BR-SPCARANDIRU_ARCOENGE-DEMOLICAO-CSDTCARANDIRU.xlsx:0003:13</x:v>
      </x:c>
      <x:c r="AC267" s="11" t="n">
        <x:f>COLUMNS(A267:T267)-COUNTBLANK(A267:T267)</x:f>
        <x:v>20</x:v>
      </x:c>
    </x:row>
    <x:row r="268" ht="48" hidden="0" customHeight="1">
      <x:c r="A268" s="10" t="str">
        <x:v>013</x:v>
      </x:c>
      <x:c r="B268" s="10" t="str">
        <x:v>Muro divisório bipartido e vala para fundação no canteiro.</x:v>
      </x:c>
      <x:c r="C268" s="10" t="str">
        <x:v>Item</x:v>
      </x:c>
      <x:c r="D268" s="10" t="str">
        <x:v>2003-03-10 00:00:00</x:v>
      </x:c>
      <x:c r="E268" s="10" t="str">
        <x:v>Gerado pelo Dataverse</x:v>
      </x:c>
      <x:c r="F268" s="10" t="str">
        <x:v>Nato-digital</x:v>
      </x:c>
      <x:c r="G268" s="10" t="str">
        <x:v>São Paulo, Brasil</x:v>
      </x:c>
      <x:c r="H268" s="10" t="str">
        <x:v>Grupo de Pesquisa em Direito e Violência de Estado</x:v>
      </x:c>
      <x:c r="I268" s="10" t="str">
        <x:v>Arcoenge - Demolição - Casa de Detenção do Carandiru (Fotografias)</x:v>
      </x:c>
      <x:c r="J268" s="10" t="str">
        <x:v>Pasta: 0004</x:v>
      </x:c>
      <x:c r="K268" s="10" t="str">
        <x:v>BR-SPCARANDIRU_ARCOENGE-DEMOLICAO-CSDTCARANDIRU_ICO-FOT-NDG-MB0_0003-013.JPG</x:v>
      </x:c>
      <x:c r="L268"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68" s="10" t="str">
        <x:v>Fotografia focada em um longo muro de divisa que apresenta duas metades com estéticas distintas: a inferior com reboco claro descascado e a superior composta por blocos de concreto escurecidos. No primeiro plano, observa-se o solo do canteiro de obras, contendo uma vala linear, formas de madeira e armações de ferro (ferragens) preparadas para a concretagem de fundações (baldrames). Marcador numérico "3 3 '03" no canto inferior direito.</x:v>
      </x:c>
      <x:c r="N268"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68" s="10" t="str">
        <x:v>Sistema prisional; Arquitetura prisional; Casa de Detenção de São Paulo; Carandiru</x:v>
      </x:c>
      <x:c r="P268" s="10" t="str">
        <x:v>Fotografia (Iconográfico)</x:v>
      </x:c>
      <x:c r="Q268" s="10" t="str">
        <x:v>Nato-digital</x:v>
      </x:c>
      <x:c r="R268" s="10" t="str">
        <x:v>Figura n – [Muro divisório bipartido e vala para fundação no canteiro.] Fonte: ARCOENGE, 2003.</x:v>
      </x:c>
      <x:c r="S268" s="10" t="str">
        <x:v>ARCOENGE. [Muro divisório bipartido e vala para fundação no canteiro.]. São Paulo, Brasil. 10 mar. 2003. Nato-digital. Disponível em: &lt;link do dataverse&gt;. Acesso em: 28 mai. 2026.</x:v>
      </x:c>
      <x:c r="T268" s="10" t="str">
        <x:v>Este item pertencia à pasta intitulada "caixa-d'água 2".</x:v>
      </x:c>
      <x:c r="U268" s="10" t="str">
        <x:v>ICO</x:v>
      </x:c>
      <x:c r="V268" s="10" t="str">
        <x:v>FOT</x:v>
      </x:c>
      <x:c r="W268" s="10" t="str">
        <x:v>NDG</x:v>
      </x:c>
      <x:c r="X268" s="10" t="str">
        <x:v>MB0</x:v>
      </x:c>
      <x:c r="Y268" s="10" t="str">
        <x:v>BR-SPCARANDIRU_ARCOENGE-DEMOLICAO-CSDTCARANDIRU.xlsx</x:v>
      </x:c>
      <x:c r="Z268" s="10" t="str">
        <x:v>0003</x:v>
      </x:c>
      <x:c r="AA268" s="11" t="n">
        <x:v>14</x:v>
      </x:c>
      <x:c r="AB268" s="10" t="str">
        <x:v>BR-SPCARANDIRU_ARCOENGE-DEMOLICAO-CSDTCARANDIRU.xlsx:0003:14</x:v>
      </x:c>
      <x:c r="AC268" s="11" t="n">
        <x:f>COLUMNS(A268:T268)-COUNTBLANK(A268:T268)</x:f>
        <x:v>20</x:v>
      </x:c>
    </x:row>
    <x:row r="269" ht="48" hidden="0" customHeight="1">
      <x:c r="A269" s="10" t="str">
        <x:v>014</x:v>
      </x:c>
      <x:c r="B269" s="10" t="str">
        <x:v>Muro de divisa com proteção superior e vala de fundação.</x:v>
      </x:c>
      <x:c r="C269" s="10" t="str">
        <x:v>Item</x:v>
      </x:c>
      <x:c r="D269" s="10" t="str">
        <x:v>2003-03-10 00:00:00</x:v>
      </x:c>
      <x:c r="E269" s="10" t="str">
        <x:v>Gerado pelo Dataverse</x:v>
      </x:c>
      <x:c r="F269" s="10" t="str">
        <x:v>Nato-digital</x:v>
      </x:c>
      <x:c r="G269" s="10" t="str">
        <x:v>São Paulo, Brasil</x:v>
      </x:c>
      <x:c r="H269" s="10" t="str">
        <x:v>Grupo de Pesquisa em Direito e Violência de Estado</x:v>
      </x:c>
      <x:c r="I269" s="10" t="str">
        <x:v>Arcoenge - Demolição - Casa de Detenção do Carandiru (Fotografias)</x:v>
      </x:c>
      <x:c r="J269" s="10" t="str">
        <x:v>Pasta: 0004</x:v>
      </x:c>
      <x:c r="K269" s="10" t="str">
        <x:v>BR-SPCARANDIRU_ARCOENGE-DEMOLICAO-CSDTCARANDIRU_ICO-FOT-NDG-MB0_0003-014.JPG</x:v>
      </x:c>
      <x:c r="L269"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69" s="10" t="str">
        <x:v>Vista ao nível do solo mostrando a continuidade do muro divisório, cuja borda superior é arrematada por uma estrutura protetora linear (possível rufo metálico ou calha). Atrás do muro, desponta o telhado de telhas cerâmicas de uma residência contígua. À esquerda, ergue-se uma empena com pintura clara envelhecida. O primeiro plano mantém o registro da vala de escavação com formas de madeira e ferragens estruturais expostas no terreno avermelhado. Marcador numérico "3 3 '03" no canto inferior direito.</x:v>
      </x:c>
      <x:c r="N269"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69" s="10" t="str">
        <x:v>Sistema prisional; Arquitetura prisional; Casa de Detenção de São Paulo; Carandiru</x:v>
      </x:c>
      <x:c r="P269" s="10" t="str">
        <x:v>Fotografia (Iconográfico)</x:v>
      </x:c>
      <x:c r="Q269" s="10" t="str">
        <x:v>Nato-digital</x:v>
      </x:c>
      <x:c r="R269" s="10" t="str">
        <x:v>Figura n – [Muro de divisa com proteção superior e vala de fundação.] Fonte: ARCOENGE, 2003.</x:v>
      </x:c>
      <x:c r="S269" s="10" t="str">
        <x:v>ARCOENGE. [Muro de divisa com proteção superior e vala de fundação.]. São Paulo, Brasil. 10 mar. 2003. Nato-digital. Disponível em: &lt;link do dataverse&gt;. Acesso em: 28 mai. 2026.</x:v>
      </x:c>
      <x:c r="T269" s="10" t="str">
        <x:v>Este item pertencia à pasta intitulada "caixa-d'água 2".</x:v>
      </x:c>
      <x:c r="U269" s="10" t="str">
        <x:v>ICO</x:v>
      </x:c>
      <x:c r="V269" s="10" t="str">
        <x:v>FOT</x:v>
      </x:c>
      <x:c r="W269" s="10" t="str">
        <x:v>NDG</x:v>
      </x:c>
      <x:c r="X269" s="10" t="str">
        <x:v>MB0</x:v>
      </x:c>
      <x:c r="Y269" s="10" t="str">
        <x:v>BR-SPCARANDIRU_ARCOENGE-DEMOLICAO-CSDTCARANDIRU.xlsx</x:v>
      </x:c>
      <x:c r="Z269" s="10" t="str">
        <x:v>0003</x:v>
      </x:c>
      <x:c r="AA269" s="11" t="n">
        <x:v>15</x:v>
      </x:c>
      <x:c r="AB269" s="10" t="str">
        <x:v>BR-SPCARANDIRU_ARCOENGE-DEMOLICAO-CSDTCARANDIRU.xlsx:0003:15</x:v>
      </x:c>
      <x:c r="AC269" s="11" t="n">
        <x:f>COLUMNS(A269:T269)-COUNTBLANK(A269:T269)</x:f>
        <x:v>20</x:v>
      </x:c>
    </x:row>
    <x:row r="270" ht="48" hidden="0" customHeight="1">
      <x:c r="A270" s="10" t="str">
        <x:v>015</x:v>
      </x:c>
      <x:c r="B270" s="10" t="str">
        <x:v>Amplo muro divisório degradado e ferragens dispersas no solo.</x:v>
      </x:c>
      <x:c r="C270" s="10" t="str">
        <x:v>Item</x:v>
      </x:c>
      <x:c r="D270" s="10" t="str">
        <x:v>2003-03-10 00:00:00</x:v>
      </x:c>
      <x:c r="E270" s="10" t="str">
        <x:v>Gerado pelo Dataverse</x:v>
      </x:c>
      <x:c r="F270" s="10" t="str">
        <x:v>Nato-digital</x:v>
      </x:c>
      <x:c r="G270" s="10" t="str">
        <x:v>São Paulo, Brasil</x:v>
      </x:c>
      <x:c r="H270" s="10" t="str">
        <x:v>Grupo de Pesquisa em Direito e Violência de Estado</x:v>
      </x:c>
      <x:c r="I270" s="10" t="str">
        <x:v>Arcoenge - Demolição - Casa de Detenção do Carandiru (Fotografias)</x:v>
      </x:c>
      <x:c r="J270" s="10" t="str">
        <x:v>Pasta: 0004</x:v>
      </x:c>
      <x:c r="K270" s="10" t="str">
        <x:v>BR-SPCARANDIRU_ARCOENGE-DEMOLICAO-CSDTCARANDIRU_ICO-FOT-NDG-MB0_0003-015.JPG</x:v>
      </x:c>
      <x:c r="L270"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70" s="10" t="str">
        <x:v>Imagem em plano aberto registrando a extensão de um alto muro de divisa. A estrutura apresenta intenso escurecimento na metade superior e reboco claro desgastado na inferior, além de uma marcação em tinta vermelha à direita. Atrás do muro, à esquerda, vê-se o telhado de um imóvel. O canteiro de obras em primeiro plano exibe o solo de terra com escavações e diversas armações de ferro cilíndricas e retangulares (gaiolas) posicionadas para o início das fundações. Marcador numérico "3 3 '03" no canto inferior direito.</x:v>
      </x:c>
      <x:c r="N270"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70" s="10" t="str">
        <x:v>Sistema prisional; Arquitetura prisional; Casa de Detenção de São Paulo; Carandiru</x:v>
      </x:c>
      <x:c r="P270" s="10" t="str">
        <x:v>Fotografia (Iconográfico)</x:v>
      </x:c>
      <x:c r="Q270" s="10" t="str">
        <x:v>Nato-digital</x:v>
      </x:c>
      <x:c r="R270" s="10" t="str">
        <x:v>Figura n – [Amplo muro divisório degradado e ferragens dispersas no solo.] Fonte: ARCOENGE, 2003.</x:v>
      </x:c>
      <x:c r="S270" s="10" t="str">
        <x:v>ARCOENGE. [Amplo muro divisório degradado e ferragens dispersas no solo.]. São Paulo, Brasil. 10 mar. 2003. Nato-digital. Disponível em: &lt;link do dataverse&gt;. Acesso em: 28 mai. 2026.</x:v>
      </x:c>
      <x:c r="T270" s="10" t="str">
        <x:v>Este item pertencia à pasta intitulada "caixa-d'água 2".</x:v>
      </x:c>
      <x:c r="U270" s="10" t="str">
        <x:v>ICO</x:v>
      </x:c>
      <x:c r="V270" s="10" t="str">
        <x:v>FOT</x:v>
      </x:c>
      <x:c r="W270" s="10" t="str">
        <x:v>NDG</x:v>
      </x:c>
      <x:c r="X270" s="10" t="str">
        <x:v>MB0</x:v>
      </x:c>
      <x:c r="Y270" s="10" t="str">
        <x:v>BR-SPCARANDIRU_ARCOENGE-DEMOLICAO-CSDTCARANDIRU.xlsx</x:v>
      </x:c>
      <x:c r="Z270" s="10" t="str">
        <x:v>0003</x:v>
      </x:c>
      <x:c r="AA270" s="11" t="n">
        <x:v>16</x:v>
      </x:c>
      <x:c r="AB270" s="10" t="str">
        <x:v>BR-SPCARANDIRU_ARCOENGE-DEMOLICAO-CSDTCARANDIRU.xlsx:0003:16</x:v>
      </x:c>
      <x:c r="AC270" s="11" t="n">
        <x:f>COLUMNS(A270:T270)-COUNTBLANK(A270:T270)</x:f>
        <x:v>20</x:v>
      </x:c>
    </x:row>
    <x:row r="271" ht="48" hidden="0" customHeight="1">
      <x:c r="A271" s="10" t="str">
        <x:v>016</x:v>
      </x:c>
      <x:c r="B271" s="10" t="str">
        <x:v>Ruptura de revestimento em muro revelando blocos de concreto.</x:v>
      </x:c>
      <x:c r="C271" s="10" t="str">
        <x:v>Item</x:v>
      </x:c>
      <x:c r="D271" s="10" t="str">
        <x:v>2003-03-10 00:00:00</x:v>
      </x:c>
      <x:c r="E271" s="10" t="str">
        <x:v>Gerado pelo Dataverse</x:v>
      </x:c>
      <x:c r="F271" s="10" t="str">
        <x:v>Nato-digital</x:v>
      </x:c>
      <x:c r="G271" s="10" t="str">
        <x:v>São Paulo, Brasil</x:v>
      </x:c>
      <x:c r="H271" s="10" t="str">
        <x:v>Grupo de Pesquisa em Direito e Violência de Estado</x:v>
      </x:c>
      <x:c r="I271" s="10" t="str">
        <x:v>Arcoenge - Demolição - Casa de Detenção do Carandiru (Fotografias)</x:v>
      </x:c>
      <x:c r="J271" s="10" t="str">
        <x:v>Pasta: 0004</x:v>
      </x:c>
      <x:c r="K271" s="10" t="str">
        <x:v>BR-SPCARANDIRU_ARCOENGE-DEMOLICAO-CSDTCARANDIRU_ICO-FOT-NDG-MB0_0003-016.JPG</x:v>
      </x:c>
      <x:c r="L271"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71" s="10" t="str">
        <x:v>Fotografia detalhando um trecho do muro divisório. No entorno, observam-se tijolos avermelhados igualmente expostos. Acima, visualizam-se telhados das casas vizinhas. No primeiro plano, valas e armações de ferro compõem a preparação da obra. Marcador numérico "3 3 '03" no canto inferior direito.</x:v>
      </x:c>
      <x:c r="N271"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71" s="10" t="str">
        <x:v>Sistema prisional; Arquitetura prisional; Casa de Detenção de São Paulo; Carandiru</x:v>
      </x:c>
      <x:c r="P271" s="10" t="str">
        <x:v>Fotografia (Iconográfico)</x:v>
      </x:c>
      <x:c r="Q271" s="10" t="str">
        <x:v>Nato-digital</x:v>
      </x:c>
      <x:c r="R271" s="10" t="str">
        <x:v>Figura n – [Ruptura de revestimento em muro revelando blocos de concreto.] Fonte: ARCOENGE, 2003.</x:v>
      </x:c>
      <x:c r="S271" s="10" t="str">
        <x:v>ARCOENGE. [Ruptura de revestimento em muro revelando blocos de concreto.]. São Paulo, Brasil. 10 mar. 2003. Nato-digital. Disponível em: &lt;link do dataverse&gt;. Acesso em: 28 mai. 2026.</x:v>
      </x:c>
      <x:c r="T271" s="10" t="str">
        <x:v>Este item pertencia à pasta intitulada "caixa-d'água 2".</x:v>
      </x:c>
      <x:c r="U271" s="10" t="str">
        <x:v>ICO</x:v>
      </x:c>
      <x:c r="V271" s="10" t="str">
        <x:v>FOT</x:v>
      </x:c>
      <x:c r="W271" s="10" t="str">
        <x:v>NDG</x:v>
      </x:c>
      <x:c r="X271" s="10" t="str">
        <x:v>MB0</x:v>
      </x:c>
      <x:c r="Y271" s="10" t="str">
        <x:v>BR-SPCARANDIRU_ARCOENGE-DEMOLICAO-CSDTCARANDIRU.xlsx</x:v>
      </x:c>
      <x:c r="Z271" s="10" t="str">
        <x:v>0003</x:v>
      </x:c>
      <x:c r="AA271" s="11" t="n">
        <x:v>17</x:v>
      </x:c>
      <x:c r="AB271" s="10" t="str">
        <x:v>BR-SPCARANDIRU_ARCOENGE-DEMOLICAO-CSDTCARANDIRU.xlsx:0003:17</x:v>
      </x:c>
      <x:c r="AC271" s="11" t="n">
        <x:f>COLUMNS(A271:T271)-COUNTBLANK(A271:T271)</x:f>
        <x:v>20</x:v>
      </x:c>
    </x:row>
    <x:row r="272" ht="48" hidden="0" customHeight="1">
      <x:c r="A272" s="10" t="str">
        <x:v>017</x:v>
      </x:c>
      <x:c r="B272" s="10" t="str">
        <x:v>Exposição de alvenaria estrutural e tubulações em muro divisório.</x:v>
      </x:c>
      <x:c r="C272" s="10" t="str">
        <x:v>Item</x:v>
      </x:c>
      <x:c r="D272" s="10" t="str">
        <x:v>2003-03-10 00:00:00</x:v>
      </x:c>
      <x:c r="E272" s="10" t="str">
        <x:v>Gerado pelo Dataverse</x:v>
      </x:c>
      <x:c r="F272" s="10" t="str">
        <x:v>Nato-digital</x:v>
      </x:c>
      <x:c r="G272" s="10" t="str">
        <x:v>São Paulo, Brasil</x:v>
      </x:c>
      <x:c r="H272" s="10" t="str">
        <x:v>Grupo de Pesquisa em Direito e Violência de Estado</x:v>
      </x:c>
      <x:c r="I272" s="10" t="str">
        <x:v>Arcoenge - Demolição - Casa de Detenção do Carandiru (Fotografias)</x:v>
      </x:c>
      <x:c r="J272" s="10" t="str">
        <x:v>Pasta: 0004</x:v>
      </x:c>
      <x:c r="K272" s="10" t="str">
        <x:v>BR-SPCARANDIRU_ARCOENGE-DEMOLICAO-CSDTCARANDIRU_ICO-FOT-NDG-MB0_0003-017.JPG</x:v>
      </x:c>
      <x:c r="L272"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72" s="10" t="str">
        <x:v>Vista de um segmento do muro de separação caracterizado por múltiplas camadas construtivas e avarias. Destacam-se grandes áreas sem reboco na parte superior e central, revelando tijolos cerâmicos de diferentes tipos. Duas extremidades de tubos de PVC projetam-se horizontalmente da parede. O trecho à esquerda apresenta revestimento texturizado amarelado. O solo em primeiro plano contém terra revolvida, restos de madeira e ferragens. Marcador numérico "3 3 '03" no canto inferior direito.</x:v>
      </x:c>
      <x:c r="N272"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72" s="10" t="str">
        <x:v>Sistema prisional; Arquitetura prisional; Casa de Detenção de São Paulo; Carandiru</x:v>
      </x:c>
      <x:c r="P272" s="10" t="str">
        <x:v>Fotografia (Iconográfico)</x:v>
      </x:c>
      <x:c r="Q272" s="10" t="str">
        <x:v>Nato-digital</x:v>
      </x:c>
      <x:c r="R272" s="10" t="str">
        <x:v>Figura n – [Exposição de alvenaria estrutural e tubulações em muro divisório.] Fonte: ARCOENGE, 2003.</x:v>
      </x:c>
      <x:c r="S272" s="10" t="str">
        <x:v>ARCOENGE. [Exposição de alvenaria estrutural e tubulações em muro divisório.]. São Paulo, Brasil. 10 mar. 2003. Nato-digital. Disponível em: &lt;link do dataverse&gt;. Acesso em: 28 mai. 2026.</x:v>
      </x:c>
      <x:c r="T272" s="10" t="str">
        <x:v>Este item pertencia à pasta intitulada "caixa-d'água 2".</x:v>
      </x:c>
      <x:c r="U272" s="10" t="str">
        <x:v>ICO</x:v>
      </x:c>
      <x:c r="V272" s="10" t="str">
        <x:v>FOT</x:v>
      </x:c>
      <x:c r="W272" s="10" t="str">
        <x:v>NDG</x:v>
      </x:c>
      <x:c r="X272" s="10" t="str">
        <x:v>MB0</x:v>
      </x:c>
      <x:c r="Y272" s="10" t="str">
        <x:v>BR-SPCARANDIRU_ARCOENGE-DEMOLICAO-CSDTCARANDIRU.xlsx</x:v>
      </x:c>
      <x:c r="Z272" s="10" t="str">
        <x:v>0003</x:v>
      </x:c>
      <x:c r="AA272" s="11" t="n">
        <x:v>18</x:v>
      </x:c>
      <x:c r="AB272" s="10" t="str">
        <x:v>BR-SPCARANDIRU_ARCOENGE-DEMOLICAO-CSDTCARANDIRU.xlsx:0003:18</x:v>
      </x:c>
      <x:c r="AC272" s="11" t="n">
        <x:f>COLUMNS(A272:T272)-COUNTBLANK(A272:T272)</x:f>
        <x:v>20</x:v>
      </x:c>
    </x:row>
    <x:row r="273" ht="48" hidden="0" customHeight="1">
      <x:c r="A273" s="10" t="str">
        <x:v>018</x:v>
      </x:c>
      <x:c r="B273" s="10" t="str">
        <x:v>Operários trabalhando em escavação junto a muros de divisa.</x:v>
      </x:c>
      <x:c r="C273" s="10" t="str">
        <x:v>Item</x:v>
      </x:c>
      <x:c r="D273" s="10" t="str">
        <x:v>2003-03-10 00:00:00</x:v>
      </x:c>
      <x:c r="E273" s="10" t="str">
        <x:v>Gerado pelo Dataverse</x:v>
      </x:c>
      <x:c r="F273" s="10" t="str">
        <x:v>Nato-digital</x:v>
      </x:c>
      <x:c r="G273" s="10" t="str">
        <x:v>São Paulo, Brasil</x:v>
      </x:c>
      <x:c r="H273" s="10" t="str">
        <x:v>Grupo de Pesquisa em Direito e Violência de Estado</x:v>
      </x:c>
      <x:c r="I273" s="10" t="str">
        <x:v>Arcoenge - Demolição - Casa de Detenção do Carandiru (Fotografias)</x:v>
      </x:c>
      <x:c r="J273" s="10" t="str">
        <x:v>Pasta: 0004</x:v>
      </x:c>
      <x:c r="K273" s="10" t="str">
        <x:v>BR-SPCARANDIRU_ARCOENGE-DEMOLICAO-CSDTCARANDIRU_ICO-FOT-NDG-MB0_0003-018.JPG</x:v>
      </x:c>
      <x:c r="L273"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73" s="10" t="str">
        <x:v>Fotografia registrando dois trabalhadores da construção civil operando na base de um muro divisório em uma área escavada. Eles utilizam capacetes de segurança (vermelho e amarelo) e manuseiam o solo revolvido. O ambiente é delimitado por muros de diferentes acabamentos (reboco liso e texturizado amarelo) e uma grande extensão superior de tijolos expostos pertencente à edificação vizinha. Pilhas de terra e armações de ferro dominam o primeiro plano. Marcador numérico "3 3 '03" no canto inferior direito.</x:v>
      </x:c>
      <x:c r="N273"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73" s="10" t="str">
        <x:v>Sistema prisional; Arquitetura prisional; Casa de Detenção de São Paulo; Carandiru</x:v>
      </x:c>
      <x:c r="P273" s="10" t="str">
        <x:v>Fotografia (Iconográfico)</x:v>
      </x:c>
      <x:c r="Q273" s="10" t="str">
        <x:v>Nato-digital</x:v>
      </x:c>
      <x:c r="R273" s="10" t="str">
        <x:v>Figura n – [Operários trabalhando em escavação junto a muros de divisa.] Fonte: ARCOENGE, 2003.</x:v>
      </x:c>
      <x:c r="S273" s="10" t="str">
        <x:v>ARCOENGE. [Operários trabalhando em escavação junto a muros de divisa.]. São Paulo, Brasil. 10 mar. 2003. Nato-digital. Disponível em: &lt;link do dataverse&gt;. Acesso em: 28 mai. 2026.</x:v>
      </x:c>
      <x:c r="T273" s="10" t="str">
        <x:v>Este item pertencia à pasta intitulada "caixa-d'água 2".</x:v>
      </x:c>
      <x:c r="U273" s="10" t="str">
        <x:v>ICO</x:v>
      </x:c>
      <x:c r="V273" s="10" t="str">
        <x:v>FOT</x:v>
      </x:c>
      <x:c r="W273" s="10" t="str">
        <x:v>NDG</x:v>
      </x:c>
      <x:c r="X273" s="10" t="str">
        <x:v>MB0</x:v>
      </x:c>
      <x:c r="Y273" s="10" t="str">
        <x:v>BR-SPCARANDIRU_ARCOENGE-DEMOLICAO-CSDTCARANDIRU.xlsx</x:v>
      </x:c>
      <x:c r="Z273" s="10" t="str">
        <x:v>0003</x:v>
      </x:c>
      <x:c r="AA273" s="11" t="n">
        <x:v>19</x:v>
      </x:c>
      <x:c r="AB273" s="10" t="str">
        <x:v>BR-SPCARANDIRU_ARCOENGE-DEMOLICAO-CSDTCARANDIRU.xlsx:0003:19</x:v>
      </x:c>
      <x:c r="AC273" s="11" t="n">
        <x:f>COLUMNS(A273:T273)-COUNTBLANK(A273:T273)</x:f>
        <x:v>20</x:v>
      </x:c>
    </x:row>
    <x:row r="274" ht="48" hidden="0" customHeight="1">
      <x:c r="A274" s="10" t="str">
        <x:v>019</x:v>
      </x:c>
      <x:c r="B274" s="10" t="str">
        <x:v>Fachada de imóvel residencial com placa de venda na via pública.</x:v>
      </x:c>
      <x:c r="C274" s="10" t="str">
        <x:v>Item</x:v>
      </x:c>
      <x:c r="D274" s="10" t="str">
        <x:v>2003-03-10 00:00:00</x:v>
      </x:c>
      <x:c r="E274" s="10" t="str">
        <x:v>Gerado pelo Dataverse</x:v>
      </x:c>
      <x:c r="F274" s="10" t="str">
        <x:v>Nato-digital</x:v>
      </x:c>
      <x:c r="G274" s="10" t="str">
        <x:v>São Paulo, Brasil</x:v>
      </x:c>
      <x:c r="H274" s="10" t="str">
        <x:v>Grupo de Pesquisa em Direito e Violência de Estado</x:v>
      </x:c>
      <x:c r="I274" s="10" t="str">
        <x:v>Arcoenge - Demolição - Casa de Detenção do Carandiru (Fotografias)</x:v>
      </x:c>
      <x:c r="J274" s="10" t="str">
        <x:v>Pasta: 0004</x:v>
      </x:c>
      <x:c r="K274" s="10" t="str">
        <x:v>BR-SPCARANDIRU_ARCOENGE-DEMOLICAO-CSDTCARANDIRU_ICO-FOT-NDG-MB0_0003-019.JPG</x:v>
      </x:c>
      <x:c r="L274"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74" s="10" t="str">
        <x:v>Vista a partir da rua retratando a fachada de propriedades residenciais no bairro adjacente à área de intervenção. O imóvel central possui acabamento frontal em tijolos aparentes, telhado cerâmico, porta e portão gradeado com molduras brancas, exibindo uma placa de "VENDE". À esquerda, observa-se uma área coberta em obras; à direita, um muro branco com portão metálico verde. Via asfaltada e fiação elétrica compõem o cenário urbano. Marcador numérico "3 3 '03" no canto inferior direito.</x:v>
      </x:c>
      <x:c r="N274"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74" s="10" t="str">
        <x:v>Sistema prisional; Arquitetura prisional; Casa de Detenção de São Paulo; Carandiru</x:v>
      </x:c>
      <x:c r="P274" s="10" t="str">
        <x:v>Fotografia (Iconográfico)</x:v>
      </x:c>
      <x:c r="Q274" s="10" t="str">
        <x:v>Nato-digital</x:v>
      </x:c>
      <x:c r="R274" s="10" t="str">
        <x:v>Figura n – [Fachada de imóvel residencial com placa de venda na via pública.] Fonte: ARCOENGE, 2003.</x:v>
      </x:c>
      <x:c r="S274" s="10" t="str">
        <x:v>ARCOENGE. [Fachada de imóvel residencial com placa de venda na via pública.]. São Paulo, Brasil. 10 mar. 2003. Nato-digital. Disponível em: &lt;link do dataverse&gt;. Acesso em: 28 mai. 2026.</x:v>
      </x:c>
      <x:c r="T274" s="10" t="str">
        <x:v>Este item pertencia à pasta intitulada "caixa-d'água 2".</x:v>
      </x:c>
      <x:c r="U274" s="10" t="str">
        <x:v>ICO</x:v>
      </x:c>
      <x:c r="V274" s="10" t="str">
        <x:v>FOT</x:v>
      </x:c>
      <x:c r="W274" s="10" t="str">
        <x:v>NDG</x:v>
      </x:c>
      <x:c r="X274" s="10" t="str">
        <x:v>MB0</x:v>
      </x:c>
      <x:c r="Y274" s="10" t="str">
        <x:v>BR-SPCARANDIRU_ARCOENGE-DEMOLICAO-CSDTCARANDIRU.xlsx</x:v>
      </x:c>
      <x:c r="Z274" s="10" t="str">
        <x:v>0003</x:v>
      </x:c>
      <x:c r="AA274" s="11" t="n">
        <x:v>20</x:v>
      </x:c>
      <x:c r="AB274" s="10" t="str">
        <x:v>BR-SPCARANDIRU_ARCOENGE-DEMOLICAO-CSDTCARANDIRU.xlsx:0003:20</x:v>
      </x:c>
      <x:c r="AC274" s="11" t="n">
        <x:f>COLUMNS(A274:T274)-COUNTBLANK(A274:T274)</x:f>
        <x:v>20</x:v>
      </x:c>
    </x:row>
    <x:row r="275" ht="48" hidden="0" customHeight="1">
      <x:c r="A275" s="10" t="str">
        <x:v>020</x:v>
      </x:c>
      <x:c r="B275" s="10" t="str">
        <x:v>Residência em reforma com escoramento de laje e caçamba de entulho.</x:v>
      </x:c>
      <x:c r="C275" s="10" t="str">
        <x:v>Item</x:v>
      </x:c>
      <x:c r="D275" s="10" t="str">
        <x:v>2003-03-10 00:00:00</x:v>
      </x:c>
      <x:c r="E275" s="10" t="str">
        <x:v>Gerado pelo Dataverse</x:v>
      </x:c>
      <x:c r="F275" s="10" t="str">
        <x:v>Nato-digital</x:v>
      </x:c>
      <x:c r="G275" s="10" t="str">
        <x:v>São Paulo, Brasil</x:v>
      </x:c>
      <x:c r="H275" s="10" t="str">
        <x:v>Grupo de Pesquisa em Direito e Violência de Estado</x:v>
      </x:c>
      <x:c r="I275" s="10" t="str">
        <x:v>Arcoenge - Demolição - Casa de Detenção do Carandiru (Fotografias)</x:v>
      </x:c>
      <x:c r="J275" s="10" t="str">
        <x:v>Pasta: 0004</x:v>
      </x:c>
      <x:c r="K275" s="10" t="str">
        <x:v>BR-SPCARANDIRU_ARCOENGE-DEMOLICAO-CSDTCARANDIRU_ICO-FOT-NDG-MB0_0003-020.JPG</x:v>
      </x:c>
      <x:c r="L275"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75" s="10" t="str">
        <x:v>Fotografia capturada na via pública registrando uma residência vizinha em processo de reforma. A fachada apresenta a estrutura de uma laje frontal recém-concretada ou em preparação, sustentada por diversas escoras de madeira improvisadas atrás de um portão de grades escuras. Uma pessoa é parcialmente visível no interior. No primeiro plano, ocupando parte do asfalto, há uma grande caçamba metálica branca e laranja cheia de entulhos. Marcador numérico "3 3 '03" no canto inferior direito.</x:v>
      </x:c>
      <x:c r="N275"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75" s="10" t="str">
        <x:v>Sistema prisional; Arquitetura prisional; Casa de Detenção de São Paulo; Carandiru</x:v>
      </x:c>
      <x:c r="P275" s="10" t="str">
        <x:v>Fotografia (Iconográfico)</x:v>
      </x:c>
      <x:c r="Q275" s="10" t="str">
        <x:v>Nato-digital</x:v>
      </x:c>
      <x:c r="R275" s="10" t="str">
        <x:v>Figura n – [Residência em reforma com escoramento de laje e caçamba de entulho.] Fonte: ARCOENGE, 2003.</x:v>
      </x:c>
      <x:c r="S275" s="10" t="str">
        <x:v>ARCOENGE. [Residência em reforma com escoramento de laje e caçamba de entulho.]. São Paulo, Brasil. 10 mar. 2003. Nato-digital. Disponível em: &lt;link do dataverse&gt;. Acesso em: 28 mai. 2026.</x:v>
      </x:c>
      <x:c r="T275" s="10" t="str">
        <x:v>Este item pertencia à pasta intitulada "caixa-d'água 2".</x:v>
      </x:c>
      <x:c r="U275" s="10" t="str">
        <x:v>ICO</x:v>
      </x:c>
      <x:c r="V275" s="10" t="str">
        <x:v>FOT</x:v>
      </x:c>
      <x:c r="W275" s="10" t="str">
        <x:v>NDG</x:v>
      </x:c>
      <x:c r="X275" s="10" t="str">
        <x:v>MB0</x:v>
      </x:c>
      <x:c r="Y275" s="10" t="str">
        <x:v>BR-SPCARANDIRU_ARCOENGE-DEMOLICAO-CSDTCARANDIRU.xlsx</x:v>
      </x:c>
      <x:c r="Z275" s="10" t="str">
        <x:v>0003</x:v>
      </x:c>
      <x:c r="AA275" s="11" t="n">
        <x:v>21</x:v>
      </x:c>
      <x:c r="AB275" s="10" t="str">
        <x:v>BR-SPCARANDIRU_ARCOENGE-DEMOLICAO-CSDTCARANDIRU.xlsx:0003:21</x:v>
      </x:c>
      <x:c r="AC275" s="11" t="n">
        <x:f>COLUMNS(A275:T275)-COUNTBLANK(A275:T275)</x:f>
        <x:v>20</x:v>
      </x:c>
    </x:row>
    <x:row r="276" ht="48" hidden="0" customHeight="1">
      <x:c r="A276" s="10" t="str">
        <x:v>021</x:v>
      </x:c>
      <x:c r="B276" s="10" t="str">
        <x:v>Fachada de garagem residencial com dois veículos.</x:v>
      </x:c>
      <x:c r="C276" s="10" t="str">
        <x:v>Item</x:v>
      </x:c>
      <x:c r="D276" s="10" t="str">
        <x:v>2003-03-10 00:00:00</x:v>
      </x:c>
      <x:c r="E276" s="10" t="str">
        <x:v>Gerado pelo Dataverse</x:v>
      </x:c>
      <x:c r="F276" s="10" t="str">
        <x:v>Nato-digital</x:v>
      </x:c>
      <x:c r="G276" s="10" t="str">
        <x:v>São Paulo, Brasil</x:v>
      </x:c>
      <x:c r="H276" s="10" t="str">
        <x:v>Grupo de Pesquisa em Direito e Violência de Estado</x:v>
      </x:c>
      <x:c r="I276" s="10" t="str">
        <x:v>Arcoenge - Demolição - Casa de Detenção do Carandiru (Fotografias)</x:v>
      </x:c>
      <x:c r="J276" s="10" t="str">
        <x:v>Pasta: 0003</x:v>
      </x:c>
      <x:c r="K276" s="10" t="str">
        <x:v>BR-SPCARANDIRU_ARCOENGE-DEMOLICAO-CSDTCARANDIRU_ICO-FOT-NDG-MB0_0003-021.JPG</x:v>
      </x:c>
      <x:c r="L276"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76" s="10" t="str">
        <x:v>Vista a partir da rua de uma propriedade residencial com fachada clara. Destaca-se uma garagem ampla fechada por um portão metálico gradeado de cor clara, através do qual são visíveis dois automóveis estacionados. À esquerda, observa-se a fachada de um edifício adjacente com um portão metálico liso e cinzento. Marcador numérico "3 3 '03" no canto inferior direito.</x:v>
      </x:c>
      <x:c r="N276"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76" s="10" t="str">
        <x:v>Sistema prisional; Arquitetura prisional; Casa de Detenção de São Paulo; Carandiru</x:v>
      </x:c>
      <x:c r="P276" s="10" t="str">
        <x:v>Fotografia (Iconográfico)</x:v>
      </x:c>
      <x:c r="Q276" s="10" t="str">
        <x:v>Nato-digital</x:v>
      </x:c>
      <x:c r="R276" s="10" t="str">
        <x:v>Figura n – [Fachada de garagem residencial com dois veículos.] Fonte: ARCOENGE, 2003.</x:v>
      </x:c>
      <x:c r="S276" s="10" t="str">
        <x:v>ARCOENGE. [Fachada de garagem residencial com dois veículos.]. São Paulo, Brasil. 10 mar. 2003. Nato-digital. Disponível em: &lt;link do dataverse&gt;. Acesso em: 28 mai. 2026.</x:v>
      </x:c>
      <x:c r="T276" s="10" t="str">
        <x:v>Este item pertencia à pasta intitulada "caixa-d'água 2".</x:v>
      </x:c>
      <x:c r="U276" s="10" t="str">
        <x:v>ICO</x:v>
      </x:c>
      <x:c r="V276" s="10" t="str">
        <x:v>FOT</x:v>
      </x:c>
      <x:c r="W276" s="10" t="str">
        <x:v>NDG</x:v>
      </x:c>
      <x:c r="X276" s="10" t="str">
        <x:v>MB0</x:v>
      </x:c>
      <x:c r="Y276" s="10" t="str">
        <x:v>BR-SPCARANDIRU_ARCOENGE-DEMOLICAO-CSDTCARANDIRU.xlsx</x:v>
      </x:c>
      <x:c r="Z276" s="10" t="str">
        <x:v>0003</x:v>
      </x:c>
      <x:c r="AA276" s="11" t="n">
        <x:v>22</x:v>
      </x:c>
      <x:c r="AB276" s="10" t="str">
        <x:v>BR-SPCARANDIRU_ARCOENGE-DEMOLICAO-CSDTCARANDIRU.xlsx:0003:22</x:v>
      </x:c>
      <x:c r="AC276" s="11" t="n">
        <x:f>COLUMNS(A276:T276)-COUNTBLANK(A276:T276)</x:f>
        <x:v>20</x:v>
      </x:c>
    </x:row>
    <x:row r="277" ht="48" hidden="0" customHeight="1">
      <x:c r="A277" s="10" t="str">
        <x:v>022</x:v>
      </x:c>
      <x:c r="B277" s="10" t="str">
        <x:v>Fachada contínua de edificações na via pública.</x:v>
      </x:c>
      <x:c r="C277" s="10" t="str">
        <x:v>Item</x:v>
      </x:c>
      <x:c r="D277" s="10" t="str">
        <x:v>2003-03-10 00:00:00</x:v>
      </x:c>
      <x:c r="E277" s="10" t="str">
        <x:v>Gerado pelo Dataverse</x:v>
      </x:c>
      <x:c r="F277" s="10" t="str">
        <x:v>Nato-digital</x:v>
      </x:c>
      <x:c r="G277" s="10" t="str">
        <x:v>São Paulo, Brasil</x:v>
      </x:c>
      <x:c r="H277" s="10" t="str">
        <x:v>Grupo de Pesquisa em Direito e Violência de Estado</x:v>
      </x:c>
      <x:c r="I277" s="10" t="str">
        <x:v>Arcoenge - Demolição - Casa de Detenção do Carandiru (Fotografias)</x:v>
      </x:c>
      <x:c r="J277" s="10" t="str">
        <x:v>Pasta: 0003</x:v>
      </x:c>
      <x:c r="K277" s="10" t="str">
        <x:v>BR-SPCARANDIRU_ARCOENGE-DEMOLICAO-CSDTCARANDIRU_ICO-FOT-NDG-MB0_0003-022.JPG</x:v>
      </x:c>
      <x:c r="L277"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77" s="10" t="str">
        <x:v>Fotografia captada ao nível da rua mostrando a fachada contínua e branca de uma edificação de feição comercial ou de serviços. Apresenta dois acessos principais: à esquerda, portas metálicas de enrolar com sinais de oxidação e, à direita, um portão metálico duplo de cor cinzenta. Estacionado na via, do lado esquerdo, encontra-se um veículo ligeiro branco. Sinais de trânsito e postes com cablagem elétrica são visíveis no passeio. Marcador numérico "3 3 '03" no canto inferior direito.</x:v>
      </x:c>
      <x:c r="N277"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77" s="10" t="str">
        <x:v>Sistema prisional; Arquitetura prisional; Casa de Detenção de São Paulo; Carandiru</x:v>
      </x:c>
      <x:c r="P277" s="10" t="str">
        <x:v>Fotografia (Iconográfico)</x:v>
      </x:c>
      <x:c r="Q277" s="10" t="str">
        <x:v>Nato-digital</x:v>
      </x:c>
      <x:c r="R277" s="10" t="str">
        <x:v>Figura n – [Fachada contínua de edificações na via pública.] Fonte: ARCOENGE, 2003.</x:v>
      </x:c>
      <x:c r="S277" s="10" t="str">
        <x:v>ARCOENGE. [Fachada contínua de edificações na via pública.]. São Paulo, Brasil. 10 mar. 2003. Nato-digital. Disponível em: &lt;link do dataverse&gt;. Acesso em: 28 mai. 2026.</x:v>
      </x:c>
      <x:c r="T277" s="10" t="str">
        <x:v>Este item pertencia à pasta intitulada "caixa-d'água 2".</x:v>
      </x:c>
      <x:c r="U277" s="10" t="str">
        <x:v>ICO</x:v>
      </x:c>
      <x:c r="V277" s="10" t="str">
        <x:v>FOT</x:v>
      </x:c>
      <x:c r="W277" s="10" t="str">
        <x:v>NDG</x:v>
      </x:c>
      <x:c r="X277" s="10" t="str">
        <x:v>MB0</x:v>
      </x:c>
      <x:c r="Y277" s="10" t="str">
        <x:v>BR-SPCARANDIRU_ARCOENGE-DEMOLICAO-CSDTCARANDIRU.xlsx</x:v>
      </x:c>
      <x:c r="Z277" s="10" t="str">
        <x:v>0003</x:v>
      </x:c>
      <x:c r="AA277" s="11" t="n">
        <x:v>23</x:v>
      </x:c>
      <x:c r="AB277" s="10" t="str">
        <x:v>BR-SPCARANDIRU_ARCOENGE-DEMOLICAO-CSDTCARANDIRU.xlsx:0003:23</x:v>
      </x:c>
      <x:c r="AC277" s="11" t="n">
        <x:f>COLUMNS(A277:T277)-COUNTBLANK(A277:T277)</x:f>
        <x:v>20</x:v>
      </x:c>
    </x:row>
    <x:row r="278" ht="48" hidden="0" customHeight="1">
      <x:c r="A278" s="10" t="str">
        <x:v>023</x:v>
      </x:c>
      <x:c r="B278" s="10" t="str">
        <x:v>Fachada de habitação térrea com portão gradeado.</x:v>
      </x:c>
      <x:c r="C278" s="10" t="str">
        <x:v>Item</x:v>
      </x:c>
      <x:c r="D278" s="10" t="str">
        <x:v>2003-03-10 00:00:00</x:v>
      </x:c>
      <x:c r="E278" s="10" t="str">
        <x:v>Gerado pelo Dataverse</x:v>
      </x:c>
      <x:c r="F278" s="10" t="str">
        <x:v>Nato-digital</x:v>
      </x:c>
      <x:c r="G278" s="10" t="str">
        <x:v>São Paulo, Brasil</x:v>
      </x:c>
      <x:c r="H278" s="10" t="str">
        <x:v>Grupo de Pesquisa em Direito e Violência de Estado</x:v>
      </x:c>
      <x:c r="I278" s="10" t="str">
        <x:v>Arcoenge - Demolição - Casa de Detenção do Carandiru (Fotografias)</x:v>
      </x:c>
      <x:c r="J278" s="10" t="str">
        <x:v>Pasta: 0003</x:v>
      </x:c>
      <x:c r="K278" s="10" t="str">
        <x:v>BR-SPCARANDIRU_ARCOENGE-DEMOLICAO-CSDTCARANDIRU_ICO-FOT-NDG-MB0_0003-023.JPG</x:v>
      </x:c>
      <x:c r="L278"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78" s="10" t="str">
        <x:v>Vista frontal de uma habitação térrea localizada no bairro adjacente à área de demolição. A casa apresenta telhado cerâmico e um alpendre coberto por chapas onduladas (fibrocimento). O acesso é delimitado por um portão metálico gradeado de cor clara, revelando paredes revestidas com azulejos de padrão geométrico no interior do pátio. Marcador numérico "3 3 '03" no canto inferior direito.</x:v>
      </x:c>
      <x:c r="N278"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78" s="10" t="str">
        <x:v>Sistema prisional; Arquitetura prisional; Casa de Detenção de São Paulo; Carandiru</x:v>
      </x:c>
      <x:c r="P278" s="10" t="str">
        <x:v>Fotografia (Iconográfico)</x:v>
      </x:c>
      <x:c r="Q278" s="10" t="str">
        <x:v>Nato-digital</x:v>
      </x:c>
      <x:c r="R278" s="10" t="str">
        <x:v>Figura n – [Fachada de habitação térrea com portão gradeado.] Fonte: ARCOENGE, 2003.</x:v>
      </x:c>
      <x:c r="S278" s="10" t="str">
        <x:v>ARCOENGE. [Fachada de habitação térrea com portão gradeado.]. São Paulo, Brasil. 10 mar. 2003. Nato-digital. Disponível em: &lt;link do dataverse&gt;. Acesso em: 28 mai. 2026.</x:v>
      </x:c>
      <x:c r="T278" s="10" t="str">
        <x:v>Este item pertencia à pasta intitulada "caixa-d'água 2".</x:v>
      </x:c>
      <x:c r="U278" s="10" t="str">
        <x:v>ICO</x:v>
      </x:c>
      <x:c r="V278" s="10" t="str">
        <x:v>FOT</x:v>
      </x:c>
      <x:c r="W278" s="10" t="str">
        <x:v>NDG</x:v>
      </x:c>
      <x:c r="X278" s="10" t="str">
        <x:v>MB0</x:v>
      </x:c>
      <x:c r="Y278" s="10" t="str">
        <x:v>BR-SPCARANDIRU_ARCOENGE-DEMOLICAO-CSDTCARANDIRU.xlsx</x:v>
      </x:c>
      <x:c r="Z278" s="10" t="str">
        <x:v>0003</x:v>
      </x:c>
      <x:c r="AA278" s="11" t="n">
        <x:v>24</x:v>
      </x:c>
      <x:c r="AB278" s="10" t="str">
        <x:v>BR-SPCARANDIRU_ARCOENGE-DEMOLICAO-CSDTCARANDIRU.xlsx:0003:24</x:v>
      </x:c>
      <x:c r="AC278" s="11" t="n">
        <x:f>COLUMNS(A278:T278)-COUNTBLANK(A278:T278)</x:f>
        <x:v>20</x:v>
      </x:c>
    </x:row>
    <x:row r="279" ht="48" hidden="0" customHeight="1">
      <x:c r="A279" s="10" t="str">
        <x:v>024</x:v>
      </x:c>
      <x:c r="B279" s="10" t="str">
        <x:v>Entrada de moradia parcialmente encoberta por árvore.</x:v>
      </x:c>
      <x:c r="C279" s="10" t="str">
        <x:v>Item</x:v>
      </x:c>
      <x:c r="D279" s="10" t="str">
        <x:v>2003-03-10 00:00:00</x:v>
      </x:c>
      <x:c r="E279" s="10" t="str">
        <x:v>Gerado pelo Dataverse</x:v>
      </x:c>
      <x:c r="F279" s="10" t="str">
        <x:v>Nato-digital</x:v>
      </x:c>
      <x:c r="G279" s="10" t="str">
        <x:v>São Paulo, Brasil</x:v>
      </x:c>
      <x:c r="H279" s="10" t="str">
        <x:v>Grupo de Pesquisa em Direito e Violência de Estado</x:v>
      </x:c>
      <x:c r="I279" s="10" t="str">
        <x:v>Arcoenge - Demolição - Casa de Detenção do Carandiru (Fotografias)</x:v>
      </x:c>
      <x:c r="J279" s="10" t="str">
        <x:v>Pasta: 0003</x:v>
      </x:c>
      <x:c r="K279" s="10" t="str">
        <x:v>BR-SPCARANDIRU_ARCOENGE-DEMOLICAO-CSDTCARANDIRU_ICO-FOT-NDG-MB0_0003-024.JPG</x:v>
      </x:c>
      <x:c r="L279"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79" s="10" t="str">
        <x:v>Fotografia ao nível da via pública registando as fachadas de residências vizinhas. Do lado esquerdo, a imagem é dominada pela copa volumosa de uma árvore que oculta parcialmente um portão metálico branco com desenhos diagonais. À direita, observa-se outro portão gradeado sob uma pala de fibrocimento, dando acesso a um pátio residencial. Marcador numérico "3 3 '03" no canto inferior direito.</x:v>
      </x:c>
      <x:c r="N279"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79" s="10" t="str">
        <x:v>Sistema prisional; Arquitetura prisional; Casa de Detenção de São Paulo; Carandiru</x:v>
      </x:c>
      <x:c r="P279" s="10" t="str">
        <x:v>Fotografia (Iconográfico)</x:v>
      </x:c>
      <x:c r="Q279" s="10" t="str">
        <x:v>Nato-digital</x:v>
      </x:c>
      <x:c r="R279" s="10" t="str">
        <x:v>Figura n – [Entrada de moradia parcialmente encoberta por árvore.] Fonte: ARCOENGE, 2003.</x:v>
      </x:c>
      <x:c r="S279" s="10" t="str">
        <x:v>ARCOENGE. [Entrada de moradia parcialmente encoberta por árvore.]. São Paulo, Brasil. 10 mar. 2003. Nato-digital. Disponível em: &lt;link do dataverse&gt;. Acesso em: 28 mai. 2026.</x:v>
      </x:c>
      <x:c r="T279" s="10" t="str">
        <x:v>Este item pertencia à pasta intitulada "caixa-d'água 2".</x:v>
      </x:c>
      <x:c r="U279" s="10" t="str">
        <x:v>ICO</x:v>
      </x:c>
      <x:c r="V279" s="10" t="str">
        <x:v>FOT</x:v>
      </x:c>
      <x:c r="W279" s="10" t="str">
        <x:v>NDG</x:v>
      </x:c>
      <x:c r="X279" s="10" t="str">
        <x:v>MB0</x:v>
      </x:c>
      <x:c r="Y279" s="10" t="str">
        <x:v>BR-SPCARANDIRU_ARCOENGE-DEMOLICAO-CSDTCARANDIRU.xlsx</x:v>
      </x:c>
      <x:c r="Z279" s="10" t="str">
        <x:v>0003</x:v>
      </x:c>
      <x:c r="AA279" s="11" t="n">
        <x:v>25</x:v>
      </x:c>
      <x:c r="AB279" s="10" t="str">
        <x:v>BR-SPCARANDIRU_ARCOENGE-DEMOLICAO-CSDTCARANDIRU.xlsx:0003:25</x:v>
      </x:c>
      <x:c r="AC279" s="11" t="n">
        <x:f>COLUMNS(A279:T279)-COUNTBLANK(A279:T279)</x:f>
        <x:v>20</x:v>
      </x:c>
    </x:row>
    <x:row r="280" ht="48" hidden="0" customHeight="1">
      <x:c r="A280" s="10" t="str">
        <x:v>025</x:v>
      </x:c>
      <x:c r="B280" s="10" t="str">
        <x:v>Portão residencial metálico com veículo no interior.</x:v>
      </x:c>
      <x:c r="C280" s="10" t="str">
        <x:v>Item</x:v>
      </x:c>
      <x:c r="D280" s="10" t="str">
        <x:v>2003-03-10 00:00:00</x:v>
      </x:c>
      <x:c r="E280" s="10" t="str">
        <x:v>Gerado pelo Dataverse</x:v>
      </x:c>
      <x:c r="F280" s="10" t="str">
        <x:v>Nato-digital</x:v>
      </x:c>
      <x:c r="G280" s="10" t="str">
        <x:v>São Paulo, Brasil</x:v>
      </x:c>
      <x:c r="H280" s="10" t="str">
        <x:v>Grupo de Pesquisa em Direito e Violência de Estado</x:v>
      </x:c>
      <x:c r="I280" s="10" t="str">
        <x:v>Arcoenge - Demolição - Casa de Detenção do Carandiru (Fotografias)</x:v>
      </x:c>
      <x:c r="J280" s="10" t="str">
        <x:v>Pasta: 0003</x:v>
      </x:c>
      <x:c r="K280" s="10" t="str">
        <x:v>BR-SPCARANDIRU_ARCOENGE-DEMOLICAO-CSDTCARANDIRU_ICO-FOT-NDG-MB0_0003-025.JPG</x:v>
      </x:c>
      <x:c r="L280"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80" s="10" t="str">
        <x:v>Imagem muito semelhante à 0003-024, focando no portão metálico branco de uma moradia, o qual apresenta um design com elementos vazados em linhas diagonais que formam losangos. No interior da garagem, percebe-se a presença de um automóvel branco. O lado direito do enquadramento é parcialmente preenchido pelo tronco e ramagem de uma árvore situada na calçada. Marcador numérico "3 3 '03" no canto inferior direito.</x:v>
      </x:c>
      <x:c r="N280"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80" s="10" t="str">
        <x:v>Sistema prisional; Arquitetura prisional; Casa de Detenção de São Paulo; Carandiru</x:v>
      </x:c>
      <x:c r="P280" s="10" t="str">
        <x:v>Fotografia (Iconográfico)</x:v>
      </x:c>
      <x:c r="Q280" s="10" t="str">
        <x:v>Nato-digital</x:v>
      </x:c>
      <x:c r="R280" s="10" t="str">
        <x:v>Figura n – [Portão residencial metálico com veículo no interior.] Fonte: ARCOENGE, 2003.</x:v>
      </x:c>
      <x:c r="S280" s="10" t="str">
        <x:v>ARCOENGE. [Portão residencial metálico com veículo no interior.]. São Paulo, Brasil. 10 mar. 2003. Nato-digital. Disponível em: &lt;link do dataverse&gt;. Acesso em: 28 mai. 2026.</x:v>
      </x:c>
      <x:c r="T280" s="10" t="str">
        <x:v>Este item pertencia à pasta intitulada "caixa-d'água 2".</x:v>
      </x:c>
      <x:c r="U280" s="10" t="str">
        <x:v>ICO</x:v>
      </x:c>
      <x:c r="V280" s="10" t="str">
        <x:v>FOT</x:v>
      </x:c>
      <x:c r="W280" s="10" t="str">
        <x:v>NDG</x:v>
      </x:c>
      <x:c r="X280" s="10" t="str">
        <x:v>MB0</x:v>
      </x:c>
      <x:c r="Y280" s="10" t="str">
        <x:v>BR-SPCARANDIRU_ARCOENGE-DEMOLICAO-CSDTCARANDIRU.xlsx</x:v>
      </x:c>
      <x:c r="Z280" s="10" t="str">
        <x:v>0003</x:v>
      </x:c>
      <x:c r="AA280" s="11" t="n">
        <x:v>26</x:v>
      </x:c>
      <x:c r="AB280" s="10" t="str">
        <x:v>BR-SPCARANDIRU_ARCOENGE-DEMOLICAO-CSDTCARANDIRU.xlsx:0003:26</x:v>
      </x:c>
      <x:c r="AC280" s="11" t="n">
        <x:f>COLUMNS(A280:T280)-COUNTBLANK(A280:T280)</x:f>
        <x:v>20</x:v>
      </x:c>
    </x:row>
    <x:row r="281" ht="48" hidden="0" customHeight="1">
      <x:c r="A281" s="10" t="str">
        <x:v>026</x:v>
      </x:c>
      <x:c r="B281" s="10" t="str">
        <x:v>Relatório de correspondência de nomes</x:v>
      </x:c>
      <x:c r="C281" s="10" t="str">
        <x:v>Item</x:v>
      </x:c>
      <x:c r="D281" s="10" t="str">
        <x:v>2026-05-21 00:00:00</x:v>
      </x:c>
      <x:c r="E281" s="10" t="str">
        <x:v>Gerado pelo Dataverse</x:v>
      </x:c>
      <x:c r="F281" s="10" t="str">
        <x:v>Nato-digital</x:v>
      </x:c>
      <x:c r="G281" s="10" t="str">
        <x:v>São Paulo, Brasil</x:v>
      </x:c>
      <x:c r="H281" s="10" t="str">
        <x:v>Grupo de Pesquisa em Direito e Violência de Estado</x:v>
      </x:c>
      <x:c r="I281" s="10" t="str">
        <x:v>Arcoenge - Demolição - Casa de Detenção do Carandiru (Fotografias)</x:v>
      </x:c>
      <x:c r="J281" s="10" t="str">
        <x:v>Pasta: 0004</x:v>
      </x:c>
      <x:c r="K281" s="10" t="str">
        <x:v>BR-SPCARANDIRU_ARCOENGE-DEMOLICAO-CSDTCARANDIRU_TXT-REL-NDG-MB0_0003-026.txt</x:v>
      </x:c>
      <x:c r="L281"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81" s="10" t="str">
        <x:v>Imagem muito semelhante à 0003-024, focando no portão metálico branco de uma moradia, o qual apresenta um design com elementos vazados em linhas diagonais que formam losangos. No interior da garagem, percebe-se a presença de um automóvel branco. O lado direito do enquadramento é parcialmente preenchido pelo tronco e ramagem de uma árvore situada na calçada. Marcador numérico "3 3 '03" no canto inferior direito.</x:v>
      </x:c>
      <x:c r="N281"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81" s="10" t="str">
        <x:v>Sistema prisional; Arquitetura prisional; Casa de Detenção de São Paulo; Carandiru</x:v>
      </x:c>
      <x:c r="P281" s="10" t="str">
        <x:v>Textual</x:v>
      </x:c>
      <x:c r="Q281" s="10" t="str">
        <x:v>Nato-digital</x:v>
      </x:c>
      <x:c r="R281" s="10" t="str">
        <x:v>Figura n – [Relatório de correspondência de nomes ] Fonte: ARCOENGE, 2026.</x:v>
      </x:c>
      <x:c r="S281" s="10" t="str">
        <x:v>ARCOENGE. [Relatório de correspondência de nomes ]. São Paulo, Brasil. 21 mai. 2026. Nato-digital. Disponível em: &lt;link do dataverse&gt;. Acesso em: 28 mai. 2026.</x:v>
      </x:c>
      <x:c r="T281" s="10" t="str">
        <x:v>Este item foi gerado automaticamente pelo aplicativo de gestão de acervos "Mnema 1.0".</x:v>
      </x:c>
      <x:c r="U281" s="10" t="str">
        <x:v>TXT</x:v>
      </x:c>
      <x:c r="V281" s="10" t="str">
        <x:v>REL</x:v>
      </x:c>
      <x:c r="W281" s="10" t="str">
        <x:v>NDG</x:v>
      </x:c>
      <x:c r="X281" s="10" t="str">
        <x:v>MB0</x:v>
      </x:c>
      <x:c r="Y281" s="10" t="str">
        <x:v>BR-SPCARANDIRU_ARCOENGE-DEMOLICAO-CSDTCARANDIRU.xlsx</x:v>
      </x:c>
      <x:c r="Z281" s="10" t="str">
        <x:v>0003</x:v>
      </x:c>
      <x:c r="AA281" s="11" t="n">
        <x:v>27</x:v>
      </x:c>
      <x:c r="AB281" s="10" t="str">
        <x:v>BR-SPCARANDIRU_ARCOENGE-DEMOLICAO-CSDTCARANDIRU.xlsx:0003:27</x:v>
      </x:c>
      <x:c r="AC281" s="11" t="n">
        <x:f>COLUMNS(A281:T281)-COUNTBLANK(A281:T281)</x:f>
        <x:v>20</x:v>
      </x:c>
    </x:row>
    <x:row r="282" ht="48" hidden="0" customHeight="1">
      <x:c r="A282" s="10" t="str">
        <x:v>001</x:v>
      </x:c>
      <x:c r="B282" s="10" t="str">
        <x:v>Vista dos pavilhões prisionais preparados para demolição.</x:v>
      </x:c>
      <x:c r="C282" s="10" t="str">
        <x:v>Item</x:v>
      </x:c>
      <x:c r="D282" s="10" t="str">
        <x:v>2005-07-17 00:00:00</x:v>
      </x:c>
      <x:c r="E282" s="10" t="str">
        <x:v>Gerado pelo Dataverse</x:v>
      </x:c>
      <x:c r="F282" s="10" t="str">
        <x:v>Nato-digital</x:v>
      </x:c>
      <x:c r="G282" s="10" t="str">
        <x:v>São Paulo, Brasil</x:v>
      </x:c>
      <x:c r="H282" s="10" t="str">
        <x:v>Grupo de Pesquisa em Direito e Violência de Estado</x:v>
      </x:c>
      <x:c r="I282" s="10" t="str">
        <x:v>Arcoenge - Demolição - Casa de Detenção do Carandiru (Fotografias)</x:v>
      </x:c>
      <x:c r="J282" s="10" t="str">
        <x:v>Pasta: 0004</x:v>
      </x:c>
      <x:c r="K282" s="10" t="str">
        <x:v>BR-SPCARANDIRU_ARCOENGE-DEMOLICAO-CSDTCARANDIRU_ICO-FOT-NDG-MB0_0004-001.JPG</x:v>
      </x:c>
      <x:c r="L282"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82" s="10" t="str">
        <x:v>Fotografia ao nível do solo revelando um amplo canteiro de obras em terra vermelha nivelada no primeiro plano. Ao fundo, erguem-se três pavilhões da Casa de Detenção do Carandiru. Os dois edifícios mais próximos têm a sua metade inferior envolvida por extensas telas brancas de proteção (pavilhões 2 e 5), evidenciando a preparação estrutural para o processo de implosão controlada. Fundo composto por céu azul sem nuvens. Existe um outdoor retangular largo vermelho na área externa, anunciando o "Parque da Juventude" e os dizeres "venha praticar a liberdade". Na lateral dele, o logo do governo do estado de São Paulo.</x:v>
      </x:c>
      <x:c r="N282"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82" s="10" t="str">
        <x:v>Sistema prisional; Arquitetura prisional; Casa de Detenção de São Paulo; Carandiru</x:v>
      </x:c>
      <x:c r="P282" s="10" t="str">
        <x:v>Fotografia (Iconográfico)</x:v>
      </x:c>
      <x:c r="Q282" s="10" t="str">
        <x:v>Nato-digital</x:v>
      </x:c>
      <x:c r="R282" s="10" t="str">
        <x:v>Figura n – [Fachada cega com manchas de umidade e técnico em deslocamento.] Fonte: ARCOENGE, 2003.</x:v>
      </x:c>
      <x:c r="S282" s="10" t="str">
        <x:v>ARCOENGE. [Fachada cega com manchas de umidade e técnico em deslocamento.]. São Paulo, Brasil. 10 mar. 2003. Nato-digital. Disponível em: &lt;link do dataverse&gt;. Acesso em: 28 mai. 2026.</x:v>
      </x:c>
      <x:c r="T282" s="10" t="str">
        <x:v>A foto "car15" não existe no diretório original. Este item pertencia ao caminho: "Carandiru -Nico (seleção 2005)" &gt; "fotos". Nos metadados da fotografia (campo Data de criação), indica-se que sua criação se deu no 22/09/2005. A data indicada no campo "Data da fotografia" do presente dataset retrata o data exata do clique fotográfico.</x:v>
      </x:c>
      <x:c r="U282" s="10" t="str">
        <x:v>ICO</x:v>
      </x:c>
      <x:c r="V282" s="10" t="str">
        <x:v>FOT</x:v>
      </x:c>
      <x:c r="W282" s="10" t="str">
        <x:v>NDG</x:v>
      </x:c>
      <x:c r="X282" s="10" t="str">
        <x:v>MB0</x:v>
      </x:c>
      <x:c r="Y282" s="10" t="str">
        <x:v>BR-SPCARANDIRU_ARCOENGE-DEMOLICAO-CSDTCARANDIRU.xlsx</x:v>
      </x:c>
      <x:c r="Z282" s="10" t="str">
        <x:v>0004</x:v>
      </x:c>
      <x:c r="AA282" s="11" t="n">
        <x:v>2</x:v>
      </x:c>
      <x:c r="AB282" s="10" t="str">
        <x:v>BR-SPCARANDIRU_ARCOENGE-DEMOLICAO-CSDTCARANDIRU.xlsx:0004:2</x:v>
      </x:c>
      <x:c r="AC282" s="11" t="n">
        <x:f>COLUMNS(A282:T282)-COUNTBLANK(A282:T282)</x:f>
        <x:v>20</x:v>
      </x:c>
    </x:row>
    <x:row r="283" ht="48" hidden="0" customHeight="1">
      <x:c r="A283" s="10" t="str">
        <x:v>002</x:v>
      </x:c>
      <x:c r="B283" s="10" t="str">
        <x:v>Acionamento do comando de implosão pelas autoridades.</x:v>
      </x:c>
      <x:c r="C283" s="10" t="str">
        <x:v>Item</x:v>
      </x:c>
      <x:c r="D283" s="10" t="str">
        <x:v>2005-07-17 00:00:00</x:v>
      </x:c>
      <x:c r="E283" s="10" t="str">
        <x:v>Gerado pelo Dataverse</x:v>
      </x:c>
      <x:c r="F283" s="10" t="str">
        <x:v>Nato-digital</x:v>
      </x:c>
      <x:c r="G283" s="10" t="str">
        <x:v>São Paulo, Brasil</x:v>
      </x:c>
      <x:c r="H283" s="10" t="str">
        <x:v>Grupo de Pesquisa em Direito e Violência de Estado</x:v>
      </x:c>
      <x:c r="I283" s="10" t="str">
        <x:v>Arcoenge - Demolição - Casa de Detenção do Carandiru (Fotografias)</x:v>
      </x:c>
      <x:c r="J283" s="10" t="str">
        <x:v>Pasta: 0004</x:v>
      </x:c>
      <x:c r="K283" s="10" t="str">
        <x:v>BR-SPCARANDIRU_ARCOENGE-DEMOLICAO-CSDTCARANDIRU_ICO-FOT-NDG-MB0_0004-002.JPG</x:v>
      </x:c>
      <x:c r="L283"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83" s="10" t="str">
        <x:v>Fotografia captada ao nível do solo mostrando um grupo de homens, de costas e de perfil, a observar os pavilhões prisionais. No centro, destaca-se uma figura institucional (identificável como o então governador do Estado de São Paulo, Geraldo Alkimin) a operar um dispositivo detonador de comando manual, colocado sobre um suporte metálico. Ao fundo, vislumbram-se os blocos prisionais envoltos nas telas brancas de proteção, instantes antes da demolição. Existe um outdoor retangular largo vermelho na área externa, anunciando o "Parque da Juventude" e os dizeres "venha praticar a liberdade". Na lateral dele, o logo do governo do estado de São Paulo.</x:v>
      </x:c>
      <x:c r="N283"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83" s="10" t="str">
        <x:v>Sistema prisional; Arquitetura prisional; Casa de Detenção de São Paulo; Carandiru</x:v>
      </x:c>
      <x:c r="P283" s="10" t="str">
        <x:v>Fotografia (Iconográfico)</x:v>
      </x:c>
      <x:c r="Q283" s="10" t="str">
        <x:v>Nato-digital</x:v>
      </x:c>
      <x:c r="R283" s="10" t="str">
        <x:v>Figura n – [Muro divisório com pichações sutis e técnico apontando fissura.] Fonte: ARCOENGE, 2003.</x:v>
      </x:c>
      <x:c r="S283" s="10" t="str">
        <x:v>ARCOENGE. [Muro divisório com pichações sutis e técnico apontando fissura.]. São Paulo, Brasil. 10 mar. 2003. Nato-digital. Disponível em: &lt;link do dataverse&gt;. Acesso em: 28 mai. 2026.</x:v>
      </x:c>
      <x:c r="T283" s="10" t="str">
        <x:v>A foto "car15" não existe no diretório original. Este item pertencia ao caminho: "Carandiru -Nico (seleção 2005)" &gt; "fotos". Nos metadados da fotografia (campo Data de criação), indica-se que sua criação se deu no 22/09/2005. A data indicada no campo "Data da fotografia" do presente dataset retrata o data exata do clique fotográfico.</x:v>
      </x:c>
      <x:c r="U283" s="10" t="str">
        <x:v>ICO</x:v>
      </x:c>
      <x:c r="V283" s="10" t="str">
        <x:v>FOT</x:v>
      </x:c>
      <x:c r="W283" s="10" t="str">
        <x:v>NDG</x:v>
      </x:c>
      <x:c r="X283" s="10" t="str">
        <x:v>MB0</x:v>
      </x:c>
      <x:c r="Y283" s="10" t="str">
        <x:v>BR-SPCARANDIRU_ARCOENGE-DEMOLICAO-CSDTCARANDIRU.xlsx</x:v>
      </x:c>
      <x:c r="Z283" s="10" t="str">
        <x:v>0004</x:v>
      </x:c>
      <x:c r="AA283" s="11" t="n">
        <x:v>3</x:v>
      </x:c>
      <x:c r="AB283" s="10" t="str">
        <x:v>BR-SPCARANDIRU_ARCOENGE-DEMOLICAO-CSDTCARANDIRU.xlsx:0004:3</x:v>
      </x:c>
      <x:c r="AC283" s="11" t="n">
        <x:f>COLUMNS(A283:T283)-COUNTBLANK(A283:T283)</x:f>
        <x:v>20</x:v>
      </x:c>
    </x:row>
    <x:row r="284" ht="48" hidden="0" customHeight="1">
      <x:c r="A284" s="10" t="str">
        <x:v>003</x:v>
      </x:c>
      <x:c r="B284" s="10" t="str">
        <x:v>Vista aérea panorâmica do complexo prisional antes da implosão.</x:v>
      </x:c>
      <x:c r="C284" s="10" t="str">
        <x:v>Item</x:v>
      </x:c>
      <x:c r="D284" s="10" t="str">
        <x:v>2005-07-17 00:00:00</x:v>
      </x:c>
      <x:c r="E284" s="10" t="str">
        <x:v>Gerado pelo Dataverse</x:v>
      </x:c>
      <x:c r="F284" s="10" t="str">
        <x:v>Nato-digital</x:v>
      </x:c>
      <x:c r="G284" s="10" t="str">
        <x:v>São Paulo, Brasil</x:v>
      </x:c>
      <x:c r="H284" s="10" t="str">
        <x:v>Grupo de Pesquisa em Direito e Violência de Estado</x:v>
      </x:c>
      <x:c r="I284" s="10" t="str">
        <x:v>Arcoenge - Demolição - Casa de Detenção do Carandiru (Fotografias)</x:v>
      </x:c>
      <x:c r="J284" s="10" t="str">
        <x:v>Pasta: 0004</x:v>
      </x:c>
      <x:c r="K284" s="10" t="str">
        <x:v>BR-SPCARANDIRU_ARCOENGE-DEMOLICAO-CSDTCARANDIRU_ICO-FOT-NDG-MB0_0004-003.JPG</x:v>
      </x:c>
      <x:c r="L284"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84" s="10" t="str">
        <x:v>Imagem aérea em plano geral abrangendo o complexo da Casa de Detenção do Carandiru e a envolvente urbana de São Paulo. No pátio interno, delimitado por muros, encontram-se quatro grandes blocos prisionais. Os dois edifícios no primeiro plano têm as coberturas e as bases envolvidas por telas brancas contendo as inscrições "ARCOENGE" e "CDI". Em baixo, visualiza-se o muro perimetral confrontante com a via pública. Existe um outdoor retangular largo vermelho na área externa, anunciando o "Parque da Juventude" e os dizeres "venha praticar a liberdade". Na lateral dele, o logo do governo do estado de São Paulo.</x:v>
      </x:c>
      <x:c r="N284"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84" s="10" t="str">
        <x:v>Sistema prisional; Arquitetura prisional; Casa de Detenção de São Paulo; Carandiru</x:v>
      </x:c>
      <x:c r="P284" s="10" t="str">
        <x:v>Fotografia (Iconográfico)</x:v>
      </x:c>
      <x:c r="Q284" s="10" t="str">
        <x:v>Nato-digital</x:v>
      </x:c>
      <x:c r="R284" s="10" t="str">
        <x:v>Figura n – [Vistoria de fenda estrutural entre muros de divisa.] Fonte: ARCOENGE, 2003.</x:v>
      </x:c>
      <x:c r="S284" s="10" t="str">
        <x:v>ARCOENGE. [Vistoria de fenda estrutural entre muros de divisa.]. São Paulo, Brasil. 10 mar. 2003. Nato-digital. Disponível em: &lt;link do dataverse&gt;. Acesso em: 28 mai. 2026.</x:v>
      </x:c>
      <x:c r="T284" s="10" t="str">
        <x:v>A foto "car15" não existe no diretório original. Este item pertencia ao caminho: "Carandiru -Nico (seleção 2005)" &gt; "fotos". Nos metadados da fotografia (campo Data de criação), indica-se que sua criação se deu no 22/09/2005. A data indicada no campo "Data da fotografia" do presente dataset retrata o data exata do clique fotográfico.</x:v>
      </x:c>
      <x:c r="U284" s="10" t="str">
        <x:v>ICO</x:v>
      </x:c>
      <x:c r="V284" s="10" t="str">
        <x:v>FOT</x:v>
      </x:c>
      <x:c r="W284" s="10" t="str">
        <x:v>NDG</x:v>
      </x:c>
      <x:c r="X284" s="10" t="str">
        <x:v>MB0</x:v>
      </x:c>
      <x:c r="Y284" s="10" t="str">
        <x:v>BR-SPCARANDIRU_ARCOENGE-DEMOLICAO-CSDTCARANDIRU.xlsx</x:v>
      </x:c>
      <x:c r="Z284" s="10" t="str">
        <x:v>0004</x:v>
      </x:c>
      <x:c r="AA284" s="11" t="n">
        <x:v>4</x:v>
      </x:c>
      <x:c r="AB284" s="10" t="str">
        <x:v>BR-SPCARANDIRU_ARCOENGE-DEMOLICAO-CSDTCARANDIRU.xlsx:0004:4</x:v>
      </x:c>
      <x:c r="AC284" s="11" t="n">
        <x:f>COLUMNS(A284:T284)-COUNTBLANK(A284:T284)</x:f>
        <x:v>20</x:v>
      </x:c>
    </x:row>
    <x:row r="285" ht="48" hidden="0" customHeight="1">
      <x:c r="A285" s="10" t="str">
        <x:v>004</x:v>
      </x:c>
      <x:c r="B285" s="10" t="str">
        <x:v>Início do processo de implosão dos pavilhões prisionais.</x:v>
      </x:c>
      <x:c r="C285" s="10" t="str">
        <x:v>Item</x:v>
      </x:c>
      <x:c r="D285" s="10" t="str">
        <x:v>2005-07-17 00:00:00</x:v>
      </x:c>
      <x:c r="E285" s="10" t="str">
        <x:v>Gerado pelo Dataverse</x:v>
      </x:c>
      <x:c r="F285" s="10" t="str">
        <x:v>Nato-digital</x:v>
      </x:c>
      <x:c r="G285" s="10" t="str">
        <x:v>São Paulo, Brasil</x:v>
      </x:c>
      <x:c r="H285" s="10" t="str">
        <x:v>Grupo de Pesquisa em Direito e Violência de Estado</x:v>
      </x:c>
      <x:c r="I285" s="10" t="str">
        <x:v>Arcoenge - Demolição - Casa de Detenção do Carandiru (Fotografias)</x:v>
      </x:c>
      <x:c r="J285" s="10" t="str">
        <x:v>Pasta: 0004</x:v>
      </x:c>
      <x:c r="K285" s="10" t="str">
        <x:v>BR-SPCARANDIRU_ARCOENGE-DEMOLICAO-CSDTCARANDIRU_ICO-FOT-NDG-MB0_0004-004.JPG</x:v>
      </x:c>
      <x:c r="L285"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85" s="10" t="str">
        <x:v>Fotografia aérea captada no exato momento da detonação dos pavilhões 2 e 5. O edifício situado à direita encontra-se na fase inicial de colapso estrutural, com a tela branca da cobertura a insuflar acentuadamente devido à pressão do ar interno. Simultaneamente, densas nuvens de poeira e detritos expandem-se rapidamente a partir das bases e das janelas de ambos os blocos do primeiro plano. O horizonte urbano ao fundo permanece inalterado. Existe um outdoor retangular largo vermelho na área externa, anunciando o "Parque da Juventude" e os dizeres "venha praticar a liberdade". Na lateral dele, o logo do governo do estado de São Paulo.</x:v>
      </x:c>
      <x:c r="N285"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85" s="10" t="str">
        <x:v>Sistema prisional; Arquitetura prisional; Casa de Detenção de São Paulo; Carandiru</x:v>
      </x:c>
      <x:c r="P285" s="10" t="str">
        <x:v>Fotografia (Iconográfico)</x:v>
      </x:c>
      <x:c r="Q285" s="10" t="str">
        <x:v>Nato-digital</x:v>
      </x:c>
      <x:c r="R285" s="10" t="str">
        <x:v>Figura n – [Detalhe de avarias no reboco com exposição de alvenaria.] Fonte: ARCOENGE, 2003.</x:v>
      </x:c>
      <x:c r="S285" s="10" t="str">
        <x:v>ARCOENGE. [Detalhe de avarias no reboco com exposição de alvenaria.]. São Paulo, Brasil. 10 mar. 2003. Nato-digital. Disponível em: &lt;link do dataverse&gt;. Acesso em: 28 mai. 2026.</x:v>
      </x:c>
      <x:c r="T285" s="10" t="str">
        <x:v>A foto "car15" não existe no diretório original. Este item pertencia ao caminho: "Carandiru -Nico (seleção 2005)" &gt; "fotos". Nos metadados da fotografia (campo Data de criação), indica-se que sua criação se deu no 22/09/2005. A data indicada no campo "Data da fotografia" do presente dataset retrata o data exata do clique fotográfico.</x:v>
      </x:c>
      <x:c r="U285" s="10" t="str">
        <x:v>ICO</x:v>
      </x:c>
      <x:c r="V285" s="10" t="str">
        <x:v>FOT</x:v>
      </x:c>
      <x:c r="W285" s="10" t="str">
        <x:v>NDG</x:v>
      </x:c>
      <x:c r="X285" s="10" t="str">
        <x:v>MB0</x:v>
      </x:c>
      <x:c r="Y285" s="10" t="str">
        <x:v>BR-SPCARANDIRU_ARCOENGE-DEMOLICAO-CSDTCARANDIRU.xlsx</x:v>
      </x:c>
      <x:c r="Z285" s="10" t="str">
        <x:v>0004</x:v>
      </x:c>
      <x:c r="AA285" s="11" t="n">
        <x:v>5</x:v>
      </x:c>
      <x:c r="AB285" s="10" t="str">
        <x:v>BR-SPCARANDIRU_ARCOENGE-DEMOLICAO-CSDTCARANDIRU.xlsx:0004:5</x:v>
      </x:c>
      <x:c r="AC285" s="11" t="n">
        <x:f>COLUMNS(A285:T285)-COUNTBLANK(A285:T285)</x:f>
        <x:v>20</x:v>
      </x:c>
    </x:row>
    <x:row r="286" ht="48" hidden="0" customHeight="1">
      <x:c r="A286" s="10" t="str">
        <x:v>005</x:v>
      </x:c>
      <x:c r="B286" s="10" t="str">
        <x:v>Colapso estrutural dos pavilhões prisionais durante a implosão.</x:v>
      </x:c>
      <x:c r="C286" s="10" t="str">
        <x:v>Item</x:v>
      </x:c>
      <x:c r="D286" s="10" t="str">
        <x:v>2005-07-17 00:00:00</x:v>
      </x:c>
      <x:c r="E286" s="10" t="str">
        <x:v>Gerado pelo Dataverse</x:v>
      </x:c>
      <x:c r="F286" s="10" t="str">
        <x:v>Nato-digital</x:v>
      </x:c>
      <x:c r="G286" s="10" t="str">
        <x:v>São Paulo, Brasil</x:v>
      </x:c>
      <x:c r="H286" s="10" t="str">
        <x:v>Grupo de Pesquisa em Direito e Violência de Estado</x:v>
      </x:c>
      <x:c r="I286" s="10" t="str">
        <x:v>Arcoenge - Demolição - Casa de Detenção do Carandiru (Fotografias)</x:v>
      </x:c>
      <x:c r="J286" s="10" t="str">
        <x:v>Pasta: 0004</x:v>
      </x:c>
      <x:c r="K286" s="10" t="str">
        <x:v>BR-SPCARANDIRU_ARCOENGE-DEMOLICAO-CSDTCARANDIRU_ICO-FOT-NDG-MB0_0004-005.JPG</x:v>
      </x:c>
      <x:c r="L286"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86" s="10" t="str">
        <x:v>Imagem aérea sequencial à anterior, documentando o progresso da implosão. Os pavilhões 2 e 5 no primeiro plano encontram-se em colapso evidente, a ceder sobre as próprias fundações num movimento vertical. Grandes volumes de poeira espessa dominam a base e o perímetro das estruturas, ocultando os andares inferiores, enquanto as enormes telas brancas de proteção nas coberturas continuam fortemente insufladas e a deformar-se à medida que os edifícios colapsam. Existe um outdoor retangular largo vermelho, na área externa, anunciando o "Parque da Juventude" e os dizeres "venha praticar a liberdade". Na lateral dele, o logo do governo do estado de São Paulo.</x:v>
      </x:c>
      <x:c r="N286"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86" s="10" t="str">
        <x:v>Sistema prisional; Arquitetura prisional; Casa de Detenção de São Paulo; Carandiru</x:v>
      </x:c>
      <x:c r="P286" s="10" t="str">
        <x:v>Fotografia (Iconográfico)</x:v>
      </x:c>
      <x:c r="Q286" s="10" t="str">
        <x:v>Nato-digital</x:v>
      </x:c>
      <x:c r="R286" s="10" t="str">
        <x:v>Figura n – [Técnico apontando extensa fissura vertical em muro.] Fonte: ARCOENGE, 2003.</x:v>
      </x:c>
      <x:c r="S286" s="10" t="str">
        <x:v>ARCOENGE. [Técnico apontando extensa fissura vertical em muro.]. São Paulo, Brasil. 10 mar. 2003. Nato-digital. Disponível em: &lt;link do dataverse&gt;. Acesso em: 28 mai. 2026.</x:v>
      </x:c>
      <x:c r="T286" s="10" t="str">
        <x:v>A foto "car15" não existe no diretório original. Este item pertencia ao caminho: "Carandiru -Nico (seleção 2005)" &gt; "fotos". Nos metadados da fotografia (campo Data de criação), indica-se que sua criação se deu no 22/09/2005. A data indicada no campo "Data da fotografia" do presente dataset retrata o data exata do clique fotográfico.</x:v>
      </x:c>
      <x:c r="U286" s="10" t="str">
        <x:v>ICO</x:v>
      </x:c>
      <x:c r="V286" s="10" t="str">
        <x:v>FOT</x:v>
      </x:c>
      <x:c r="W286" s="10" t="str">
        <x:v>NDG</x:v>
      </x:c>
      <x:c r="X286" s="10" t="str">
        <x:v>MB0</x:v>
      </x:c>
      <x:c r="Y286" s="10" t="str">
        <x:v>BR-SPCARANDIRU_ARCOENGE-DEMOLICAO-CSDTCARANDIRU.xlsx</x:v>
      </x:c>
      <x:c r="Z286" s="10" t="str">
        <x:v>0004</x:v>
      </x:c>
      <x:c r="AA286" s="11" t="n">
        <x:v>6</x:v>
      </x:c>
      <x:c r="AB286" s="10" t="str">
        <x:v>BR-SPCARANDIRU_ARCOENGE-DEMOLICAO-CSDTCARANDIRU.xlsx:0004:6</x:v>
      </x:c>
      <x:c r="AC286" s="11" t="n">
        <x:f>COLUMNS(A286:T286)-COUNTBLANK(A286:T286)</x:f>
        <x:v>20</x:v>
      </x:c>
    </x:row>
    <x:row r="287" ht="48" hidden="0" customHeight="1">
      <x:c r="A287" s="10" t="str">
        <x:v>006</x:v>
      </x:c>
      <x:c r="B287" s="10" t="str">
        <x:v>Vista aérea panorâmica do colapso dos pavilhões durante a implosão.</x:v>
      </x:c>
      <x:c r="C287" s="10" t="str">
        <x:v>Item</x:v>
      </x:c>
      <x:c r="D287" s="10" t="str">
        <x:v>2005-07-17 00:00:00</x:v>
      </x:c>
      <x:c r="E287" s="10" t="str">
        <x:v>Gerado pelo Dataverse</x:v>
      </x:c>
      <x:c r="F287" s="10" t="str">
        <x:v>Nato-digital</x:v>
      </x:c>
      <x:c r="G287" s="10" t="str">
        <x:v>São Paulo, Brasil</x:v>
      </x:c>
      <x:c r="H287" s="10" t="str">
        <x:v>Grupo de Pesquisa em Direito e Violência de Estado</x:v>
      </x:c>
      <x:c r="I287" s="10" t="str">
        <x:v>Arcoenge - Demolição - Casa de Detenção do Carandiru (Fotografias)</x:v>
      </x:c>
      <x:c r="J287" s="10" t="str">
        <x:v>Pasta: 0004</x:v>
      </x:c>
      <x:c r="K287" s="10" t="str">
        <x:v>BR-SPCARANDIRU_ARCOENGE-DEMOLICAO-CSDTCARANDIRU_ICO-FOT-NDG-MB0_0004-006.JPG</x:v>
      </x:c>
      <x:c r="L287"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87" s="10" t="str">
        <x:v>Imagem aérea registrando o momento avançado da implosão dos pavilhões 2 e 5 da Casa de Detenção do Carandiru. As estruturas colapsam sobre si mesmas, gerando imensas nuvens de poeira que se expandem rapidamente pelo terreno avermelhado. As telas brancas de proteção continuam visíveis, inflando sobre as lajes em queda. Ao fundo, a malha urbana da cidade, o muro de contenção e os edifícios remanescentes do complexo permanecem visíveis. Existe um outdoor retangular largo vermelho, na área externa, anunciando o "Parque da Juventude" e os dizeres "venha praticar a liberdade". Na lateral dele, o logo do governo do estado de São Paulo.</x:v>
      </x:c>
      <x:c r="N287"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87" s="10" t="str">
        <x:v>Sistema prisional; Arquitetura prisional; Casa de Detenção de São Paulo; Carandiru</x:v>
      </x:c>
      <x:c r="P287" s="10" t="str">
        <x:v>Fotografia (Iconográfico)</x:v>
      </x:c>
      <x:c r="Q287" s="10" t="str">
        <x:v>Nato-digital</x:v>
      </x:c>
      <x:c r="R287" s="10" t="str">
        <x:v>Figura n – [Vistoria de trinca vertical.] Fonte: ARCOENGE, 2003.</x:v>
      </x:c>
      <x:c r="S287" s="10" t="str">
        <x:v>ARCOENGE. [Vistoria de trinca vertical.]. São Paulo, Brasil. 10 mar. 2003. Nato-digital. Disponível em: &lt;link do dataverse&gt;. Acesso em: 28 mai. 2026.</x:v>
      </x:c>
      <x:c r="T287" s="10" t="str">
        <x:v>A foto "car15" não existe no diretório original. Este item pertencia ao caminho: "Carandiru -Nico (seleção 2005)" &gt; "fotos". Nos metadados da fotografia (campo Data de criação), indica-se que sua criação se deu no 22/09/2005. A data indicada no campo "Data da fotografia" do presente dataset retrata o data exata do clique fotográfico.</x:v>
      </x:c>
      <x:c r="U287" s="10" t="str">
        <x:v>ICO</x:v>
      </x:c>
      <x:c r="V287" s="10" t="str">
        <x:v>FOT</x:v>
      </x:c>
      <x:c r="W287" s="10" t="str">
        <x:v>NDG</x:v>
      </x:c>
      <x:c r="X287" s="10" t="str">
        <x:v>MB0</x:v>
      </x:c>
      <x:c r="Y287" s="10" t="str">
        <x:v>BR-SPCARANDIRU_ARCOENGE-DEMOLICAO-CSDTCARANDIRU.xlsx</x:v>
      </x:c>
      <x:c r="Z287" s="10" t="str">
        <x:v>0004</x:v>
      </x:c>
      <x:c r="AA287" s="11" t="n">
        <x:v>7</x:v>
      </x:c>
      <x:c r="AB287" s="10" t="str">
        <x:v>BR-SPCARANDIRU_ARCOENGE-DEMOLICAO-CSDTCARANDIRU.xlsx:0004:7</x:v>
      </x:c>
      <x:c r="AC287" s="11" t="n">
        <x:f>COLUMNS(A287:T287)-COUNTBLANK(A287:T287)</x:f>
        <x:v>20</x:v>
      </x:c>
    </x:row>
    <x:row r="288" ht="48" hidden="0" customHeight="1">
      <x:c r="A288" s="10" t="str">
        <x:v>007</x:v>
      </x:c>
      <x:c r="B288" s="10" t="str">
        <x:v>Autoridades observam a nuvem de poeira gerada pela implosão.</x:v>
      </x:c>
      <x:c r="C288" s="10" t="str">
        <x:v>Item</x:v>
      </x:c>
      <x:c r="D288" s="10" t="str">
        <x:v>2005-07-17 00:00:00</x:v>
      </x:c>
      <x:c r="E288" s="10" t="str">
        <x:v>Gerado pelo Dataverse</x:v>
      </x:c>
      <x:c r="F288" s="10" t="str">
        <x:v>Nato-digital</x:v>
      </x:c>
      <x:c r="G288" s="10" t="str">
        <x:v>São Paulo, Brasil</x:v>
      </x:c>
      <x:c r="H288" s="10" t="str">
        <x:v>Grupo de Pesquisa em Direito e Violência de Estado</x:v>
      </x:c>
      <x:c r="I288" s="10" t="str">
        <x:v>Arcoenge - Demolição - Casa de Detenção do Carandiru (Fotografias)</x:v>
      </x:c>
      <x:c r="J288" s="10" t="str">
        <x:v>Pasta: 0004</x:v>
      </x:c>
      <x:c r="K288" s="10" t="str">
        <x:v>BR-SPCARANDIRU_ARCOENGE-DEMOLICAO-CSDTCARANDIRU_ICO-FOT-NDG-MB0_0004-007.JPG</x:v>
      </x:c>
      <x:c r="L288"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88" s="10" t="str">
        <x:v>Fotografia ao nível do solo capturando autoridades (incluindo o então governador de São Paulo) de costas, observando os instantes imediatamente após o acionamento dos explosivos. Uma densa nuvem de poeira marrom domina o fundo da imagem, encobrindo quase totalmente os edifícios em colapso. Um dos observadores à esquerda ergue o braço com o punho cerrado, em um gesto de celebração ou ênfase.</x:v>
      </x:c>
      <x:c r="N288"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88" s="10" t="str">
        <x:v>Sistema prisional; Arquitetura prisional; Casa de Detenção de São Paulo; Carandiru</x:v>
      </x:c>
      <x:c r="P288" s="10" t="str">
        <x:v>Fotografia (Iconográfico)</x:v>
      </x:c>
      <x:c r="Q288" s="10" t="str">
        <x:v>Nato-digital</x:v>
      </x:c>
      <x:c r="R288" s="10" t="str">
        <x:v>Figura n – [Técnico indicando ruptura com desprendimento de reboco.] Fonte: ARCOENGE, 2003.</x:v>
      </x:c>
      <x:c r="S288" s="10" t="str">
        <x:v>ARCOENGE. [Técnico indicando ruptura com desprendimento de reboco.]. São Paulo, Brasil. 10 mar. 2003. Nato-digital. Disponível em: &lt;link do dataverse&gt;. Acesso em: 28 mai. 2026.</x:v>
      </x:c>
      <x:c r="T288" s="10" t="str">
        <x:v>A foto "car15" não existe no diretório original. Este item pertencia ao caminho: "Carandiru -Nico (seleção 2005)" &gt; "fotos". Nos metadados da fotografia (campo Data de criação), indica-se que sua criação se deu no 22/09/2005. A data indicada no campo "Data da fotografia" do presente dataset retrata o data exata do clique fotográfico.</x:v>
      </x:c>
      <x:c r="U288" s="10" t="str">
        <x:v>ICO</x:v>
      </x:c>
      <x:c r="V288" s="10" t="str">
        <x:v>FOT</x:v>
      </x:c>
      <x:c r="W288" s="10" t="str">
        <x:v>NDG</x:v>
      </x:c>
      <x:c r="X288" s="10" t="str">
        <x:v>MB0</x:v>
      </x:c>
      <x:c r="Y288" s="10" t="str">
        <x:v>BR-SPCARANDIRU_ARCOENGE-DEMOLICAO-CSDTCARANDIRU.xlsx</x:v>
      </x:c>
      <x:c r="Z288" s="10" t="str">
        <x:v>0004</x:v>
      </x:c>
      <x:c r="AA288" s="11" t="n">
        <x:v>8</x:v>
      </x:c>
      <x:c r="AB288" s="10" t="str">
        <x:v>BR-SPCARANDIRU_ARCOENGE-DEMOLICAO-CSDTCARANDIRU.xlsx:0004:8</x:v>
      </x:c>
      <x:c r="AC288" s="11" t="n">
        <x:f>COLUMNS(A288:T288)-COUNTBLANK(A288:T288)</x:f>
        <x:v>20</x:v>
      </x:c>
    </x:row>
    <x:row r="289" ht="48" hidden="0" customHeight="1">
      <x:c r="A289" s="10" t="str">
        <x:v>008</x:v>
      </x:c>
      <x:c r="B289" s="10" t="str">
        <x:v>Pavilhões reduzidos a escombros sob nuvem de poeira dissipando.</x:v>
      </x:c>
      <x:c r="C289" s="10" t="str">
        <x:v>Item</x:v>
      </x:c>
      <x:c r="D289" s="10" t="str">
        <x:v>2005-07-17 00:00:00</x:v>
      </x:c>
      <x:c r="E289" s="10" t="str">
        <x:v>Gerado pelo Dataverse</x:v>
      </x:c>
      <x:c r="F289" s="10" t="str">
        <x:v>Nato-digital</x:v>
      </x:c>
      <x:c r="G289" s="10" t="str">
        <x:v>São Paulo, Brasil</x:v>
      </x:c>
      <x:c r="H289" s="10" t="str">
        <x:v>Grupo de Pesquisa em Direito e Violência de Estado</x:v>
      </x:c>
      <x:c r="I289" s="10" t="str">
        <x:v>Arcoenge - Demolição - Casa de Detenção do Carandiru (Fotografias)</x:v>
      </x:c>
      <x:c r="J289" s="10" t="str">
        <x:v>Pasta: 0004</x:v>
      </x:c>
      <x:c r="K289" s="10" t="str">
        <x:v>BR-SPCARANDIRU_ARCOENGE-DEMOLICAO-CSDTCARANDIRU_ICO-FOT-NDG-MB0_0004-008.JPG</x:v>
      </x:c>
      <x:c r="L289"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89" s="10" t="str">
        <x:v>Vista aérea retratando o cenário logo após a queda total dos dois pavilhões frontais. As estruturas encontram-se reduzidas a montanhas de escombros e lajes empilhadas sobre o terreno. Uma espessa nuvem de poeira ainda encobre grande parte do cenário e se desloca para a esquerda, impulsionada pelo vento, ocultando parcialmente a cidade ao fundo.</x:v>
      </x:c>
      <x:c r="N289"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89" s="10" t="str">
        <x:v>Sistema prisional; Arquitetura prisional; Casa de Detenção de São Paulo; Carandiru</x:v>
      </x:c>
      <x:c r="P289" s="10" t="str">
        <x:v>Fotografia (Iconográfico)</x:v>
      </x:c>
      <x:c r="Q289" s="10" t="str">
        <x:v>Nato-digital</x:v>
      </x:c>
      <x:c r="R289" s="10" t="str">
        <x:v>Figura n – [Técnico encostado em quina de muro com buracos profundos.] Fonte: ARCOENGE, 2003.</x:v>
      </x:c>
      <x:c r="S289" s="10" t="str">
        <x:v>ARCOENGE. [Técnico encostado em quina de muro com buracos profundos.]. São Paulo, Brasil. 10 mar. 2003. Nato-digital. Disponível em: &lt;link do dataverse&gt;. Acesso em: 28 mai. 2026.</x:v>
      </x:c>
      <x:c r="T289" s="10" t="str">
        <x:v>A foto "car15" não existe no diretório original. Este item pertencia ao caminho: "Carandiru -Nico (seleção 2005)" &gt; "fotos". Nos metadados da fotografia (campo Data de criação), indica-se que sua criação se deu no 22/09/2005. A data indicada no campo "Data da fotografia" do presente dataset retrata o data exata do clique fotográfico.</x:v>
      </x:c>
      <x:c r="U289" s="10" t="str">
        <x:v>ICO</x:v>
      </x:c>
      <x:c r="V289" s="10" t="str">
        <x:v>FOT</x:v>
      </x:c>
      <x:c r="W289" s="10" t="str">
        <x:v>NDG</x:v>
      </x:c>
      <x:c r="X289" s="10" t="str">
        <x:v>MB0</x:v>
      </x:c>
      <x:c r="Y289" s="10" t="str">
        <x:v>BR-SPCARANDIRU_ARCOENGE-DEMOLICAO-CSDTCARANDIRU.xlsx</x:v>
      </x:c>
      <x:c r="Z289" s="10" t="str">
        <x:v>0004</x:v>
      </x:c>
      <x:c r="AA289" s="11" t="n">
        <x:v>9</x:v>
      </x:c>
      <x:c r="AB289" s="10" t="str">
        <x:v>BR-SPCARANDIRU_ARCOENGE-DEMOLICAO-CSDTCARANDIRU.xlsx:0004:9</x:v>
      </x:c>
      <x:c r="AC289" s="11" t="n">
        <x:f>COLUMNS(A289:T289)-COUNTBLANK(A289:T289)</x:f>
        <x:v>20</x:v>
      </x:c>
    </x:row>
    <x:row r="290" ht="48" hidden="0" customHeight="1">
      <x:c r="A290" s="10" t="str">
        <x:v>009</x:v>
      </x:c>
      <x:c r="B290" s="10" t="str">
        <x:v>Ruínas dos pavilhões após a completa dissipação da poeira.</x:v>
      </x:c>
      <x:c r="C290" s="10" t="str">
        <x:v>Item</x:v>
      </x:c>
      <x:c r="D290" s="10" t="str">
        <x:v>2005-07-17 00:00:00</x:v>
      </x:c>
      <x:c r="E290" s="10" t="str">
        <x:v>Gerado pelo Dataverse</x:v>
      </x:c>
      <x:c r="F290" s="10" t="str">
        <x:v>Nato-digital</x:v>
      </x:c>
      <x:c r="G290" s="10" t="str">
        <x:v>São Paulo, Brasil</x:v>
      </x:c>
      <x:c r="H290" s="10" t="str">
        <x:v>Grupo de Pesquisa em Direito e Violência de Estado</x:v>
      </x:c>
      <x:c r="I290" s="10" t="str">
        <x:v>Arcoenge - Demolição - Casa de Detenção do Carandiru (Fotografias)</x:v>
      </x:c>
      <x:c r="J290" s="10" t="str">
        <x:v>Pasta: 0004</x:v>
      </x:c>
      <x:c r="K290" s="10" t="str">
        <x:v>BR-SPCARANDIRU_ARCOENGE-DEMOLICAO-CSDTCARANDIRU_ICO-FOT-NDG-MB0_0004-009.JPG</x:v>
      </x:c>
      <x:c r="L290"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90" s="10" t="str">
        <x:v>Fotografia aérea do canteiro de obras documentando o resultado final da implosão após a poeira baixar. Os dois pavilhões frontais estão completamente colapsados, restando apenas amontoados de escombros estruturais misturados às enormes telas brancas de proteção da empresa responsável. Ao fundo, isolados no pátio de terra cercado pelo muro perimetral, os outros pavilhões permanecem de pé.</x:v>
      </x:c>
      <x:c r="N290"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90" s="10" t="str">
        <x:v>Sistema prisional; Arquitetura prisional; Casa de Detenção de São Paulo; Carandiru</x:v>
      </x:c>
      <x:c r="P290" s="10" t="str">
        <x:v>Fotografia (Iconográfico)</x:v>
      </x:c>
      <x:c r="Q290" s="10" t="str">
        <x:v>Nato-digital</x:v>
      </x:c>
      <x:c r="R290" s="10" t="str">
        <x:v>Figura n – [Extensa fachada lateral com equipe em terreno de obras.] Fonte: ARCOENGE, 2003.</x:v>
      </x:c>
      <x:c r="S290" s="10" t="str">
        <x:v>ARCOENGE. [Extensa fachada lateral com equipe em terreno de obras.]. São Paulo, Brasil. 10 mar. 2003. Nato-digital. Disponível em: &lt;link do dataverse&gt;. Acesso em: 28 mai. 2026.</x:v>
      </x:c>
      <x:c r="T290" s="10" t="str">
        <x:v>A foto "car15" não existe no diretório original. Este item pertencia ao caminho: "Carandiru -Nico (seleção 2005)" &gt; "fotos". Nos metadados da fotografia (campo Data de criação), indica-se que sua criação se deu no 22/09/2005. A data indicada no campo "Data da fotografia" do presente dataset retrata o data exata do clique fotográfico.</x:v>
      </x:c>
      <x:c r="U290" s="10" t="str">
        <x:v>ICO</x:v>
      </x:c>
      <x:c r="V290" s="10" t="str">
        <x:v>FOT</x:v>
      </x:c>
      <x:c r="W290" s="10" t="str">
        <x:v>NDG</x:v>
      </x:c>
      <x:c r="X290" s="10" t="str">
        <x:v>MB0</x:v>
      </x:c>
      <x:c r="Y290" s="10" t="str">
        <x:v>BR-SPCARANDIRU_ARCOENGE-DEMOLICAO-CSDTCARANDIRU.xlsx</x:v>
      </x:c>
      <x:c r="Z290" s="10" t="str">
        <x:v>0004</x:v>
      </x:c>
      <x:c r="AA290" s="11" t="n">
        <x:v>10</x:v>
      </x:c>
      <x:c r="AB290" s="10" t="str">
        <x:v>BR-SPCARANDIRU_ARCOENGE-DEMOLICAO-CSDTCARANDIRU.xlsx:0004:10</x:v>
      </x:c>
      <x:c r="AC290" s="11" t="n">
        <x:f>COLUMNS(A290:T290)-COUNTBLANK(A290:T290)</x:f>
        <x:v>20</x:v>
      </x:c>
    </x:row>
    <x:row r="291" ht="48" hidden="0" customHeight="1">
      <x:c r="A291" s="10" t="str">
        <x:v>010</x:v>
      </x:c>
      <x:c r="B291" s="10" t="str">
        <x:v>Compressor de ar industrial posicionado no canteiro de obras.</x:v>
      </x:c>
      <x:c r="C291" s="10" t="str">
        <x:v>Item</x:v>
      </x:c>
      <x:c r="D291" s="10" t="str">
        <x:v>2005-07-17 00:00:00</x:v>
      </x:c>
      <x:c r="E291" s="10" t="str">
        <x:v>Gerado pelo Dataverse</x:v>
      </x:c>
      <x:c r="F291" s="10" t="str">
        <x:v>Nato-digital</x:v>
      </x:c>
      <x:c r="G291" s="10" t="str">
        <x:v>São Paulo, Brasil</x:v>
      </x:c>
      <x:c r="H291" s="10" t="str">
        <x:v>Grupo de Pesquisa em Direito e Violência de Estado</x:v>
      </x:c>
      <x:c r="I291" s="10" t="str">
        <x:v>Arcoenge - Demolição - Casa de Detenção do Carandiru (Fotografias)</x:v>
      </x:c>
      <x:c r="J291" s="10" t="str">
        <x:v>Pasta: 0004</x:v>
      </x:c>
      <x:c r="K291" s="10" t="str">
        <x:v>BR-SPCARANDIRU_ARCOENGE-DEMOLICAO-CSDTCARANDIRU_ICO-FOT-NDG-MB0_0004-010.JPG</x:v>
      </x:c>
      <x:c r="L291"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91" s="10" t="str">
        <x:v>Fotografia ao nível do solo detalhando um grande equipamento industrial rebocável, pintado de amarelo e preto, com as inscrições "ARCOENGE" e "XA 420 900 PCM" (tratando-se de um compressor de ar). O maquinário encontra-se estacionado sobre o terreno de terra batida e pedras, em frente à fachada de um pavilhão prisional parcialmente descaracterizado.</x:v>
      </x:c>
      <x:c r="N291"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91" s="10" t="str">
        <x:v>Sistema prisional; Arquitetura prisional; Casa de Detenção de São Paulo; Carandiru</x:v>
      </x:c>
      <x:c r="P291" s="10" t="str">
        <x:v>Fotografia (Iconográfico)</x:v>
      </x:c>
      <x:c r="Q291" s="10" t="str">
        <x:v>Nato-digital</x:v>
      </x:c>
      <x:c r="R291" s="10" t="str">
        <x:v>Figura n – [Detalhe superior de empena cega com tijolos laterais expostos.] Fonte: ARCOENGE, 2003.</x:v>
      </x:c>
      <x:c r="S291" s="10" t="str">
        <x:v>ARCOENGE. [Detalhe superior de empena cega com tijolos laterais expostos.]. São Paulo, Brasil. 10 mar. 2003. Nato-digital. Disponível em: &lt;link do dataverse&gt;. Acesso em: 28 mai. 2026.</x:v>
      </x:c>
      <x:c r="T291" s="10" t="str">
        <x:v>A foto "car15" não existe no diretório original. Este item pertencia ao caminho: "Carandiru -Nico (seleção 2005)" &gt; "fotos". Nos metadados da fotografia (campo Data de criação), indica-se que sua criação se deu no 22/09/2005. A data indicada no campo "Data da fotografia" do presente dataset retrata o data exata do clique fotográfico.</x:v>
      </x:c>
      <x:c r="U291" s="10" t="str">
        <x:v>ICO</x:v>
      </x:c>
      <x:c r="V291" s="10" t="str">
        <x:v>FOT</x:v>
      </x:c>
      <x:c r="W291" s="10" t="str">
        <x:v>NDG</x:v>
      </x:c>
      <x:c r="X291" s="10" t="str">
        <x:v>MB0</x:v>
      </x:c>
      <x:c r="Y291" s="10" t="str">
        <x:v>BR-SPCARANDIRU_ARCOENGE-DEMOLICAO-CSDTCARANDIRU.xlsx</x:v>
      </x:c>
      <x:c r="Z291" s="10" t="str">
        <x:v>0004</x:v>
      </x:c>
      <x:c r="AA291" s="11" t="n">
        <x:v>11</x:v>
      </x:c>
      <x:c r="AB291" s="10" t="str">
        <x:v>BR-SPCARANDIRU_ARCOENGE-DEMOLICAO-CSDTCARANDIRU.xlsx:0004:11</x:v>
      </x:c>
      <x:c r="AC291" s="11" t="n">
        <x:f>COLUMNS(A291:T291)-COUNTBLANK(A291:T291)</x:f>
        <x:v>20</x:v>
      </x:c>
    </x:row>
    <x:row r="292" ht="48" hidden="0" customHeight="1">
      <x:c r="A292" s="10" t="str">
        <x:v>011</x:v>
      </x:c>
      <x:c r="B292" s="10" t="str">
        <x:v>Escavadeira com rompedor hidráulico demolindo paredes do pavilhão.</x:v>
      </x:c>
      <x:c r="C292" s="10" t="str">
        <x:v>Item</x:v>
      </x:c>
      <x:c r="D292" s="10" t="str">
        <x:v>2005-07-17 00:00:00</x:v>
      </x:c>
      <x:c r="E292" s="10" t="str">
        <x:v>Gerado pelo Dataverse</x:v>
      </x:c>
      <x:c r="F292" s="10" t="str">
        <x:v>Nato-digital</x:v>
      </x:c>
      <x:c r="G292" s="10" t="str">
        <x:v>São Paulo, Brasil</x:v>
      </x:c>
      <x:c r="H292" s="10" t="str">
        <x:v>Grupo de Pesquisa em Direito e Violência de Estado</x:v>
      </x:c>
      <x:c r="I292" s="10" t="str">
        <x:v>Arcoenge - Demolição - Casa de Detenção do Carandiru (Fotografias)</x:v>
      </x:c>
      <x:c r="J292" s="10" t="str">
        <x:v>Pasta: 0004</x:v>
      </x:c>
      <x:c r="K292" s="10" t="str">
        <x:v>BR-SPCARANDIRU_ARCOENGE-DEMOLICAO-CSDTCARANDIRU_ICO-FOT-NDG-MB0_0004-011.JPG</x:v>
      </x:c>
      <x:c r="L292"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92" s="10" t="str">
        <x:v>Imagem registrando uma escavadeira de esteira laranja da empresa Arcoenge, equipada com um rompedor hidráulico, em atividade de demolição mecânica. O equipamento destrói a alvenaria da fachada de um pátio interno do pavilhão, gerando poeira e entulho na base. Na parede desgastada e esburacada, observam-se pinturas antigas feitas por detentos com inscrições como "Equipe Campeã do Circuito Paulista", "Luciano Caravalho-Pernambuco", "Academia", "Competição Freestyle" e "Vale Tudo".</x:v>
      </x:c>
      <x:c r="N292"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92" s="10" t="str">
        <x:v>Sistema prisional; Arquitetura prisional; Casa de Detenção de São Paulo; Carandiru</x:v>
      </x:c>
      <x:c r="P292" s="10" t="str">
        <x:v>Fotografia (Iconográfico)</x:v>
      </x:c>
      <x:c r="Q292" s="10" t="str">
        <x:v>Nato-digital</x:v>
      </x:c>
      <x:c r="R292" s="10" t="str">
        <x:v>Figura n – [Detalhe de revestimento de muro divisório com manchas e escorrimentos escuros.] Fonte: ARCOENGE, 2003.</x:v>
      </x:c>
      <x:c r="S292" s="10" t="str">
        <x:v>ARCOENGE. [Detalhe de revestimento de muro divisório com manchas e escorrimentos escuros.]. São Paulo, Brasil. 10 mar. 2003. Nato-digital. Disponível em: &lt;link do dataverse&gt;. Acesso em: 28 mai. 2026.</x:v>
      </x:c>
      <x:c r="T292" s="10" t="str">
        <x:v>A foto "car15" não existe no diretório original. Este item pertencia ao caminho: "Carandiru -Nico (seleção 2005)" &gt; "fotos". Nos metadados da fotografia (campo Data de criação), indica-se que sua criação se deu no 22/09/2005. A data indicada no campo "Data da fotografia" do presente dataset retrata o data exata do clique fotográfico.</x:v>
      </x:c>
      <x:c r="U292" s="10" t="str">
        <x:v>ICO</x:v>
      </x:c>
      <x:c r="V292" s="10" t="str">
        <x:v>FOT</x:v>
      </x:c>
      <x:c r="W292" s="10" t="str">
        <x:v>NDG</x:v>
      </x:c>
      <x:c r="X292" s="10" t="str">
        <x:v>MB0</x:v>
      </x:c>
      <x:c r="Y292" s="10" t="str">
        <x:v>BR-SPCARANDIRU_ARCOENGE-DEMOLICAO-CSDTCARANDIRU.xlsx</x:v>
      </x:c>
      <x:c r="Z292" s="10" t="str">
        <x:v>0004</x:v>
      </x:c>
      <x:c r="AA292" s="11" t="n">
        <x:v>12</x:v>
      </x:c>
      <x:c r="AB292" s="10" t="str">
        <x:v>BR-SPCARANDIRU_ARCOENGE-DEMOLICAO-CSDTCARANDIRU.xlsx:0004:12</x:v>
      </x:c>
      <x:c r="AC292" s="11" t="n">
        <x:f>COLUMNS(A292:T292)-COUNTBLANK(A292:T292)</x:f>
        <x:v>20</x:v>
      </x:c>
    </x:row>
    <x:row r="293" ht="48" hidden="0" customHeight="1">
      <x:c r="A293" s="10" t="str">
        <x:v>012</x:v>
      </x:c>
      <x:c r="B293" s="10" t="str">
        <x:v>Demolição mecânica da estrutura de concreto de pavilhão prisional.</x:v>
      </x:c>
      <x:c r="C293" s="10" t="str">
        <x:v>Item</x:v>
      </x:c>
      <x:c r="D293" s="10" t="str">
        <x:v>2005-07-17 00:00:00</x:v>
      </x:c>
      <x:c r="E293" s="10" t="str">
        <x:v>Gerado pelo Dataverse</x:v>
      </x:c>
      <x:c r="F293" s="10" t="str">
        <x:v>Nato-digital</x:v>
      </x:c>
      <x:c r="G293" s="10" t="str">
        <x:v>São Paulo, Brasil</x:v>
      </x:c>
      <x:c r="H293" s="10" t="str">
        <x:v>Grupo de Pesquisa em Direito e Violência de Estado</x:v>
      </x:c>
      <x:c r="I293" s="10" t="str">
        <x:v>Arcoenge - Demolição - Casa de Detenção do Carandiru (Fotografias)</x:v>
      </x:c>
      <x:c r="J293" s="10" t="str">
        <x:v>Pasta: 0004</x:v>
      </x:c>
      <x:c r="K293" s="10" t="str">
        <x:v>BR-SPCARANDIRU_ARCOENGE-DEMOLICAO-CSDTCARANDIRU_ICO-FOT-NDG-MB0_0004-012.JPG</x:v>
      </x:c>
      <x:c r="L293"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93" s="10" t="str">
        <x:v>Fotografia semelhante à 0004-011, mostrando a escavadeira laranja operando o rompedor hidráulico nos andares superiores do pavilhão prisional. O trabalho mecânico contínuo já removeu as paredes, expondo o "esqueleto" estrutural em formato de grelha de concreto do edifício (pilares e vigas). Uma coluna de poeira cai em direção ao solo repleto de escombros cerâmicos e concreto.</x:v>
      </x:c>
      <x:c r="N293"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93" s="10" t="str">
        <x:v>Sistema prisional; Arquitetura prisional; Casa de Detenção de São Paulo; Carandiru</x:v>
      </x:c>
      <x:c r="P293" s="10" t="str">
        <x:v>Fotografia (Iconográfico)</x:v>
      </x:c>
      <x:c r="Q293" s="10" t="str">
        <x:v>Nato-digital</x:v>
      </x:c>
      <x:c r="R293" s="10" t="str">
        <x:v>Figura n – [Detalhe de avarias, umidade e oxidação em superfície de muro.] Fonte: ARCOENGE, 2003.</x:v>
      </x:c>
      <x:c r="S293" s="10" t="str">
        <x:v>ARCOENGE. [Detalhe de avarias, umidade e oxidação em superfície de muro.]. São Paulo, Brasil. 10 mar. 2003. Nato-digital. Disponível em: &lt;link do dataverse&gt;. Acesso em: 28 mai. 2026.</x:v>
      </x:c>
      <x:c r="T293" s="10" t="str">
        <x:v>A foto "car15" não existe no diretório original. Este item pertencia ao caminho: "Carandiru -Nico (seleção 2005)" &gt; "fotos". Nos metadados da fotografia (campo Data de criação), indica-se que sua criação se deu no 22/09/2005. A data indicada no campo "Data da fotografia" do presente dataset retrata o data exata do clique fotográfico.</x:v>
      </x:c>
      <x:c r="U293" s="10" t="str">
        <x:v>ICO</x:v>
      </x:c>
      <x:c r="V293" s="10" t="str">
        <x:v>FOT</x:v>
      </x:c>
      <x:c r="W293" s="10" t="str">
        <x:v>NDG</x:v>
      </x:c>
      <x:c r="X293" s="10" t="str">
        <x:v>MB0</x:v>
      </x:c>
      <x:c r="Y293" s="10" t="str">
        <x:v>BR-SPCARANDIRU_ARCOENGE-DEMOLICAO-CSDTCARANDIRU.xlsx</x:v>
      </x:c>
      <x:c r="Z293" s="10" t="str">
        <x:v>0004</x:v>
      </x:c>
      <x:c r="AA293" s="11" t="n">
        <x:v>13</x:v>
      </x:c>
      <x:c r="AB293" s="10" t="str">
        <x:v>BR-SPCARANDIRU_ARCOENGE-DEMOLICAO-CSDTCARANDIRU.xlsx:0004:13</x:v>
      </x:c>
      <x:c r="AC293" s="11" t="n">
        <x:f>COLUMNS(A293:T293)-COUNTBLANK(A293:T293)</x:f>
        <x:v>20</x:v>
      </x:c>
    </x:row>
    <x:row r="294" ht="48" hidden="0" customHeight="1">
      <x:c r="A294" s="10" t="str">
        <x:v>013</x:v>
      </x:c>
      <x:c r="B294" s="10" t="str">
        <x:v>Placa informativa sobre a implosão e demolição dos pavilhões.</x:v>
      </x:c>
      <x:c r="C294" s="10" t="str">
        <x:v>Item</x:v>
      </x:c>
      <x:c r="D294" s="10" t="str">
        <x:v>2005-07-17 00:00:00</x:v>
      </x:c>
      <x:c r="E294" s="10" t="str">
        <x:v>Gerado pelo Dataverse</x:v>
      </x:c>
      <x:c r="F294" s="10" t="str">
        <x:v>Nato-digital</x:v>
      </x:c>
      <x:c r="G294" s="10" t="str">
        <x:v>São Paulo, Brasil</x:v>
      </x:c>
      <x:c r="H294" s="10" t="str">
        <x:v>Grupo de Pesquisa em Direito e Violência de Estado</x:v>
      </x:c>
      <x:c r="I294" s="10" t="str">
        <x:v>Arcoenge - Demolição - Casa de Detenção do Carandiru (Fotografias)</x:v>
      </x:c>
      <x:c r="J294" s="10" t="str">
        <x:v>Pasta: 0004</x:v>
      </x:c>
      <x:c r="K294" s="10" t="str">
        <x:v>BR-SPCARANDIRU_ARCOENGE-DEMOLICAO-CSDTCARANDIRU_ICO-FOT-NDG-MB0_0004-013.JPG</x:v>
      </x:c>
      <x:c r="L294"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94" s="10" t="str">
        <x:v>Imagem em plano fechado documentando uma placa de sinalização amarela da empresa Arcoenge. O texto institucional anuncia a "IMPLOSÃO E DEMOLIÇÃO ESPECIALIZADA DOS PAVILHÕES 2 E 5". A lona lista os nomes e os números de registro no CREA dos engenheiros responsáveis pela operação, além do telefone de contato e endereço eletrônico da empresa contratada.</x:v>
      </x:c>
      <x:c r="N294"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94" s="10" t="str">
        <x:v>Sistema prisional; Arquitetura prisional; Casa de Detenção de São Paulo; Carandiru</x:v>
      </x:c>
      <x:c r="P294" s="10" t="str">
        <x:v>Fotografia (Iconográfico)</x:v>
      </x:c>
      <x:c r="Q294" s="10" t="str">
        <x:v>Nato-digital</x:v>
      </x:c>
      <x:c r="R294" s="10" t="str">
        <x:v>Figura n – [Muro divisório bipartido e vala para fundação no canteiro.] Fonte: ARCOENGE, 2003.</x:v>
      </x:c>
      <x:c r="S294" s="10" t="str">
        <x:v>ARCOENGE. [Muro divisório bipartido e vala para fundação no canteiro.]. São Paulo, Brasil. 10 mar. 2003. Nato-digital. Disponível em: &lt;link do dataverse&gt;. Acesso em: 28 mai. 2026.</x:v>
      </x:c>
      <x:c r="T294" s="10" t="str">
        <x:v>A foto "car15" não existe no diretório original. Este item pertencia ao caminho: "Carandiru -Nico (seleção 2005)" &gt; "fotos". Nos metadados da fotografia (campo Data de criação), indica-se que sua criação se deu no 22/09/2005. A data indicada no campo "Data da fotografia" do presente dataset retrata o data exata do clique fotográfico.</x:v>
      </x:c>
      <x:c r="U294" s="10" t="str">
        <x:v>ICO</x:v>
      </x:c>
      <x:c r="V294" s="10" t="str">
        <x:v>FOT</x:v>
      </x:c>
      <x:c r="W294" s="10" t="str">
        <x:v>NDG</x:v>
      </x:c>
      <x:c r="X294" s="10" t="str">
        <x:v>MB0</x:v>
      </x:c>
      <x:c r="Y294" s="10" t="str">
        <x:v>BR-SPCARANDIRU_ARCOENGE-DEMOLICAO-CSDTCARANDIRU.xlsx</x:v>
      </x:c>
      <x:c r="Z294" s="10" t="str">
        <x:v>0004</x:v>
      </x:c>
      <x:c r="AA294" s="11" t="n">
        <x:v>14</x:v>
      </x:c>
      <x:c r="AB294" s="10" t="str">
        <x:v>BR-SPCARANDIRU_ARCOENGE-DEMOLICAO-CSDTCARANDIRU.xlsx:0004:14</x:v>
      </x:c>
      <x:c r="AC294" s="11" t="n">
        <x:f>COLUMNS(A294:T294)-COUNTBLANK(A294:T294)</x:f>
        <x:v>20</x:v>
      </x:c>
    </x:row>
    <x:row r="295" ht="48" hidden="0" customHeight="1">
      <x:c r="A295" s="10" t="str">
        <x:v>014</x:v>
      </x:c>
      <x:c r="B295" s="10" t="str">
        <x:v>Vista externa de dois pavilhões da Casa de Detenção intactos.</x:v>
      </x:c>
      <x:c r="C295" s="10" t="str">
        <x:v>Item</x:v>
      </x:c>
      <x:c r="D295" s="10" t="str">
        <x:v>2005-07-17 00:00:00</x:v>
      </x:c>
      <x:c r="E295" s="10" t="str">
        <x:v>Gerado pelo Dataverse</x:v>
      </x:c>
      <x:c r="F295" s="10" t="str">
        <x:v>Nato-digital</x:v>
      </x:c>
      <x:c r="G295" s="10" t="str">
        <x:v>São Paulo, Brasil</x:v>
      </x:c>
      <x:c r="H295" s="10" t="str">
        <x:v>Grupo de Pesquisa em Direito e Violência de Estado</x:v>
      </x:c>
      <x:c r="I295" s="10" t="str">
        <x:v>Arcoenge - Demolição - Casa de Detenção do Carandiru (Fotografias)</x:v>
      </x:c>
      <x:c r="J295" s="10" t="str">
        <x:v>Pasta: 0004</x:v>
      </x:c>
      <x:c r="K295" s="10" t="str">
        <x:v>BR-SPCARANDIRU_ARCOENGE-DEMOLICAO-CSDTCARANDIRU_ICO-FOT-NDG-MB0_0004-014.JPG</x:v>
      </x:c>
      <x:c r="L295"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95" s="10" t="str">
        <x:v>Fotografia captada ao nível do solo exibindo dois blocos prisionais de formato retangular, caracterizados por uma arquitetura rígida com múltiplas pequenas janelas quadradas gradeadas. O primeiro plano é dominado por um terreno em fase de obras preparatórias, apresentando terra revolvida, restos de entulho, mato rasteiro e barras de ferro espalhadas, compondo o cenário pré ou pós-demolição.</x:v>
      </x:c>
      <x:c r="N295"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95" s="10" t="str">
        <x:v>Sistema prisional; Arquitetura prisional; Casa de Detenção de São Paulo; Carandiru</x:v>
      </x:c>
      <x:c r="P295" s="10" t="str">
        <x:v>Fotografia (Iconográfico)</x:v>
      </x:c>
      <x:c r="Q295" s="10" t="str">
        <x:v>Nato-digital</x:v>
      </x:c>
      <x:c r="R295" s="10" t="str">
        <x:v>Figura n – [Muro de divisa com proteção superior e vala de fundação.] Fonte: ARCOENGE, 2003.</x:v>
      </x:c>
      <x:c r="S295" s="10" t="str">
        <x:v>ARCOENGE. [Muro de divisa com proteção superior e vala de fundação.]. São Paulo, Brasil. 10 mar. 2003. Nato-digital. Disponível em: &lt;link do dataverse&gt;. Acesso em: 28 mai. 2026.</x:v>
      </x:c>
      <x:c r="T295" s="10" t="str">
        <x:v>A foto "car15" não existe no diretório original. Este item pertencia ao caminho: "Carandiru -Nico (seleção 2005)" &gt; "fotos". Nos metadados da fotografia (campo Data de criação), indica-se que sua criação se deu no 22/09/2005. A data indicada no campo "Data da fotografia" do presente dataset retrata o data exata do clique fotográfico.</x:v>
      </x:c>
      <x:c r="U295" s="10" t="str">
        <x:v>ICO</x:v>
      </x:c>
      <x:c r="V295" s="10" t="str">
        <x:v>FOT</x:v>
      </x:c>
      <x:c r="W295" s="10" t="str">
        <x:v>NDG</x:v>
      </x:c>
      <x:c r="X295" s="10" t="str">
        <x:v>MB0</x:v>
      </x:c>
      <x:c r="Y295" s="10" t="str">
        <x:v>BR-SPCARANDIRU_ARCOENGE-DEMOLICAO-CSDTCARANDIRU.xlsx</x:v>
      </x:c>
      <x:c r="Z295" s="10" t="str">
        <x:v>0004</x:v>
      </x:c>
      <x:c r="AA295" s="11" t="n">
        <x:v>15</x:v>
      </x:c>
      <x:c r="AB295" s="10" t="str">
        <x:v>BR-SPCARANDIRU_ARCOENGE-DEMOLICAO-CSDTCARANDIRU.xlsx:0004:15</x:v>
      </x:c>
      <x:c r="AC295" s="11" t="n">
        <x:f>COLUMNS(A295:T295)-COUNTBLANK(A295:T295)</x:f>
        <x:v>20</x:v>
      </x:c>
    </x:row>
    <x:row r="296" ht="48" hidden="0" customHeight="1">
      <x:c r="A296" s="10" t="str">
        <x:v>015</x:v>
      </x:c>
      <x:c r="B296" s="10" t="str">
        <x:v>Escavadeira em operação de desmanche estrutural nos andares superiores.</x:v>
      </x:c>
      <x:c r="C296" s="10" t="str">
        <x:v>Item</x:v>
      </x:c>
      <x:c r="D296" s="10" t="str">
        <x:v>2005-07-17 00:00:00</x:v>
      </x:c>
      <x:c r="E296" s="10" t="str">
        <x:v>Gerado pelo Dataverse</x:v>
      </x:c>
      <x:c r="F296" s="10" t="str">
        <x:v>Nato-digital</x:v>
      </x:c>
      <x:c r="G296" s="10" t="str">
        <x:v>São Paulo, Brasil</x:v>
      </x:c>
      <x:c r="H296" s="10" t="str">
        <x:v>Grupo de Pesquisa em Direito e Violência de Estado</x:v>
      </x:c>
      <x:c r="I296" s="10" t="str">
        <x:v>Arcoenge - Demolição - Casa de Detenção do Carandiru (Fotografias)</x:v>
      </x:c>
      <x:c r="J296" s="10" t="str">
        <x:v>Pasta: 0004</x:v>
      </x:c>
      <x:c r="K296" s="10" t="str">
        <x:v>BR-SPCARANDIRU_ARCOENGE-DEMOLICAO-CSDTCARANDIRU_ICO-FOT-NDG-MB0_0004-015.JPG</x:v>
      </x:c>
      <x:c r="L296"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96" s="10" t="str">
        <x:v>Vista frontal de uma escavadeira laranja com o braço articulado totalmente estendido para o alto, utilizando um rompedor hidráulico para demolir as vigas do último pavimento da estrutura do pavilhão prisional. O edifício encontra-se reduzido ao seu esqueleto de concreto estrutural. O primeiro plano é densamente ocupado por montanhas de entulho, vergalhões de metal torcidos e fragmentos da construção.</x:v>
      </x:c>
      <x:c r="N296"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96" s="10" t="str">
        <x:v>Sistema prisional; Arquitetura prisional; Casa de Detenção de São Paulo; Carandiru</x:v>
      </x:c>
      <x:c r="P296" s="10" t="str">
        <x:v>Fotografia (Iconográfico)</x:v>
      </x:c>
      <x:c r="Q296" s="10" t="str">
        <x:v>Nato-digital</x:v>
      </x:c>
      <x:c r="R296" s="10" t="str">
        <x:v>Figura n – [Amplo muro divisório degradado e ferragens dispersas no solo.] Fonte: ARCOENGE, 2003.</x:v>
      </x:c>
      <x:c r="S296" s="10" t="str">
        <x:v>ARCOENGE. [Amplo muro divisório degradado e ferragens dispersas no solo.]. São Paulo, Brasil. 10 mar. 2003. Nato-digital. Disponível em: &lt;link do dataverse&gt;. Acesso em: 28 mai. 2026.</x:v>
      </x:c>
      <x:c r="T296" s="10" t="str">
        <x:v>A foto "car15" não existe no diretório original. Este item pertencia ao caminho: "Carandiru -Nico (seleção 2005)" &gt; "fotos". Nos metadados da fotografia (campo Data de criação), indica-se que sua criação se deu no 22/09/2005. A data indicada no campo "Data da fotografia" do presente dataset retrata o data exata do clique fotográfico.</x:v>
      </x:c>
      <x:c r="U296" s="10" t="str">
        <x:v>ICO</x:v>
      </x:c>
      <x:c r="V296" s="10" t="str">
        <x:v>FOT</x:v>
      </x:c>
      <x:c r="W296" s="10" t="str">
        <x:v>NDG</x:v>
      </x:c>
      <x:c r="X296" s="10" t="str">
        <x:v>MB0</x:v>
      </x:c>
      <x:c r="Y296" s="10" t="str">
        <x:v>BR-SPCARANDIRU_ARCOENGE-DEMOLICAO-CSDTCARANDIRU.xlsx</x:v>
      </x:c>
      <x:c r="Z296" s="10" t="str">
        <x:v>0004</x:v>
      </x:c>
      <x:c r="AA296" s="11" t="n">
        <x:v>16</x:v>
      </x:c>
      <x:c r="AB296" s="10" t="str">
        <x:v>BR-SPCARANDIRU_ARCOENGE-DEMOLICAO-CSDTCARANDIRU.xlsx:0004:16</x:v>
      </x:c>
      <x:c r="AC296" s="11" t="n">
        <x:f>COLUMNS(A296:T296)-COUNTBLANK(A296:T296)</x:f>
        <x:v>20</x:v>
      </x:c>
    </x:row>
    <x:row r="297" ht="48" hidden="0" customHeight="1">
      <x:c r="A297" s="10" t="str">
        <x:v>016</x:v>
      </x:c>
      <x:c r="B297" s="10" t="str">
        <x:v>Trabalhador sobre escombros junto a escavadeira com rompedor hidráulico.</x:v>
      </x:c>
      <x:c r="C297" s="10" t="str">
        <x:v>Item</x:v>
      </x:c>
      <x:c r="D297" s="10" t="str">
        <x:v>2005-07-17 00:00:00</x:v>
      </x:c>
      <x:c r="E297" s="10" t="str">
        <x:v>Gerado pelo Dataverse</x:v>
      </x:c>
      <x:c r="F297" s="10" t="str">
        <x:v>Nato-digital</x:v>
      </x:c>
      <x:c r="G297" s="10" t="str">
        <x:v>São Paulo, Brasil</x:v>
      </x:c>
      <x:c r="H297" s="10" t="str">
        <x:v>Grupo de Pesquisa em Direito e Violência de Estado</x:v>
      </x:c>
      <x:c r="I297" s="10" t="str">
        <x:v>Arcoenge - Demolição - Casa de Detenção do Carandiru (Fotografias)</x:v>
      </x:c>
      <x:c r="J297" s="10" t="str">
        <x:v>Pasta: 0004</x:v>
      </x:c>
      <x:c r="K297" s="10" t="str">
        <x:v>BR-SPCARANDIRU_ARCOENGE-DEMOLICAO-CSDTCARANDIRU_ICO-FOT-NDG-MB0_0004-016.JPG</x:v>
      </x:c>
      <x:c r="L297"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97" s="10" t="str">
        <x:v>Fotografia ao nível do solo mostrando uma escavadeira de esteira laranja da empresa Arcoenge, equipada com rompedor hidráulico, posicionada sobre uma grande montanha de escombros de concreto e ferragens. Um trabalhador com capacete de segurança branco e roupas de obra encontra-se em pé sobre os destroços, sob o braço articulado da máquina. Céu azul com nuvens esparsas ao fundo.</x:v>
      </x:c>
      <x:c r="N297"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97" s="10" t="str">
        <x:v>Sistema prisional; Arquitetura prisional; Casa de Detenção de São Paulo; Carandiru</x:v>
      </x:c>
      <x:c r="P297" s="10" t="str">
        <x:v>Fotografia (Iconográfico)</x:v>
      </x:c>
      <x:c r="Q297" s="10" t="str">
        <x:v>Nato-digital</x:v>
      </x:c>
      <x:c r="R297" s="10" t="str">
        <x:v>Figura n – [Ruptura de revestimento em muro revelando blocos de concreto.] Fonte: ARCOENGE, 2003.</x:v>
      </x:c>
      <x:c r="S297" s="10" t="str">
        <x:v>ARCOENGE. [Ruptura de revestimento em muro revelando blocos de concreto.]. São Paulo, Brasil. 10 mar. 2003. Nato-digital. Disponível em: &lt;link do dataverse&gt;. Acesso em: 28 mai. 2026.</x:v>
      </x:c>
      <x:c r="T297" s="10" t="str">
        <x:v>A foto "car15" não existe no diretório original. Este item pertencia ao caminho: "Carandiru -Nico (seleção 2005)" &gt; "fotos". Nos metadados da fotografia (campo Data de criação), indica-se que sua criação se deu no 22/09/2005. A data indicada no campo "Data da fotografia" do presente dataset retrata o data exata do clique fotográfico.</x:v>
      </x:c>
      <x:c r="U297" s="10" t="str">
        <x:v>ICO</x:v>
      </x:c>
      <x:c r="V297" s="10" t="str">
        <x:v>FOT</x:v>
      </x:c>
      <x:c r="W297" s="10" t="str">
        <x:v>NDG</x:v>
      </x:c>
      <x:c r="X297" s="10" t="str">
        <x:v>MB0</x:v>
      </x:c>
      <x:c r="Y297" s="10" t="str">
        <x:v>BR-SPCARANDIRU_ARCOENGE-DEMOLICAO-CSDTCARANDIRU.xlsx</x:v>
      </x:c>
      <x:c r="Z297" s="10" t="str">
        <x:v>0004</x:v>
      </x:c>
      <x:c r="AA297" s="11" t="n">
        <x:v>17</x:v>
      </x:c>
      <x:c r="AB297" s="10" t="str">
        <x:v>BR-SPCARANDIRU_ARCOENGE-DEMOLICAO-CSDTCARANDIRU.xlsx:0004:17</x:v>
      </x:c>
      <x:c r="AC297" s="11" t="n">
        <x:f>COLUMNS(A297:T297)-COUNTBLANK(A297:T297)</x:f>
        <x:v>20</x:v>
      </x:c>
    </x:row>
    <x:row r="298" ht="48" hidden="0" customHeight="1">
      <x:c r="A298" s="10" t="str">
        <x:v>017</x:v>
      </x:c>
      <x:c r="B298" s="10" t="str">
        <x:v>Escavadeira fragmentando laje de concreto em canteiro de demolição.</x:v>
      </x:c>
      <x:c r="C298" s="10" t="str">
        <x:v>Item</x:v>
      </x:c>
      <x:c r="D298" s="10" t="str">
        <x:v>2005-07-17 00:00:00</x:v>
      </x:c>
      <x:c r="E298" s="10" t="str">
        <x:v>Gerado pelo Dataverse</x:v>
      </x:c>
      <x:c r="F298" s="10" t="str">
        <x:v>Nato-digital</x:v>
      </x:c>
      <x:c r="G298" s="10" t="str">
        <x:v>São Paulo, Brasil</x:v>
      </x:c>
      <x:c r="H298" s="10" t="str">
        <x:v>Grupo de Pesquisa em Direito e Violência de Estado</x:v>
      </x:c>
      <x:c r="I298" s="10" t="str">
        <x:v>Arcoenge - Demolição - Casa de Detenção do Carandiru (Fotografias)</x:v>
      </x:c>
      <x:c r="J298" s="10" t="str">
        <x:v>Pasta: 0004</x:v>
      </x:c>
      <x:c r="K298" s="10" t="str">
        <x:v>BR-SPCARANDIRU_ARCOENGE-DEMOLICAO-CSDTCARANDIRU_ICO-FOT-NDG-MB0_0004-017.JPG</x:v>
      </x:c>
      <x:c r="L298"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98" s="10" t="str">
        <x:v>Imagem registrando uma escavadeira laranja a operar um rompedor hidráulico para fragmentar uma extensa laje de concreto tombada sobre uma pilha de escombros estruturais. No primeiro plano, nota-se terra batida e telas de proteção brancas recolhidas no solo. Ao fundo, à esquerda, observa-se a fachada de um pavilhão prisional ainda intacto.</x:v>
      </x:c>
      <x:c r="N298"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98" s="10" t="str">
        <x:v>Sistema prisional; Arquitetura prisional; Casa de Detenção de São Paulo; Carandiru</x:v>
      </x:c>
      <x:c r="P298" s="10" t="str">
        <x:v>Fotografia (Iconográfico)</x:v>
      </x:c>
      <x:c r="Q298" s="10" t="str">
        <x:v>Nato-digital</x:v>
      </x:c>
      <x:c r="R298" s="10" t="str">
        <x:v>Figura n – [Exposição de alvenaria estrutural e tubulações em muro divisório.] Fonte: ARCOENGE, 2003.</x:v>
      </x:c>
      <x:c r="S298" s="10" t="str">
        <x:v>ARCOENGE. [Exposição de alvenaria estrutural e tubulações em muro divisório.]. São Paulo, Brasil. 10 mar. 2003. Nato-digital. Disponível em: &lt;link do dataverse&gt;. Acesso em: 28 mai. 2026.</x:v>
      </x:c>
      <x:c r="T298" s="10" t="str">
        <x:v>A foto "car15" não existe no diretório original. Este item pertencia ao caminho: "Carandiru -Nico (seleção 2005)" &gt; "fotos". Nos metadados da fotografia (campo Data de criação), indica-se que sua criação se deu no 22/09/2005. A data indicada no campo "Data da fotografia" do presente dataset retrata o data exata do clique fotográfico.</x:v>
      </x:c>
      <x:c r="U298" s="10" t="str">
        <x:v>ICO</x:v>
      </x:c>
      <x:c r="V298" s="10" t="str">
        <x:v>FOT</x:v>
      </x:c>
      <x:c r="W298" s="10" t="str">
        <x:v>NDG</x:v>
      </x:c>
      <x:c r="X298" s="10" t="str">
        <x:v>MB0</x:v>
      </x:c>
      <x:c r="Y298" s="10" t="str">
        <x:v>BR-SPCARANDIRU_ARCOENGE-DEMOLICAO-CSDTCARANDIRU.xlsx</x:v>
      </x:c>
      <x:c r="Z298" s="10" t="str">
        <x:v>0004</x:v>
      </x:c>
      <x:c r="AA298" s="11" t="n">
        <x:v>18</x:v>
      </x:c>
      <x:c r="AB298" s="10" t="str">
        <x:v>BR-SPCARANDIRU_ARCOENGE-DEMOLICAO-CSDTCARANDIRU.xlsx:0004:18</x:v>
      </x:c>
      <x:c r="AC298" s="11" t="n">
        <x:f>COLUMNS(A298:T298)-COUNTBLANK(A298:T298)</x:f>
        <x:v>20</x:v>
      </x:c>
    </x:row>
    <x:row r="299" ht="48" hidden="0" customHeight="1">
      <x:c r="A299" s="10" t="str">
        <x:v>018</x:v>
      </x:c>
      <x:c r="B299" s="10" t="str">
        <x:v>Demolição mecânica de muro de contenção junto à via pública.</x:v>
      </x:c>
      <x:c r="C299" s="10" t="str">
        <x:v>Item</x:v>
      </x:c>
      <x:c r="D299" s="10" t="str">
        <x:v>2005-07-17 00:00:00</x:v>
      </x:c>
      <x:c r="E299" s="10" t="str">
        <x:v>Gerado pelo Dataverse</x:v>
      </x:c>
      <x:c r="F299" s="10" t="str">
        <x:v>Nato-digital</x:v>
      </x:c>
      <x:c r="G299" s="10" t="str">
        <x:v>São Paulo, Brasil</x:v>
      </x:c>
      <x:c r="H299" s="10" t="str">
        <x:v>Grupo de Pesquisa em Direito e Violência de Estado</x:v>
      </x:c>
      <x:c r="I299" s="10" t="str">
        <x:v>Arcoenge - Demolição - Casa de Detenção do Carandiru (Fotografias)</x:v>
      </x:c>
      <x:c r="J299" s="10" t="str">
        <x:v>Pasta: 0004</x:v>
      </x:c>
      <x:c r="K299" s="10" t="str">
        <x:v>BR-SPCARANDIRU_ARCOENGE-DEMOLICAO-CSDTCARANDIRU_ICO-FOT-NDG-MB0_0004-018.JPG</x:v>
      </x:c>
      <x:c r="L299"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299" s="10" t="str">
        <x:v>Fotografia captada a partir da via pública, que se encontra isolada por fita de segurança zebrada. Duas escavadeiras operam na demolição de um alto muro de contenção prisional. A máquina laranja, ao centro, utiliza um rompedor hidráulico para derrubar a estrutura vertical, enquanto uma escavadeira amarela, à esquerda, atua na movimentação dos escombros com a caçamba. À direita, vê-se a rua com postes de energia elétrica. Ao fundo, um pavilhão do presídio.</x:v>
      </x:c>
      <x:c r="N299"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299" s="10" t="str">
        <x:v>Sistema prisional; Arquitetura prisional; Casa de Detenção de São Paulo; Carandiru</x:v>
      </x:c>
      <x:c r="P299" s="10" t="str">
        <x:v>Fotografia (Iconográfico)</x:v>
      </x:c>
      <x:c r="Q299" s="10" t="str">
        <x:v>Nato-digital</x:v>
      </x:c>
      <x:c r="R299" s="10" t="str">
        <x:v>Figura n – [Operários trabalhando em escavação junto a muros de divisa.] Fonte: ARCOENGE, 2003.</x:v>
      </x:c>
      <x:c r="S299" s="10" t="str">
        <x:v>ARCOENGE. [Operários trabalhando em escavação junto a muros de divisa.]. São Paulo, Brasil. 10 mar. 2003. Nato-digital. Disponível em: &lt;link do dataverse&gt;. Acesso em: 28 mai. 2026.</x:v>
      </x:c>
      <x:c r="T299" s="10" t="str">
        <x:v>A foto "car15" não existe no diretório original. Este item pertencia ao caminho: "Carandiru -Nico (seleção 2005)" &gt; "fotos". Nos metadados da fotografia (campo Data de criação), indica-se que sua criação se deu no 22/09/2005. A data indicada no campo "Data da fotografia" do presente dataset retrata o data exata do clique fotográfico.</x:v>
      </x:c>
      <x:c r="U299" s="10" t="str">
        <x:v>ICO</x:v>
      </x:c>
      <x:c r="V299" s="10" t="str">
        <x:v>FOT</x:v>
      </x:c>
      <x:c r="W299" s="10" t="str">
        <x:v>NDG</x:v>
      </x:c>
      <x:c r="X299" s="10" t="str">
        <x:v>MB0</x:v>
      </x:c>
      <x:c r="Y299" s="10" t="str">
        <x:v>BR-SPCARANDIRU_ARCOENGE-DEMOLICAO-CSDTCARANDIRU.xlsx</x:v>
      </x:c>
      <x:c r="Z299" s="10" t="str">
        <x:v>0004</x:v>
      </x:c>
      <x:c r="AA299" s="11" t="n">
        <x:v>19</x:v>
      </x:c>
      <x:c r="AB299" s="10" t="str">
        <x:v>BR-SPCARANDIRU_ARCOENGE-DEMOLICAO-CSDTCARANDIRU.xlsx:0004:19</x:v>
      </x:c>
      <x:c r="AC299" s="11" t="n">
        <x:f>COLUMNS(A299:T299)-COUNTBLANK(A299:T299)</x:f>
        <x:v>20</x:v>
      </x:c>
    </x:row>
    <x:row r="300" ht="48" hidden="0" customHeight="1">
      <x:c r="A300" s="10" t="str">
        <x:v>019</x:v>
      </x:c>
      <x:c r="B300" s="10" t="str">
        <x:v>Escavadeira derrubando segmento de muro de contenção prisional.</x:v>
      </x:c>
      <x:c r="C300" s="10" t="str">
        <x:v>Item</x:v>
      </x:c>
      <x:c r="D300" s="10" t="str">
        <x:v>2005-07-17 00:00:00</x:v>
      </x:c>
      <x:c r="E300" s="10" t="str">
        <x:v>Gerado pelo Dataverse</x:v>
      </x:c>
      <x:c r="F300" s="10" t="str">
        <x:v>Nato-digital</x:v>
      </x:c>
      <x:c r="G300" s="10" t="str">
        <x:v>São Paulo, Brasil</x:v>
      </x:c>
      <x:c r="H300" s="10" t="str">
        <x:v>Grupo de Pesquisa em Direito e Violência de Estado</x:v>
      </x:c>
      <x:c r="I300" s="10" t="str">
        <x:v>Arcoenge - Demolição - Casa de Detenção do Carandiru (Fotografias)</x:v>
      </x:c>
      <x:c r="J300" s="10" t="str">
        <x:v>Pasta: 0004</x:v>
      </x:c>
      <x:c r="K300" s="10" t="str">
        <x:v>BR-SPCARANDIRU_ARCOENGE-DEMOLICAO-CSDTCARANDIRU_ICO-FOT-NDG-MB0_0004-019.JPG</x:v>
      </x:c>
      <x:c r="L300"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300" s="10" t="str">
        <x:v>Vista em plano mais fechado da operação de demolição do muro de contenção. A escavadeira laranja da Arcoenge aplica o rompedor hidráulico contra a estrutura de concreto armado do muro, provocando o colapso de fragmentos e exposição das ferragens internas. Imediatamente atrás da máquina, ergue-se a fachada de um dos pavilhões da Casa de Detenção, exibindo diversas janelas avariadas ou já sem caixilharia.</x:v>
      </x:c>
      <x:c r="N300"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300" s="10" t="str">
        <x:v>Sistema prisional; Arquitetura prisional; Casa de Detenção de São Paulo; Carandiru</x:v>
      </x:c>
      <x:c r="P300" s="10" t="str">
        <x:v>Fotografia (Iconográfico)</x:v>
      </x:c>
      <x:c r="Q300" s="10" t="str">
        <x:v>Nato-digital</x:v>
      </x:c>
      <x:c r="R300" s="10" t="str">
        <x:v>Figura n – [Fachada de imóvel residencial com placa de venda na via pública.] Fonte: ARCOENGE, 2003.</x:v>
      </x:c>
      <x:c r="S300" s="10" t="str">
        <x:v>ARCOENGE. [Fachada de imóvel residencial com placa de venda na via pública.]. São Paulo, Brasil. 10 mar. 2003. Nato-digital. Disponível em: &lt;link do dataverse&gt;. Acesso em: 28 mai. 2026.</x:v>
      </x:c>
      <x:c r="T300" s="10" t="str">
        <x:v>A foto "car15" não existe no diretório original. Este item pertencia ao caminho: "Carandiru -Nico (seleção 2005)" &gt; "fotos". Nos metadados da fotografia (campo Data de criação), indica-se que sua criação se deu no 22/09/2005. A data indicada no campo "Data da fotografia" do presente dataset retrata o data exata do clique fotográfico.</x:v>
      </x:c>
      <x:c r="U300" s="10" t="str">
        <x:v>ICO</x:v>
      </x:c>
      <x:c r="V300" s="10" t="str">
        <x:v>FOT</x:v>
      </x:c>
      <x:c r="W300" s="10" t="str">
        <x:v>NDG</x:v>
      </x:c>
      <x:c r="X300" s="10" t="str">
        <x:v>MB0</x:v>
      </x:c>
      <x:c r="Y300" s="10" t="str">
        <x:v>BR-SPCARANDIRU_ARCOENGE-DEMOLICAO-CSDTCARANDIRU.xlsx</x:v>
      </x:c>
      <x:c r="Z300" s="10" t="str">
        <x:v>0004</x:v>
      </x:c>
      <x:c r="AA300" s="11" t="n">
        <x:v>20</x:v>
      </x:c>
      <x:c r="AB300" s="10" t="str">
        <x:v>BR-SPCARANDIRU_ARCOENGE-DEMOLICAO-CSDTCARANDIRU.xlsx:0004:20</x:v>
      </x:c>
      <x:c r="AC300" s="11" t="n">
        <x:f>COLUMNS(A300:T300)-COUNTBLANK(A300:T300)</x:f>
        <x:v>20</x:v>
      </x:c>
    </x:row>
    <x:row r="301" ht="48" hidden="0" customHeight="1">
      <x:c r="A301" s="10" t="str">
        <x:v>020</x:v>
      </x:c>
      <x:c r="B301" s="10" t="str">
        <x:v>Escavadeiras operando sobre escombros com torre de vigilância ao fundo.</x:v>
      </x:c>
      <x:c r="C301" s="10" t="str">
        <x:v>Item</x:v>
      </x:c>
      <x:c r="D301" s="10" t="str">
        <x:v>2005-07-17 00:00:00</x:v>
      </x:c>
      <x:c r="E301" s="10" t="str">
        <x:v>Gerado pelo Dataverse</x:v>
      </x:c>
      <x:c r="F301" s="10" t="str">
        <x:v>Nato-digital</x:v>
      </x:c>
      <x:c r="G301" s="10" t="str">
        <x:v>São Paulo, Brasil</x:v>
      </x:c>
      <x:c r="H301" s="10" t="str">
        <x:v>Grupo de Pesquisa em Direito e Violência de Estado</x:v>
      </x:c>
      <x:c r="I301" s="10" t="str">
        <x:v>Arcoenge - Demolição - Casa de Detenção do Carandiru (Fotografias)</x:v>
      </x:c>
      <x:c r="J301" s="10" t="str">
        <x:v>Pasta: 0004</x:v>
      </x:c>
      <x:c r="K301" s="10" t="str">
        <x:v>BR-SPCARANDIRU_ARCOENGE-DEMOLICAO-CSDTCARANDIRU_ICO-FOT-NDG-MB0_0004-020.JPG</x:v>
      </x:c>
      <x:c r="L301"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301" s="10" t="str">
        <x:v>Fotografia mostrando duas escavadeiras laranjas da Arcoenge em operação sobre uma vasta montanha de escombros de demolição (concreto, tijolos e ferragens retorcidas). O equipamento em primeiro plano está com o braço articulado recolhido. Ao fundo, o amplo terreno do canteiro encontra-se nivelado com terra vermelha, delimitado pelo muro de contenção perimetral, onde se destaca uma torre de vigilância prisional (guarita). O horizonte é marcado por edifícios da cidade.</x:v>
      </x:c>
      <x:c r="N301"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301" s="10" t="str">
        <x:v>Sistema prisional; Arquitetura prisional; Casa de Detenção de São Paulo; Carandiru</x:v>
      </x:c>
      <x:c r="P301" s="10" t="str">
        <x:v>Fotografia (Iconográfico)</x:v>
      </x:c>
      <x:c r="Q301" s="10" t="str">
        <x:v>Nato-digital</x:v>
      </x:c>
      <x:c r="R301" s="10" t="str">
        <x:v>Figura n – [Residência em reforma com escoramento de laje e caçamba de entulho.] Fonte: ARCOENGE, 2003.</x:v>
      </x:c>
      <x:c r="S301" s="10" t="str">
        <x:v>ARCOENGE. [Residência em reforma com escoramento de laje e caçamba de entulho.]. São Paulo, Brasil. 10 mar. 2003. Nato-digital. Disponível em: &lt;link do dataverse&gt;. Acesso em: 28 mai. 2026.</x:v>
      </x:c>
      <x:c r="T301" s="10" t="str">
        <x:v>A foto "car15" não existe no diretório original. Este item pertencia ao caminho: "Carandiru -Nico (seleção 2005)" &gt; "fotos". Nos metadados da fotografia (campo Data de criação), indica-se que sua criação se deu no 22/09/2005. A data indicada no campo "Data da fotografia" do presente dataset retrata o data exata do clique fotográfico.</x:v>
      </x:c>
      <x:c r="U301" s="10" t="str">
        <x:v>ICO</x:v>
      </x:c>
      <x:c r="V301" s="10" t="str">
        <x:v>FOT</x:v>
      </x:c>
      <x:c r="W301" s="10" t="str">
        <x:v>NDG</x:v>
      </x:c>
      <x:c r="X301" s="10" t="str">
        <x:v>MB0</x:v>
      </x:c>
      <x:c r="Y301" s="10" t="str">
        <x:v>BR-SPCARANDIRU_ARCOENGE-DEMOLICAO-CSDTCARANDIRU.xlsx</x:v>
      </x:c>
      <x:c r="Z301" s="10" t="str">
        <x:v>0004</x:v>
      </x:c>
      <x:c r="AA301" s="11" t="n">
        <x:v>21</x:v>
      </x:c>
      <x:c r="AB301" s="10" t="str">
        <x:v>BR-SPCARANDIRU_ARCOENGE-DEMOLICAO-CSDTCARANDIRU.xlsx:0004:21</x:v>
      </x:c>
      <x:c r="AC301" s="11" t="n">
        <x:f>COLUMNS(A301:T301)-COUNTBLANK(A301:T301)</x:f>
        <x:v>20</x:v>
      </x:c>
    </x:row>
    <x:row r="302" ht="48" hidden="0" customHeight="1">
      <x:c r="A302" s="10" t="str">
        <x:v>021</x:v>
      </x:c>
      <x:c r="B302" s="10" t="str">
        <x:v>Demolição de edificação secundária com operário próximo à máquina.</x:v>
      </x:c>
      <x:c r="C302" s="10" t="str">
        <x:v>Item</x:v>
      </x:c>
      <x:c r="D302" s="10" t="str">
        <x:v>2005-07-17 00:00:00</x:v>
      </x:c>
      <x:c r="E302" s="10" t="str">
        <x:v>Gerado pelo Dataverse</x:v>
      </x:c>
      <x:c r="F302" s="10" t="str">
        <x:v>Nato-digital</x:v>
      </x:c>
      <x:c r="G302" s="10" t="str">
        <x:v>São Paulo, Brasil</x:v>
      </x:c>
      <x:c r="H302" s="10" t="str">
        <x:v>Grupo de Pesquisa em Direito e Violência de Estado</x:v>
      </x:c>
      <x:c r="I302" s="10" t="str">
        <x:v>Arcoenge - Demolição - Casa de Detenção do Carandiru (Fotografias)</x:v>
      </x:c>
      <x:c r="J302" s="10" t="str">
        <x:v>Pasta: 0004</x:v>
      </x:c>
      <x:c r="K302" s="10" t="str">
        <x:v>BR-SPCARANDIRU_ARCOENGE-DEMOLICAO-CSDTCARANDIRU_ICO-FOT-NDG-MB0_0004-021.JPG</x:v>
      </x:c>
      <x:c r="L302"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302" s="10" t="str">
        <x:v>Imagem de uma escavadeira laranja utilizando o rompedor hidráulico para demolir a estrutura superior (laje e cornija) de uma edificação prisional de menor porte. Um operário vestido de azul e com capacete caminha próximo às esteiras do equipamento, em meio aos escombros. Ao fundo, observam-se o muro perimetral, uma torre de vigilância e um edifício comercial de cor escura da malha urbana vizinha, sob céu nublado.</x:v>
      </x:c>
      <x:c r="N302"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302" s="10" t="str">
        <x:v>Sistema prisional; Arquitetura prisional; Casa de Detenção de São Paulo; Carandiru</x:v>
      </x:c>
      <x:c r="P302" s="10" t="str">
        <x:v>Fotografia (Iconográfico)</x:v>
      </x:c>
      <x:c r="Q302" s="10" t="str">
        <x:v>Nato-digital</x:v>
      </x:c>
      <x:c r="R302" s="10" t="str">
        <x:v>Figura n – [Fachada de garagem residencial com dois veículos.] Fonte: ARCOENGE, 2003.</x:v>
      </x:c>
      <x:c r="S302" s="10" t="str">
        <x:v>ARCOENGE. [Fachada de garagem residencial com dois veículos.]. São Paulo, Brasil. 10 mar. 2003. Nato-digital. Disponível em: &lt;link do dataverse&gt;. Acesso em: 28 mai. 2026.</x:v>
      </x:c>
      <x:c r="T302" s="10" t="str">
        <x:v>A foto "car15" não existe no diretório original. Este item pertencia ao caminho: "Carandiru -Nico (seleção 2005)" &gt; "fotos". Nos metadados da fotografia (campo Data de criação), indica-se que sua criação se deu no 22/09/2005. A data indicada no campo "Data da fotografia" do presente dataset retrata o data exata do clique fotográfico.</x:v>
      </x:c>
      <x:c r="U302" s="10" t="str">
        <x:v>ICO</x:v>
      </x:c>
      <x:c r="V302" s="10" t="str">
        <x:v>FOT</x:v>
      </x:c>
      <x:c r="W302" s="10" t="str">
        <x:v>NDG</x:v>
      </x:c>
      <x:c r="X302" s="10" t="str">
        <x:v>MB0</x:v>
      </x:c>
      <x:c r="Y302" s="10" t="str">
        <x:v>BR-SPCARANDIRU_ARCOENGE-DEMOLICAO-CSDTCARANDIRU.xlsx</x:v>
      </x:c>
      <x:c r="Z302" s="10" t="str">
        <x:v>0004</x:v>
      </x:c>
      <x:c r="AA302" s="11" t="n">
        <x:v>22</x:v>
      </x:c>
      <x:c r="AB302" s="10" t="str">
        <x:v>BR-SPCARANDIRU_ARCOENGE-DEMOLICAO-CSDTCARANDIRU.xlsx:0004:22</x:v>
      </x:c>
      <x:c r="AC302" s="11" t="n">
        <x:f>COLUMNS(A302:T302)-COUNTBLANK(A302:T302)</x:f>
        <x:v>20</x:v>
      </x:c>
    </x:row>
    <x:row r="303" ht="48" hidden="0" customHeight="1">
      <x:c r="A303" s="10" t="str">
        <x:v>022</x:v>
      </x:c>
      <x:c r="B303" s="10" t="str">
        <x:v>Pavilhões remanescentes refletidos em poças d'água no canteiro.</x:v>
      </x:c>
      <x:c r="C303" s="10" t="str">
        <x:v>Item</x:v>
      </x:c>
      <x:c r="D303" s="10" t="str">
        <x:v>2005-07-17 00:00:00</x:v>
      </x:c>
      <x:c r="E303" s="10" t="str">
        <x:v>Gerado pelo Dataverse</x:v>
      </x:c>
      <x:c r="F303" s="10" t="str">
        <x:v>Nato-digital</x:v>
      </x:c>
      <x:c r="G303" s="10" t="str">
        <x:v>São Paulo, Brasil</x:v>
      </x:c>
      <x:c r="H303" s="10" t="str">
        <x:v>Grupo de Pesquisa em Direito e Violência de Estado</x:v>
      </x:c>
      <x:c r="I303" s="10" t="str">
        <x:v>Arcoenge - Demolição - Casa de Detenção do Carandiru (Fotografias)</x:v>
      </x:c>
      <x:c r="J303" s="10" t="str">
        <x:v>Pasta: 0004</x:v>
      </x:c>
      <x:c r="K303" s="10" t="str">
        <x:v>BR-SPCARANDIRU_ARCOENGE-DEMOLICAO-CSDTCARANDIRU_ICO-FOT-NDG-MB0_0004-022.JPG</x:v>
      </x:c>
      <x:c r="L303"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303" s="10" t="str">
        <x:v>Fotografia em plano aberto documentando edifícios da Casa de Detenção que permaneceram de pé após a fase inicial de demolições. A luz incide sobre as fachadas marcadas por janelas gradeadas vazias e avarias pontuais. No primeiro plano, o extenso terreno de terra vermelha apresenta poças d'água que refletem a silhueta dos edifícios sob o céu claro. Montes de escombros encontram-se acumulados nas bases das estruturas.</x:v>
      </x:c>
      <x:c r="N303"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303" s="10" t="str">
        <x:v>Sistema prisional; Arquitetura prisional; Casa de Detenção de São Paulo; Carandiru</x:v>
      </x:c>
      <x:c r="P303" s="10" t="str">
        <x:v>Fotografia (Iconográfico)</x:v>
      </x:c>
      <x:c r="Q303" s="10" t="str">
        <x:v>Nato-digital</x:v>
      </x:c>
      <x:c r="R303" s="10" t="str">
        <x:v>Figura n – [Fachada contínua de edificações na via pública.] Fonte: ARCOENGE, 2003.</x:v>
      </x:c>
      <x:c r="S303" s="10" t="str">
        <x:v>ARCOENGE. [Fachada contínua de edificações na via pública.]. São Paulo, Brasil. 10 mar. 2003. Nato-digital. Disponível em: &lt;link do dataverse&gt;. Acesso em: 28 mai. 2026.</x:v>
      </x:c>
      <x:c r="T303" s="10" t="str">
        <x:v>A foto "car15" não existe no diretório original. Este item pertencia ao caminho: "Carandiru -Nico (seleção 2005)" &gt; "fotos". Nos metadados da fotografia (campo Data de criação), indica-se que sua criação se deu no 22/09/2005. A data indicada no campo "Data da fotografia" do presente dataset retrata o data exata do clique fotográfico.</x:v>
      </x:c>
      <x:c r="U303" s="10" t="str">
        <x:v>ICO</x:v>
      </x:c>
      <x:c r="V303" s="10" t="str">
        <x:v>FOT</x:v>
      </x:c>
      <x:c r="W303" s="10" t="str">
        <x:v>NDG</x:v>
      </x:c>
      <x:c r="X303" s="10" t="str">
        <x:v>MB0</x:v>
      </x:c>
      <x:c r="Y303" s="10" t="str">
        <x:v>BR-SPCARANDIRU_ARCOENGE-DEMOLICAO-CSDTCARANDIRU.xlsx</x:v>
      </x:c>
      <x:c r="Z303" s="10" t="str">
        <x:v>0004</x:v>
      </x:c>
      <x:c r="AA303" s="11" t="n">
        <x:v>23</x:v>
      </x:c>
      <x:c r="AB303" s="10" t="str">
        <x:v>BR-SPCARANDIRU_ARCOENGE-DEMOLICAO-CSDTCARANDIRU.xlsx:0004:23</x:v>
      </x:c>
      <x:c r="AC303" s="11" t="n">
        <x:f>COLUMNS(A303:T303)-COUNTBLANK(A303:T303)</x:f>
        <x:v>20</x:v>
      </x:c>
    </x:row>
    <x:row r="304" ht="48" hidden="0" customHeight="1">
      <x:c r="A304" s="10" t="str">
        <x:v>023</x:v>
      </x:c>
      <x:c r="B304" s="10" t="str">
        <x:v>Fachada principal de pavilhão prisional com avarias e escombros na base.</x:v>
      </x:c>
      <x:c r="C304" s="10" t="str">
        <x:v>Item</x:v>
      </x:c>
      <x:c r="D304" s="10" t="str">
        <x:v>2005-07-17 00:00:00</x:v>
      </x:c>
      <x:c r="E304" s="10" t="str">
        <x:v>Gerado pelo Dataverse</x:v>
      </x:c>
      <x:c r="F304" s="10" t="str">
        <x:v>Nato-digital</x:v>
      </x:c>
      <x:c r="G304" s="10" t="str">
        <x:v>São Paulo, Brasil</x:v>
      </x:c>
      <x:c r="H304" s="10" t="str">
        <x:v>Grupo de Pesquisa em Direito e Violência de Estado</x:v>
      </x:c>
      <x:c r="I304" s="10" t="str">
        <x:v>Arcoenge - Demolição - Casa de Detenção do Carandiru (Fotografias)</x:v>
      </x:c>
      <x:c r="J304" s="10" t="str">
        <x:v>Pasta: 0004</x:v>
      </x:c>
      <x:c r="K304" s="10" t="str">
        <x:v>BR-SPCARANDIRU_ARCOENGE-DEMOLICAO-CSDTCARANDIRU_ICO-FOT-NDG-MB0_0004-023.JPG</x:v>
      </x:c>
      <x:c r="L304"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304" s="10" t="str">
        <x:v>Vista frontal e aproximada de um dos pavilhões prisionais remanescentes. A fachada retangular exibe dezenas de pequenas aberturas (celas), diversas delas com danos significativos na alvenaria circundante, indicando o início do desmanche. A base do edifício é rebocada e pintada de branco. O primeiro plano é ocupado por montanhas de terra escura, destroços de concreto, blocos e ferragens retorcidas.</x:v>
      </x:c>
      <x:c r="N304"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304" s="10" t="str">
        <x:v>Sistema prisional; Arquitetura prisional; Casa de Detenção de São Paulo; Carandiru</x:v>
      </x:c>
      <x:c r="P304" s="10" t="str">
        <x:v>Fotografia (Iconográfico)</x:v>
      </x:c>
      <x:c r="Q304" s="10" t="str">
        <x:v>Nato-digital</x:v>
      </x:c>
      <x:c r="R304" s="10" t="str">
        <x:v>Figura n – [Fachada de habitação térrea com portão gradeado.] Fonte: ARCOENGE, 2003.</x:v>
      </x:c>
      <x:c r="S304" s="10" t="str">
        <x:v>ARCOENGE. [Fachada de habitação térrea com portão gradeado.]. São Paulo, Brasil. 10 mar. 2003. Nato-digital. Disponível em: &lt;link do dataverse&gt;. Acesso em: 28 mai. 2026.</x:v>
      </x:c>
      <x:c r="T304" s="10" t="str">
        <x:v>A foto "car15" não existe no diretório original. Este item pertencia ao caminho: "Carandiru -Nico (seleção 2005)" &gt; "fotos". Nos metadados da fotografia (campo Data de criação), indica-se que sua criação se deu no 22/09/2005. A data indicada no campo "Data da fotografia" do presente dataset retrata o data exata do clique fotográfico.</x:v>
      </x:c>
      <x:c r="U304" s="10" t="str">
        <x:v>ICO</x:v>
      </x:c>
      <x:c r="V304" s="10" t="str">
        <x:v>FOT</x:v>
      </x:c>
      <x:c r="W304" s="10" t="str">
        <x:v>NDG</x:v>
      </x:c>
      <x:c r="X304" s="10" t="str">
        <x:v>MB0</x:v>
      </x:c>
      <x:c r="Y304" s="10" t="str">
        <x:v>BR-SPCARANDIRU_ARCOENGE-DEMOLICAO-CSDTCARANDIRU.xlsx</x:v>
      </x:c>
      <x:c r="Z304" s="10" t="str">
        <x:v>0004</x:v>
      </x:c>
      <x:c r="AA304" s="11" t="n">
        <x:v>24</x:v>
      </x:c>
      <x:c r="AB304" s="10" t="str">
        <x:v>BR-SPCARANDIRU_ARCOENGE-DEMOLICAO-CSDTCARANDIRU.xlsx:0004:24</x:v>
      </x:c>
      <x:c r="AC304" s="11" t="n">
        <x:f>COLUMNS(A304:T304)-COUNTBLANK(A304:T304)</x:f>
        <x:v>20</x:v>
      </x:c>
    </x:row>
    <x:row r="305" ht="48" hidden="0" customHeight="1">
      <x:c r="A305" s="10" t="str">
        <x:v>024</x:v>
      </x:c>
      <x:c r="B305" s="10" t="str">
        <x:v>Miniescavadeira operando no interior de pavilhão em demolição.</x:v>
      </x:c>
      <x:c r="C305" s="10" t="str">
        <x:v>Item</x:v>
      </x:c>
      <x:c r="D305" s="10" t="str">
        <x:v>2005-07-17 00:00:00</x:v>
      </x:c>
      <x:c r="E305" s="10" t="str">
        <x:v>Gerado pelo Dataverse</x:v>
      </x:c>
      <x:c r="F305" s="10" t="str">
        <x:v>Nato-digital</x:v>
      </x:c>
      <x:c r="G305" s="10" t="str">
        <x:v>São Paulo, Brasil</x:v>
      </x:c>
      <x:c r="H305" s="10" t="str">
        <x:v>Grupo de Pesquisa em Direito e Violência de Estado</x:v>
      </x:c>
      <x:c r="I305" s="10" t="str">
        <x:v>Arcoenge - Demolição - Casa de Detenção do Carandiru (Fotografias)</x:v>
      </x:c>
      <x:c r="J305" s="10" t="str">
        <x:v>Pasta: 0004</x:v>
      </x:c>
      <x:c r="K305" s="10" t="str">
        <x:v>BR-SPCARANDIRU_ARCOENGE-DEMOLICAO-CSDTCARANDIRU_ICO-FOT-NDG-MB0_0004-024.JPG</x:v>
      </x:c>
      <x:c r="L305"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305" s="10" t="str">
        <x:v>Fotografia captada a partir do interior de uma estrutura em processo de demolição mecânica. Um operador, utilizando máscara de proteção contra poeira e capacete, manobra uma miniescavadeira de esteira (branca e cinza) sobre os escombros internos, atuando na derrubada de paredes e lajes. Através das grandes aberturas escavadas na fachada do edifício, avista-se uma escavadeira laranja de grande porte da Arcoenge operando no exterior.</x:v>
      </x:c>
      <x:c r="N305"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305" s="10" t="str">
        <x:v>Sistema prisional; Arquitetura prisional; Casa de Detenção de São Paulo; Carandiru</x:v>
      </x:c>
      <x:c r="P305" s="10" t="str">
        <x:v>Fotografia (Iconográfico)</x:v>
      </x:c>
      <x:c r="Q305" s="10" t="str">
        <x:v>Nato-digital</x:v>
      </x:c>
      <x:c r="R305" s="10" t="str">
        <x:v>Figura n – [Entrada de moradia parcialmente encoberta por árvore.] Fonte: ARCOENGE, 2003.</x:v>
      </x:c>
      <x:c r="S305" s="10" t="str">
        <x:v>ARCOENGE. [Entrada de moradia parcialmente encoberta por árvore.]. São Paulo, Brasil. 10 mar. 2003. Nato-digital. Disponível em: &lt;link do dataverse&gt;. Acesso em: 28 mai. 2026.</x:v>
      </x:c>
      <x:c r="T305" s="10" t="str">
        <x:v>A foto "car15" não existe no diretório original. Este item pertencia ao caminho: "Carandiru -Nico (seleção 2005)" &gt; "fotos". Nos metadados da fotografia (campo Data de criação), indica-se que sua criação se deu no 22/09/2005. A data indicada no campo "Data da fotografia" do presente dataset retrata o data exata do clique fotográfico.</x:v>
      </x:c>
      <x:c r="U305" s="10" t="str">
        <x:v>ICO</x:v>
      </x:c>
      <x:c r="V305" s="10" t="str">
        <x:v>FOT</x:v>
      </x:c>
      <x:c r="W305" s="10" t="str">
        <x:v>NDG</x:v>
      </x:c>
      <x:c r="X305" s="10" t="str">
        <x:v>MB0</x:v>
      </x:c>
      <x:c r="Y305" s="10" t="str">
        <x:v>BR-SPCARANDIRU_ARCOENGE-DEMOLICAO-CSDTCARANDIRU.xlsx</x:v>
      </x:c>
      <x:c r="Z305" s="10" t="str">
        <x:v>0004</x:v>
      </x:c>
      <x:c r="AA305" s="11" t="n">
        <x:v>25</x:v>
      </x:c>
      <x:c r="AB305" s="10" t="str">
        <x:v>BR-SPCARANDIRU_ARCOENGE-DEMOLICAO-CSDTCARANDIRU.xlsx:0004:25</x:v>
      </x:c>
      <x:c r="AC305" s="11" t="n">
        <x:f>COLUMNS(A305:T305)-COUNTBLANK(A305:T305)</x:f>
        <x:v>20</x:v>
      </x:c>
    </x:row>
    <x:row r="306" ht="48" hidden="0" customHeight="1">
      <x:c r="A306" s="10" t="str">
        <x:v>025</x:v>
      </x:c>
      <x:c r="B306" s="10" t="str">
        <x:v>Relatório de correspondência de nomes</x:v>
      </x:c>
      <x:c r="C306" s="10" t="str">
        <x:v>Item</x:v>
      </x:c>
      <x:c r="D306" s="10" t="str">
        <x:v>2026-05-21 00:00:00</x:v>
      </x:c>
      <x:c r="E306" s="10" t="str">
        <x:v>Gerado pelo Dataverse</x:v>
      </x:c>
      <x:c r="F306" s="10" t="str">
        <x:v>Nato-digital</x:v>
      </x:c>
      <x:c r="G306" s="10" t="str">
        <x:v>São Paulo, Brasil</x:v>
      </x:c>
      <x:c r="H306" s="10" t="str">
        <x:v>Grupo de Pesquisa em Direito e Violência de Estado</x:v>
      </x:c>
      <x:c r="I306" s="10" t="str">
        <x:v>Arcoenge - Demolição - Casa de Detenção do Carandiru (Fotografias)</x:v>
      </x:c>
      <x:c r="J306" s="10" t="str">
        <x:v>Pasta: 0005</x:v>
      </x:c>
      <x:c r="K306" s="10" t="str">
        <x:v>BR-SPCARANDIRU_ARCOENGE-DEMOLICAO-CSDTCARANDIRU_TXT-REL-NDG-MB0_0004-025.txt</x:v>
      </x:c>
      <x:c r="L306"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306" s="10" t="str">
        <x:v>Fotografia captada a partir do interior de uma estrutura em processo de demolição mecânica. Um operador, utilizando máscara de proteção contra poeira e capacete, manobra uma miniescavadeira de esteira (branca e cinza) sobre os escombros internos, atuando na derrubada de paredes e lajes. Através das grandes aberturas escavadas na fachada do edifício, avista-se uma escavadeira laranja de grande porte da Arcoenge operando no exterior.</x:v>
      </x:c>
      <x:c r="N306"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306" s="10" t="str">
        <x:v>Sistema prisional; Arquitetura prisional; Casa de Detenção de São Paulo; Carandiru</x:v>
      </x:c>
      <x:c r="P306" s="10" t="str">
        <x:v>Textual</x:v>
      </x:c>
      <x:c r="Q306" s="10" t="str">
        <x:v>Nato-digital</x:v>
      </x:c>
      <x:c r="R306" s="10" t="str">
        <x:v>Figura n – [Portão residencial metálico com veículo no interior.] Fonte: ARCOENGE, 2003.</x:v>
      </x:c>
      <x:c r="S306" s="10" t="str">
        <x:v>ARCOENGE. [Portão residencial metálico com veículo no interior.]. São Paulo, Brasil. 10 mar. 2003. Nato-digital. Disponível em: &lt;link do dataverse&gt;. Acesso em: 28 mai. 2026.</x:v>
      </x:c>
      <x:c r="T306" s="10" t="str">
        <x:v>Este item foi gerado automaticamente pelo aplicativo de gestão de acervos "Mnema 1.0".</x:v>
      </x:c>
      <x:c r="U306" s="10" t="str">
        <x:v>TXT</x:v>
      </x:c>
      <x:c r="V306" s="10" t="str">
        <x:v>REL</x:v>
      </x:c>
      <x:c r="W306" s="10" t="str">
        <x:v>NDG</x:v>
      </x:c>
      <x:c r="X306" s="10" t="str">
        <x:v>MB0</x:v>
      </x:c>
      <x:c r="Y306" s="10" t="str">
        <x:v>BR-SPCARANDIRU_ARCOENGE-DEMOLICAO-CSDTCARANDIRU.xlsx</x:v>
      </x:c>
      <x:c r="Z306" s="10" t="str">
        <x:v>0004</x:v>
      </x:c>
      <x:c r="AA306" s="11" t="n">
        <x:v>26</x:v>
      </x:c>
      <x:c r="AB306" s="10" t="str">
        <x:v>BR-SPCARANDIRU_ARCOENGE-DEMOLICAO-CSDTCARANDIRU.xlsx:0004:26</x:v>
      </x:c>
      <x:c r="AC306" s="11" t="n">
        <x:f>COLUMNS(A306:T306)-COUNTBLANK(A306:T306)</x:f>
        <x:v>20</x:v>
      </x:c>
    </x:row>
    <x:row r="307" ht="48" hidden="0" customHeight="1">
      <x:c r="A307" s="10" t="str">
        <x:v>001</x:v>
      </x:c>
      <x:c r="B307" s="10" t="str">
        <x:v>Relatório da empresa Arcoenge acerca do processo de demolição dos pavilhões 2 e 5 em 2005</x:v>
      </x:c>
      <x:c r="C307" s="10" t="str">
        <x:v>Item</x:v>
      </x:c>
      <x:c r="D307" s="10" t="str">
        <x:v>2005</x:v>
      </x:c>
      <x:c r="E307" s="10" t="str">
        <x:v>Gerado pelo Dataverse</x:v>
      </x:c>
      <x:c r="F307" s="10" t="str">
        <x:v>Nato-digital</x:v>
      </x:c>
      <x:c r="G307" s="10" t="str">
        <x:v>São Paulo, Brasil</x:v>
      </x:c>
      <x:c r="H307" s="10" t="str">
        <x:v>Grupo de Pesquisa em Direito e Violência de Estado</x:v>
      </x:c>
      <x:c r="I307" s="10" t="str">
        <x:v>Arcoenge - Demolição - Casa de Detenção do Carandiru (Fotografias)</x:v>
      </x:c>
      <x:c r="J307" s="10" t="str">
        <x:v>Pasta: 0005</x:v>
      </x:c>
      <x:c r="K307" s="10" t="str">
        <x:v>BR-SPCARANDIRU_ARCOENGE-DEMOLICAO-CSDTCARANDIRU_ICO-REL-NDG-MB0_0005-001.ppt</x:v>
      </x:c>
      <x:c r="L307"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307" s="10" t="str">
        <x:v>Relatório de demolição dos pavilhões 2 e 5 do complexo prisional Carandiru, na forma de powerpoint. Predomina a presença de fotografias do trabalho de implosão, acompanhada por breves textos explicativos. Ao todo, o documento tem 10 páginas.</x:v>
      </x:c>
      <x:c r="N307"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307" s="10" t="str">
        <x:v>Sistema prisional; Arquitetura prisional; Casa de Detenção de São Paulo; Carandiru</x:v>
      </x:c>
      <x:c r="P307" s="10" t="str">
        <x:v>Iconográfico</x:v>
      </x:c>
      <x:c r="Q307" s="10" t="str">
        <x:v>Nato-digital</x:v>
      </x:c>
      <x:c r="R307" s="10" t="str">
        <x:v>Figura n – [Fachada cega com manchas de umidade e técnico em deslocamento.] Fonte: ARCOENGE, 2003.</x:v>
      </x:c>
      <x:c r="S307" s="10" t="str">
        <x:v>ARCOENGE. [Fachada cega com manchas de umidade e técnico em deslocamento.]. São Paulo, Brasil. 10 mar. 2003. Nato-digital. Disponível em: &lt;link do dataverse&gt;. Acesso em: 28 mai. 2026.</x:v>
      </x:c>
      <x:c r="T307" s="10" t="str">
        <x:v>Pertencia à pasta intitulada "Implosão pavilhão 2 e 5 do Complexo Penitenciário do Carandiru". Transcrição: "IMPLOSÃO DOS PAVILHÕES 2 E 5 DO COMPLEXO PENITENCIÁRIO DO CARANDIRU 2005 Av. Cruzeiro do Sul 2.930, Santana, São Paulo - SP. Governador do Estado aciona o sistema 30 dias de preparação 2 dias de carregamento de explosivos; 12 órgãos envolvidos no sistema de segurança; 200 kg de explosivos; 1.850 detonações em 4 segundos; 18.000 m³ de entulho de concreto; 1.200 caminhões de entulho; Criando espaço para o desenvolvimento Consórcio Oswaldo Menta Simonsen Nico Eng. Minas, Msc oswaldo@arcoenge.com.br www.arcoenge.com.br". A data exata do documento não pôde ser acessada, mas na pasta de origem continha a indicação para o ano de 2005.</x:v>
      </x:c>
      <x:c r="U307" s="10" t="str">
        <x:v>ICO</x:v>
      </x:c>
      <x:c r="V307" s="10" t="str">
        <x:v>REL</x:v>
      </x:c>
      <x:c r="W307" s="10" t="str">
        <x:v>NDG</x:v>
      </x:c>
      <x:c r="X307" s="10" t="str">
        <x:v>MB0</x:v>
      </x:c>
      <x:c r="Y307" s="10" t="str">
        <x:v>BR-SPCARANDIRU_ARCOENGE-DEMOLICAO-CSDTCARANDIRU.xlsx</x:v>
      </x:c>
      <x:c r="Z307" s="10" t="str">
        <x:v>0005</x:v>
      </x:c>
      <x:c r="AA307" s="11" t="n">
        <x:v>2</x:v>
      </x:c>
      <x:c r="AB307" s="10" t="str">
        <x:v>BR-SPCARANDIRU_ARCOENGE-DEMOLICAO-CSDTCARANDIRU.xlsx:0005:2</x:v>
      </x:c>
      <x:c r="AC307" s="11" t="n">
        <x:f>COLUMNS(A307:T307)-COUNTBLANK(A307:T307)</x:f>
        <x:v>20</x:v>
      </x:c>
    </x:row>
    <x:row r="308" ht="48" hidden="0" customHeight="1">
      <x:c r="A308" s="10" t="str">
        <x:v>002</x:v>
      </x:c>
      <x:c r="B308" s="10" t="str">
        <x:v>Relatório de correspondência de nomes</x:v>
      </x:c>
      <x:c r="C308" s="10" t="str">
        <x:v>Item</x:v>
      </x:c>
      <x:c r="D308" s="10" t="str">
        <x:v>2026-05-21 00:00:00</x:v>
      </x:c>
      <x:c r="E308" s="10" t="str">
        <x:v>Gerado pelo Dataverse</x:v>
      </x:c>
      <x:c r="F308" s="10" t="str">
        <x:v>Nato-digital</x:v>
      </x:c>
      <x:c r="G308" s="10" t="str">
        <x:v>São Paulo, Brasil</x:v>
      </x:c>
      <x:c r="H308" s="10" t="str">
        <x:v>Grupo de Pesquisa em Direito e Violência de Estado</x:v>
      </x:c>
      <x:c r="I308" s="10" t="str">
        <x:v>Arcoenge - Demolição - Casa de Detenção do Carandiru (Fotografias)</x:v>
      </x:c>
      <x:c r="J308" s="10" t="str">
        <x:v>Pasta: 0006</x:v>
      </x:c>
      <x:c r="K308" s="10" t="str">
        <x:v>BR-SPCARANDIRU_ARCOENGE-DEMOLICAO-CSDTCARANDIRU_TXT-REL-NDG-MB0_0005-002.txt</x:v>
      </x:c>
      <x:c r="L308"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308" s="10" t="str">
        <x:v>Relatório de demolição dos pavilhões 2 e 5 do complexo prisional Carandiru, na forma de powerpoint. Predomina a presença de fotografias do trabalho de implosão, acompanhada por breves textos explicativos. Ao todo, o documento tem 10 páginas.</x:v>
      </x:c>
      <x:c r="N308"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308" s="10" t="str">
        <x:v>Sistema prisional; Arquitetura prisional; Casa de Detenção de São Paulo; Carandiru</x:v>
      </x:c>
      <x:c r="P308" s="10" t="str">
        <x:v>Textual</x:v>
      </x:c>
      <x:c r="Q308" s="10" t="str">
        <x:v>Nato-digital</x:v>
      </x:c>
      <x:c r="R308" s="10" t="str">
        <x:v>Figura n – [Muro divisório com pichações sutis e técnico apontando fissura.] Fonte: ARCOENGE, 2003.</x:v>
      </x:c>
      <x:c r="S308" s="10" t="str">
        <x:v>ARCOENGE. [Muro divisório com pichações sutis e técnico apontando fissura.]. São Paulo, Brasil. 10 mar. 2003. Nato-digital. Disponível em: &lt;link do dataverse&gt;. Acesso em: 28 mai. 2026.</x:v>
      </x:c>
      <x:c r="T308" s="10" t="str">
        <x:v>Este item foi gerado automaticamente pelo aplicativo de gestão de acervos "Mnema 1.0".</x:v>
      </x:c>
      <x:c r="U308" s="10" t="str">
        <x:v>TXT</x:v>
      </x:c>
      <x:c r="V308" s="10" t="str">
        <x:v>REL</x:v>
      </x:c>
      <x:c r="W308" s="10" t="str">
        <x:v>NDG</x:v>
      </x:c>
      <x:c r="X308" s="10" t="str">
        <x:v>MB0</x:v>
      </x:c>
      <x:c r="Y308" s="10" t="str">
        <x:v>BR-SPCARANDIRU_ARCOENGE-DEMOLICAO-CSDTCARANDIRU.xlsx</x:v>
      </x:c>
      <x:c r="Z308" s="10" t="str">
        <x:v>0005</x:v>
      </x:c>
      <x:c r="AA308" s="11" t="n">
        <x:v>3</x:v>
      </x:c>
      <x:c r="AB308" s="10" t="str">
        <x:v>BR-SPCARANDIRU_ARCOENGE-DEMOLICAO-CSDTCARANDIRU.xlsx:0005:3</x:v>
      </x:c>
      <x:c r="AC308" s="11" t="n">
        <x:f>COLUMNS(A308:T308)-COUNTBLANK(A308:T308)</x:f>
        <x:v>20</x:v>
      </x:c>
    </x:row>
    <x:row r="309" ht="48" hidden="0" customHeight="1">
      <x:c r="A309" s="10" t="str">
        <x:v>01.</x:v>
      </x:c>
      <x:c r="B309" s="10" t="str">
        <x:v>Trecho de reportagem da Globo, veiculada no programa Globo Reporter. Apresentado por Alexandre Garcia.</x:v>
      </x:c>
      <x:c r="C309" s="10" t="str">
        <x:v>Item</x:v>
      </x:c>
      <x:c r="D309" s="10" t="str">
        <x:v>Sem data</x:v>
      </x:c>
      <x:c r="E309" s="10" t="str">
        <x:v>00:12:55</x:v>
      </x:c>
      <x:c r="F309" s="10" t="str">
        <x:v>Fotografia digitalizada; colorida; suporte em papel fotográfico</x:v>
      </x:c>
      <x:c r="G309" s="10" t="str">
        <x:v>São Paulo, Brasil</x:v>
      </x:c>
      <x:c r="H309" s="10" t="str">
        <x:v>Grupo de Pesquisa em Direito e Violência de Estado</x:v>
      </x:c>
      <x:c r="I309" s="10" t="str">
        <x:v>Arcoenge - Demolição - Casa de Detenção do Carandiru (Fotografias)</x:v>
      </x:c>
      <x:c r="J309" s="10" t="str">
        <x:v>Pasta: 0001</x:v>
      </x:c>
      <x:c r="K309" s="10" t="str">
        <x:v>BR-SPCARANDIRU_ARCOENGE-MASSACRE-CSDTCARANDIRU_AVS-NOT-NDT-DT1_0001-001.mp4</x:v>
      </x:c>
      <x:c r="L309" s="10" t="str">
        <x:v>A Casa de Detenção de São Paulo no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309" s="10" t="str">
        <x:v>Trecho de reportagem tratando sobre o Massacre do Carandiru.</x:v>
      </x:c>
      <x:c r="N309"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309" s="10" t="str">
        <x:v>Sistema prisional; Demolição; Implosão; Casa de Detenção de São Paulo; Carandiru</x:v>
      </x:c>
      <x:c r="P309" s="10" t="str">
        <x:v>Audiovisual</x:v>
      </x:c>
      <x:c r="Q309" s="10" t="str">
        <x:v>Possivelmente, filmagem digital ou vídeo digital. Optou-se por "não determinado" por incerteza quanto ao processo da técnica.</x:v>
      </x:c>
      <x:c r="R309" s="10" t="str">
        <x:v>Figura n – [Trecho de reportagem da Globo, veiculada no programa Globo Reporter. Apresentado por Alexandre Garcia.] Fonte: INDICAR NOME DA EMISSORA, Sem data.</x:v>
      </x:c>
      <x:c r="S309" s="10" t="str">
        <x:v>GLOBO. [Trecho de reportagem da Globo, veiculada no programa Globo Reporter. Apresentado por Alexandre Garcia.]. São Paulo, Brasil. Sem data sem data Sem data. Fotografia digitalizada; colorida; suporte em papel fotográfico. Disponível em: &lt;link do dataverse&gt;. Acesso em: 21 mai. 2026.</x:v>
      </x:c>
      <x:c r="T309" s="10" t="str">
        <x:v>Este item pertencia à pasta intitulada "Carandiru - disco 2".</x:v>
      </x:c>
      <x:c r="U309" s="10" t="str">
        <x:v>AVS</x:v>
      </x:c>
      <x:c r="V309" s="10" t="str">
        <x:v>NOT</x:v>
      </x:c>
      <x:c r="W309" s="10" t="str">
        <x:v>NDT</x:v>
      </x:c>
      <x:c r="X309" s="10" t="str">
        <x:v>DT1</x:v>
      </x:c>
      <x:c r="Y309" s="10" t="str">
        <x:v>BR-SPCARANDIRU_ARCOENGE-MASSACRE-CSDTCARANDIRU.xlsx</x:v>
      </x:c>
      <x:c r="Z309" s="10" t="str">
        <x:v>Massacre</x:v>
      </x:c>
      <x:c r="AA309" s="11" t="n">
        <x:v>2</x:v>
      </x:c>
      <x:c r="AB309" s="10" t="str">
        <x:v>BR-SPCARANDIRU_ARCOENGE-MASSACRE-CSDTCARANDIRU.xlsx:Massacre:2</x:v>
      </x:c>
      <x:c r="AC309" s="11" t="n">
        <x:f>COLUMNS(A309:T309)-COUNTBLANK(A309:T309)</x:f>
        <x:v>20</x:v>
      </x:c>
    </x:row>
    <x:row r="310" ht="48" hidden="0" customHeight="1">
      <x:c r="A310" s="10" t="str">
        <x:v>02.</x:v>
      </x:c>
      <x:c r="B310" s="10" t="str">
        <x:v>Trecho de reportagem da Globo, veiculada no programa Globo Reporter. Apresentado por Celso de Freitas.</x:v>
      </x:c>
      <x:c r="C310" s="10" t="str">
        <x:v>Item</x:v>
      </x:c>
      <x:c r="D310" s="10" t="str">
        <x:v>Sem data</x:v>
      </x:c>
      <x:c r="E310" s="10" t="str">
        <x:v>00:11:39</x:v>
      </x:c>
      <x:c r="F310" s="10" t="str">
        <x:v>Fotografia digitalizada; colorida; suporte em papel fotográfico</x:v>
      </x:c>
      <x:c r="G310" s="10" t="str">
        <x:v>São Paulo, Brasil</x:v>
      </x:c>
      <x:c r="H310" s="10" t="str">
        <x:v>Grupo de Pesquisa em Direito e Violência de Estado</x:v>
      </x:c>
      <x:c r="I310" s="10" t="str">
        <x:v>Arcoenge - Demolição - Casa de Detenção do Carandiru (Fotografias)</x:v>
      </x:c>
      <x:c r="J310" s="10" t="str">
        <x:v>Pasta: 0001</x:v>
      </x:c>
      <x:c r="K310" s="10" t="str">
        <x:v>BR-SPCARANDIRU_ARCOENGE-MASSACRE-CSDTCARANDIRU_AVS-NOT-NDT-DT1_0001-002.mp4</x:v>
      </x:c>
      <x:c r="L310" s="10" t="str">
        <x:v>A Casa de Detenção de São Paulo no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310" s="10" t="str">
        <x:v>Trecho de reportagem tratando sobre o Massacre do Carandiru.</x:v>
      </x:c>
      <x:c r="N310"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310" s="10" t="str">
        <x:v>Sistema prisional; Demolição; Implosão; Casa de Detenção de São Paulo; Carandiru</x:v>
      </x:c>
      <x:c r="P310" s="10" t="str">
        <x:v>Audiovisual</x:v>
      </x:c>
      <x:c r="Q310" s="10" t="str">
        <x:v>Possivelmente, filmagem digital ou vídeo digital. Optou-se por "não determinado" por incerteza quanto ao processo da técnica.</x:v>
      </x:c>
      <x:c r="R310" s="10" t="str">
        <x:v>Figura n – [Trecho de reportagem da Globo, veiculada no programa Globo Reporter. Apresentado por Celso de Freitas.] Fonte: INDICAR NOME DA EMISSORA, Sem data.</x:v>
      </x:c>
      <x:c r="S310" s="10" t="str">
        <x:v>GLOBO. [Trecho de reportagem da Globo, veiculada no programa Globo Reporter. Apresentado por Celso de Freitas.]. São Paulo, Brasil. Sem data sem data Sem data. Fotografia digitalizada; colorida; suporte em papel fotográfico. Disponível em: &lt;link do dataverse&gt;. Acesso em: 21 mai. 2026.</x:v>
      </x:c>
      <x:c r="T310" s="10" t="str">
        <x:v>Este item pertencia à pasta intitulada "Carandiru - disco 2".</x:v>
      </x:c>
      <x:c r="U310" s="10" t="str">
        <x:v>AVS</x:v>
      </x:c>
      <x:c r="V310" s="10" t="str">
        <x:v>NOT</x:v>
      </x:c>
      <x:c r="W310" s="10" t="str">
        <x:v>NDT</x:v>
      </x:c>
      <x:c r="X310" s="10" t="str">
        <x:v>DT1</x:v>
      </x:c>
      <x:c r="Y310" s="10" t="str">
        <x:v>BR-SPCARANDIRU_ARCOENGE-MASSACRE-CSDTCARANDIRU.xlsx</x:v>
      </x:c>
      <x:c r="Z310" s="10" t="str">
        <x:v>Massacre</x:v>
      </x:c>
      <x:c r="AA310" s="11" t="n">
        <x:v>3</x:v>
      </x:c>
      <x:c r="AB310" s="10" t="str">
        <x:v>BR-SPCARANDIRU_ARCOENGE-MASSACRE-CSDTCARANDIRU.xlsx:Massacre:3</x:v>
      </x:c>
      <x:c r="AC310" s="11" t="n">
        <x:f>COLUMNS(A310:T310)-COUNTBLANK(A310:T310)</x:f>
        <x:v>20</x:v>
      </x:c>
    </x:row>
    <x:row r="311" ht="48" hidden="0" customHeight="1">
      <x:c r="A311" s="10" t="str">
        <x:v>001</x:v>
      </x:c>
      <x:c r="B311" s="10" t="str">
        <x:v>Trecho de reportagem da Rede Bandeirantes, veiculada no programa Primeiro Jornal em 2005.</x:v>
      </x:c>
      <x:c r="C311" s="10" t="str">
        <x:v>Item</x:v>
      </x:c>
      <x:c r="D311" s="10" t="str">
        <x:v>2005-07-17 00:00:00</x:v>
      </x:c>
      <x:c r="E311" s="10" t="str">
        <x:v>00:02:04</x:v>
      </x:c>
      <x:c r="F311" s="10" t="str">
        <x:v>Originalmente DVD (suporte físico óptico). Com tratamento, tornou-se arquivo eletrônico (MP4) em suporte digital/nato-digital</x:v>
      </x:c>
      <x:c r="G311" s="10" t="str">
        <x:v>São Paulo, Brasil</x:v>
      </x:c>
      <x:c r="H311" s="10" t="str">
        <x:v>Grupo de Pesquisa em Direito e Violência de Estado</x:v>
      </x:c>
      <x:c r="I311" s="10" t="str">
        <x:v>Notícias - Demolição - Casa de Detenção do Carandiru</x:v>
      </x:c>
      <x:c r="J311" s="10" t="str">
        <x:v>Pasta: 0001</x:v>
      </x:c>
      <x:c r="K311" s="10" t="str">
        <x:v>BR-SPCARANDIRU_ARCOENGE-NOTDEMOLI-CSDTCARANDIRU_AVS-NOT-NDT-DT1_0001-001.mp4</x:v>
      </x:c>
      <x:c r="L311"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311" s="10" t="str">
        <x:v>Demolição dos pavilhões 2 e 5 da casa de detenção do Carandiru. Trecho de reportagem da Rede Bandeirantes, veiculada no programa Primeiro Jornal em 2005.</x:v>
      </x:c>
      <x:c r="N311"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311" s="10" t="str">
        <x:v>Sistema prisional; Demolição; Implosão; Casa de Detenção de São Paulo; Carandiru</x:v>
      </x:c>
      <x:c r="P311" s="10" t="str">
        <x:v>Audiovisual</x:v>
      </x:c>
      <x:c r="Q311" s="10" t="str">
        <x:v>Possivelmente, filmagem digital ou vídeo digital. Optou-se por "não determinado" por incerteza quanto ao processo da técnica.</x:v>
      </x:c>
      <x:c r="R311" s="10" t="str">
        <x:v>Figura n – [Trecho de reportagem da Rede Bandeirantes, veiculada no programa Primeiro Jornal em 2005.] Fonte: BANDEIRANTES, 2005.</x:v>
      </x:c>
      <x:c r="S311" s="10" t="str">
        <x:v>BANDEIRANTES. [Trecho de reportagem da Rede Bandeirantes, veiculada no programa Primeiro Jornal em 2005.]. São Paulo, Brasil. 17 jul. 2005. Originalmente DVD (suporte físico óptico). Com tratamento, tornou-se arquivo eletrônico (MP4) em suporte digital/nato-digital. Disponível em: &lt;link do dataverse&gt;. Acesso em: 21 mai. 2026.</x:v>
      </x:c>
      <x:c r="T311" s="10" t="str">
        <x:v>Este item pertencia à pasta intitulada "Implosão carandiru - noticiário".</x:v>
      </x:c>
      <x:c r="U311" s="10" t="str">
        <x:v>AVS</x:v>
      </x:c>
      <x:c r="V311" s="10" t="str">
        <x:v>NOT</x:v>
      </x:c>
      <x:c r="W311" s="10" t="str">
        <x:v>NDT</x:v>
      </x:c>
      <x:c r="X311" s="10" t="str">
        <x:v>DT1</x:v>
      </x:c>
      <x:c r="Y311" s="10" t="str">
        <x:v>BR-SPCARANDIRU_ARCOENGE-NOTDEMOLI-CSDTCARANDIRU.xlsx</x:v>
      </x:c>
      <x:c r="Z311" s="10" t="str">
        <x:v>Demolicao</x:v>
      </x:c>
      <x:c r="AA311" s="11" t="n">
        <x:v>2</x:v>
      </x:c>
      <x:c r="AB311" s="10" t="str">
        <x:v>BR-SPCARANDIRU_ARCOENGE-NOTDEMOLI-CSDTCARANDIRU.xlsx:Demolicao:2</x:v>
      </x:c>
      <x:c r="AC311" s="11" t="n">
        <x:f>COLUMNS(A311:T311)-COUNTBLANK(A311:T311)</x:f>
        <x:v>20</x:v>
      </x:c>
    </x:row>
    <x:row r="312" ht="48" hidden="0" customHeight="1">
      <x:c r="A312" s="10" t="str">
        <x:v>002</x:v>
      </x:c>
      <x:c r="B312" s="10" t="str">
        <x:v>Trecho de reportagem da TV Cultura, veiculada sobre o Carandiru em 2005.</x:v>
      </x:c>
      <x:c r="C312" s="10" t="str">
        <x:v>Item</x:v>
      </x:c>
      <x:c r="D312" s="10" t="str">
        <x:v>2005-07-17 00:00:00</x:v>
      </x:c>
      <x:c r="E312" s="10" t="str">
        <x:v>00:09:42</x:v>
      </x:c>
      <x:c r="F312" s="10" t="str">
        <x:v>Originalmente DVD (suporte físico óptico). Com tratamento, tornou-se arquivo eletrônico (MP4) em suporte digital/nato-digital</x:v>
      </x:c>
      <x:c r="G312" s="10" t="str">
        <x:v>São Paulo, Brasil</x:v>
      </x:c>
      <x:c r="H312" s="10" t="str">
        <x:v>Grupo de Pesquisa em Direito e Violência de Estado</x:v>
      </x:c>
      <x:c r="I312" s="10" t="str">
        <x:v>Notícias - Demolição - Casa de Detenção do Carandiru</x:v>
      </x:c>
      <x:c r="J312" s="10" t="str">
        <x:v>Pasta: 0001</x:v>
      </x:c>
      <x:c r="K312" s="10" t="str">
        <x:v>BR-SPCARANDIRU_ARCOENGE-NOTDEMOLI-CSDTCARANDIRU_AVS-NOT-NDT-DT1_0001-002.mp4</x:v>
      </x:c>
      <x:c r="L312"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312" s="10" t="str">
        <x:v>Demolição dos pavilhões 2 e 5 da casa de detenção do Carandiru. Trecho de reportagem da TV Cultura, veiculada sobre o Carandiru (arquivo mesclado) em 2005.</x:v>
      </x:c>
      <x:c r="N312"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312" s="10" t="str">
        <x:v>Sistema prisional; Demolição; Implosão; Casa de Detenção de São Paulo; Carandiru</x:v>
      </x:c>
      <x:c r="P312" s="10" t="str">
        <x:v>Audiovisual</x:v>
      </x:c>
      <x:c r="Q312" s="10" t="str">
        <x:v>Possivelmente, filmagem digital ou vídeo digital. Optou-se por "não determinado" por incerteza quanto ao processo da técnica.</x:v>
      </x:c>
      <x:c r="R312" s="10" t="str">
        <x:v>Figura n – [Trecho de reportagem da TV Cultura, veiculada sobre o Carandiru em 2005.] Fonte: TV CULTURA, 2005.</x:v>
      </x:c>
      <x:c r="S312" s="10" t="str">
        <x:v>TV CULTURA. [Trecho de reportagem da TV Cultura, veiculada sobre o Carandiru em 2005.]. São Paulo, Brasil. 17 jul. 2005. Originalmente DVD (suporte físico óptico). Com tratamento, tornou-se arquivo eletrônico (MP4) em suporte digital/nato-digital. Disponível em: &lt;link do dataverse&gt;. Acesso em: 21 mai. 2026.</x:v>
      </x:c>
      <x:c r="T312" s="10" t="str">
        <x:v>Este item pertencia à pasta intitulada "Implosão carandiru - noticiário".</x:v>
      </x:c>
      <x:c r="U312" s="10" t="str">
        <x:v>AVS</x:v>
      </x:c>
      <x:c r="V312" s="10" t="str">
        <x:v>NOT</x:v>
      </x:c>
      <x:c r="W312" s="10" t="str">
        <x:v>NDT</x:v>
      </x:c>
      <x:c r="X312" s="10" t="str">
        <x:v>DT1</x:v>
      </x:c>
      <x:c r="Y312" s="10" t="str">
        <x:v>BR-SPCARANDIRU_ARCOENGE-NOTDEMOLI-CSDTCARANDIRU.xlsx</x:v>
      </x:c>
      <x:c r="Z312" s="10" t="str">
        <x:v>Demolicao</x:v>
      </x:c>
      <x:c r="AA312" s="11" t="n">
        <x:v>3</x:v>
      </x:c>
      <x:c r="AB312" s="10" t="str">
        <x:v>BR-SPCARANDIRU_ARCOENGE-NOTDEMOLI-CSDTCARANDIRU.xlsx:Demolicao:3</x:v>
      </x:c>
      <x:c r="AC312" s="11" t="n">
        <x:f>COLUMNS(A312:T312)-COUNTBLANK(A312:T312)</x:f>
        <x:v>20</x:v>
      </x:c>
    </x:row>
    <x:row r="313" ht="48" hidden="0" customHeight="1">
      <x:c r="A313" s="10" t="str">
        <x:v>003</x:v>
      </x:c>
      <x:c r="B313" s="10" t="str">
        <x:v>Trecho de reportagem da TV Cultura, veiculada no programa Jornal da Cultura em 2005.</x:v>
      </x:c>
      <x:c r="C313" s="10" t="str">
        <x:v>Item</x:v>
      </x:c>
      <x:c r="D313" s="10" t="str">
        <x:v>2005-07-17 00:00:00</x:v>
      </x:c>
      <x:c r="E313" s="10" t="str">
        <x:v>00:01:15</x:v>
      </x:c>
      <x:c r="F313" s="10" t="str">
        <x:v>Originalmente DVD (suporte físico óptico). Com tratamento, tornou-se arquivo eletrônico (MP4) em suporte digital/nato-digital</x:v>
      </x:c>
      <x:c r="G313" s="10" t="str">
        <x:v>São Paulo, Brasil</x:v>
      </x:c>
      <x:c r="H313" s="10" t="str">
        <x:v>Grupo de Pesquisa em Direito e Violência de Estado</x:v>
      </x:c>
      <x:c r="I313" s="10" t="str">
        <x:v>Notícias - Demolição - Casa de Detenção do Carandiru</x:v>
      </x:c>
      <x:c r="J313" s="10" t="str">
        <x:v>Pasta: 0001</x:v>
      </x:c>
      <x:c r="K313" s="10" t="str">
        <x:v>BR-SPCARANDIRU_ARCOENGE-NOTDEMOLI-CSDTCARANDIRU_AVS-NOT-NDT-DT1_0001-003.mp4</x:v>
      </x:c>
      <x:c r="L313"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313" s="10" t="str">
        <x:v>Demolição dos pavilhões 2 e 5 da casa de detenção do Carandiru. Trecho de reportagem da TV Cultura, veiculada no programa Jornal da Cultura em 2005.</x:v>
      </x:c>
      <x:c r="N313"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313" s="10" t="str">
        <x:v>Sistema prisional; Demolição; Implosão; Casa de Detenção de São Paulo; Carandiru</x:v>
      </x:c>
      <x:c r="P313" s="10" t="str">
        <x:v>Audiovisual</x:v>
      </x:c>
      <x:c r="Q313" s="10" t="str">
        <x:v>Possivelmente, filmagem digital ou vídeo digital. Optou-se por "não determinado" por incerteza quanto ao processo da técnica.</x:v>
      </x:c>
      <x:c r="R313" s="10" t="str">
        <x:v>Figura n – [Trecho de reportagem da TV Cultura, veiculada no programa Jornal da Cultura em 2005.] Fonte: TV CULTURA, 2005.</x:v>
      </x:c>
      <x:c r="S313" s="10" t="str">
        <x:v>TV CULTURA. [Trecho de reportagem da TV Cultura, veiculada no programa Jornal da Cultura em 2005.]. São Paulo, Brasil. 17 jul. 2005. Originalmente DVD (suporte físico óptico). Com tratamento, tornou-se arquivo eletrônico (MP4) em suporte digital/nato-digital. Disponível em: &lt;link do dataverse&gt;. Acesso em: 21 mai. 2026.</x:v>
      </x:c>
      <x:c r="T313" s="10" t="str">
        <x:v>Este item pertencia à pasta intitulada "Implosão carandiru - noticiário".</x:v>
      </x:c>
      <x:c r="U313" s="10" t="str">
        <x:v>AVS</x:v>
      </x:c>
      <x:c r="V313" s="10" t="str">
        <x:v>NOT</x:v>
      </x:c>
      <x:c r="W313" s="10" t="str">
        <x:v>NDT</x:v>
      </x:c>
      <x:c r="X313" s="10" t="str">
        <x:v>DT1</x:v>
      </x:c>
      <x:c r="Y313" s="10" t="str">
        <x:v>BR-SPCARANDIRU_ARCOENGE-NOTDEMOLI-CSDTCARANDIRU.xlsx</x:v>
      </x:c>
      <x:c r="Z313" s="10" t="str">
        <x:v>Demolicao</x:v>
      </x:c>
      <x:c r="AA313" s="11" t="n">
        <x:v>4</x:v>
      </x:c>
      <x:c r="AB313" s="10" t="str">
        <x:v>BR-SPCARANDIRU_ARCOENGE-NOTDEMOLI-CSDTCARANDIRU.xlsx:Demolicao:4</x:v>
      </x:c>
      <x:c r="AC313" s="11" t="n">
        <x:f>COLUMNS(A313:T313)-COUNTBLANK(A313:T313)</x:f>
        <x:v>20</x:v>
      </x:c>
    </x:row>
    <x:row r="314" ht="48" hidden="0" customHeight="1">
      <x:c r="A314" s="10" t="str">
        <x:v>004</x:v>
      </x:c>
      <x:c r="B314" s="10" t="str">
        <x:v>Trecho de reportagem da TV Cultura, veiculada no programa Diário Paulista em 2005.</x:v>
      </x:c>
      <x:c r="C314" s="10" t="str">
        <x:v>Item</x:v>
      </x:c>
      <x:c r="D314" s="10" t="str">
        <x:v>2005-07-17 00:00:00</x:v>
      </x:c>
      <x:c r="E314" s="10" t="str">
        <x:v>00:02:05</x:v>
      </x:c>
      <x:c r="F314" s="10" t="str">
        <x:v>Originalmente DVD (suporte físico óptico). Com tratamento, tornou-se arquivo eletrônico (MP4) em suporte digital/nato-digital</x:v>
      </x:c>
      <x:c r="G314" s="10" t="str">
        <x:v>São Paulo, Brasil</x:v>
      </x:c>
      <x:c r="H314" s="10" t="str">
        <x:v>Grupo de Pesquisa em Direito e Violência de Estado</x:v>
      </x:c>
      <x:c r="I314" s="10" t="str">
        <x:v>Notícias - Demolição - Casa de Detenção do Carandiru</x:v>
      </x:c>
      <x:c r="J314" s="10" t="str">
        <x:v>Pasta: 0001</x:v>
      </x:c>
      <x:c r="K314" s="10" t="str">
        <x:v>BR-SPCARANDIRU_ARCOENGE-NOTDEMOLI-CSDTCARANDIRU_AVS-NOT-NDT-DT1_0001-004.mp4</x:v>
      </x:c>
      <x:c r="L314"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314" s="10" t="str">
        <x:v>Demolição dos pavilhões 2 e 5 da casa de detenção do Carandiru. Trecho de reportagem da TV Cultura, veiculada no programa Diário Paulista em 2005.</x:v>
      </x:c>
      <x:c r="N314"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314" s="10" t="str">
        <x:v>Sistema prisional; Demolição; Implosão; Casa de Detenção de São Paulo; Carandiru</x:v>
      </x:c>
      <x:c r="P314" s="10" t="str">
        <x:v>Audiovisual</x:v>
      </x:c>
      <x:c r="Q314" s="10" t="str">
        <x:v>Possivelmente, filmagem digital ou vídeo digital. Optou-se por "não determinado" por incerteza quanto ao processo da técnica.</x:v>
      </x:c>
      <x:c r="R314" s="10" t="str">
        <x:v>Figura n – [Trecho de reportagem da TV Cultura, veiculada no programa Diário Paulista em 2005.] Fonte: TV CULTURA, 2005.</x:v>
      </x:c>
      <x:c r="S314" s="10" t="str">
        <x:v>TV CULTURA. [Trecho de reportagem da TV Cultura, veiculada no programa Diário Paulista em 2005.]. São Paulo, Brasil. 17 jul. 2005. Originalmente DVD (suporte físico óptico). Com tratamento, tornou-se arquivo eletrônico (MP4) em suporte digital/nato-digital. Disponível em: &lt;link do dataverse&gt;. Acesso em: 21 mai. 2026.</x:v>
      </x:c>
      <x:c r="T314" s="10" t="str">
        <x:v>Este item pertencia à pasta intitulada "Implosão carandiru - noticiário".</x:v>
      </x:c>
      <x:c r="U314" s="10" t="str">
        <x:v>AVS</x:v>
      </x:c>
      <x:c r="V314" s="10" t="str">
        <x:v>NOT</x:v>
      </x:c>
      <x:c r="W314" s="10" t="str">
        <x:v>NDT</x:v>
      </x:c>
      <x:c r="X314" s="10" t="str">
        <x:v>DT1</x:v>
      </x:c>
      <x:c r="Y314" s="10" t="str">
        <x:v>BR-SPCARANDIRU_ARCOENGE-NOTDEMOLI-CSDTCARANDIRU.xlsx</x:v>
      </x:c>
      <x:c r="Z314" s="10" t="str">
        <x:v>Demolicao</x:v>
      </x:c>
      <x:c r="AA314" s="11" t="n">
        <x:v>5</x:v>
      </x:c>
      <x:c r="AB314" s="10" t="str">
        <x:v>BR-SPCARANDIRU_ARCOENGE-NOTDEMOLI-CSDTCARANDIRU.xlsx:Demolicao:5</x:v>
      </x:c>
      <x:c r="AC314" s="11" t="n">
        <x:f>COLUMNS(A314:T314)-COUNTBLANK(A314:T314)</x:f>
        <x:v>20</x:v>
      </x:c>
    </x:row>
    <x:row r="315" ht="48" hidden="0" customHeight="1">
      <x:c r="A315" s="10" t="str">
        <x:v>005</x:v>
      </x:c>
      <x:c r="B315" s="10" t="str">
        <x:v>Trecho de reportagem da TV Cultura, veiculada no programa Jornal da Cultura (Edição de Sábado) em 2005.</x:v>
      </x:c>
      <x:c r="C315" s="10" t="str">
        <x:v>Item</x:v>
      </x:c>
      <x:c r="D315" s="10" t="str">
        <x:v>2005-07-17 00:00:00</x:v>
      </x:c>
      <x:c r="E315" s="10" t="str">
        <x:v>00:02:06</x:v>
      </x:c>
      <x:c r="F315" s="10" t="str">
        <x:v>Originalmente DVD (suporte físico óptico). Com tratamento, tornou-se arquivo eletrônico (MP4) em suporte digital/nato-digital</x:v>
      </x:c>
      <x:c r="G315" s="10" t="str">
        <x:v>São Paulo, Brasil</x:v>
      </x:c>
      <x:c r="H315" s="10" t="str">
        <x:v>Grupo de Pesquisa em Direito e Violência de Estado</x:v>
      </x:c>
      <x:c r="I315" s="10" t="str">
        <x:v>Notícias - Demolição - Casa de Detenção do Carandiru</x:v>
      </x:c>
      <x:c r="J315" s="10" t="str">
        <x:v>Pasta: 0001</x:v>
      </x:c>
      <x:c r="K315" s="10" t="str">
        <x:v>BR-SPCARANDIRU_ARCOENGE-NOTDEMOLI-CSDTCARANDIRU_AVS-NOT-NDT-DT1_0001-005.mp4</x:v>
      </x:c>
      <x:c r="L315"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315" s="10" t="str">
        <x:v>Demolição dos pavilhões 2 e 5 da casa de detenção do Carandiru. Trecho de reportagem da TV Cultura, veiculada no programa Jornal da Cultura (Edição de Sábado) em 2005.</x:v>
      </x:c>
      <x:c r="N315"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315" s="10" t="str">
        <x:v>Sistema prisional; Demolição; Implosão; Casa de Detenção de São Paulo; Carandiru</x:v>
      </x:c>
      <x:c r="P315" s="10" t="str">
        <x:v>Audiovisual</x:v>
      </x:c>
      <x:c r="Q315" s="10" t="str">
        <x:v>Possivelmente, filmagem digital ou vídeo digital. Optou-se por "não determinado" por incerteza quanto ao processo da técnica.</x:v>
      </x:c>
      <x:c r="R315" s="10" t="str">
        <x:v>Figura n – [Trecho de reportagem da TV Cultura, veiculada no programa Jornal da Cultura (Edição de Sábado) em 2005.] Fonte: TV CULTURA, 2005.</x:v>
      </x:c>
      <x:c r="S315" s="10" t="str">
        <x:v>TV CULTURA. [Trecho de reportagem da TV Cultura, veiculada no programa Jornal da Cultura (Edição de Sábado) em 2005.]. São Paulo, Brasil. 17 jul. 2005. Originalmente DVD (suporte físico óptico). Com tratamento, tornou-se arquivo eletrônico (MP4) em suporte digital/nato-digital. Disponível em: &lt;link do dataverse&gt;. Acesso em: 21 mai. 2026.</x:v>
      </x:c>
      <x:c r="T315" s="10" t="str">
        <x:v>Este item pertencia à pasta intitulada "Implosão carandiru - noticiário".</x:v>
      </x:c>
      <x:c r="U315" s="10" t="str">
        <x:v>AVS</x:v>
      </x:c>
      <x:c r="V315" s="10" t="str">
        <x:v>NOT</x:v>
      </x:c>
      <x:c r="W315" s="10" t="str">
        <x:v>NDT</x:v>
      </x:c>
      <x:c r="X315" s="10" t="str">
        <x:v>DT1</x:v>
      </x:c>
      <x:c r="Y315" s="10" t="str">
        <x:v>BR-SPCARANDIRU_ARCOENGE-NOTDEMOLI-CSDTCARANDIRU.xlsx</x:v>
      </x:c>
      <x:c r="Z315" s="10" t="str">
        <x:v>Demolicao</x:v>
      </x:c>
      <x:c r="AA315" s="11" t="n">
        <x:v>6</x:v>
      </x:c>
      <x:c r="AB315" s="10" t="str">
        <x:v>BR-SPCARANDIRU_ARCOENGE-NOTDEMOLI-CSDTCARANDIRU.xlsx:Demolicao:6</x:v>
      </x:c>
      <x:c r="AC315" s="11" t="n">
        <x:f>COLUMNS(A315:T315)-COUNTBLANK(A315:T315)</x:f>
        <x:v>20</x:v>
      </x:c>
    </x:row>
    <x:row r="316" ht="48" hidden="0" customHeight="1">
      <x:c r="A316" s="10" t="str">
        <x:v>006</x:v>
      </x:c>
      <x:c r="B316" s="10" t="str">
        <x:v>Trecho de reportagem da TV Gazeta, veiculada no programa Jornal da Gazeta em 2005.</x:v>
      </x:c>
      <x:c r="C316" s="10" t="str">
        <x:v>Item</x:v>
      </x:c>
      <x:c r="D316" s="10" t="str">
        <x:v>2005-07-17 00:00:00</x:v>
      </x:c>
      <x:c r="E316" s="10" t="str">
        <x:v>00:03:55</x:v>
      </x:c>
      <x:c r="F316" s="10" t="str">
        <x:v>Originalmente DVD (suporte físico óptico). Com tratamento, tornou-se arquivo eletrônico (MP4) em suporte digital/nato-digital</x:v>
      </x:c>
      <x:c r="G316" s="10" t="str">
        <x:v>São Paulo, Brasil</x:v>
      </x:c>
      <x:c r="H316" s="10" t="str">
        <x:v>Grupo de Pesquisa em Direito e Violência de Estado</x:v>
      </x:c>
      <x:c r="I316" s="10" t="str">
        <x:v>Notícias - Demolição - Casa de Detenção do Carandiru</x:v>
      </x:c>
      <x:c r="J316" s="10" t="str">
        <x:v>Pasta: 0001</x:v>
      </x:c>
      <x:c r="K316" s="10" t="str">
        <x:v>BR-SPCARANDIRU_ARCOENGE-NOTDEMOLI-CSDTCARANDIRU_AVS-NOT-NDT-DT1_0001-006.mp4</x:v>
      </x:c>
      <x:c r="L316"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316" s="10" t="str">
        <x:v>Demolição dos pavilhões 2 e 5 da casa de detenção do Carandiru. Trecho de reportagem da TV Gazeta, veiculada no programa Jornal da Gazeta (Completo) em 2005.</x:v>
      </x:c>
      <x:c r="N316"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316" s="10" t="str">
        <x:v>Sistema prisional; Demolição; Implosão; Casa de Detenção de São Paulo; Carandiru</x:v>
      </x:c>
      <x:c r="P316" s="10" t="str">
        <x:v>Audiovisual</x:v>
      </x:c>
      <x:c r="Q316" s="10" t="str">
        <x:v>Possivelmente, filmagem digital ou vídeo digital. Optou-se por "não determinado" por incerteza quanto ao processo da técnica.</x:v>
      </x:c>
      <x:c r="R316" s="10" t="str">
        <x:v>Figura n – [Trecho de reportagem da TV Gazeta, veiculada no programa Jornal da Gazeta em 2005.] Fonte: TV GAZETA, 2005.</x:v>
      </x:c>
      <x:c r="S316" s="10" t="str">
        <x:v>TC GAZETA. [Trecho de reportagem da TV Gazeta, veiculada no programa Jornal da Gazeta em 2005.]. São Paulo, Brasil. 17 jul. 2005. Originalmente DVD (suporte físico óptico). Com tratamento, tornou-se arquivo eletrônico (MP4) em suporte digital/nato-digital. Disponível em: &lt;link do dataverse&gt;. Acesso em: 21 mai. 2026.</x:v>
      </x:c>
      <x:c r="T316" s="10" t="str">
        <x:v>Este item pertencia à pasta intitulada "Implosão carandiru - noticiário".</x:v>
      </x:c>
      <x:c r="U316" s="10" t="str">
        <x:v>AVS</x:v>
      </x:c>
      <x:c r="V316" s="10" t="str">
        <x:v>NOT</x:v>
      </x:c>
      <x:c r="W316" s="10" t="str">
        <x:v>NDT</x:v>
      </x:c>
      <x:c r="X316" s="10" t="str">
        <x:v>DT1</x:v>
      </x:c>
      <x:c r="Y316" s="10" t="str">
        <x:v>BR-SPCARANDIRU_ARCOENGE-NOTDEMOLI-CSDTCARANDIRU.xlsx</x:v>
      </x:c>
      <x:c r="Z316" s="10" t="str">
        <x:v>Demolicao</x:v>
      </x:c>
      <x:c r="AA316" s="11" t="n">
        <x:v>7</x:v>
      </x:c>
      <x:c r="AB316" s="10" t="str">
        <x:v>BR-SPCARANDIRU_ARCOENGE-NOTDEMOLI-CSDTCARANDIRU.xlsx:Demolicao:7</x:v>
      </x:c>
      <x:c r="AC316" s="11" t="n">
        <x:f>COLUMNS(A316:T316)-COUNTBLANK(A316:T316)</x:f>
        <x:v>20</x:v>
      </x:c>
    </x:row>
    <x:row r="317" ht="48" hidden="0" customHeight="1">
      <x:c r="A317" s="10" t="str">
        <x:v>007</x:v>
      </x:c>
      <x:c r="B317" s="10" t="str">
        <x:v>Trecho de reportagem da TV Gazeta, veiculada no programa Jornal da Gazeta em 2005.</x:v>
      </x:c>
      <x:c r="C317" s="10" t="str">
        <x:v>Item</x:v>
      </x:c>
      <x:c r="D317" s="10" t="str">
        <x:v>2005-07-17 00:00:00</x:v>
      </x:c>
      <x:c r="E317" s="10" t="str">
        <x:v>00:00:35</x:v>
      </x:c>
      <x:c r="F317" s="10" t="str">
        <x:v>Originalmente DVD (suporte físico óptico). Com tratamento, tornou-se arquivo eletrônico (MP4) em suporte digital/nato-digital</x:v>
      </x:c>
      <x:c r="G317" s="10" t="str">
        <x:v>São Paulo, Brasil</x:v>
      </x:c>
      <x:c r="H317" s="10" t="str">
        <x:v>Grupo de Pesquisa em Direito e Violência de Estado</x:v>
      </x:c>
      <x:c r="I317" s="10" t="str">
        <x:v>Notícias - Demolição - Casa de Detenção do Carandiru</x:v>
      </x:c>
      <x:c r="J317" s="10" t="str">
        <x:v>Pasta: 0001</x:v>
      </x:c>
      <x:c r="K317" s="10" t="str">
        <x:v>BR-SPCARANDIRU_ARCOENGE-NOTDEMOLI-CSDTCARANDIRU_AVS-NOT-NDT-DT1_0001-007.mp4</x:v>
      </x:c>
      <x:c r="L317"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317" s="10" t="str">
        <x:v>Demolição dos pavilhões 2 e 5 da casa de detenção do Carandiru. Trecho de reportagem da TV Gazeta, veiculada no programa Jornal da Gazeta em 2005.</x:v>
      </x:c>
      <x:c r="N317"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317" s="10" t="str">
        <x:v>Sistema prisional; Demolição; Implosão; Casa de Detenção de São Paulo; Carandiru</x:v>
      </x:c>
      <x:c r="P317" s="10" t="str">
        <x:v>Audiovisual</x:v>
      </x:c>
      <x:c r="Q317" s="10" t="str">
        <x:v>Possivelmente, filmagem digital ou vídeo digital. Optou-se por "não determinado" por incerteza quanto ao processo da técnica.</x:v>
      </x:c>
      <x:c r="R317" s="10" t="str">
        <x:v>Figura n – [Trecho de reportagem da TV Gazeta, veiculada no programa Jornal da Gazeta em 2005.] Fonte: TV GAZETA, 2005.</x:v>
      </x:c>
      <x:c r="S317" s="10" t="str">
        <x:v>TC GAZETA. [Trecho de reportagem da TV Gazeta, veiculada no programa Jornal da Gazeta em 2005.]. São Paulo, Brasil. 17 jul. 2005. Originalmente DVD (suporte físico óptico). Com tratamento, tornou-se arquivo eletrônico (MP4) em suporte digital/nato-digital. Disponível em: &lt;link do dataverse&gt;. Acesso em: 21 mai. 2026.</x:v>
      </x:c>
      <x:c r="T317" s="10" t="str">
        <x:v>Este item pertencia à pasta intitulada "Implosão carandiru - noticiário".</x:v>
      </x:c>
      <x:c r="U317" s="10" t="str">
        <x:v>AVS</x:v>
      </x:c>
      <x:c r="V317" s="10" t="str">
        <x:v>NOT</x:v>
      </x:c>
      <x:c r="W317" s="10" t="str">
        <x:v>NDT</x:v>
      </x:c>
      <x:c r="X317" s="10" t="str">
        <x:v>DT1</x:v>
      </x:c>
      <x:c r="Y317" s="10" t="str">
        <x:v>BR-SPCARANDIRU_ARCOENGE-NOTDEMOLI-CSDTCARANDIRU.xlsx</x:v>
      </x:c>
      <x:c r="Z317" s="10" t="str">
        <x:v>Demolicao</x:v>
      </x:c>
      <x:c r="AA317" s="11" t="n">
        <x:v>8</x:v>
      </x:c>
      <x:c r="AB317" s="10" t="str">
        <x:v>BR-SPCARANDIRU_ARCOENGE-NOTDEMOLI-CSDTCARANDIRU.xlsx:Demolicao:8</x:v>
      </x:c>
      <x:c r="AC317" s="11" t="n">
        <x:f>COLUMNS(A317:T317)-COUNTBLANK(A317:T317)</x:f>
        <x:v>20</x:v>
      </x:c>
    </x:row>
    <x:row r="318" ht="48" hidden="0" customHeight="1">
      <x:c r="A318" s="10" t="str">
        <x:v>008</x:v>
      </x:c>
      <x:c r="B318" s="10" t="str">
        <x:v>Trecho de reportagem da Rede Globo, veiculada no programa SPTV em 2005.</x:v>
      </x:c>
      <x:c r="C318" s="10" t="str">
        <x:v>Item</x:v>
      </x:c>
      <x:c r="D318" s="10" t="str">
        <x:v>2005-07-17 00:00:00</x:v>
      </x:c>
      <x:c r="E318" s="10" t="str">
        <x:v>00:04:03</x:v>
      </x:c>
      <x:c r="F318" s="10" t="str">
        <x:v>Originalmente DVD (suporte físico óptico). Com tratamento, tornou-se arquivo eletrônico (MP4) em suporte digital/nato-digital</x:v>
      </x:c>
      <x:c r="G318" s="10" t="str">
        <x:v>São Paulo, Brasil</x:v>
      </x:c>
      <x:c r="H318" s="10" t="str">
        <x:v>Grupo de Pesquisa em Direito e Violência de Estado</x:v>
      </x:c>
      <x:c r="I318" s="10" t="str">
        <x:v>Notícias - Demolição - Casa de Detenção do Carandiru</x:v>
      </x:c>
      <x:c r="J318" s="10" t="str">
        <x:v>Pasta: 0001</x:v>
      </x:c>
      <x:c r="K318" s="10" t="str">
        <x:v>BR-SPCARANDIRU_ARCOENGE-NOTDEMOLI-CSDTCARANDIRU_AVS-NOT-NDT-DT1_0001-008.mp4</x:v>
      </x:c>
      <x:c r="L318"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318" s="10" t="str">
        <x:v>Demolição dos pavilhões 2 e 5 da casa de detenção do Carandiru. Trecho de reportagem da Rede Globo, veiculada no programa SPTV em 2005.</x:v>
      </x:c>
      <x:c r="N318"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318" s="10" t="str">
        <x:v>Sistema prisional; Demolição; Implosão; Casa de Detenção de São Paulo; Carandiru</x:v>
      </x:c>
      <x:c r="P318" s="10" t="str">
        <x:v>Audiovisual</x:v>
      </x:c>
      <x:c r="Q318" s="10" t="str">
        <x:v>Possivelmente, filmagem digital ou vídeo digital. Optou-se por "não determinado" por incerteza quanto ao processo da técnica.</x:v>
      </x:c>
      <x:c r="R318" s="10" t="str">
        <x:v>Figura n – [Trecho de reportagem da Rede Globo, veiculada no programa SPTV em 2005.] Fonte: GLOBO, 2005.</x:v>
      </x:c>
      <x:c r="S318" s="10" t="str">
        <x:v>GLOBO. [Trecho de reportagem da Rede Globo, veiculada no programa SPTV em 2005.]. São Paulo, Brasil. 17 jul. 2005. Originalmente DVD (suporte físico óptico). Com tratamento, tornou-se arquivo eletrônico (MP4) em suporte digital/nato-digital. Disponível em: &lt;link do dataverse&gt;. Acesso em: 21 mai. 2026.</x:v>
      </x:c>
      <x:c r="T318" s="10" t="str">
        <x:v>Este item pertencia à pasta intitulada "Implosão carandiru - noticiário".</x:v>
      </x:c>
      <x:c r="U318" s="10" t="str">
        <x:v>AVS</x:v>
      </x:c>
      <x:c r="V318" s="10" t="str">
        <x:v>NOT</x:v>
      </x:c>
      <x:c r="W318" s="10" t="str">
        <x:v>NDT</x:v>
      </x:c>
      <x:c r="X318" s="10" t="str">
        <x:v>DT1</x:v>
      </x:c>
      <x:c r="Y318" s="10" t="str">
        <x:v>BR-SPCARANDIRU_ARCOENGE-NOTDEMOLI-CSDTCARANDIRU.xlsx</x:v>
      </x:c>
      <x:c r="Z318" s="10" t="str">
        <x:v>Demolicao</x:v>
      </x:c>
      <x:c r="AA318" s="11" t="n">
        <x:v>9</x:v>
      </x:c>
      <x:c r="AB318" s="10" t="str">
        <x:v>BR-SPCARANDIRU_ARCOENGE-NOTDEMOLI-CSDTCARANDIRU.xlsx:Demolicao:9</x:v>
      </x:c>
      <x:c r="AC318" s="11" t="n">
        <x:f>COLUMNS(A318:T318)-COUNTBLANK(A318:T318)</x:f>
        <x:v>20</x:v>
      </x:c>
    </x:row>
    <x:row r="319" ht="48" hidden="0" customHeight="1">
      <x:c r="A319" s="10" t="str">
        <x:v>009</x:v>
      </x:c>
      <x:c r="B319" s="10" t="str">
        <x:v>Trecho de reportagem da GloboNews, veiculada no programa Em Cima da Hora em 2005.</x:v>
      </x:c>
      <x:c r="C319" s="10" t="str">
        <x:v>Item</x:v>
      </x:c>
      <x:c r="D319" s="10" t="str">
        <x:v>2005-07-17 00:00:00</x:v>
      </x:c>
      <x:c r="E319" s="10" t="str">
        <x:v>00:03:03</x:v>
      </x:c>
      <x:c r="F319" s="10" t="str">
        <x:v>Originalmente DVD (suporte físico óptico). Com tratamento, tornou-se arquivo eletrônico (MP4) em suporte digital/nato-digital</x:v>
      </x:c>
      <x:c r="G319" s="10" t="str">
        <x:v>São Paulo, Brasil</x:v>
      </x:c>
      <x:c r="H319" s="10" t="str">
        <x:v>Grupo de Pesquisa em Direito e Violência de Estado</x:v>
      </x:c>
      <x:c r="I319" s="10" t="str">
        <x:v>Notícias - Demolição - Casa de Detenção do Carandiru</x:v>
      </x:c>
      <x:c r="J319" s="10" t="str">
        <x:v>Pasta: 0001</x:v>
      </x:c>
      <x:c r="K319" s="10" t="str">
        <x:v>BR-SPCARANDIRU_ARCOENGE-NOTDEMOLI-CSDTCARANDIRU_AVS-NOT-NDT-DT1_0001-009.mp4</x:v>
      </x:c>
      <x:c r="L319"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319" s="10" t="str">
        <x:v>Demolição dos pavilhões 2 e 5 da casa de detenção do Carandiru. Trecho de reportagem da GloboNews, veiculada no programa Em Cima da Hora em 2005.</x:v>
      </x:c>
      <x:c r="N319"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319" s="10" t="str">
        <x:v>Sistema prisional; Demolição; Implosão; Casa de Detenção de São Paulo; Carandiru</x:v>
      </x:c>
      <x:c r="P319" s="10" t="str">
        <x:v>Audiovisual</x:v>
      </x:c>
      <x:c r="Q319" s="10" t="str">
        <x:v>Possivelmente, filmagem digital ou vídeo digital. Optou-se por "não determinado" por incerteza quanto ao processo da técnica.</x:v>
      </x:c>
      <x:c r="R319" s="10" t="str">
        <x:v>Figura n – [Trecho de reportagem da GloboNews, veiculada no programa Em Cima da Hora em 2005.] Fonte: GLOBO NEWS, 2005.</x:v>
      </x:c>
      <x:c r="S319" s="10" t="str">
        <x:v>GLOBO NEWS. [Trecho de reportagem da GloboNews, veiculada no programa Em Cima da Hora em 2005.]. São Paulo, Brasil. 17 jul. 2005. Originalmente DVD (suporte físico óptico). Com tratamento, tornou-se arquivo eletrônico (MP4) em suporte digital/nato-digital. Disponível em: &lt;link do dataverse&gt;. Acesso em: 21 mai. 2026.</x:v>
      </x:c>
      <x:c r="T319" s="10" t="str">
        <x:v>Este item pertencia à pasta intitulada "Implosão carandiru - noticiário".</x:v>
      </x:c>
      <x:c r="U319" s="10" t="str">
        <x:v>AVS</x:v>
      </x:c>
      <x:c r="V319" s="10" t="str">
        <x:v>NOT</x:v>
      </x:c>
      <x:c r="W319" s="10" t="str">
        <x:v>NDT</x:v>
      </x:c>
      <x:c r="X319" s="10" t="str">
        <x:v>DT1</x:v>
      </x:c>
      <x:c r="Y319" s="10" t="str">
        <x:v>BR-SPCARANDIRU_ARCOENGE-NOTDEMOLI-CSDTCARANDIRU.xlsx</x:v>
      </x:c>
      <x:c r="Z319" s="10" t="str">
        <x:v>Demolicao</x:v>
      </x:c>
      <x:c r="AA319" s="11" t="n">
        <x:v>10</x:v>
      </x:c>
      <x:c r="AB319" s="10" t="str">
        <x:v>BR-SPCARANDIRU_ARCOENGE-NOTDEMOLI-CSDTCARANDIRU.xlsx:Demolicao:10</x:v>
      </x:c>
      <x:c r="AC319" s="11" t="n">
        <x:f>COLUMNS(A319:T319)-COUNTBLANK(A319:T319)</x:f>
        <x:v>20</x:v>
      </x:c>
    </x:row>
    <x:row r="320" ht="48" hidden="0" customHeight="1">
      <x:c r="A320" s="10" t="str">
        <x:v>010</x:v>
      </x:c>
      <x:c r="B320" s="10" t="str">
        <x:v>Trecho de reportagem da Rede Globo, veiculada no programa Fantástico em 2005.</x:v>
      </x:c>
      <x:c r="C320" s="10" t="str">
        <x:v>Item</x:v>
      </x:c>
      <x:c r="D320" s="10" t="str">
        <x:v>2005-07-17 00:00:00</x:v>
      </x:c>
      <x:c r="E320" s="10" t="str">
        <x:v>00:00:46</x:v>
      </x:c>
      <x:c r="F320" s="10" t="str">
        <x:v>Originalmente DVD (suporte físico óptico). Com tratamento, tornou-se arquivo eletrônico (MP4) em suporte digital/nato-digital</x:v>
      </x:c>
      <x:c r="G320" s="10" t="str">
        <x:v>São Paulo, Brasil</x:v>
      </x:c>
      <x:c r="H320" s="10" t="str">
        <x:v>Grupo de Pesquisa em Direito e Violência de Estado</x:v>
      </x:c>
      <x:c r="I320" s="10" t="str">
        <x:v>Notícias - Demolição - Casa de Detenção do Carandiru</x:v>
      </x:c>
      <x:c r="J320" s="10" t="str">
        <x:v>Pasta: 0001</x:v>
      </x:c>
      <x:c r="K320" s="10" t="str">
        <x:v>BR-SPCARANDIRU_ARCOENGE-NOTDEMOLI-CSDTCARANDIRU_AVS-NOT-NDT-DT1_0001-010.mp4</x:v>
      </x:c>
      <x:c r="L320"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320" s="10" t="str">
        <x:v>Demolição dos pavilhões 2 e 5 da casa de detenção do Carandiru. Trecho de reportagem da Rede Globo, veiculada no programa Fantástico em 2005.</x:v>
      </x:c>
      <x:c r="N320"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320" s="10" t="str">
        <x:v>Sistema prisional; Demolição; Implosão; Casa de Detenção de São Paulo; Carandiru</x:v>
      </x:c>
      <x:c r="P320" s="10" t="str">
        <x:v>Audiovisual</x:v>
      </x:c>
      <x:c r="Q320" s="10" t="str">
        <x:v>Possivelmente, filmagem digital ou vídeo digital. Optou-se por "não determinado" por incerteza quanto ao processo da técnica.</x:v>
      </x:c>
      <x:c r="R320" s="10" t="str">
        <x:v>Figura n – [Trecho de reportagem da Rede Globo, veiculada no programa Fantástico em 2005.] Fonte: GLOBO, 2005.</x:v>
      </x:c>
      <x:c r="S320" s="10" t="str">
        <x:v>GLOBO. [Trecho de reportagem da Rede Globo, veiculada no programa Fantástico em 2005.]. São Paulo, Brasil. 17 jul. 2005. Originalmente DVD (suporte físico óptico). Com tratamento, tornou-se arquivo eletrônico (MP4) em suporte digital/nato-digital. Disponível em: &lt;link do dataverse&gt;. Acesso em: 21 mai. 2026.</x:v>
      </x:c>
      <x:c r="T320" s="10" t="str">
        <x:v>Este item pertencia à pasta intitulada "Implosão carandiru - noticiário".</x:v>
      </x:c>
      <x:c r="U320" s="10" t="str">
        <x:v>AVS</x:v>
      </x:c>
      <x:c r="V320" s="10" t="str">
        <x:v>NOT</x:v>
      </x:c>
      <x:c r="W320" s="10" t="str">
        <x:v>NDT</x:v>
      </x:c>
      <x:c r="X320" s="10" t="str">
        <x:v>DT1</x:v>
      </x:c>
      <x:c r="Y320" s="10" t="str">
        <x:v>BR-SPCARANDIRU_ARCOENGE-NOTDEMOLI-CSDTCARANDIRU.xlsx</x:v>
      </x:c>
      <x:c r="Z320" s="10" t="str">
        <x:v>Demolicao</x:v>
      </x:c>
      <x:c r="AA320" s="11" t="n">
        <x:v>11</x:v>
      </x:c>
      <x:c r="AB320" s="10" t="str">
        <x:v>BR-SPCARANDIRU_ARCOENGE-NOTDEMOLI-CSDTCARANDIRU.xlsx:Demolicao:11</x:v>
      </x:c>
      <x:c r="AC320" s="11" t="n">
        <x:f>COLUMNS(A320:T320)-COUNTBLANK(A320:T320)</x:f>
        <x:v>20</x:v>
      </x:c>
    </x:row>
    <x:row r="321" ht="48" hidden="0" customHeight="1">
      <x:c r="A321" s="10" t="str">
        <x:v>011</x:v>
      </x:c>
      <x:c r="B321" s="10" t="str">
        <x:v>Trecho de reportagem da Rede Globo, veiculada no programa Bom Dia São Paulo [Parte 1] em 2005.</x:v>
      </x:c>
      <x:c r="C321" s="10" t="str">
        <x:v>Item</x:v>
      </x:c>
      <x:c r="D321" s="10" t="str">
        <x:v>2005-07-17 00:00:00</x:v>
      </x:c>
      <x:c r="E321" s="10" t="str">
        <x:v>00:06:37</x:v>
      </x:c>
      <x:c r="F321" s="10" t="str">
        <x:v>Originalmente DVD (suporte físico óptico). Com tratamento, tornou-se arquivo eletrônico (MP4) em suporte digital/nato-digital</x:v>
      </x:c>
      <x:c r="G321" s="10" t="str">
        <x:v>São Paulo, Brasil</x:v>
      </x:c>
      <x:c r="H321" s="10" t="str">
        <x:v>Grupo de Pesquisa em Direito e Violência de Estado</x:v>
      </x:c>
      <x:c r="I321" s="10" t="str">
        <x:v>Notícias - Demolição - Casa de Detenção do Carandiru</x:v>
      </x:c>
      <x:c r="J321" s="10" t="str">
        <x:v>Pasta: 0001</x:v>
      </x:c>
      <x:c r="K321" s="10" t="str">
        <x:v>BR-SPCARANDIRU_ARCOENGE-NOTDEMOLI-CSDTCARANDIRU_AVS-NOT-NDT-DT1_0001-011.mp4</x:v>
      </x:c>
      <x:c r="L321"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321" s="10" t="str">
        <x:v>Demolição dos pavilhões 2 e 5 da casa de detenção do Carandiru. Trecho de reportagem da Rede Globo, veiculada no programa Bom Dia São Paulo [Parte 1] em 2005.</x:v>
      </x:c>
      <x:c r="N321"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321" s="10" t="str">
        <x:v>Sistema prisional; Demolição; Implosão; Casa de Detenção de São Paulo; Carandiru</x:v>
      </x:c>
      <x:c r="P321" s="10" t="str">
        <x:v>Audiovisual</x:v>
      </x:c>
      <x:c r="Q321" s="10" t="str">
        <x:v>Possivelmente, filmagem digital ou vídeo digital. Optou-se por "não determinado" por incerteza quanto ao processo da técnica.</x:v>
      </x:c>
      <x:c r="R321" s="10" t="str">
        <x:v>Figura n – [Trecho de reportagem da Rede Globo, veiculada no programa Bom Dia São Paulo [Parte 1] em 2005.] Fonte: GLOBO, 2005.</x:v>
      </x:c>
      <x:c r="S321" s="10" t="str">
        <x:v>GLOBO. [Trecho de reportagem da Rede Globo, veiculada no programa Bom Dia São Paulo [Parte 1] em 2005.]. São Paulo, Brasil. 17 jul. 2005. Originalmente DVD (suporte físico óptico). Com tratamento, tornou-se arquivo eletrônico (MP4) em suporte digital/nato-digital. Disponível em: &lt;link do dataverse&gt;. Acesso em: 21 mai. 2026.</x:v>
      </x:c>
      <x:c r="T321" s="10" t="str">
        <x:v>Este item pertencia à pasta intitulada "Implosão carandiru - noticiário".</x:v>
      </x:c>
      <x:c r="U321" s="10" t="str">
        <x:v>AVS</x:v>
      </x:c>
      <x:c r="V321" s="10" t="str">
        <x:v>NOT</x:v>
      </x:c>
      <x:c r="W321" s="10" t="str">
        <x:v>NDT</x:v>
      </x:c>
      <x:c r="X321" s="10" t="str">
        <x:v>DT1</x:v>
      </x:c>
      <x:c r="Y321" s="10" t="str">
        <x:v>BR-SPCARANDIRU_ARCOENGE-NOTDEMOLI-CSDTCARANDIRU.xlsx</x:v>
      </x:c>
      <x:c r="Z321" s="10" t="str">
        <x:v>Demolicao</x:v>
      </x:c>
      <x:c r="AA321" s="11" t="n">
        <x:v>12</x:v>
      </x:c>
      <x:c r="AB321" s="10" t="str">
        <x:v>BR-SPCARANDIRU_ARCOENGE-NOTDEMOLI-CSDTCARANDIRU.xlsx:Demolicao:12</x:v>
      </x:c>
      <x:c r="AC321" s="11" t="n">
        <x:f>COLUMNS(A321:T321)-COUNTBLANK(A321:T321)</x:f>
        <x:v>20</x:v>
      </x:c>
    </x:row>
    <x:row r="322" ht="48" hidden="0" customHeight="1">
      <x:c r="A322" s="10" t="str">
        <x:v>012</x:v>
      </x:c>
      <x:c r="B322" s="10" t="str">
        <x:v>Trecho de reportagem da Rede Globo, veiculada no programa Bom Dia São Paulo [Parte 2] em 2005.</x:v>
      </x:c>
      <x:c r="C322" s="10" t="str">
        <x:v>Item</x:v>
      </x:c>
      <x:c r="D322" s="10" t="str">
        <x:v>2005-07-17 00:00:00</x:v>
      </x:c>
      <x:c r="E322" s="10" t="str">
        <x:v>00:00:47</x:v>
      </x:c>
      <x:c r="F322" s="10" t="str">
        <x:v>Originalmente DVD (suporte físico óptico). Com tratamento, tornou-se arquivo eletrônico (MP4) em suporte digital/nato-digital</x:v>
      </x:c>
      <x:c r="G322" s="10" t="str">
        <x:v>São Paulo, Brasil</x:v>
      </x:c>
      <x:c r="H322" s="10" t="str">
        <x:v>Grupo de Pesquisa em Direito e Violência de Estado</x:v>
      </x:c>
      <x:c r="I322" s="10" t="str">
        <x:v>Notícias - Demolição - Casa de Detenção do Carandiru</x:v>
      </x:c>
      <x:c r="J322" s="10" t="str">
        <x:v>Pasta: 0001</x:v>
      </x:c>
      <x:c r="K322" s="10" t="str">
        <x:v>BR-SPCARANDIRU_ARCOENGE-NOTDEMOLI-CSDTCARANDIRU_AVS-NOT-NDT-DT1_0001-012.mp4</x:v>
      </x:c>
      <x:c r="L322"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322" s="10" t="str">
        <x:v>Demolição dos pavilhões 2 e 5 da casa de detenção do Carandiru. Trecho de reportagem da Rede Globo, veiculada no programa Bom Dia São Paulo [Parte 2] em 2005.</x:v>
      </x:c>
      <x:c r="N322"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322" s="10" t="str">
        <x:v>Sistema prisional; Demolição; Implosão; Casa de Detenção de São Paulo; Carandiru</x:v>
      </x:c>
      <x:c r="P322" s="10" t="str">
        <x:v>Audiovisual</x:v>
      </x:c>
      <x:c r="Q322" s="10" t="str">
        <x:v>Possivelmente, filmagem digital ou vídeo digital. Optou-se por "não determinado" por incerteza quanto ao processo da técnica.</x:v>
      </x:c>
      <x:c r="R322" s="10" t="str">
        <x:v>Figura n – [Trecho de reportagem da Rede Globo, veiculada no programa Bom Dia São Paulo [Parte 2] em 2005.] Fonte: GLOBO, 2005.</x:v>
      </x:c>
      <x:c r="S322" s="10" t="str">
        <x:v>GLOBO. [Trecho de reportagem da Rede Globo, veiculada no programa Bom Dia São Paulo [Parte 2] em 2005.]. São Paulo, Brasil. 17 jul. 2005. Originalmente DVD (suporte físico óptico). Com tratamento, tornou-se arquivo eletrônico (MP4) em suporte digital/nato-digital. Disponível em: &lt;link do dataverse&gt;. Acesso em: 21 mai. 2026.</x:v>
      </x:c>
      <x:c r="T322" s="10" t="str">
        <x:v>Este item pertencia à pasta intitulada "Implosão carandiru - noticiário".</x:v>
      </x:c>
      <x:c r="U322" s="10" t="str">
        <x:v>AVS</x:v>
      </x:c>
      <x:c r="V322" s="10" t="str">
        <x:v>NOT</x:v>
      </x:c>
      <x:c r="W322" s="10" t="str">
        <x:v>NDT</x:v>
      </x:c>
      <x:c r="X322" s="10" t="str">
        <x:v>DT1</x:v>
      </x:c>
      <x:c r="Y322" s="10" t="str">
        <x:v>BR-SPCARANDIRU_ARCOENGE-NOTDEMOLI-CSDTCARANDIRU.xlsx</x:v>
      </x:c>
      <x:c r="Z322" s="10" t="str">
        <x:v>Demolicao</x:v>
      </x:c>
      <x:c r="AA322" s="11" t="n">
        <x:v>13</x:v>
      </x:c>
      <x:c r="AB322" s="10" t="str">
        <x:v>BR-SPCARANDIRU_ARCOENGE-NOTDEMOLI-CSDTCARANDIRU.xlsx:Demolicao:13</x:v>
      </x:c>
      <x:c r="AC322" s="11" t="n">
        <x:f>COLUMNS(A322:T322)-COUNTBLANK(A322:T322)</x:f>
        <x:v>20</x:v>
      </x:c>
    </x:row>
    <x:row r="323" ht="48" hidden="0" customHeight="1">
      <x:c r="A323" s="10" t="str">
        <x:v>013</x:v>
      </x:c>
      <x:c r="B323" s="10" t="str">
        <x:v>Vinheta da Rede Record, veiculada no programa São Paulo no Ar em 2005.</x:v>
      </x:c>
      <x:c r="C323" s="10" t="str">
        <x:v>Item</x:v>
      </x:c>
      <x:c r="D323" s="10" t="str">
        <x:v>2005-07-17 00:00:00</x:v>
      </x:c>
      <x:c r="E323" s="10" t="str">
        <x:v>00:05:30</x:v>
      </x:c>
      <x:c r="F323" s="10" t="str">
        <x:v>Originalmente DVD (suporte físico óptico). Com tratamento, tornou-se arquivo eletrônico (MP4) em suporte digital/nato-digital</x:v>
      </x:c>
      <x:c r="G323" s="10" t="str">
        <x:v>São Paulo, Brasil</x:v>
      </x:c>
      <x:c r="H323" s="10" t="str">
        <x:v>Grupo de Pesquisa em Direito e Violência de Estado</x:v>
      </x:c>
      <x:c r="I323" s="10" t="str">
        <x:v>Notícias - Demolição - Casa de Detenção do Carandiru</x:v>
      </x:c>
      <x:c r="J323" s="10" t="str">
        <x:v>Pasta: 0001</x:v>
      </x:c>
      <x:c r="K323" s="10" t="str">
        <x:v>BR-SPCARANDIRU_ARCOENGE-NOTDEMOLI-CSDTCARANDIRU_AVS-NOT-NDT-DT1_0001-013.mp4</x:v>
      </x:c>
      <x:c r="L323"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323" s="10" t="str">
        <x:v>Vinheta da Rede Record, veiculada no programa São Paulo no Ar em 2005.</x:v>
      </x:c>
      <x:c r="N323"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323" s="10" t="str">
        <x:v>Sistema prisional; Demolição; Implosão; Casa de Detenção de São Paulo; Carandiru</x:v>
      </x:c>
      <x:c r="P323" s="10" t="str">
        <x:v>Audiovisual</x:v>
      </x:c>
      <x:c r="Q323" s="10" t="str">
        <x:v>Possivelmente, filmagem digital ou vídeo digital. Optou-se por "não determinado" por incerteza quanto ao processo da técnica.</x:v>
      </x:c>
      <x:c r="R323" s="10" t="str">
        <x:v>Figura n – [Vinheta da Rede Record, veiculada no programa São Paulo no Ar em 2005.] Fonte: RECORD, 2005.</x:v>
      </x:c>
      <x:c r="S323" s="10" t="str">
        <x:v>RECORD. [Vinheta da Rede Record, veiculada no programa São Paulo no Ar em 2005.]. São Paulo, Brasil. 17 jul. 2005. Originalmente DVD (suporte físico óptico). Com tratamento, tornou-se arquivo eletrônico (MP4) em suporte digital/nato-digital. Disponível em: &lt;link do dataverse&gt;. Acesso em: 21 mai. 2026.</x:v>
      </x:c>
      <x:c r="T323" s="10" t="str">
        <x:v>Este item pertencia à pasta intitulada "Implosão carandiru - noticiário".</x:v>
      </x:c>
      <x:c r="U323" s="10" t="str">
        <x:v>AVS</x:v>
      </x:c>
      <x:c r="V323" s="10" t="str">
        <x:v>NOT</x:v>
      </x:c>
      <x:c r="W323" s="10" t="str">
        <x:v>NDT</x:v>
      </x:c>
      <x:c r="X323" s="10" t="str">
        <x:v>DT1</x:v>
      </x:c>
      <x:c r="Y323" s="10" t="str">
        <x:v>BR-SPCARANDIRU_ARCOENGE-NOTDEMOLI-CSDTCARANDIRU.xlsx</x:v>
      </x:c>
      <x:c r="Z323" s="10" t="str">
        <x:v>Demolicao</x:v>
      </x:c>
      <x:c r="AA323" s="11" t="n">
        <x:v>14</x:v>
      </x:c>
      <x:c r="AB323" s="10" t="str">
        <x:v>BR-SPCARANDIRU_ARCOENGE-NOTDEMOLI-CSDTCARANDIRU.xlsx:Demolicao:14</x:v>
      </x:c>
      <x:c r="AC323" s="11" t="n">
        <x:f>COLUMNS(A323:T323)-COUNTBLANK(A323:T323)</x:f>
        <x:v>20</x:v>
      </x:c>
    </x:row>
    <x:row r="324" ht="48" hidden="0" customHeight="1">
      <x:c r="A324" s="10" t="str">
        <x:v>014</x:v>
      </x:c>
      <x:c r="B324" s="10" t="str">
        <x:v>Trecho de reportagem da Rede Record, veiculada no programa Fala Brasil [Parte 1] em 2005.</x:v>
      </x:c>
      <x:c r="C324" s="10" t="str">
        <x:v>Item</x:v>
      </x:c>
      <x:c r="D324" s="10" t="str">
        <x:v>2005-07-17 00:00:00</x:v>
      </x:c>
      <x:c r="E324" s="10" t="str">
        <x:v>00:03:12</x:v>
      </x:c>
      <x:c r="F324" s="10" t="str">
        <x:v>Originalmente DVD (suporte físico óptico). Com tratamento, tornou-se arquivo eletrônico (MP4) em suporte digital/nato-digital</x:v>
      </x:c>
      <x:c r="G324" s="10" t="str">
        <x:v>São Paulo, Brasil</x:v>
      </x:c>
      <x:c r="H324" s="10" t="str">
        <x:v>Grupo de Pesquisa em Direito e Violência de Estado</x:v>
      </x:c>
      <x:c r="I324" s="10" t="str">
        <x:v>Notícias - Demolição - Casa de Detenção do Carandiru</x:v>
      </x:c>
      <x:c r="J324" s="10" t="str">
        <x:v>Pasta: 0001</x:v>
      </x:c>
      <x:c r="K324" s="10" t="str">
        <x:v>BR-SPCARANDIRU_ARCOENGE-NOTDEMOLI-CSDTCARANDIRU_AVS-NOT-NDT-DT1_0001-014.mp4</x:v>
      </x:c>
      <x:c r="L324"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324" s="10" t="str">
        <x:v>Demolição dos pavilhões 2 e 5 da casa de detenção do Carandiru. Trecho de reportagem da Rede Record, veiculada no programa Fala Brasil [Parte 1] em 2005.</x:v>
      </x:c>
      <x:c r="N324"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324" s="10" t="str">
        <x:v>Sistema prisional; Demolição; Implosão; Casa de Detenção de São Paulo; Carandiru</x:v>
      </x:c>
      <x:c r="P324" s="10" t="str">
        <x:v>Audiovisual</x:v>
      </x:c>
      <x:c r="Q324" s="10" t="str">
        <x:v>Possivelmente, filmagem digital ou vídeo digital. Optou-se por "não determinado" por incerteza quanto ao processo da técnica.</x:v>
      </x:c>
      <x:c r="R324" s="10" t="str">
        <x:v>Figura n – [Trecho de reportagem da Rede Record, veiculada no programa Fala Brasil [Parte 1] em 2005.] Fonte: RECORD, 2005.</x:v>
      </x:c>
      <x:c r="S324" s="10" t="str">
        <x:v>RECORD. [Trecho de reportagem da Rede Record, veiculada no programa Fala Brasil [Parte 1] em 2005.]. São Paulo, Brasil. 17 jul. 2005. Originalmente DVD (suporte físico óptico). Com tratamento, tornou-se arquivo eletrônico (MP4) em suporte digital/nato-digital. Disponível em: &lt;link do dataverse&gt;. Acesso em: 21 mai. 2026.</x:v>
      </x:c>
      <x:c r="T324" s="10" t="str">
        <x:v>Este item pertencia à pasta intitulada "Implosão carandiru - noticiário".</x:v>
      </x:c>
      <x:c r="U324" s="10" t="str">
        <x:v>AVS</x:v>
      </x:c>
      <x:c r="V324" s="10" t="str">
        <x:v>NOT</x:v>
      </x:c>
      <x:c r="W324" s="10" t="str">
        <x:v>NDT</x:v>
      </x:c>
      <x:c r="X324" s="10" t="str">
        <x:v>DT1</x:v>
      </x:c>
      <x:c r="Y324" s="10" t="str">
        <x:v>BR-SPCARANDIRU_ARCOENGE-NOTDEMOLI-CSDTCARANDIRU.xlsx</x:v>
      </x:c>
      <x:c r="Z324" s="10" t="str">
        <x:v>Demolicao</x:v>
      </x:c>
      <x:c r="AA324" s="11" t="n">
        <x:v>15</x:v>
      </x:c>
      <x:c r="AB324" s="10" t="str">
        <x:v>BR-SPCARANDIRU_ARCOENGE-NOTDEMOLI-CSDTCARANDIRU.xlsx:Demolicao:15</x:v>
      </x:c>
      <x:c r="AC324" s="11" t="n">
        <x:f>COLUMNS(A324:T324)-COUNTBLANK(A324:T324)</x:f>
        <x:v>20</x:v>
      </x:c>
    </x:row>
    <x:row r="325" ht="48" hidden="0" customHeight="1">
      <x:c r="A325" s="10" t="str">
        <x:v>015</x:v>
      </x:c>
      <x:c r="B325" s="10" t="str">
        <x:v>Trecho de reportagem da Rede Record, veiculada no programa Edição de Notícias em 2005.</x:v>
      </x:c>
      <x:c r="C325" s="10" t="str">
        <x:v>Item</x:v>
      </x:c>
      <x:c r="D325" s="10" t="str">
        <x:v>2005-07-17 00:00:00</x:v>
      </x:c>
      <x:c r="E325" s="10" t="str">
        <x:v>00:02:50</x:v>
      </x:c>
      <x:c r="F325" s="10" t="str">
        <x:v>Originalmente DVD (suporte físico óptico). Com tratamento, tornou-se arquivo eletrônico (MP4) em suporte digital/nato-digital</x:v>
      </x:c>
      <x:c r="G325" s="10" t="str">
        <x:v>São Paulo, Brasil</x:v>
      </x:c>
      <x:c r="H325" s="10" t="str">
        <x:v>Grupo de Pesquisa em Direito e Violência de Estado</x:v>
      </x:c>
      <x:c r="I325" s="10" t="str">
        <x:v>Notícias - Demolição - Casa de Detenção do Carandiru</x:v>
      </x:c>
      <x:c r="J325" s="10" t="str">
        <x:v>Pasta: 0001</x:v>
      </x:c>
      <x:c r="K325" s="10" t="str">
        <x:v>BR-SPCARANDIRU_ARCOENGE-NOTDEMOLI-CSDTCARANDIRU_AVS-NOT-NDT-DT1_0001-015.mp4</x:v>
      </x:c>
      <x:c r="L325"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325" s="10" t="str">
        <x:v>Demolição dos pavilhões 2 e 5 da casa de detenção do Carandiru. Trecho de reportagem da Rede Record, veiculada no programa Edição de Notícias em 2005.</x:v>
      </x:c>
      <x:c r="N325"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325" s="10" t="str">
        <x:v>Sistema prisional; Demolição; Implosão; Casa de Detenção de São Paulo; Carandiru</x:v>
      </x:c>
      <x:c r="P325" s="10" t="str">
        <x:v>Audiovisual</x:v>
      </x:c>
      <x:c r="Q325" s="10" t="str">
        <x:v>Possivelmente, filmagem digital ou vídeo digital. Optou-se por "não determinado" por incerteza quanto ao processo da técnica.</x:v>
      </x:c>
      <x:c r="R325" s="10" t="str">
        <x:v>Figura n – [Trecho de reportagem da Rede Record, veiculada no programa Edição de Notícias em 2005.] Fonte: RECORD, 2005.</x:v>
      </x:c>
      <x:c r="S325" s="10" t="str">
        <x:v>RECORD. [Trecho de reportagem da Rede Record, veiculada no programa Edição de Notícias em 2005.]. São Paulo, Brasil. 17 jul. 2005. Originalmente DVD (suporte físico óptico). Com tratamento, tornou-se arquivo eletrônico (MP4) em suporte digital/nato-digital. Disponível em: &lt;link do dataverse&gt;. Acesso em: 21 mai. 2026.</x:v>
      </x:c>
      <x:c r="T325" s="10" t="str">
        <x:v>Este item pertencia à pasta intitulada "Implosão carandiru - noticiário".</x:v>
      </x:c>
      <x:c r="U325" s="10" t="str">
        <x:v>AVS</x:v>
      </x:c>
      <x:c r="V325" s="10" t="str">
        <x:v>NOT</x:v>
      </x:c>
      <x:c r="W325" s="10" t="str">
        <x:v>NDT</x:v>
      </x:c>
      <x:c r="X325" s="10" t="str">
        <x:v>DT1</x:v>
      </x:c>
      <x:c r="Y325" s="10" t="str">
        <x:v>BR-SPCARANDIRU_ARCOENGE-NOTDEMOLI-CSDTCARANDIRU.xlsx</x:v>
      </x:c>
      <x:c r="Z325" s="10" t="str">
        <x:v>Demolicao</x:v>
      </x:c>
      <x:c r="AA325" s="11" t="n">
        <x:v>16</x:v>
      </x:c>
      <x:c r="AB325" s="10" t="str">
        <x:v>BR-SPCARANDIRU_ARCOENGE-NOTDEMOLI-CSDTCARANDIRU.xlsx:Demolicao:16</x:v>
      </x:c>
      <x:c r="AC325" s="11" t="n">
        <x:f>COLUMNS(A325:T325)-COUNTBLANK(A325:T325)</x:f>
        <x:v>20</x:v>
      </x:c>
    </x:row>
    <x:row r="326" ht="48" hidden="0" customHeight="1">
      <x:c r="A326" s="10" t="str">
        <x:v>016</x:v>
      </x:c>
      <x:c r="B326" s="10" t="str">
        <x:v>Trecho de reportagem da Rede Record, veiculada no programa Jornal da Record em 2005.</x:v>
      </x:c>
      <x:c r="C326" s="10" t="str">
        <x:v>Item</x:v>
      </x:c>
      <x:c r="D326" s="10" t="str">
        <x:v>2005-07-17 00:00:00</x:v>
      </x:c>
      <x:c r="E326" s="10" t="str">
        <x:v>00:01:14</x:v>
      </x:c>
      <x:c r="F326" s="10" t="str">
        <x:v>Originalmente DVD (suporte físico óptico). Com tratamento, tornou-se arquivo eletrônico (MP4) em suporte digital/nato-digital</x:v>
      </x:c>
      <x:c r="G326" s="10" t="str">
        <x:v>São Paulo, Brasil</x:v>
      </x:c>
      <x:c r="H326" s="10" t="str">
        <x:v>Grupo de Pesquisa em Direito e Violência de Estado</x:v>
      </x:c>
      <x:c r="I326" s="10" t="str">
        <x:v>Notícias - Demolição - Casa de Detenção do Carandiru</x:v>
      </x:c>
      <x:c r="J326" s="10" t="str">
        <x:v>Pasta: 0001</x:v>
      </x:c>
      <x:c r="K326" s="10" t="str">
        <x:v>BR-SPCARANDIRU_ARCOENGE-NOTDEMOLI-CSDTCARANDIRU_AVS-NOT-NDT-DT1_0001-016.mp4</x:v>
      </x:c>
      <x:c r="L326"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326" s="10" t="str">
        <x:v>Demolição dos pavilhões 2 e 5 da casa de detenção do Carandiru. Trecho de reportagem da Rede Record, veiculada no programa Jornal da Record em 2005.</x:v>
      </x:c>
      <x:c r="N326"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326" s="10" t="str">
        <x:v>Sistema prisional; Demolição; Implosão; Casa de Detenção de São Paulo; Carandiru</x:v>
      </x:c>
      <x:c r="P326" s="10" t="str">
        <x:v>Audiovisual</x:v>
      </x:c>
      <x:c r="Q326" s="10" t="str">
        <x:v>Possivelmente, filmagem digital ou vídeo digital. Optou-se por "não determinado" por incerteza quanto ao processo da técnica.</x:v>
      </x:c>
      <x:c r="R326" s="10" t="str">
        <x:v>Figura n – [Trecho de reportagem da Rede Record, veiculada no programa Jornal da Record em 2005.] Fonte: RECORD, 2005.</x:v>
      </x:c>
      <x:c r="S326" s="10" t="str">
        <x:v>RECORD. [Trecho de reportagem da Rede Record, veiculada no programa Jornal da Record em 2005.]. São Paulo, Brasil. 17 jul. 2005. Originalmente DVD (suporte físico óptico). Com tratamento, tornou-se arquivo eletrônico (MP4) em suporte digital/nato-digital. Disponível em: &lt;link do dataverse&gt;. Acesso em: 21 mai. 2026.</x:v>
      </x:c>
      <x:c r="T326" s="10" t="str">
        <x:v>Este item pertencia à pasta intitulada "Implosão carandiru - noticiário".</x:v>
      </x:c>
      <x:c r="U326" s="10" t="str">
        <x:v>AVS</x:v>
      </x:c>
      <x:c r="V326" s="10" t="str">
        <x:v>NOT</x:v>
      </x:c>
      <x:c r="W326" s="10" t="str">
        <x:v>NDT</x:v>
      </x:c>
      <x:c r="X326" s="10" t="str">
        <x:v>DT1</x:v>
      </x:c>
      <x:c r="Y326" s="10" t="str">
        <x:v>BR-SPCARANDIRU_ARCOENGE-NOTDEMOLI-CSDTCARANDIRU.xlsx</x:v>
      </x:c>
      <x:c r="Z326" s="10" t="str">
        <x:v>Demolicao</x:v>
      </x:c>
      <x:c r="AA326" s="11" t="n">
        <x:v>17</x:v>
      </x:c>
      <x:c r="AB326" s="10" t="str">
        <x:v>BR-SPCARANDIRU_ARCOENGE-NOTDEMOLI-CSDTCARANDIRU.xlsx:Demolicao:17</x:v>
      </x:c>
      <x:c r="AC326" s="11" t="n">
        <x:f>COLUMNS(A326:T326)-COUNTBLANK(A326:T326)</x:f>
        <x:v>20</x:v>
      </x:c>
    </x:row>
    <x:row r="327" ht="48" hidden="0" customHeight="1">
      <x:c r="A327" s="10" t="str">
        <x:v>017</x:v>
      </x:c>
      <x:c r="B327" s="10" t="str">
        <x:v>Trecho de reportagem da Rede Record, veiculada no programa Domingo Espetacular em 2005.</x:v>
      </x:c>
      <x:c r="C327" s="10" t="str">
        <x:v>Item</x:v>
      </x:c>
      <x:c r="D327" s="10" t="str">
        <x:v>2005-07-17 00:00:00</x:v>
      </x:c>
      <x:c r="E327" s="10" t="str">
        <x:v>00:01:01</x:v>
      </x:c>
      <x:c r="F327" s="10" t="str">
        <x:v>Originalmente DVD (suporte físico óptico). Com tratamento, tornou-se arquivo eletrônico (MP4) em suporte digital/nato-digital</x:v>
      </x:c>
      <x:c r="G327" s="10" t="str">
        <x:v>São Paulo, Brasil</x:v>
      </x:c>
      <x:c r="H327" s="10" t="str">
        <x:v>Grupo de Pesquisa em Direito e Violência de Estado</x:v>
      </x:c>
      <x:c r="I327" s="10" t="str">
        <x:v>Notícias - Demolição - Casa de Detenção do Carandiru</x:v>
      </x:c>
      <x:c r="J327" s="10" t="str">
        <x:v>Pasta: 0001</x:v>
      </x:c>
      <x:c r="K327" s="10" t="str">
        <x:v>BR-SPCARANDIRU_ARCOENGE-NOTDEMOLI-CSDTCARANDIRU_AVS-NOT-NDT-DT1_0001-017.mp4</x:v>
      </x:c>
      <x:c r="L327"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327" s="10" t="str">
        <x:v>Demolição dos pavilhões 2 e 5 da casa de detenção do Carandiru. Trecho de reportagem da Rede Record, veiculada no programa Domingo Espetacular em 2005.</x:v>
      </x:c>
      <x:c r="N327"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327" s="10" t="str">
        <x:v>Sistema prisional; Demolição; Implosão; Casa de Detenção de São Paulo; Carandiru</x:v>
      </x:c>
      <x:c r="P327" s="10" t="str">
        <x:v>Audiovisual</x:v>
      </x:c>
      <x:c r="Q327" s="10" t="str">
        <x:v>Possivelmente, filmagem digital ou vídeo digital. Optou-se por "não determinado" por incerteza quanto ao processo da técnica.</x:v>
      </x:c>
      <x:c r="R327" s="10" t="str">
        <x:v>Figura n – [Trecho de reportagem da Rede Record, veiculada no programa Domingo Espetacular em 2005.] Fonte: RECORD, 2005.</x:v>
      </x:c>
      <x:c r="S327" s="10" t="str">
        <x:v>RECORD. [Trecho de reportagem da Rede Record, veiculada no programa Domingo Espetacular em 2005.]. São Paulo, Brasil. 17 jul. 2005. Originalmente DVD (suporte físico óptico). Com tratamento, tornou-se arquivo eletrônico (MP4) em suporte digital/nato-digital. Disponível em: &lt;link do dataverse&gt;. Acesso em: 21 mai. 2026.</x:v>
      </x:c>
      <x:c r="T327" s="10" t="str">
        <x:v>Este item pertencia à pasta intitulada "Implosão carandiru - noticiário".</x:v>
      </x:c>
      <x:c r="U327" s="10" t="str">
        <x:v>AVS</x:v>
      </x:c>
      <x:c r="V327" s="10" t="str">
        <x:v>NOT</x:v>
      </x:c>
      <x:c r="W327" s="10" t="str">
        <x:v>NDT</x:v>
      </x:c>
      <x:c r="X327" s="10" t="str">
        <x:v>DT1</x:v>
      </x:c>
      <x:c r="Y327" s="10" t="str">
        <x:v>BR-SPCARANDIRU_ARCOENGE-NOTDEMOLI-CSDTCARANDIRU.xlsx</x:v>
      </x:c>
      <x:c r="Z327" s="10" t="str">
        <x:v>Demolicao</x:v>
      </x:c>
      <x:c r="AA327" s="11" t="n">
        <x:v>18</x:v>
      </x:c>
      <x:c r="AB327" s="10" t="str">
        <x:v>BR-SPCARANDIRU_ARCOENGE-NOTDEMOLI-CSDTCARANDIRU.xlsx:Demolicao:18</x:v>
      </x:c>
      <x:c r="AC327" s="11" t="n">
        <x:f>COLUMNS(A327:T327)-COUNTBLANK(A327:T327)</x:f>
        <x:v>20</x:v>
      </x:c>
    </x:row>
    <x:row r="328" ht="48" hidden="0" customHeight="1">
      <x:c r="A328" s="10" t="str">
        <x:v>018</x:v>
      </x:c>
      <x:c r="B328" s="10" t="str">
        <x:v>Trecho de reportagem da Rede Record, veiculada no programa São Paulo no Ar em 2005.</x:v>
      </x:c>
      <x:c r="C328" s="10" t="str">
        <x:v>Item</x:v>
      </x:c>
      <x:c r="D328" s="10" t="str">
        <x:v>2005-07-17 00:00:00</x:v>
      </x:c>
      <x:c r="E328" s="10" t="str">
        <x:v>00:04:56</x:v>
      </x:c>
      <x:c r="F328" s="10" t="str">
        <x:v>Originalmente DVD (suporte físico óptico). Com tratamento, tornou-se arquivo eletrônico (MP4) em suporte digital/nato-digital</x:v>
      </x:c>
      <x:c r="G328" s="10" t="str">
        <x:v>São Paulo, Brasil</x:v>
      </x:c>
      <x:c r="H328" s="10" t="str">
        <x:v>Grupo de Pesquisa em Direito e Violência de Estado</x:v>
      </x:c>
      <x:c r="I328" s="10" t="str">
        <x:v>Notícias - Demolição - Casa de Detenção do Carandiru</x:v>
      </x:c>
      <x:c r="J328" s="10" t="str">
        <x:v>Pasta: 0001</x:v>
      </x:c>
      <x:c r="K328" s="10" t="str">
        <x:v>BR-SPCARANDIRU_ARCOENGE-NOTDEMOLI-CSDTCARANDIRU_AVS-NOT-NDT-DT1_0001-018.mp4</x:v>
      </x:c>
      <x:c r="L328"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328" s="10" t="str">
        <x:v>Demolição dos pavilhões 2 e 5 da casa de detenção do Carandiru. Trecho de reportagem da Rede Record, veiculada no programa São Paulo no Ar em 2005.</x:v>
      </x:c>
      <x:c r="N328"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328" s="10" t="str">
        <x:v>Sistema prisional; Demolição; Implosão; Casa de Detenção de São Paulo; Carandiru</x:v>
      </x:c>
      <x:c r="P328" s="10" t="str">
        <x:v>Audiovisual</x:v>
      </x:c>
      <x:c r="Q328" s="10" t="str">
        <x:v>Possivelmente, filmagem digital ou vídeo digital. Optou-se por "não determinado" por incerteza quanto ao processo da técnica.</x:v>
      </x:c>
      <x:c r="R328" s="10" t="str">
        <x:v>Figura n – [Trecho de reportagem da Rede Record, veiculada no programa São Paulo no Ar em 2005.] Fonte: RECORD, 2005.</x:v>
      </x:c>
      <x:c r="S328" s="10" t="str">
        <x:v>RECORD. [Trecho de reportagem da Rede Record, veiculada no programa São Paulo no Ar em 2005.]. São Paulo, Brasil. 17 jul. 2005. Originalmente DVD (suporte físico óptico). Com tratamento, tornou-se arquivo eletrônico (MP4) em suporte digital/nato-digital. Disponível em: &lt;link do dataverse&gt;. Acesso em: 21 mai. 2026.</x:v>
      </x:c>
      <x:c r="T328" s="10" t="str">
        <x:v>Este item pertencia à pasta intitulada "Implosão carandiru - noticiário".</x:v>
      </x:c>
      <x:c r="U328" s="10" t="str">
        <x:v>AVS</x:v>
      </x:c>
      <x:c r="V328" s="10" t="str">
        <x:v>NOT</x:v>
      </x:c>
      <x:c r="W328" s="10" t="str">
        <x:v>NDT</x:v>
      </x:c>
      <x:c r="X328" s="10" t="str">
        <x:v>DT1</x:v>
      </x:c>
      <x:c r="Y328" s="10" t="str">
        <x:v>BR-SPCARANDIRU_ARCOENGE-NOTDEMOLI-CSDTCARANDIRU.xlsx</x:v>
      </x:c>
      <x:c r="Z328" s="10" t="str">
        <x:v>Demolicao</x:v>
      </x:c>
      <x:c r="AA328" s="11" t="n">
        <x:v>19</x:v>
      </x:c>
      <x:c r="AB328" s="10" t="str">
        <x:v>BR-SPCARANDIRU_ARCOENGE-NOTDEMOLI-CSDTCARANDIRU.xlsx:Demolicao:19</x:v>
      </x:c>
      <x:c r="AC328" s="11" t="n">
        <x:f>COLUMNS(A328:T328)-COUNTBLANK(A328:T328)</x:f>
        <x:v>20</x:v>
      </x:c>
    </x:row>
    <x:row r="329" ht="48" hidden="0" customHeight="1">
      <x:c r="A329" s="10" t="str">
        <x:v>019</x:v>
      </x:c>
      <x:c r="B329" s="10" t="str">
        <x:v>Trecho de reportagem da Rede Record, veiculada no programa Fala Brasil [Parte 2] em 2005.</x:v>
      </x:c>
      <x:c r="C329" s="10" t="str">
        <x:v>Item</x:v>
      </x:c>
      <x:c r="D329" s="10" t="str">
        <x:v>2005-07-17 00:00:00</x:v>
      </x:c>
      <x:c r="E329" s="10" t="str">
        <x:v>00:06:56</x:v>
      </x:c>
      <x:c r="F329" s="10" t="str">
        <x:v>Originalmente DVD (suporte físico óptico). Com tratamento, tornou-se arquivo eletrônico (MP4) em suporte digital/nato-digital</x:v>
      </x:c>
      <x:c r="G329" s="10" t="str">
        <x:v>São Paulo, Brasil</x:v>
      </x:c>
      <x:c r="H329" s="10" t="str">
        <x:v>Grupo de Pesquisa em Direito e Violência de Estado</x:v>
      </x:c>
      <x:c r="I329" s="10" t="str">
        <x:v>Notícias - Demolição - Casa de Detenção do Carandiru</x:v>
      </x:c>
      <x:c r="J329" s="10" t="str">
        <x:v>Pasta: 0001</x:v>
      </x:c>
      <x:c r="K329" s="10" t="str">
        <x:v>BR-SPCARANDIRU_ARCOENGE-NOTDEMOLI-CSDTCARANDIRU_AVS-NOT-NDT-DT1_0001-019.mp4</x:v>
      </x:c>
      <x:c r="L329"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329" s="10" t="str">
        <x:v>Demolição dos pavilhões 2 e 5 da casa de detenção do Carandiru. Trecho de reportagem da Rede Record, veiculada no programa Fala Brasil [Parte 2] em 2005.</x:v>
      </x:c>
      <x:c r="N329"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329" s="10" t="str">
        <x:v>Sistema prisional; Demolição; Implosão; Casa de Detenção de São Paulo; Carandiru</x:v>
      </x:c>
      <x:c r="P329" s="10" t="str">
        <x:v>Audiovisual</x:v>
      </x:c>
      <x:c r="Q329" s="10" t="str">
        <x:v>Possivelmente, filmagem digital ou vídeo digital. Optou-se por "não determinado" por incerteza quanto ao processo da técnica.</x:v>
      </x:c>
      <x:c r="R329" s="10" t="str">
        <x:v>Figura n – [Trecho de reportagem da Rede Record, veiculada no programa Fala Brasil [Parte 2] em 2005.] Fonte: RECORD, 2005.</x:v>
      </x:c>
      <x:c r="S329" s="10" t="str">
        <x:v>RECORD. [Trecho de reportagem da Rede Record, veiculada no programa Fala Brasil [Parte 2] em 2005.]. São Paulo, Brasil. 17 jul. 2005. Originalmente DVD (suporte físico óptico). Com tratamento, tornou-se arquivo eletrônico (MP4) em suporte digital/nato-digital. Disponível em: &lt;link do dataverse&gt;. Acesso em: 21 mai. 2026.</x:v>
      </x:c>
      <x:c r="T329" s="10" t="str">
        <x:v>Este item pertencia à pasta intitulada "Implosão carandiru - noticiário".</x:v>
      </x:c>
      <x:c r="U329" s="10" t="str">
        <x:v>AVS</x:v>
      </x:c>
      <x:c r="V329" s="10" t="str">
        <x:v>NOT</x:v>
      </x:c>
      <x:c r="W329" s="10" t="str">
        <x:v>NDT</x:v>
      </x:c>
      <x:c r="X329" s="10" t="str">
        <x:v>DT1</x:v>
      </x:c>
      <x:c r="Y329" s="10" t="str">
        <x:v>BR-SPCARANDIRU_ARCOENGE-NOTDEMOLI-CSDTCARANDIRU.xlsx</x:v>
      </x:c>
      <x:c r="Z329" s="10" t="str">
        <x:v>Demolicao</x:v>
      </x:c>
      <x:c r="AA329" s="11" t="n">
        <x:v>20</x:v>
      </x:c>
      <x:c r="AB329" s="10" t="str">
        <x:v>BR-SPCARANDIRU_ARCOENGE-NOTDEMOLI-CSDTCARANDIRU.xlsx:Demolicao:20</x:v>
      </x:c>
      <x:c r="AC329" s="11" t="n">
        <x:f>COLUMNS(A329:T329)-COUNTBLANK(A329:T329)</x:f>
        <x:v>20</x:v>
      </x:c>
    </x:row>
    <x:row r="330" ht="48" hidden="0" customHeight="1">
      <x:c r="A330" s="10" t="str">
        <x:v>020</x:v>
      </x:c>
      <x:c r="B330" s="10" t="str">
        <x:v>Trecho de reportagem da RedeTV!, veiculada no programa Esporte Notícias [Parte 1] em 2005.</x:v>
      </x:c>
      <x:c r="C330" s="10" t="str">
        <x:v>Item</x:v>
      </x:c>
      <x:c r="D330" s="10" t="str">
        <x:v>2005-07-17 00:00:00</x:v>
      </x:c>
      <x:c r="E330" s="10" t="str">
        <x:v>00:01:29</x:v>
      </x:c>
      <x:c r="F330" s="10" t="str">
        <x:v>Originalmente DVD (suporte físico óptico). Com tratamento, tornou-se arquivo eletrônico (MP4) em suporte digital/nato-digital</x:v>
      </x:c>
      <x:c r="G330" s="10" t="str">
        <x:v>São Paulo, Brasil</x:v>
      </x:c>
      <x:c r="H330" s="10" t="str">
        <x:v>Grupo de Pesquisa em Direito e Violência de Estado</x:v>
      </x:c>
      <x:c r="I330" s="10" t="str">
        <x:v>Notícias - Demolição - Casa de Detenção do Carandiru</x:v>
      </x:c>
      <x:c r="J330" s="10" t="str">
        <x:v>Pasta: 0001</x:v>
      </x:c>
      <x:c r="K330" s="10" t="str">
        <x:v>BR-SPCARANDIRU_ARCOENGE-NOTDEMOLI-CSDTCARANDIRU_AVS-NOT-NDT-DT1_0001-020.mp4</x:v>
      </x:c>
      <x:c r="L330"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330" s="10" t="str">
        <x:v>Demolição dos pavilhões 2 e 5 da casa de detenção do Carandiru. Trecho de reportagem da RedeTV!, veiculada no programa Esporte Notícias [Parte 1] em 2005.</x:v>
      </x:c>
      <x:c r="N330"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330" s="10" t="str">
        <x:v>Sistema prisional; Demolição; Implosão; Casa de Detenção de São Paulo; Carandiru</x:v>
      </x:c>
      <x:c r="P330" s="10" t="str">
        <x:v>Audiovisual</x:v>
      </x:c>
      <x:c r="Q330" s="10" t="str">
        <x:v>Possivelmente, filmagem digital ou vídeo digital. Optou-se por "não determinado" por incerteza quanto ao processo da técnica.</x:v>
      </x:c>
      <x:c r="R330" s="10" t="str">
        <x:v>Figura n – [Trecho de reportagem da RedeTV!, veiculada no programa Esporte Notícias [Parte 1] em 2005.] Fonte: REDE TV, 2005.</x:v>
      </x:c>
      <x:c r="S330" s="10" t="str">
        <x:v>REDE TV!. [Trecho de reportagem da RedeTV!, veiculada no programa Esporte Notícias [Parte 1] em 2005.]. São Paulo, Brasil. 17 jul. 2005. Originalmente DVD (suporte físico óptico). Com tratamento, tornou-se arquivo eletrônico (MP4) em suporte digital/nato-digital. Disponível em: &lt;link do dataverse&gt;. Acesso em: 21 mai. 2026.</x:v>
      </x:c>
      <x:c r="T330" s="10" t="str">
        <x:v>Este item pertencia à pasta intitulada "Implosão carandiru - noticiário".</x:v>
      </x:c>
      <x:c r="U330" s="10" t="str">
        <x:v>AVS</x:v>
      </x:c>
      <x:c r="V330" s="10" t="str">
        <x:v>NOT</x:v>
      </x:c>
      <x:c r="W330" s="10" t="str">
        <x:v>NDT</x:v>
      </x:c>
      <x:c r="X330" s="10" t="str">
        <x:v>DT1</x:v>
      </x:c>
      <x:c r="Y330" s="10" t="str">
        <x:v>BR-SPCARANDIRU_ARCOENGE-NOTDEMOLI-CSDTCARANDIRU.xlsx</x:v>
      </x:c>
      <x:c r="Z330" s="10" t="str">
        <x:v>Demolicao</x:v>
      </x:c>
      <x:c r="AA330" s="11" t="n">
        <x:v>21</x:v>
      </x:c>
      <x:c r="AB330" s="10" t="str">
        <x:v>BR-SPCARANDIRU_ARCOENGE-NOTDEMOLI-CSDTCARANDIRU.xlsx:Demolicao:21</x:v>
      </x:c>
      <x:c r="AC330" s="11" t="n">
        <x:f>COLUMNS(A330:T330)-COUNTBLANK(A330:T330)</x:f>
        <x:v>20</x:v>
      </x:c>
    </x:row>
    <x:row r="331" ht="48" hidden="0" customHeight="1">
      <x:c r="A331" s="10" t="str">
        <x:v>021</x:v>
      </x:c>
      <x:c r="B331" s="10" t="str">
        <x:v>Trecho de reportagem da RedeTV!, veiculada no programa Jornal da TV em 2005.</x:v>
      </x:c>
      <x:c r="C331" s="10" t="str">
        <x:v>Item</x:v>
      </x:c>
      <x:c r="D331" s="10" t="str">
        <x:v>2005-07-17 00:00:00</x:v>
      </x:c>
      <x:c r="E331" s="10" t="str">
        <x:v>00:02:35</x:v>
      </x:c>
      <x:c r="F331" s="10" t="str">
        <x:v>Originalmente DVD (suporte físico óptico). Com tratamento, tornou-se arquivo eletrônico (MP4) em suporte digital/nato-digital</x:v>
      </x:c>
      <x:c r="G331" s="10" t="str">
        <x:v>São Paulo, Brasil</x:v>
      </x:c>
      <x:c r="H331" s="10" t="str">
        <x:v>Grupo de Pesquisa em Direito e Violência de Estado</x:v>
      </x:c>
      <x:c r="I331" s="10" t="str">
        <x:v>Notícias - Demolição - Casa de Detenção do Carandiru</x:v>
      </x:c>
      <x:c r="J331" s="10" t="str">
        <x:v>Pasta: 0001</x:v>
      </x:c>
      <x:c r="K331" s="10" t="str">
        <x:v>BR-SPCARANDIRU_ARCOENGE-NOTDEMOLI-CSDTCARANDIRU_AVS-NOT-NDT-DT1_0001-021.mp4</x:v>
      </x:c>
      <x:c r="L331"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331" s="10" t="str">
        <x:v>Demolição dos pavilhões 2 e 5 da casa de detenção do Carandiru. Trecho de reportagem da RedeTV!, veiculada no programa Jornal da TV em 2005.</x:v>
      </x:c>
      <x:c r="N331"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331" s="10" t="str">
        <x:v>Sistema prisional; Demolição; Implosão; Casa de Detenção de São Paulo; Carandiru</x:v>
      </x:c>
      <x:c r="P331" s="10" t="str">
        <x:v>Audiovisual</x:v>
      </x:c>
      <x:c r="Q331" s="10" t="str">
        <x:v>Possivelmente, filmagem digital ou vídeo digital. Optou-se por "não determinado" por incerteza quanto ao processo da técnica.</x:v>
      </x:c>
      <x:c r="R331" s="10" t="str">
        <x:v>Figura n – [Trecho de reportagem da RedeTV!, veiculada no programa Jornal da TV em 2005.] Fonte: REDE TV, 2005.</x:v>
      </x:c>
      <x:c r="S331" s="10" t="str">
        <x:v>REDE TV!. [Trecho de reportagem da RedeTV!, veiculada no programa Jornal da TV em 2005.]. São Paulo, Brasil. 17 jul. 2005. Originalmente DVD (suporte físico óptico). Com tratamento, tornou-se arquivo eletrônico (MP4) em suporte digital/nato-digital. Disponível em: &lt;link do dataverse&gt;. Acesso em: 21 mai. 2026.</x:v>
      </x:c>
      <x:c r="T331" s="10" t="str">
        <x:v>Este item pertencia à pasta intitulada "Implosão carandiru - noticiário".</x:v>
      </x:c>
      <x:c r="U331" s="10" t="str">
        <x:v>AVS</x:v>
      </x:c>
      <x:c r="V331" s="10" t="str">
        <x:v>NOT</x:v>
      </x:c>
      <x:c r="W331" s="10" t="str">
        <x:v>NDT</x:v>
      </x:c>
      <x:c r="X331" s="10" t="str">
        <x:v>DT1</x:v>
      </x:c>
      <x:c r="Y331" s="10" t="str">
        <x:v>BR-SPCARANDIRU_ARCOENGE-NOTDEMOLI-CSDTCARANDIRU.xlsx</x:v>
      </x:c>
      <x:c r="Z331" s="10" t="str">
        <x:v>Demolicao</x:v>
      </x:c>
      <x:c r="AA331" s="11" t="n">
        <x:v>22</x:v>
      </x:c>
      <x:c r="AB331" s="10" t="str">
        <x:v>BR-SPCARANDIRU_ARCOENGE-NOTDEMOLI-CSDTCARANDIRU.xlsx:Demolicao:22</x:v>
      </x:c>
      <x:c r="AC331" s="11" t="n">
        <x:f>COLUMNS(A331:T331)-COUNTBLANK(A331:T331)</x:f>
        <x:v>20</x:v>
      </x:c>
    </x:row>
    <x:row r="332" ht="48" hidden="0" customHeight="1">
      <x:c r="A332" s="10" t="str">
        <x:v>022</x:v>
      </x:c>
      <x:c r="B332" s="10" t="str">
        <x:v>Trecho de reportagem da RedeTV!, veiculada no programa Leitura Dinâmica em 2005.</x:v>
      </x:c>
      <x:c r="C332" s="10" t="str">
        <x:v>Item</x:v>
      </x:c>
      <x:c r="D332" s="10" t="str">
        <x:v>2005-07-17 00:00:00</x:v>
      </x:c>
      <x:c r="E332" s="10" t="str">
        <x:v>00:02:01</x:v>
      </x:c>
      <x:c r="F332" s="10" t="str">
        <x:v>Originalmente DVD (suporte físico óptico). Com tratamento, tornou-se arquivo eletrônico (MP4) em suporte digital/nato-digital</x:v>
      </x:c>
      <x:c r="G332" s="10" t="str">
        <x:v>São Paulo, Brasil</x:v>
      </x:c>
      <x:c r="H332" s="10" t="str">
        <x:v>Grupo de Pesquisa em Direito e Violência de Estado</x:v>
      </x:c>
      <x:c r="I332" s="10" t="str">
        <x:v>Notícias - Demolição - Casa de Detenção do Carandiru</x:v>
      </x:c>
      <x:c r="J332" s="10" t="str">
        <x:v>Pasta: 0001</x:v>
      </x:c>
      <x:c r="K332" s="10" t="str">
        <x:v>BR-SPCARANDIRU_ARCOENGE-NOTDEMOLI-CSDTCARANDIRU_AVS-NOT-NDT-DT1_0001-022.mp4</x:v>
      </x:c>
      <x:c r="L332"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332" s="10" t="str">
        <x:v>Demolição dos pavilhões 2 e 5 da casa de detenção do Carandiru. Trecho de reportagem da RedeTV!, veiculada no programa Leitura Dinâmica em 2005.</x:v>
      </x:c>
      <x:c r="N332"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332" s="10" t="str">
        <x:v>Sistema prisional; Demolição; Implosão; Casa de Detenção de São Paulo; Carandiru</x:v>
      </x:c>
      <x:c r="P332" s="10" t="str">
        <x:v>Audiovisual</x:v>
      </x:c>
      <x:c r="Q332" s="10" t="str">
        <x:v>Possivelmente, filmagem digital ou vídeo digital. Optou-se por "não determinado" por incerteza quanto ao processo da técnica.</x:v>
      </x:c>
      <x:c r="R332" s="10" t="str">
        <x:v>Figura n – [Trecho de reportagem da RedeTV!, veiculada no programa Leitura Dinâmica em 2005.] Fonte: REDE TV, 2005.</x:v>
      </x:c>
      <x:c r="S332" s="10" t="str">
        <x:v>REDE TV!. [Trecho de reportagem da RedeTV!, veiculada no programa Leitura Dinâmica em 2005.]. São Paulo, Brasil. 17 jul. 2005. Originalmente DVD (suporte físico óptico). Com tratamento, tornou-se arquivo eletrônico (MP4) em suporte digital/nato-digital. Disponível em: &lt;link do dataverse&gt;. Acesso em: 21 mai. 2026.</x:v>
      </x:c>
      <x:c r="T332" s="10" t="str">
        <x:v>Este item pertencia à pasta intitulada "Implosão carandiru - noticiário".</x:v>
      </x:c>
      <x:c r="U332" s="10" t="str">
        <x:v>AVS</x:v>
      </x:c>
      <x:c r="V332" s="10" t="str">
        <x:v>NOT</x:v>
      </x:c>
      <x:c r="W332" s="10" t="str">
        <x:v>NDT</x:v>
      </x:c>
      <x:c r="X332" s="10" t="str">
        <x:v>DT1</x:v>
      </x:c>
      <x:c r="Y332" s="10" t="str">
        <x:v>BR-SPCARANDIRU_ARCOENGE-NOTDEMOLI-CSDTCARANDIRU.xlsx</x:v>
      </x:c>
      <x:c r="Z332" s="10" t="str">
        <x:v>Demolicao</x:v>
      </x:c>
      <x:c r="AA332" s="11" t="n">
        <x:v>23</x:v>
      </x:c>
      <x:c r="AB332" s="10" t="str">
        <x:v>BR-SPCARANDIRU_ARCOENGE-NOTDEMOLI-CSDTCARANDIRU.xlsx:Demolicao:23</x:v>
      </x:c>
      <x:c r="AC332" s="11" t="n">
        <x:f>COLUMNS(A332:T332)-COUNTBLANK(A332:T332)</x:f>
        <x:v>20</x:v>
      </x:c>
    </x:row>
    <x:row r="333" ht="48" hidden="0" customHeight="1">
      <x:c r="A333" s="10" t="str">
        <x:v>023</x:v>
      </x:c>
      <x:c r="B333" s="10" t="str">
        <x:v>Trecho de reportagem da RedeTV!, veiculada no programa Notícias do Brasil em 2005.</x:v>
      </x:c>
      <x:c r="C333" s="10" t="str">
        <x:v>Item</x:v>
      </x:c>
      <x:c r="D333" s="10" t="str">
        <x:v>2005-07-17 00:00:00</x:v>
      </x:c>
      <x:c r="E333" s="10" t="str">
        <x:v>00:01:18</x:v>
      </x:c>
      <x:c r="F333" s="10" t="str">
        <x:v>Originalmente DVD (suporte físico óptico). Com tratamento, tornou-se arquivo eletrônico (MP4) em suporte digital/nato-digital</x:v>
      </x:c>
      <x:c r="G333" s="10" t="str">
        <x:v>São Paulo, Brasil</x:v>
      </x:c>
      <x:c r="H333" s="10" t="str">
        <x:v>Grupo de Pesquisa em Direito e Violência de Estado</x:v>
      </x:c>
      <x:c r="I333" s="10" t="str">
        <x:v>Notícias - Demolição - Casa de Detenção do Carandiru</x:v>
      </x:c>
      <x:c r="J333" s="10" t="str">
        <x:v>Pasta: 0001</x:v>
      </x:c>
      <x:c r="K333" s="10" t="str">
        <x:v>BR-SPCARANDIRU_ARCOENGE-NOTDEMOLI-CSDTCARANDIRU_AVS-NOT-NDT-DT1_0001-023.mp4</x:v>
      </x:c>
      <x:c r="L333"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333" s="10" t="str">
        <x:v>Demolição dos pavilhões 2 e 5 da casa de detenção do Carandiru. Trecho de reportagem da RedeTV!, veiculada no programa Notícias do Brasil em 2005.</x:v>
      </x:c>
      <x:c r="N333"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333" s="10" t="str">
        <x:v>Sistema prisional; Demolição; Implosão; Casa de Detenção de São Paulo; Carandiru</x:v>
      </x:c>
      <x:c r="P333" s="10" t="str">
        <x:v>Audiovisual</x:v>
      </x:c>
      <x:c r="Q333" s="10" t="str">
        <x:v>Possivelmente, filmagem digital ou vídeo digital. Optou-se por "não determinado" por incerteza quanto ao processo da técnica.</x:v>
      </x:c>
      <x:c r="R333" s="10" t="str">
        <x:v>Figura n – [Trecho de reportagem da RedeTV!, veiculada no programa Notícias do Brasil em 2005.] Fonte: REDE TV, 2005.</x:v>
      </x:c>
      <x:c r="S333" s="10" t="str">
        <x:v>REDE TV!. [Trecho de reportagem da RedeTV!, veiculada no programa Notícias do Brasil em 2005.]. São Paulo, Brasil. 17 jul. 2005. Originalmente DVD (suporte físico óptico). Com tratamento, tornou-se arquivo eletrônico (MP4) em suporte digital/nato-digital. Disponível em: &lt;link do dataverse&gt;. Acesso em: 21 mai. 2026.</x:v>
      </x:c>
      <x:c r="T333" s="10" t="str">
        <x:v>Este item pertencia à pasta intitulada "Implosão carandiru - noticiário".</x:v>
      </x:c>
      <x:c r="U333" s="10" t="str">
        <x:v>AVS</x:v>
      </x:c>
      <x:c r="V333" s="10" t="str">
        <x:v>NOT</x:v>
      </x:c>
      <x:c r="W333" s="10" t="str">
        <x:v>NDT</x:v>
      </x:c>
      <x:c r="X333" s="10" t="str">
        <x:v>DT1</x:v>
      </x:c>
      <x:c r="Y333" s="10" t="str">
        <x:v>BR-SPCARANDIRU_ARCOENGE-NOTDEMOLI-CSDTCARANDIRU.xlsx</x:v>
      </x:c>
      <x:c r="Z333" s="10" t="str">
        <x:v>Demolicao</x:v>
      </x:c>
      <x:c r="AA333" s="11" t="n">
        <x:v>24</x:v>
      </x:c>
      <x:c r="AB333" s="10" t="str">
        <x:v>BR-SPCARANDIRU_ARCOENGE-NOTDEMOLI-CSDTCARANDIRU.xlsx:Demolicao:24</x:v>
      </x:c>
      <x:c r="AC333" s="11" t="n">
        <x:f>COLUMNS(A333:T333)-COUNTBLANK(A333:T333)</x:f>
        <x:v>20</x:v>
      </x:c>
    </x:row>
    <x:row r="334" ht="48" hidden="0" customHeight="1">
      <x:c r="A334" s="10" t="str">
        <x:v>024</x:v>
      </x:c>
      <x:c r="B334" s="10" t="str">
        <x:v>Trecho de reportagem da RedeTV!, veiculada no programa Esporte Notícias [Parte 2] em 2005.</x:v>
      </x:c>
      <x:c r="C334" s="10" t="str">
        <x:v>Item</x:v>
      </x:c>
      <x:c r="D334" s="10" t="str">
        <x:v>2005-07-17 00:00:00</x:v>
      </x:c>
      <x:c r="E334" s="10" t="str">
        <x:v>00:01:49</x:v>
      </x:c>
      <x:c r="F334" s="10" t="str">
        <x:v>Originalmente DVD (suporte físico óptico). Com tratamento, tornou-se arquivo eletrônico (MP4) em suporte digital/nato-digital</x:v>
      </x:c>
      <x:c r="G334" s="10" t="str">
        <x:v>São Paulo, Brasil</x:v>
      </x:c>
      <x:c r="H334" s="10" t="str">
        <x:v>Grupo de Pesquisa em Direito e Violência de Estado</x:v>
      </x:c>
      <x:c r="I334" s="10" t="str">
        <x:v>Notícias - Demolição - Casa de Detenção do Carandiru</x:v>
      </x:c>
      <x:c r="J334" s="10" t="str">
        <x:v>Pasta: 0001</x:v>
      </x:c>
      <x:c r="K334" s="10" t="str">
        <x:v>BR-SPCARANDIRU_ARCOENGE-NOTDEMOLI-CSDTCARANDIRU_AVS-NOT-NDT-DT1_0001-024.mp4</x:v>
      </x:c>
      <x:c r="L334"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334" s="10" t="str">
        <x:v>Demolição dos pavilhões 2 e 5 da casa de detenção do Carandiru. Trecho de reportagem da RedeTV!, veiculada no programa Esporte Notícias [Parte 2] em 2005.</x:v>
      </x:c>
      <x:c r="N334"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334" s="10" t="str">
        <x:v>Sistema prisional; Demolição; Implosão; Casa de Detenção de São Paulo; Carandiru</x:v>
      </x:c>
      <x:c r="P334" s="10" t="str">
        <x:v>Audiovisual</x:v>
      </x:c>
      <x:c r="Q334" s="10" t="str">
        <x:v>Possivelmente, filmagem digital ou vídeo digital. Optou-se por "não determinado" por incerteza quanto ao processo da técnica.</x:v>
      </x:c>
      <x:c r="R334" s="10" t="str">
        <x:v>Figura n – [Trecho de reportagem da RedeTV!, veiculada no programa Esporte Notícias [Parte 2] em 2005.] Fonte: REDE TV, 2005.</x:v>
      </x:c>
      <x:c r="S334" s="10" t="str">
        <x:v>REDE TV!. [Trecho de reportagem da RedeTV!, veiculada no programa Esporte Notícias [Parte 2] em 2005.]. São Paulo, Brasil. 17 jul. 2005. Originalmente DVD (suporte físico óptico). Com tratamento, tornou-se arquivo eletrônico (MP4) em suporte digital/nato-digital. Disponível em: &lt;link do dataverse&gt;. Acesso em: 21 mai. 2026.</x:v>
      </x:c>
      <x:c r="T334" s="10" t="str">
        <x:v>Este item pertencia à pasta intitulada "Implosão carandiru - noticiário".</x:v>
      </x:c>
      <x:c r="U334" s="10" t="str">
        <x:v>AVS</x:v>
      </x:c>
      <x:c r="V334" s="10" t="str">
        <x:v>NOT</x:v>
      </x:c>
      <x:c r="W334" s="10" t="str">
        <x:v>NDT</x:v>
      </x:c>
      <x:c r="X334" s="10" t="str">
        <x:v>DT1</x:v>
      </x:c>
      <x:c r="Y334" s="10" t="str">
        <x:v>BR-SPCARANDIRU_ARCOENGE-NOTDEMOLI-CSDTCARANDIRU.xlsx</x:v>
      </x:c>
      <x:c r="Z334" s="10" t="str">
        <x:v>Demolicao</x:v>
      </x:c>
      <x:c r="AA334" s="11" t="n">
        <x:v>25</x:v>
      </x:c>
      <x:c r="AB334" s="10" t="str">
        <x:v>BR-SPCARANDIRU_ARCOENGE-NOTDEMOLI-CSDTCARANDIRU.xlsx:Demolicao:25</x:v>
      </x:c>
      <x:c r="AC334" s="11" t="n">
        <x:f>COLUMNS(A334:T334)-COUNTBLANK(A334:T334)</x:f>
        <x:v>20</x:v>
      </x:c>
    </x:row>
    <x:row r="335" ht="48" hidden="0" customHeight="1">
      <x:c r="A335" s="10" t="str">
        <x:v>025</x:v>
      </x:c>
      <x:c r="B335" s="10" t="str">
        <x:v>Trecho de reportagem do SBT, veiculada no programa Jornal do SBT [Parte 1] em 2005.</x:v>
      </x:c>
      <x:c r="C335" s="10" t="str">
        <x:v>Item</x:v>
      </x:c>
      <x:c r="D335" s="10" t="str">
        <x:v>2005-07-17 00:00:00</x:v>
      </x:c>
      <x:c r="E335" s="10" t="str">
        <x:v>00:00:30</x:v>
      </x:c>
      <x:c r="F335" s="10" t="str">
        <x:v>Originalmente DVD (suporte físico óptico). Com tratamento, tornou-se arquivo eletrônico (MP4) em suporte digital/nato-digital</x:v>
      </x:c>
      <x:c r="G335" s="10" t="str">
        <x:v>São Paulo, Brasil</x:v>
      </x:c>
      <x:c r="H335" s="10" t="str">
        <x:v>Grupo de Pesquisa em Direito e Violência de Estado</x:v>
      </x:c>
      <x:c r="I335" s="10" t="str">
        <x:v>Notícias - Demolição - Casa de Detenção do Carandiru</x:v>
      </x:c>
      <x:c r="J335" s="10" t="str">
        <x:v>Pasta: 0001</x:v>
      </x:c>
      <x:c r="K335" s="10" t="str">
        <x:v>BR-SPCARANDIRU_ARCOENGE-NOTDEMOLI-CSDTCARANDIRU_AVS-NOT-NDT-DT1_0001-025.mp4</x:v>
      </x:c>
      <x:c r="L335"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335" s="10" t="str">
        <x:v>Demolição dos pavilhões 2 e 5 da casa de detenção do Carandiru. Trecho de reportagem do SBT, veiculada no programa Jornal do SBT [Parte 1] em 2005.</x:v>
      </x:c>
      <x:c r="N335"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335" s="10" t="str">
        <x:v>Sistema prisional; Demolição; Implosão; Casa de Detenção de São Paulo; Carandiru</x:v>
      </x:c>
      <x:c r="P335" s="10" t="str">
        <x:v>Audiovisual</x:v>
      </x:c>
      <x:c r="Q335" s="10" t="str">
        <x:v>Possivelmente, filmagem digital ou vídeo digital. Optou-se por "não determinado" por incerteza quanto ao processo da técnica.</x:v>
      </x:c>
      <x:c r="R335" s="10" t="str">
        <x:v>Figura n – [Trecho de reportagem do SBT, veiculada no programa Jornal do SBT [Parte 1] em 2005.] Fonte: SBT, 2005.</x:v>
      </x:c>
      <x:c r="S335" s="10" t="str">
        <x:v>SBT. [Trecho de reportagem do SBT, veiculada no programa Jornal do SBT [Parte 1] em 2005.]. São Paulo, Brasil. 17 jul. 2005. Originalmente DVD (suporte físico óptico). Com tratamento, tornou-se arquivo eletrônico (MP4) em suporte digital/nato-digital. Disponível em: &lt;link do dataverse&gt;. Acesso em: 21 mai. 2026.</x:v>
      </x:c>
      <x:c r="T335" s="10" t="str">
        <x:v>Este item pertencia à pasta intitulada "Implosão carandiru - noticiário".</x:v>
      </x:c>
      <x:c r="U335" s="10" t="str">
        <x:v>AVS</x:v>
      </x:c>
      <x:c r="V335" s="10" t="str">
        <x:v>NOT</x:v>
      </x:c>
      <x:c r="W335" s="10" t="str">
        <x:v>NDT</x:v>
      </x:c>
      <x:c r="X335" s="10" t="str">
        <x:v>DT1</x:v>
      </x:c>
      <x:c r="Y335" s="10" t="str">
        <x:v>BR-SPCARANDIRU_ARCOENGE-NOTDEMOLI-CSDTCARANDIRU.xlsx</x:v>
      </x:c>
      <x:c r="Z335" s="10" t="str">
        <x:v>Demolicao</x:v>
      </x:c>
      <x:c r="AA335" s="11" t="n">
        <x:v>26</x:v>
      </x:c>
      <x:c r="AB335" s="10" t="str">
        <x:v>BR-SPCARANDIRU_ARCOENGE-NOTDEMOLI-CSDTCARANDIRU.xlsx:Demolicao:26</x:v>
      </x:c>
      <x:c r="AC335" s="11" t="n">
        <x:f>COLUMNS(A335:T335)-COUNTBLANK(A335:T335)</x:f>
        <x:v>20</x:v>
      </x:c>
    </x:row>
    <x:row r="336" ht="48" hidden="0" customHeight="1">
      <x:c r="A336" s="10" t="str">
        <x:v>026</x:v>
      </x:c>
      <x:c r="B336" s="10" t="str">
        <x:v>Trecho de reportagem do SBT, veiculada no programa Domingo Legal em 2005.</x:v>
      </x:c>
      <x:c r="C336" s="10" t="str">
        <x:v>Item</x:v>
      </x:c>
      <x:c r="D336" s="10" t="str">
        <x:v>2005-07-17 00:00:00</x:v>
      </x:c>
      <x:c r="E336" s="10" t="str">
        <x:v>00:14:08</x:v>
      </x:c>
      <x:c r="F336" s="10" t="str">
        <x:v>Originalmente DVD (suporte físico óptico). Com tratamento, tornou-se arquivo eletrônico (MP4) em suporte digital/nato-digital</x:v>
      </x:c>
      <x:c r="G336" s="10" t="str">
        <x:v>São Paulo, Brasil</x:v>
      </x:c>
      <x:c r="H336" s="10" t="str">
        <x:v>Grupo de Pesquisa em Direito e Violência de Estado</x:v>
      </x:c>
      <x:c r="I336" s="10" t="str">
        <x:v>Notícias - Demolição - Casa de Detenção do Carandiru</x:v>
      </x:c>
      <x:c r="J336" s="10" t="str">
        <x:v>Pasta: 0001</x:v>
      </x:c>
      <x:c r="K336" s="10" t="str">
        <x:v>BR-SPCARANDIRU_ARCOENGE-NOTDEMOLI-CSDTCARANDIRU_AVS-NOT-NDT-DT1_0001-026.mp4</x:v>
      </x:c>
      <x:c r="L336"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336" s="10" t="str">
        <x:v>Demolição dos pavilhões 2 e 5 da casa de detenção do Carandiru. Trecho de reportagem do SBT, veiculada no programa Domingo Legal em 2005.</x:v>
      </x:c>
      <x:c r="N336"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336" s="10" t="str">
        <x:v>Sistema prisional; Demolição; Implosão; Casa de Detenção de São Paulo; Carandiru</x:v>
      </x:c>
      <x:c r="P336" s="10" t="str">
        <x:v>Audiovisual</x:v>
      </x:c>
      <x:c r="Q336" s="10" t="str">
        <x:v>Possivelmente, filmagem digital ou vídeo digital. Optou-se por "não determinado" por incerteza quanto ao processo da técnica.</x:v>
      </x:c>
      <x:c r="R336" s="10" t="str">
        <x:v>Figura n – [Trecho de reportagem do SBT, veiculada no programa Domingo Legal em 2005.] Fonte: SBT, 2005.</x:v>
      </x:c>
      <x:c r="S336" s="10" t="str">
        <x:v>SBT. [Trecho de reportagem do SBT, veiculada no programa Domingo Legal em 2005.]. São Paulo, Brasil. 17 jul. 2005. Originalmente DVD (suporte físico óptico). Com tratamento, tornou-se arquivo eletrônico (MP4) em suporte digital/nato-digital. Disponível em: &lt;link do dataverse&gt;. Acesso em: 21 mai. 2026.</x:v>
      </x:c>
      <x:c r="T336" s="10" t="str">
        <x:v>Este item pertencia à pasta intitulada "Implosão carandiru - noticiário".</x:v>
      </x:c>
      <x:c r="U336" s="10" t="str">
        <x:v>AVS</x:v>
      </x:c>
      <x:c r="V336" s="10" t="str">
        <x:v>NOT</x:v>
      </x:c>
      <x:c r="W336" s="10" t="str">
        <x:v>NDT</x:v>
      </x:c>
      <x:c r="X336" s="10" t="str">
        <x:v>DT1</x:v>
      </x:c>
      <x:c r="Y336" s="10" t="str">
        <x:v>BR-SPCARANDIRU_ARCOENGE-NOTDEMOLI-CSDTCARANDIRU.xlsx</x:v>
      </x:c>
      <x:c r="Z336" s="10" t="str">
        <x:v>Demolicao</x:v>
      </x:c>
      <x:c r="AA336" s="11" t="n">
        <x:v>27</x:v>
      </x:c>
      <x:c r="AB336" s="10" t="str">
        <x:v>BR-SPCARANDIRU_ARCOENGE-NOTDEMOLI-CSDTCARANDIRU.xlsx:Demolicao:27</x:v>
      </x:c>
      <x:c r="AC336" s="11" t="n">
        <x:f>COLUMNS(A336:T336)-COUNTBLANK(A336:T336)</x:f>
        <x:v>20</x:v>
      </x:c>
    </x:row>
    <x:row r="337" ht="48" hidden="0" customHeight="1">
      <x:c r="A337" s="10" t="str">
        <x:v>027</x:v>
      </x:c>
      <x:c r="B337" s="10" t="str">
        <x:v>Trecho de reportagem do SBT, veiculada no programa Jornal do SBT [Parte 2] em 2005.</x:v>
      </x:c>
      <x:c r="C337" s="10" t="str">
        <x:v>Item</x:v>
      </x:c>
      <x:c r="D337" s="10" t="str">
        <x:v>2005-07-17 00:00:00</x:v>
      </x:c>
      <x:c r="E337" s="10" t="str">
        <x:v>00:01:44</x:v>
      </x:c>
      <x:c r="F337" s="10" t="str">
        <x:v>Originalmente DVD (suporte físico óptico). Com tratamento, tornou-se arquivo eletrônico (MP4) em suporte digital/nato-digital</x:v>
      </x:c>
      <x:c r="G337" s="10" t="str">
        <x:v>São Paulo, Brasil</x:v>
      </x:c>
      <x:c r="H337" s="10" t="str">
        <x:v>Grupo de Pesquisa em Direito e Violência de Estado</x:v>
      </x:c>
      <x:c r="I337" s="10" t="str">
        <x:v>Notícias - Demolição - Casa de Detenção do Carandiru</x:v>
      </x:c>
      <x:c r="J337" s="10" t="str">
        <x:v>Pasta: 0001</x:v>
      </x:c>
      <x:c r="K337" s="10" t="str">
        <x:v>BR-SPCARANDIRU_ARCOENGE-NOTDEMOLI-CSDTCARANDIRU_AVS-NOT-NDT-DT1_0001-027.mp4</x:v>
      </x:c>
      <x:c r="L337"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337" s="10" t="str">
        <x:v>Demolição dos pavilhões 2 e 5 da casa de detenção do Carandiru. Trecho de reportagem do SBT, veiculada no programa Jornal do SBT [Parte 2] em 2005.</x:v>
      </x:c>
      <x:c r="N337"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337" s="10" t="str">
        <x:v>Sistema prisional; Demolição; Implosão; Casa de Detenção de São Paulo; Carandiru</x:v>
      </x:c>
      <x:c r="P337" s="10" t="str">
        <x:v>Audiovisual</x:v>
      </x:c>
      <x:c r="Q337" s="10" t="str">
        <x:v>Possivelmente, filmagem digital ou vídeo digital. Optou-se por "não determinado" por incerteza quanto ao processo da técnica.</x:v>
      </x:c>
      <x:c r="R337" s="10" t="str">
        <x:v>Figura n – [Trecho de reportagem do SBT, veiculada no programa Jornal do SBT [Parte 2] em 2005.] Fonte: SBT, 2005.</x:v>
      </x:c>
      <x:c r="S337" s="10" t="str">
        <x:v>SBT. [Trecho de reportagem do SBT, veiculada no programa Jornal do SBT [Parte 2] em 2005.]. São Paulo, Brasil. 17 jul. 2005. Originalmente DVD (suporte físico óptico). Com tratamento, tornou-se arquivo eletrônico (MP4) em suporte digital/nato-digital. Disponível em: &lt;link do dataverse&gt;. Acesso em: 21 mai. 2026.</x:v>
      </x:c>
      <x:c r="T337" s="10" t="str">
        <x:v>Este item pertencia à pasta intitulada "Implosão carandiru - noticiário".</x:v>
      </x:c>
      <x:c r="U337" s="10" t="str">
        <x:v>AVS</x:v>
      </x:c>
      <x:c r="V337" s="10" t="str">
        <x:v>NOT</x:v>
      </x:c>
      <x:c r="W337" s="10" t="str">
        <x:v>NDT</x:v>
      </x:c>
      <x:c r="X337" s="10" t="str">
        <x:v>DT1</x:v>
      </x:c>
      <x:c r="Y337" s="10" t="str">
        <x:v>BR-SPCARANDIRU_ARCOENGE-NOTDEMOLI-CSDTCARANDIRU.xlsx</x:v>
      </x:c>
      <x:c r="Z337" s="10" t="str">
        <x:v>Demolicao</x:v>
      </x:c>
      <x:c r="AA337" s="11" t="n">
        <x:v>28</x:v>
      </x:c>
      <x:c r="AB337" s="10" t="str">
        <x:v>BR-SPCARANDIRU_ARCOENGE-NOTDEMOLI-CSDTCARANDIRU.xlsx:Demolicao:28</x:v>
      </x:c>
      <x:c r="AC337" s="11" t="n">
        <x:f>COLUMNS(A337:T337)-COUNTBLANK(A337:T337)</x:f>
        <x:v>20</x:v>
      </x:c>
    </x:row>
    <x:row r="338" ht="48" hidden="0" customHeight="1">
      <x:c r="A338" s="10" t="str">
        <x:v>028</x:v>
      </x:c>
      <x:c r="B338" s="10" t="str">
        <x:v>Trecho de reportagem de emissora Canal 21 (Rede 21 Comunicações S.A.), veiculada no programa Jornal 21 em 2005.</x:v>
      </x:c>
      <x:c r="C338" s="10" t="str">
        <x:v>Item</x:v>
      </x:c>
      <x:c r="D338" s="10" t="str">
        <x:v>2005-07-17 00:00:00</x:v>
      </x:c>
      <x:c r="E338" s="10" t="str">
        <x:v>00:00:51</x:v>
      </x:c>
      <x:c r="F338" s="10" t="str">
        <x:v>Originalmente DVD (suporte físico óptico). Com tratamento, tornou-se arquivo eletrônico (MP4) em suporte digital/nato-digital</x:v>
      </x:c>
      <x:c r="G338" s="10" t="str">
        <x:v>São Paulo, Brasil</x:v>
      </x:c>
      <x:c r="H338" s="10" t="str">
        <x:v>Grupo de Pesquisa em Direito e Violência de Estado</x:v>
      </x:c>
      <x:c r="I338" s="10" t="str">
        <x:v>Notícias - Demolição - Casa de Detenção do Carandiru</x:v>
      </x:c>
      <x:c r="J338" s="10" t="str">
        <x:v>Pasta: 0001</x:v>
      </x:c>
      <x:c r="K338" s="10" t="str">
        <x:v>BR-SPCARANDIRU_ARCOENGE-NOTDEMOLI-CSDTCARANDIRU_AVS-NOT-NDT-DT1_0001-028.mp4</x:v>
      </x:c>
      <x:c r="L338"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338" s="10" t="str">
        <x:v>Demolição dos pavilhões 2 e 5 da casa de detenção do Carandiru. Trecho de reportagem de emissora Canal 21 (Rede 21 Comunicações S.A.), veiculada no programa Jornal 21 em 2005.</x:v>
      </x:c>
      <x:c r="N338"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338" s="10" t="str">
        <x:v>Sistema prisional; Demolição; Implosão; Casa de Detenção de São Paulo; Carandiru</x:v>
      </x:c>
      <x:c r="P338" s="10" t="str">
        <x:v>Audiovisual</x:v>
      </x:c>
      <x:c r="Q338" s="10" t="str">
        <x:v>Possivelmente, filmagem digital ou vídeo digital. Optou-se por "não determinado" por incerteza quanto ao processo da técnica.</x:v>
      </x:c>
      <x:c r="R338" s="10" t="str">
        <x:v>Figura n – [Trecho de reportagem de emissora Canal 21 (Rede 21 Comunicações S.A.), veiculada no programa Jornal 21 em 2005.] Fonte: Rede 21 Comunicações S.A., 2005.</x:v>
      </x:c>
      <x:c r="S338" s="10" t="str">
        <x:v>REDE 21 COMUNICAÇÕES S.A. [Trecho de reportagem de emissora Canal 21 (Rede 21 Comunicações S.A.), veiculada no programa Jornal 21 em 2005.]. São Paulo, Brasil. 17 jul. 2005. Originalmente DVD (suporte físico óptico). Com tratamento, tornou-se arquivo eletrônico (MP4) em suporte digital/nato-digital. Disponível em: &lt;link do dataverse&gt;. Acesso em: 21 mai. 2026.</x:v>
      </x:c>
      <x:c r="T338" s="10" t="str">
        <x:v>Este item pertencia à pasta intitulada "Implosão carandiru - noticiário".</x:v>
      </x:c>
      <x:c r="U338" s="10" t="str">
        <x:v>AVS</x:v>
      </x:c>
      <x:c r="V338" s="10" t="str">
        <x:v>NOT</x:v>
      </x:c>
      <x:c r="W338" s="10" t="str">
        <x:v>NDT</x:v>
      </x:c>
      <x:c r="X338" s="10" t="str">
        <x:v>DT1</x:v>
      </x:c>
      <x:c r="Y338" s="10" t="str">
        <x:v>BR-SPCARANDIRU_ARCOENGE-NOTDEMOLI-CSDTCARANDIRU.xlsx</x:v>
      </x:c>
      <x:c r="Z338" s="10" t="str">
        <x:v>Demolicao</x:v>
      </x:c>
      <x:c r="AA338" s="11" t="n">
        <x:v>29</x:v>
      </x:c>
      <x:c r="AB338" s="10" t="str">
        <x:v>BR-SPCARANDIRU_ARCOENGE-NOTDEMOLI-CSDTCARANDIRU.xlsx:Demolicao:29</x:v>
      </x:c>
      <x:c r="AC338" s="11" t="n">
        <x:f>COLUMNS(A338:T338)-COUNTBLANK(A338:T338)</x:f>
        <x:v>20</x:v>
      </x:c>
    </x:row>
    <x:row r="339" ht="48" hidden="0" customHeight="1">
      <x:c r="A339" s="10" t="str">
        <x:v>029</x:v>
      </x:c>
      <x:c r="B339" s="10" t="str">
        <x:v>Vinheta de advertência do Arquivo de Imagem e Som, datada de 2005.</x:v>
      </x:c>
      <x:c r="C339" s="10" t="str">
        <x:v>Item</x:v>
      </x:c>
      <x:c r="D339" s="10" t="str">
        <x:v>2005-07-17 00:00:00</x:v>
      </x:c>
      <x:c r="E339" s="10" t="str">
        <x:v>00:02:53</x:v>
      </x:c>
      <x:c r="F339" s="10" t="str">
        <x:v>Originalmente DVD (suporte físico óptico). Com tratamento, tornou-se arquivo eletrônico (MP4) em suporte digital/nato-digital</x:v>
      </x:c>
      <x:c r="G339" s="10" t="str">
        <x:v>São Paulo, Brasil</x:v>
      </x:c>
      <x:c r="H339" s="10" t="str">
        <x:v>Grupo de Pesquisa em Direito e Violência de Estado</x:v>
      </x:c>
      <x:c r="I339" s="10" t="str">
        <x:v>Notícias - Demolição - Casa de Detenção do Carandiru</x:v>
      </x:c>
      <x:c r="J339" s="10" t="str">
        <x:v>Pasta: 0001</x:v>
      </x:c>
      <x:c r="K339" s="10" t="str">
        <x:v>BR-SPCARANDIRU_ARCOENGE-NOTDEMOLI-CSDTCARANDIRU_AVS-NOT-NDT-DT1_0001-029.mp4</x:v>
      </x:c>
      <x:c r="L339"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339" s="10" t="str">
        <x:v>Vinheta de advertência do Arquivo de Imagem e Som, datada de 2005.</x:v>
      </x:c>
      <x:c r="N339"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339" s="10" t="str">
        <x:v>Sistema prisional; Demolição; Implosão; Casa de Detenção de São Paulo; Carandiru</x:v>
      </x:c>
      <x:c r="P339" s="10" t="str">
        <x:v>Audiovisual</x:v>
      </x:c>
      <x:c r="Q339" s="10" t="str">
        <x:v>Possivelmente, filmagem digital ou vídeo digital. Optou-se por "não determinado" por incerteza quanto ao processo da técnica.</x:v>
      </x:c>
      <x:c r="R339" s="10" t="str">
        <x:v>Figura n – [Vinheta de advertência do Arquivo de Imagem e Som, datada de 2005.] Fonte: ARCHIVO DA IMAGEM &amp; DO SOM, 2005.</x:v>
      </x:c>
      <x:c r="S339" s="10" t="str">
        <x:v>ARCHIVO DA IMAGEM &amp; DO SOM. [Vinheta de advertência do Arquivo de Imagem e Som, datada de 2005.]. São Paulo, Brasil. 17 jul. 2005. Originalmente DVD (suporte físico óptico). Com tratamento, tornou-se arquivo eletrônico (MP4) em suporte digital/nato-digital. Disponível em: &lt;link do dataverse&gt;. Acesso em: 21 mai. 2026.</x:v>
      </x:c>
      <x:c r="T339" s="10" t="str">
        <x:v>Este item pertencia à pasta intitulada "Implosão carandiru - noticiário".</x:v>
      </x:c>
      <x:c r="U339" s="10" t="str">
        <x:v>AVS</x:v>
      </x:c>
      <x:c r="V339" s="10" t="str">
        <x:v>NOT</x:v>
      </x:c>
      <x:c r="W339" s="10" t="str">
        <x:v>NDT</x:v>
      </x:c>
      <x:c r="X339" s="10" t="str">
        <x:v>DT1</x:v>
      </x:c>
      <x:c r="Y339" s="10" t="str">
        <x:v>BR-SPCARANDIRU_ARCOENGE-NOTDEMOLI-CSDTCARANDIRU.xlsx</x:v>
      </x:c>
      <x:c r="Z339" s="10" t="str">
        <x:v>Demolicao</x:v>
      </x:c>
      <x:c r="AA339" s="11" t="n">
        <x:v>30</x:v>
      </x:c>
      <x:c r="AB339" s="10" t="str">
        <x:v>BR-SPCARANDIRU_ARCOENGE-NOTDEMOLI-CSDTCARANDIRU.xlsx:Demolicao:30</x:v>
      </x:c>
      <x:c r="AC339" s="11" t="n">
        <x:f>COLUMNS(A339:T339)-COUNTBLANK(A339:T339)</x:f>
        <x:v>20</x:v>
      </x:c>
    </x:row>
    <x:row r="340" ht="48" hidden="0" customHeight="1">
      <x:c r="A340" s="10" t="str">
        <x:v>030</x:v>
      </x:c>
      <x:c r="B340" s="10" t="str">
        <x:v>Trecho de reportagem sem identificação de autoria prévia (Clipe 4), datada de 2005.</x:v>
      </x:c>
      <x:c r="C340" s="10" t="str">
        <x:v>Item</x:v>
      </x:c>
      <x:c r="D340" s="10" t="str">
        <x:v>2005-07-17 00:00:00</x:v>
      </x:c>
      <x:c r="E340" s="10" t="str">
        <x:v>00:04:55</x:v>
      </x:c>
      <x:c r="F340" s="10" t="str">
        <x:v>Originalmente DVD (suporte físico óptico). Com tratamento, tornou-se arquivo eletrônico (MP4) em suporte digital/nato-digital</x:v>
      </x:c>
      <x:c r="G340" s="10" t="str">
        <x:v>São Paulo, Brasil</x:v>
      </x:c>
      <x:c r="H340" s="10" t="str">
        <x:v>Grupo de Pesquisa em Direito e Violência de Estado</x:v>
      </x:c>
      <x:c r="I340" s="10" t="str">
        <x:v>Notícias - Demolição - Casa de Detenção do Carandiru</x:v>
      </x:c>
      <x:c r="J340" s="10" t="str">
        <x:v>Pasta: 0001</x:v>
      </x:c>
      <x:c r="K340" s="10" t="str">
        <x:v>BR-SPCARANDIRU_ARCOENGE-NOTDEMOLI-CSDTCARANDIRU_AVS-NOT-NDT-DT1_0001-030.mp4</x:v>
      </x:c>
      <x:c r="L340"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340" s="10" t="str">
        <x:v>Demolição dos pavilhões 2 e 5 da casa de detenção do Carandiru. Trecho de reportagem sem identificação de autoria prévia (Clipe 4), datada de 2005.</x:v>
      </x:c>
      <x:c r="N340"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340" s="10" t="str">
        <x:v>Sistema prisional; Demolição; Implosão; Casa de Detenção de São Paulo; Carandiru</x:v>
      </x:c>
      <x:c r="P340" s="10" t="str">
        <x:v>Audiovisual</x:v>
      </x:c>
      <x:c r="Q340" s="10" t="str">
        <x:v>Possivelmente, filmagem digital ou vídeo digital. Optou-se por "não determinado" por incerteza quanto ao processo da técnica.</x:v>
      </x:c>
      <x:c r="R340" s="10" t="str">
        <x:v>Figura n – [Trecho de reportagem sem identificação de autoria prévia (Clipe 4), datada de 2005.] Fonte: AUTORIA DESCONHECIDO, 2005.</x:v>
      </x:c>
      <x:c r="S340" s="10" t="str">
        <x:v>AUTORIA DESCONHECIDA. [Trecho de reportagem sem identificação de autoria prévia (Clipe 4), datada de 2005.]. São Paulo, Brasil. 17 jul. 2005. Originalmente DVD (suporte físico óptico). Com tratamento, tornou-se arquivo eletrônico (MP4) em suporte digital/nato-digital. Disponível em: &lt;link do dataverse&gt;. Acesso em: 21 mai. 2026.</x:v>
      </x:c>
      <x:c r="T340" s="10" t="str">
        <x:v>Este item pertencia à pasta intitulada "Implosão carandiru - noticiário".</x:v>
      </x:c>
      <x:c r="U340" s="10" t="str">
        <x:v>AVS</x:v>
      </x:c>
      <x:c r="V340" s="10" t="str">
        <x:v>NOT</x:v>
      </x:c>
      <x:c r="W340" s="10" t="str">
        <x:v>NDT</x:v>
      </x:c>
      <x:c r="X340" s="10" t="str">
        <x:v>DT1</x:v>
      </x:c>
      <x:c r="Y340" s="10" t="str">
        <x:v>BR-SPCARANDIRU_ARCOENGE-NOTDEMOLI-CSDTCARANDIRU.xlsx</x:v>
      </x:c>
      <x:c r="Z340" s="10" t="str">
        <x:v>Demolicao</x:v>
      </x:c>
      <x:c r="AA340" s="11" t="n">
        <x:v>31</x:v>
      </x:c>
      <x:c r="AB340" s="10" t="str">
        <x:v>BR-SPCARANDIRU_ARCOENGE-NOTDEMOLI-CSDTCARANDIRU.xlsx:Demolicao:31</x:v>
      </x:c>
      <x:c r="AC340" s="11" t="n">
        <x:f>COLUMNS(A340:T340)-COUNTBLANK(A340:T340)</x:f>
        <x:v>20</x:v>
      </x:c>
    </x:row>
    <x:row r="341" ht="48" hidden="0" customHeight="1">
      <x:c r="A341" s="10" t="str">
        <x:v>031</x:v>
      </x:c>
      <x:c r="B341" s="10" t="str">
        <x:v>Trecho de reportagem com Manoel Jorge Diniz Dias para o programa SPTV na Globo.</x:v>
      </x:c>
      <x:c r="C341" s="10" t="str">
        <x:v>Item</x:v>
      </x:c>
      <x:c r="D341" s="10" t="str">
        <x:v>Sem data</x:v>
      </x:c>
      <x:c r="E341" s="10" t="str">
        <x:v>00:02:36</x:v>
      </x:c>
      <x:c r="F341" s="10" t="str">
        <x:v>Originalmente DVD (suporte físico óptico). Com tratamento, tornou-se arquivo eletrônico (MP4) em suporte digital/nato-digital</x:v>
      </x:c>
      <x:c r="G341" s="10" t="str">
        <x:v>São Paulo, Brasil</x:v>
      </x:c>
      <x:c r="H341" s="10" t="str">
        <x:v>Grupo de Pesquisa em Direito e Violência de Estado</x:v>
      </x:c>
      <x:c r="I341" s="10" t="str">
        <x:v>Notícias - Demolição - Casa de Detenção do Carandiru</x:v>
      </x:c>
      <x:c r="J341" s="10" t="str">
        <x:v>Pasta: 0001</x:v>
      </x:c>
      <x:c r="K341" s="10" t="str">
        <x:v>BR-SPCARANDIRU_ARCOENGE-NOTDEMOLI-CSDTCARANDIRU_AVS-NOT-NDT-DT1_0001-031.mp4</x:v>
      </x:c>
      <x:c r="L341"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341" s="10" t="str">
        <x:v>Trecho de reportagem com Manoel Jorge Diniz Dias para o programa SPTV na Globo. Manoel foi um dos engenheiros responsáveis pela implosão dos pavilhões do complexo do Carandiru. Conhecido como "Manezinho da Implosão", é um engenheiro de minas formado pela USP e especialista em implosões no país.</x:v>
      </x:c>
      <x:c r="N341"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341" s="10" t="str">
        <x:v>Sistema prisional; Demolição; Implosão; Casa de Detenção de São Paulo; Carandiru</x:v>
      </x:c>
      <x:c r="P341" s="10" t="str">
        <x:v>Audiovisual</x:v>
      </x:c>
      <x:c r="Q341" s="10" t="str">
        <x:v>Possivelmente, filmagem digital ou vídeo digital. Optou-se por "não determinado" por incerteza quanto ao processo da técnica.</x:v>
      </x:c>
      <x:c r="R341" s="10" t="str">
        <x:v>Figura n – [Trecho de reportagem com Manoel Jorge Diniz Dias para o programa SPTV na Globo.] Fonte: GLOBO, Sem data.</x:v>
      </x:c>
      <x:c r="S341" s="10" t="str">
        <x:v>GLOBO. [Trecho de reportagem com Manoel Jorge Diniz Dias para o programa SPTV na Globo.]. São Paulo, Brasil. Sem data sem data Sem data. Originalmente DVD (suporte físico óptico). Com tratamento, tornou-se arquivo eletrônico (MP4) em suporte digital/nato-digital. Disponível em: &lt;link do dataverse&gt;. Acesso em: 21 mai. 2026.</x:v>
      </x:c>
      <x:c r="T341" s="10" t="str">
        <x:v>Este item pertencia à pasta intitulada "Entrevista Manoel".</x:v>
      </x:c>
      <x:c r="U341" s="10" t="str">
        <x:v>AVS</x:v>
      </x:c>
      <x:c r="V341" s="10" t="str">
        <x:v>NOT</x:v>
      </x:c>
      <x:c r="W341" s="10" t="str">
        <x:v>NDT</x:v>
      </x:c>
      <x:c r="X341" s="10" t="str">
        <x:v>DT1</x:v>
      </x:c>
      <x:c r="Y341" s="10" t="str">
        <x:v>BR-SPCARANDIRU_ARCOENGE-NOTDEMOLI-CSDTCARANDIRU.xlsx</x:v>
      </x:c>
      <x:c r="Z341" s="10" t="str">
        <x:v>Demolicao</x:v>
      </x:c>
      <x:c r="AA341" s="11" t="n">
        <x:v>32</x:v>
      </x:c>
      <x:c r="AB341" s="10" t="str">
        <x:v>BR-SPCARANDIRU_ARCOENGE-NOTDEMOLI-CSDTCARANDIRU.xlsx:Demolicao:32</x:v>
      </x:c>
      <x:c r="AC341" s="11" t="n">
        <x:f>COLUMNS(A341:T341)-COUNTBLANK(A341:T341)</x:f>
        <x:v>20</x:v>
      </x:c>
    </x:row>
    <x:row r="342" ht="48" hidden="0" customHeight="1">
      <x:c r="A342" s="10" t="str">
        <x:v>031</x:v>
      </x:c>
      <x:c r="B342" s="10" t="str">
        <x:v>Entrevista com Manoel</x:v>
      </x:c>
      <x:c r="C342" s="10" t="str">
        <x:v>Conjunto</x:v>
      </x:c>
      <x:c r="D342" s="10" t="str">
        <x:v>Sem data</x:v>
      </x:c>
      <x:c r="E342" s="10" t="str"/>
      <x:c r="F342" s="10" t="str">
        <x:v>DVD (suporte físico óptico)</x:v>
      </x:c>
      <x:c r="G342" s="10" t="str">
        <x:v>São Paulo, Brasil</x:v>
      </x:c>
      <x:c r="H342" s="10" t="str">
        <x:v>Grupo de Pesquisa em Direito e Violência de Estado</x:v>
      </x:c>
      <x:c r="I342" s="10" t="str">
        <x:v>Notícias - Demolição - Casa de Detenção do Carandiru</x:v>
      </x:c>
      <x:c r="J342" s="10" t="str">
        <x:v>Pasta: 0001</x:v>
      </x:c>
      <x:c r="K342" s="10" t="str">
        <x:v>BR-SPCARANDIRU_ARCOENGE-NOTDEMOLI-CSDTCARANDIRU_AVS-NOT-NDT-DTX_0001-031</x:v>
      </x:c>
      <x:c r="L342"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342" s="10" t="str">
        <x:v>Registro audiovisual contendo trecho de reportagem veiculada pelo programa SPTV (Rede Globo). O vídeo centra-se em uma entrevista com Manoel Jorge Diniz Dias, conhecido como "Manezinho da Implosão", engenheiro de minas formado pela USP e um dos responsáveis técnicos pela implosão dos pavilhões do complexo da Casa de Detenção de São Paulo (Carandiru). O arquivo digital retém, em seus instantes iniciais, a tela de menu original do DVD de origem.</x:v>
      </x:c>
      <x:c r="N342"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342" s="10" t="str">
        <x:v>Sistema prisional; Demolição; Implosão; Casa de Detenção de São Paulo; Carandiru</x:v>
      </x:c>
      <x:c r="P342" s="10" t="str">
        <x:v>Audiovisual</x:v>
      </x:c>
      <x:c r="Q342" s="10" t="str">
        <x:v>Possivelmente, filmagem digital ou vídeo digital. Optou-se por "não determinado" por incerteza quanto ao processo da técnica.</x:v>
      </x:c>
      <x:c r="R342" s="10" t="str">
        <x:v>Figura n – [Entrevista com Manoel] Fonte: GLOBO. Acervo: GPDVE. Sem data.</x:v>
      </x:c>
      <x:c r="S342" s="10" t="str">
        <x:v>GLOBO. [Entrevista com Manoel]. São Paulo, Brasil. Sem data sem data Sem data. DVD (suporte físico óptico). Disponível em: &lt;link do dataverse&gt;. Acesso em: 21 mai. 2026.</x:v>
      </x:c>
      <x:c r="T342" s="10" t="str">
        <x:v>Este conjunto pertencia à pasta intitulada "Entrevista Manoel".</x:v>
      </x:c>
      <x:c r="U342" s="10" t="str">
        <x:v>AVS</x:v>
      </x:c>
      <x:c r="V342" s="10" t="str">
        <x:v>NOT</x:v>
      </x:c>
      <x:c r="W342" s="10" t="str">
        <x:v>NDT</x:v>
      </x:c>
      <x:c r="X342" s="10" t="str">
        <x:v>DTX</x:v>
      </x:c>
      <x:c r="Y342" s="10" t="str">
        <x:v>BR-SPCARANDIRU_ARCOENGE-NOTDEMOLI-CSDTCARANDIRU.xlsx</x:v>
      </x:c>
      <x:c r="Z342" s="10" t="str">
        <x:v>OriginalDVD</x:v>
      </x:c>
      <x:c r="AA342" s="11" t="n">
        <x:v>2</x:v>
      </x:c>
      <x:c r="AB342" s="10" t="str">
        <x:v>BR-SPCARANDIRU_ARCOENGE-NOTDEMOLI-CSDTCARANDIRU.xlsx:OriginalDVD:2</x:v>
      </x:c>
      <x:c r="AC342" s="11" t="n">
        <x:f>COLUMNS(A342:T342)-COUNTBLANK(A342:T342)</x:f>
        <x:v>19</x:v>
      </x:c>
    </x:row>
    <x:row r="343" ht="48" hidden="0" customHeight="1">
      <x:c r="A343" s="10" t="str">
        <x:v>001</x:v>
      </x:c>
      <x:c r="B343" s="10" t="str">
        <x:v>Cobertura jornalística da implosão dos pavilhões 2 e 5</x:v>
      </x:c>
      <x:c r="C343" s="10" t="str">
        <x:v>Conjunto</x:v>
      </x:c>
      <x:c r="D343" s="10" t="str">
        <x:v>2005-07-17 00:00:00</x:v>
      </x:c>
      <x:c r="E343" s="10" t="str"/>
      <x:c r="F343" s="10" t="str">
        <x:v>DVD (suporte físico óptico)</x:v>
      </x:c>
      <x:c r="G343" s="10" t="str">
        <x:v>São Paulo, Brasil</x:v>
      </x:c>
      <x:c r="H343" s="10" t="str">
        <x:v>Grupo de Pesquisa em Direito e Violência de Estado</x:v>
      </x:c>
      <x:c r="I343" s="10" t="str">
        <x:v>Notícias - Demolição - Casa de Detenção do Carandiru</x:v>
      </x:c>
      <x:c r="J343" s="10" t="str">
        <x:v>Pasta: 0001</x:v>
      </x:c>
      <x:c r="K343" s="10" t="str">
        <x:v>BR-SPCARANDIRU_ARCOENGE-NOTDEMOLI-CSDTCARANDIRU_AVS-NOT-NDT-DTX_0001-001</x:v>
      </x:c>
      <x:c r="L343"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x:v>
      </x:c>
      <x:c r="M343" s="10" t="str">
        <x:v>Compilação audiovisual contendo blocos de notícias e reportagens televisivas referentes ao processo de demolição e implosão dos pavilhões 2 e 5 da Casa de Detenção de São Paulo (Carandiru).</x:v>
      </x:c>
      <x:c r="N343" s="10" t="str">
        <x:v>O acesso aos documentos deste acervo está condicionado ao compromisso de não repassá-los a terceiros, à obrigatoriedade de mencionar que os originais pertencem à Arcoenge.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as autoras de qualquer responsabilidade.</x:v>
      </x:c>
      <x:c r="O343" s="10" t="str">
        <x:v>Sistema prisional; Demolição; Implosão; Casa de Detenção de São Paulo; Carandiru</x:v>
      </x:c>
      <x:c r="P343" s="10" t="str">
        <x:v>Audiovisual</x:v>
      </x:c>
      <x:c r="Q343" s="10" t="str">
        <x:v>Possivelmente, filmagem digital ou vídeo digital. Optou-se por "não determinado" por incerteza quanto ao processo da técnica.</x:v>
      </x:c>
      <x:c r="R343" s="10" t="str">
        <x:v>Figura n – [Cobertura jornalística da implosão dos pavilhões 2 e 5] Fonte: VÁRIOS AUTORES, 2005.</x:v>
      </x:c>
      <x:c r="S343" s="10" t="str">
        <x:v>VÁRIOS AUTORES. [Cobertura jornalística da implosão dos pavilhões 2 e 5]. São Paulo, Brasil. 17 jul. 2005. DVD (suporte físico óptico). Disponível em: &lt;link do dataverse&gt;. Acesso em: 21 mai. 2026.</x:v>
      </x:c>
      <x:c r="T343" s="10" t="str">
        <x:v>Este item pertencia à pasta intitulada "Implosão carandiru - noticiário".</x:v>
      </x:c>
      <x:c r="U343" s="10" t="str">
        <x:v>AVS</x:v>
      </x:c>
      <x:c r="V343" s="10" t="str">
        <x:v>NOT</x:v>
      </x:c>
      <x:c r="W343" s="10" t="str">
        <x:v>NDT</x:v>
      </x:c>
      <x:c r="X343" s="10" t="str">
        <x:v>DTX</x:v>
      </x:c>
      <x:c r="Y343" s="10" t="str">
        <x:v>BR-SPCARANDIRU_ARCOENGE-NOTDEMOLI-CSDTCARANDIRU.xlsx</x:v>
      </x:c>
      <x:c r="Z343" s="10" t="str">
        <x:v>OriginalDVD2</x:v>
      </x:c>
      <x:c r="AA343" s="11" t="n">
        <x:v>2</x:v>
      </x:c>
      <x:c r="AB343" s="10" t="str">
        <x:v>BR-SPCARANDIRU_ARCOENGE-NOTDEMOLI-CSDTCARANDIRU.xlsx:OriginalDVD2:2</x:v>
      </x:c>
      <x:c r="AC343" s="11" t="n">
        <x:f>COLUMNS(A343:T343)-COUNTBLANK(A343:T343)</x:f>
        <x:v>19</x:v>
      </x:c>
    </x:row>
    <x:row r="344" ht="144" hidden="0" customHeight="1">
      <x:c r="A344" s="10" t="str">
        <x:v>001</x:v>
      </x:c>
      <x:c r="B344" s="10" t="str">
        <x:v>Documentário "Penitenciária do Estado - 1928"</x:v>
      </x:c>
      <x:c r="C344" s="10" t="str">
        <x:v>Item</x:v>
      </x:c>
      <x:c r="D344" s="10" t="str">
        <x:v>1928-01-01 00:00:00</x:v>
      </x:c>
      <x:c r="E344" s="10" t="str">
        <x:v>00:07:10</x:v>
      </x:c>
      <x:c r="F344" s="10" t="str">
        <x:v>Originalmente DVD (suporte físico óptico). Com tratamento, tornou-se arquivo eletrônico (MP4) em suporte digital/nato-digital</x:v>
      </x:c>
      <x:c r="G344" s="10" t="str">
        <x:v>São Paulo, Brasil</x:v>
      </x:c>
      <x:c r="H344" s="10" t="str">
        <x:v>Grupo de Pesquisa em Direito e Violência de Estado</x:v>
      </x:c>
      <x:c r="I344" s="10" t="str">
        <x:v>GPDVE - Filmes - Casa de Detenção do Carandiru</x:v>
      </x:c>
      <x:c r="J344" s="10" t="str">
        <x:v>Pasta: 0001</x:v>
      </x:c>
      <x:c r="K344" s="10" t="str">
        <x:v>BR-SPCARANDIRU_FILMES-PENITESTADO1928-CSDTCARANDIRU_FLG-FME-NDT-DT1_0001-001.mp4</x:v>
      </x:c>
      <x:c r="L344" s="10" t="str">
        <x:v>Verificar com a professora Maíra</x:v>
      </x:c>
      <x:c r="M344" s="10" t="str">
        <x:v>O documentário-mudo trata da rotina dos presos na Penitenciária do Estado em 1928. Cenas em preto e branco com atividades internas e telas com texto explicativo. A trasncrição completa das telas pode ser encontrada na seção "Notas".</x:v>
      </x:c>
      <x:c r="N344" s="10" t="str">
        <x: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x:v>
      </x:c>
      <x:c r="O344" s="10" t="str">
        <x:v>Casa de Detenção de São Paulo; Carandiru; Filme; 1928; Penitenciária do Estado</x:v>
      </x:c>
      <x:c r="P344" s="10" t="str">
        <x:v>Filmográfico</x:v>
      </x:c>
      <x:c r="Q344" s="10" t="str">
        <x:v>Possivelmente, filmagem digital ou vídeo digital. Optou-se por "não determinado" por incerteza quanto ao processo da técnica.</x:v>
      </x:c>
      <x:c r="R344" s="10" t="str">
        <x:v>Figura n – [Documentário "Penitenciária do Estado - 1928"] Fonte: Sem autor, 1928.</x:v>
      </x:c>
      <x:c r="S344" s="10" t="str">
        <x:v>SEM AUTOR. [Documentário "Penitenciária do Estado - 1928"]. São Paulo, Brasil. 01 jan. 1928. Originalmente DVD (suporte físico óptico). Com tratamento, tornou-se arquivo eletrônico (MP4) em suporte digital/nato-digital. Disponível em: &lt;link do dataverse&gt;. Acesso em: 28 mai. 2026.</x:v>
      </x:c>
      <x:c r="T344" s="10" t="str">
        <x:v>Este item pertencia à pasta intitulada "Carandiru - disco 2". Trasncrição das telas do documentário-mudo: Transcrição das relas de texto do filme entre aspas, na sequência em que aparecem: "Depois, o barbeiro rapal-lho bigode e corta-lhe o cabelo à escovinha". "Fornece-lhe uma escova para os dents dá-lhe conselhos praticos sobre hygiene buccal". "Os que trabalham no campo, fazem sua refeição ao ar livre". "Às 11:30 voltam os presidiários às officinas até às 16:30, hora do jantar, e às 18 horas entram no regimem de instrucção que é obrigatória". "Tambem recebem a visita de suas familias, aquelles que merecem essa concessão pelo bom comportamento". "O regimem de instrucção é composto de 6 classes de alphabetização, de 50 alumnos cada uma; 1 classe de desenho industrial e architecctonico, com 60 alumnos; e 1 classe de theoria e pratica de Musica e Cantos coraes, com 200 alumnos". "A escola primaria. Lição de dictado". "Aula de desenho industrial e figurado". "A titulo, ainda, de recompensa, têm horas de recreio nos pateos, lembrando a vida collegial". "De resto, a penitenciaria de São Paulo não é mais do que uma grande casa de reeducação do delinquente até a sua completa regeneração". "O livramento condicional que constitue o 4º. periodo da pena é concedido pela Justiça Criminal, em virtude de solicitação do Conselho Penitenciário, composto de juristas e medicos....". "...notáveis, àquelles sentenciados que, pela sua excelente conducta, applicação em trabalh oe aproveitamento nos estudos por mais de 2/3 de sua pena, haja adquirido esse direito". "Pelo livramento condicional pode o sentenciado residir em sua casa com sua família e trabalhar onde queira, vivendo como homem livre, apenas sob fiscalização discreta do poder público". "Na Penitenciaria de São Paulo existe uma biliotheca de 7.000 volumes de livros moraes, educativos e instructivos para uso dos sentenciados". "Funcciona no estabelecimento uma escola de educação physica, dirigida por um official graduado da Força Pública e na qual estão matriculados todos os sentenciados, divididos em 5 series de accordo com a robustez physica de cada um, classificado pelo corpo clínico da Penitenciária". "Os exercicios physicos às quintas-feitas e domingos". "Gymnastica Succa". "Gymnastica Brasil conjugada". "Bailados gymnasticos". "... no extenso parque são tratados, com esmero, o pomar e a horta, cujos productos constituem parte da alimentação dos presidiários".</x:v>
      </x:c>
      <x:c r="U344" s="10" t="str">
        <x:v>FLG</x:v>
      </x:c>
      <x:c r="V344" s="10" t="str">
        <x:v>FME</x:v>
      </x:c>
      <x:c r="W344" s="10" t="str">
        <x:v>NDT</x:v>
      </x:c>
      <x:c r="X344" s="10" t="str">
        <x:v>DT1</x:v>
      </x:c>
      <x:c r="Y344" s="10" t="str">
        <x:v>BR-SPCARANDIRU_FILMES-CSDTCARANDIRU.xlsx</x:v>
      </x:c>
      <x:c r="Z344" s="10" t="str">
        <x:v>PenitEstado1928</x:v>
      </x:c>
      <x:c r="AA344" s="11" t="n">
        <x:v>2</x:v>
      </x:c>
      <x:c r="AB344" s="10" t="str">
        <x:v>BR-SPCARANDIRU_FILMES-CSDTCARANDIRU.xlsx:PenitEstado1928:2</x:v>
      </x:c>
      <x:c r="AC344" s="11" t="n">
        <x:f>COLUMNS(A344:T344)-COUNTBLANK(A344:T344)</x:f>
        <x:v>20</x:v>
      </x:c>
    </x:row>
    <x:row r="345" ht="48" hidden="0" customHeight="1">
      <x:c r="A345" s="10" t="str">
        <x:v>001</x:v>
      </x:c>
      <x:c r="B345" s="10" t="str">
        <x:v>Filmografia de Hector Babenco</x:v>
      </x:c>
      <x:c r="C345" s="10" t="str">
        <x:v>Item</x:v>
      </x:c>
      <x:c r="D345" s="10" t="str">
        <x:v>Sem data</x:v>
      </x:c>
      <x:c r="E345" s="10" t="str">
        <x:v>00:04:31</x:v>
      </x:c>
      <x:c r="F345" s="10" t="str">
        <x:v>Originalmente DVD (suporte físico óptico). Com tratamento, tornou-se arquivo eletrônico (MP4) em suporte digital/nato-digital</x:v>
      </x:c>
      <x:c r="G345" s="10" t="str">
        <x:v>São Paulo, Brasil</x:v>
      </x:c>
      <x:c r="H345" s="10" t="str">
        <x:v>Grupo de Pesquisa em Direito e Violência de Estado</x:v>
      </x:c>
      <x:c r="I345" s="10" t="str">
        <x:v>GPDVE - Filmes - Casa de Detenção do Carandiru</x:v>
      </x:c>
      <x:c r="J345" s="10" t="str">
        <x:v>Pasta: 0001</x:v>
      </x:c>
      <x:c r="K345" s="10" t="str">
        <x:v>BR-SPCARANDIRU_FILMES-PENITESTADO1928-CSDTCARANDIRU_FLG-FME-NDT-DT1_0001-001.mp4</x:v>
      </x:c>
      <x:c r="L345" s="10" t="str">
        <x:v>Verificar com a professora Maíra</x:v>
      </x:c>
      <x:c r="M345" s="10" t="str">
        <x:v>O trecho trata de todos os filmes dos quais Hector Bebenco (diretor do Filme Carandiru) foi diretor, dentre os quais: Lúcio Flávio, Pixote e Coração Iluminado.</x:v>
      </x:c>
      <x:c r="N345" s="10" t="str">
        <x: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x:v>
      </x:c>
      <x:c r="O345" s="10" t="str">
        <x:v>Casa de Detenção de São Paulo; Carandiru; Filme; 1928; Penitenciária do Estado</x:v>
      </x:c>
      <x:c r="P345" s="10" t="str">
        <x:v>Filmográfico</x:v>
      </x:c>
      <x:c r="Q345" s="10" t="str">
        <x:v>Possivelmente, filmagem digital ou vídeo digital. Optou-se por "não determinado" por incerteza quanto ao processo da técnica.</x:v>
      </x:c>
      <x:c r="R345" s="10" t="str">
        <x:v>Figura n – [Filmografia de Hector Babenco] Fonte: SEM AUTOR, Sem data.</x:v>
      </x:c>
      <x:c r="S345" s="10" t="str">
        <x:v>SEM AUTOR. [Filmografia de Hector Babenco]. São Paulo, Brasil. Sem data sem data Sem data. Originalmente DVD (suporte físico óptico). Com tratamento, tornou-se arquivo eletrônico (MP4) em suporte digital/nato-digital. Disponível em: &lt;link do dataverse&gt;. Acesso em: 28 mai. 2026.</x:v>
      </x:c>
      <x:c r="T345" s="10" t="str">
        <x:v>Este item pertencia à pasta intitulada "Carandiru - disco 2".</x:v>
      </x:c>
      <x:c r="U345" s="10" t="str">
        <x:v>FLG</x:v>
      </x:c>
      <x:c r="V345" s="10" t="str">
        <x:v>FME</x:v>
      </x:c>
      <x:c r="W345" s="10" t="str">
        <x:v>NDT</x:v>
      </x:c>
      <x:c r="X345" s="10" t="str">
        <x:v>DT1</x:v>
      </x:c>
      <x:c r="Y345" s="10" t="str">
        <x:v>BR-SPCARANDIRU_FILMES-CSDTCARANDIRU.xlsx</x:v>
      </x:c>
      <x:c r="Z345" s="10" t="str">
        <x:v>FlmsHectorBabenco</x:v>
      </x:c>
      <x:c r="AA345" s="11" t="n">
        <x:v>2</x:v>
      </x:c>
      <x:c r="AB345" s="10" t="str">
        <x:v>BR-SPCARANDIRU_FILMES-CSDTCARANDIRU.xlsx:FlmsHectorBabenco:2</x:v>
      </x:c>
      <x:c r="AC345" s="11" t="n">
        <x:f>COLUMNS(A345:T345)-COUNTBLANK(A345:T345)</x:f>
        <x:v>20</x:v>
      </x:c>
    </x:row>
    <x:row r="346" ht="48" hidden="0" customHeight="1">
      <x:c r="A346" s="10" t="str">
        <x:v>001</x:v>
      </x:c>
      <x:c r="B346" s="10" t="str">
        <x:v>Os bastidores do filme "Carandiru: um filme de Hector Bebenco" (por Globo Filmes)</x:v>
      </x:c>
      <x:c r="C346" s="10" t="str">
        <x:v>Item</x:v>
      </x:c>
      <x:c r="D346" s="10" t="str">
        <x:v>Sem data</x:v>
      </x:c>
      <x:c r="E346" s="10" t="str">
        <x:v>00:31:53</x:v>
      </x:c>
      <x:c r="F346" s="10" t="str">
        <x:v>Originalmente DVD (suporte físico óptico). Com tratamento, tornou-se arquivo eletrônico (MP4) em suporte digital/nato-digital</x:v>
      </x:c>
      <x:c r="G346" s="10" t="str">
        <x:v>São Paulo, Brasil</x:v>
      </x:c>
      <x:c r="H346" s="10" t="str">
        <x:v>Grupo de Pesquisa em Direito e Violência de Estado</x:v>
      </x:c>
      <x:c r="I346" s="10" t="str">
        <x:v>GPDVE - Filmes - Casa de Detenção do Carandiru</x:v>
      </x:c>
      <x:c r="J346" s="10" t="str">
        <x:v>Pasta: 0001</x:v>
      </x:c>
      <x:c r="K346" s="10" t="str">
        <x:v>BR-SPCARANDIRU_FILMES-PENITESTADO1928-CSDTCARANDIRU_FLG-FME-NDT-DT1_0001-001.mp4</x:v>
      </x:c>
      <x:c r="L346" s="10" t="str">
        <x:v>Verificar com a professora Maíra</x:v>
      </x:c>
      <x:c r="M346" s="10" t="str">
        <x:v>O documentário intitulado "Carandiru: um filme de Hector Bebenco" apresenta relatos de Drazio Varella, atores e produtores. Focado em mostrar o processo autoral e divergências quanto ao livro em que é inspirado (Estação Carandiru de Drauzio Varella). Atores contam das inseguranças e desafios na representação de seus personagens.</x:v>
      </x:c>
      <x:c r="N346" s="10" t="str">
        <x: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x:v>
      </x:c>
      <x:c r="O346" s="10" t="str">
        <x:v>Casa de Detenção de São Paulo; Carandiru; Filme; 1928; Penitenciária do Estado</x:v>
      </x:c>
      <x:c r="P346" s="10" t="str">
        <x:v>Filmográfico</x:v>
      </x:c>
      <x:c r="Q346" s="10" t="str">
        <x:v>Possivelmente, filmagem digital ou vídeo digital. Optou-se por "não determinado" por incerteza quanto ao processo da técnica.</x:v>
      </x:c>
      <x:c r="R346" s="10" t="str">
        <x:v>Figura n – [Os bastidores do filme "Carandiru: um filme de Hector Bebenco" (por Globo Filmes)] Fonte: Globo Filmes, Sem data.</x:v>
      </x:c>
      <x:c r="S346" s="10" t="str">
        <x:v>GLOBO FILMES. [Os bastidores do filme "Carandiru: um filme de Hector Bebenco" (por Globo Filmes)]. São Paulo, Brasil. Sem data sem data Sem data. Originalmente DVD (suporte físico óptico). Com tratamento, tornou-se arquivo eletrônico (MP4) em suporte digital/nato-digital. Disponível em: &lt;link do dataverse&gt;. Acesso em: 28 mai. 2026.</x:v>
      </x:c>
      <x:c r="T346" s="10" t="str">
        <x:v>Este item pertencia à pasta intitulada "Carandiru - disco 2".</x:v>
      </x:c>
      <x:c r="U346" s="10" t="str">
        <x:v>FLG</x:v>
      </x:c>
      <x:c r="V346" s="10" t="str">
        <x:v>FME</x:v>
      </x:c>
      <x:c r="W346" s="10" t="str">
        <x:v>NDT</x:v>
      </x:c>
      <x:c r="X346" s="10" t="str">
        <x:v>DT1</x:v>
      </x:c>
      <x:c r="Y346" s="10" t="str">
        <x:v>BR-SPCARANDIRU_FILMES-CSDTCARANDIRU.xlsx</x:v>
      </x:c>
      <x:c r="Z346" s="10" t="str">
        <x:v>BastidFilmeCarandiru</x:v>
      </x:c>
      <x:c r="AA346" s="11" t="n">
        <x:v>2</x:v>
      </x:c>
      <x:c r="AB346" s="10" t="str">
        <x:v>BR-SPCARANDIRU_FILMES-CSDTCARANDIRU.xlsx:BastidFilmeCarandiru:2</x:v>
      </x:c>
      <x:c r="AC346" s="11" t="n">
        <x:f>COLUMNS(A346:T346)-COUNTBLANK(A346:T346)</x:f>
        <x:v>20</x:v>
      </x:c>
    </x:row>
    <x:row r="347" ht="48" hidden="0" customHeight="1">
      <x:c r="A347" s="10" t="str">
        <x:v>001</x:v>
      </x:c>
      <x:c r="B347" s="10" t="str">
        <x:v>Slideshow de fotos da produção do filme Carandiru, com trilha sonora</x:v>
      </x:c>
      <x:c r="C347" s="10" t="str">
        <x:v>Item</x:v>
      </x:c>
      <x:c r="D347" s="10" t="str">
        <x:v>Sem data</x:v>
      </x:c>
      <x:c r="E347" s="10" t="str">
        <x:v>00:07:14</x:v>
      </x:c>
      <x:c r="F347" s="10" t="str">
        <x:v>Originalmente DVD (suporte físico óptico). Com tratamento, tornou-se arquivo eletrônico (MP4) em suporte digital/nato-digital</x:v>
      </x:c>
      <x:c r="G347" s="10" t="str">
        <x:v>São Paulo, Brasil</x:v>
      </x:c>
      <x:c r="H347" s="10" t="str">
        <x:v>Grupo de Pesquisa em Direito e Violência de Estado</x:v>
      </x:c>
      <x:c r="I347" s="10" t="str">
        <x:v>GPDVE - Filmes - Casa de Detenção do Carandiru</x:v>
      </x:c>
      <x:c r="J347" s="10" t="str">
        <x:v>Pasta: 0001</x:v>
      </x:c>
      <x:c r="K347" s="10" t="str">
        <x:v>BR-SPCARANDIRU_FILMES-PENITESTADO1928-CSDTCARANDIRU_FLG-FME-NDT-DT1_0001-001.mp4</x:v>
      </x:c>
      <x:c r="L347" s="10" t="str">
        <x:v>Verificar com a professora Maíra</x:v>
      </x:c>
      <x:c r="M347" s="10" t="str">
        <x:v>Slideshow de fotos da produção do filme Carandiru (por Hector Bebenco), com trilha sonora. Inclui também uma charge intitulada "Recado da Produção" sobre a importância do uso de camisinha em relações sexuais, possivelmente ligada à campanha de prevenção contra a HIV/AIDS que era uma política muito forte à época.</x:v>
      </x:c>
      <x:c r="N347" s="10" t="str">
        <x: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x:v>
      </x:c>
      <x:c r="O347" s="10" t="str">
        <x:v>Casa de Detenção de São Paulo; Carandiru; Filme; 1928; Penitenciária do Estado</x:v>
      </x:c>
      <x:c r="P347" s="10" t="str">
        <x:v>Filmográfico</x:v>
      </x:c>
      <x:c r="Q347" s="10" t="str">
        <x:v>Possivelmente, filmagem digital ou vídeo digital. Optou-se por "não determinado" por incerteza quanto ao processo da técnica.</x:v>
      </x:c>
      <x:c r="R347" s="10" t="str">
        <x:v>Figura n – [Slideshow de fotos da produção do filme Carandiru, com trilha sonora] Fonte: WALTER CARVALHO, Sem data.</x:v>
      </x:c>
      <x:c r="S347" s="10" t="str">
        <x:v>WALTER CARVALHO. [Slideshow de fotos da produção do filme Carandiru, com trilha sonora]. São Paulo, Brasil. Sem data sem data Sem data. Originalmente DVD (suporte físico óptico). Com tratamento, tornou-se arquivo eletrônico (MP4) em suporte digital/nato-digital. Disponível em: &lt;link do dataverse&gt;. Acesso em: 28 mai. 2026.</x:v>
      </x:c>
      <x:c r="T347" s="10" t="str">
        <x:v>Este item pertencia à pasta intitulada "Carandiru - disco 2".</x:v>
      </x:c>
      <x:c r="U347" s="10" t="str">
        <x:v>FLG</x:v>
      </x:c>
      <x:c r="V347" s="10" t="str">
        <x:v>FME</x:v>
      </x:c>
      <x:c r="W347" s="10" t="str">
        <x:v>NDT</x:v>
      </x:c>
      <x:c r="X347" s="10" t="str">
        <x:v>DT1</x:v>
      </x:c>
      <x:c r="Y347" s="10" t="str">
        <x:v>BR-SPCARANDIRU_FILMES-CSDTCARANDIRU.xlsx</x:v>
      </x:c>
      <x:c r="Z347" s="10" t="str">
        <x:v>SlideShowCharge</x:v>
      </x:c>
      <x:c r="AA347" s="11" t="n">
        <x:v>2</x:v>
      </x:c>
      <x:c r="AB347" s="10" t="str">
        <x:v>BR-SPCARANDIRU_FILMES-CSDTCARANDIRU.xlsx:SlideShowCharge:2</x:v>
      </x:c>
      <x:c r="AC347" s="11" t="n">
        <x:f>COLUMNS(A347:T347)-COUNTBLANK(A347:T347)</x:f>
        <x:v>20</x:v>
      </x:c>
    </x:row>
    <x:row r="348" ht="48" hidden="0" customHeight="1">
      <x:c r="A348" s="10" t="str">
        <x:v>001</x:v>
      </x:c>
      <x:c r="B348" s="10" t="str">
        <x:v>A direção de arte do filme Carandiru por Monica Delfino</x:v>
      </x:c>
      <x:c r="C348" s="10" t="str">
        <x:v>Item</x:v>
      </x:c>
      <x:c r="D348" s="10" t="str">
        <x:v>Sem data</x:v>
      </x:c>
      <x:c r="E348" s="10" t="str">
        <x:v>01:35:33</x:v>
      </x:c>
      <x:c r="F348" s="10" t="str">
        <x:v>Originalmente DVD (suporte físico óptico). Com tratamento, tornou-se arquivo eletrônico (MP4) em suporte digital/nato-digital</x:v>
      </x:c>
      <x:c r="G348" s="10" t="str">
        <x:v>São Paulo, Brasil</x:v>
      </x:c>
      <x:c r="H348" s="10" t="str">
        <x:v>Grupo de Pesquisa em Direito e Violência de Estado</x:v>
      </x:c>
      <x:c r="I348" s="10" t="str">
        <x:v>GPDVE - Filmes - Casa de Detenção do Carandiru</x:v>
      </x:c>
      <x:c r="J348" s="10" t="str">
        <x:v>Pasta: 0001</x:v>
      </x:c>
      <x:c r="K348" s="10" t="str">
        <x:v>BR-SPCARANDIRU_FILMES-PENITESTADO1928-CSDTCARANDIRU_FLG-FME-NDT-DT1_0001-001.mp4</x:v>
      </x:c>
      <x:c r="L348" s="10" t="str">
        <x:v>Verificar com a professora Maíra</x:v>
      </x:c>
      <x:c r="M348" s="10" t="str">
        <x:v>Este conteúdo é parte do tratamento que consistiu na junção de clipes do DVD que introduziam o primeiro vídeo. O tema central é o processo de produção do filme Carandiru (dirigido por Hector Bebenco). Ele inclui o menu do DVD, seguido por longa tela preta com trilha sonora de fundo, vinheta da Columbia Tristar e advertência sobre direitos autorais. Em seguida, pode-se notar um trailer com cenas pontuais finalizadas. Depois, processo de composição da trilha sonora. Preparação do elenco: ensaios e estudos. E então iniciam-se os relatos dos atores, do Drauzio Varella e dos diretores de produção.</x:v>
      </x:c>
      <x:c r="N348" s="10" t="str">
        <x: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x:v>
      </x:c>
      <x:c r="O348" s="10" t="str">
        <x:v>Casa de Detenção de São Paulo; Carandiru; Filme; 1928; Penitenciária do Estado</x:v>
      </x:c>
      <x:c r="P348" s="10" t="str">
        <x:v>Filmográfico</x:v>
      </x:c>
      <x:c r="Q348" s="10" t="str">
        <x:v>Possivelmente, filmagem digital ou vídeo digital. Optou-se por "não determinado" por incerteza quanto ao processo da técnica.</x:v>
      </x:c>
      <x:c r="R348" s="10" t="str">
        <x:v>Figura n – [A direção de arte do filme Carandiru por Monica Delfino] Fonte: MONICA DELFINO, Sem data.</x:v>
      </x:c>
      <x:c r="S348" s="10" t="str">
        <x:v>MONICA DELFINO. [A direção de arte do filme Carandiru por Monica Delfino]. São Paulo, Brasil. Sem data sem data Sem data. Originalmente DVD (suporte físico óptico). Com tratamento, tornou-se arquivo eletrônico (MP4) em suporte digital/nato-digital. Disponível em: &lt;link do dataverse&gt;. Acesso em: 28 mai. 2026.</x:v>
      </x:c>
      <x:c r="T348" s="10" t="str">
        <x:v>Este item pertencia à pasta intitulada "Carandiru - disco 2".</x:v>
      </x:c>
      <x:c r="U348" s="10" t="str">
        <x:v>FLG</x:v>
      </x:c>
      <x:c r="V348" s="10" t="str">
        <x:v>FME</x:v>
      </x:c>
      <x:c r="W348" s="10" t="str">
        <x:v>NDT</x:v>
      </x:c>
      <x:c r="X348" s="10" t="str">
        <x:v>DT1</x:v>
      </x:c>
      <x:c r="Y348" s="10" t="str">
        <x:v>BR-SPCARANDIRU_FILMES-CSDTCARANDIRU.xlsx</x:v>
      </x:c>
      <x:c r="Z348" s="10" t="str">
        <x:v>DirArteCarandiru</x:v>
      </x:c>
      <x:c r="AA348" s="11" t="n">
        <x:v>2</x:v>
      </x:c>
      <x:c r="AB348" s="10" t="str">
        <x:v>BR-SPCARANDIRU_FILMES-CSDTCARANDIRU.xlsx:DirArteCarandiru:2</x:v>
      </x:c>
      <x:c r="AC348" s="11" t="n">
        <x:f>COLUMNS(A348:T348)-COUNTBLANK(A348:T348)</x:f>
        <x:v>20</x:v>
      </x:c>
    </x:row>
    <x:row r="349" ht="48" hidden="0" customHeight="1">
      <x:c r="A349" s="10" t="str">
        <x:v>001</x:v>
      </x:c>
      <x:c r="B349" s="10" t="str">
        <x:v>Coletânea audiovisual sobre o complexo do Carandiru (documentários)</x:v>
      </x:c>
      <x:c r="C349" s="10" t="str">
        <x:v>Conjunto</x:v>
      </x:c>
      <x:c r="D349" s="10" t="str">
        <x:v>Sem data</x:v>
      </x:c>
      <x:c r="E349" s="10" t="str"/>
      <x:c r="F349" s="10" t="str">
        <x:v>Originalmente DVD (suporte físico óptico).</x:v>
      </x:c>
      <x:c r="G349" s="10" t="str">
        <x:v>São Paulo, Brasil</x:v>
      </x:c>
      <x:c r="H349" s="10" t="str">
        <x:v>Grupo de Pesquisa em Direito e Violência de Estado</x:v>
      </x:c>
      <x:c r="I349" s="10" t="str">
        <x:v>GPDVE - Filmes - Casa de Detenção do Carandiru</x:v>
      </x:c>
      <x:c r="J349" s="10" t="str">
        <x:v>Pasta: 0001</x:v>
      </x:c>
      <x:c r="K349" s="10" t="str">
        <x:v>BR-SPCARANDIRU_FILMES-PENITESTADO1928-CSDTCARANDIRU_FLG-FME-NDT-DT1_0001-001.mp4</x:v>
      </x:c>
      <x:c r="L349" s="10" t="str">
        <x:v>Verificar com a professora Maíra</x:v>
      </x:c>
      <x:c r="M349" s="10" t="str">
        <x:v>DVD contendo uma miscelânea de registros audiovisuais e iconográficos. Inclui: 1. Documentários sobre a produção e os bastidores (making of) do longa-metragem "Carandiru"; 2. Apresentação de slides contendo fotografias históricas e charges; 3. Registro documental histórico sobre a Penitenciária do Estado de São Paulo, datado de 1928.</x:v>
      </x:c>
      <x:c r="N349" s="10" t="str">
        <x:v>O acesso aos documentos deste acervo está condicionado ao compromisso de não repassá-los a terceiros, à obrigatoriedade de mencionar que os originais pertencem ao GPDVE (?),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GPDVE de qualquer responsabilidade.</x:v>
      </x:c>
      <x:c r="O349" s="10" t="str">
        <x:v>Casa de Detenção de São Paulo; Carandiru; Filme; 1928; Penitenciária do Estado</x:v>
      </x:c>
      <x:c r="P349" s="10" t="str">
        <x:v>Filmográfico</x:v>
      </x:c>
      <x:c r="Q349" s="10" t="str">
        <x:v>Possivelmente, filmagem digital ou vídeo digital. Optou-se por "não determinado" por incerteza quanto ao processo da técnica.</x:v>
      </x:c>
      <x:c r="R349" s="10" t="str">
        <x:v>Figura n – [Coletânea audiovisual sobre o complexo do Carandiru (documentários)] Fonte: Vários Autores. Acervo GPDVE, Sem data.</x:v>
      </x:c>
      <x:c r="S349" s="10" t="str">
        <x:v>VÁRIOS AUTORES. [Coletânea audiovisual sobre o complexo do Carandiru (documentários)]. São Paulo, Brasil. Sem data sem data Sem data. Originalmente DVD (suporte físico óptico).. Disponível em: &lt;link do dataverse&gt;. Acesso em: 28 mai. 2026.</x:v>
      </x:c>
      <x:c r="T349" s="10" t="str">
        <x:v>Este item pertencia à pasta intitulada "Carandiru - disco 2".</x:v>
      </x:c>
      <x:c r="U349" s="10" t="str">
        <x:v>FLG</x:v>
      </x:c>
      <x:c r="V349" s="10" t="str">
        <x:v>FME</x:v>
      </x:c>
      <x:c r="W349" s="10" t="str">
        <x:v>NDT</x:v>
      </x:c>
      <x:c r="X349" s="10" t="str">
        <x:v>DTX</x:v>
      </x:c>
      <x:c r="Y349" s="10" t="str">
        <x:v>BR-SPCARANDIRU_FILMES-CSDTCARANDIRU.xlsx</x:v>
      </x:c>
      <x:c r="Z349" s="10" t="str">
        <x:v>OriginalDVD</x:v>
      </x:c>
      <x:c r="AA349" s="11" t="n">
        <x:v>2</x:v>
      </x:c>
      <x:c r="AB349" s="10" t="str">
        <x:v>BR-SPCARANDIRU_FILMES-CSDTCARANDIRU.xlsx:OriginalDVD:2</x:v>
      </x:c>
      <x:c r="AC349" s="11" t="n">
        <x:f>COLUMNS(A349:T349)-COUNTBLANK(A349:T349)</x:f>
        <x:v>19</x:v>
      </x:c>
    </x:row>
  </x:sheetData>
  <x:pageMargins left="0.7" right="0.7" top="0.75" bottom="0.75" header="0.3" footer="0.3"/>
  <x:tableParts count="1">
    <x:tablePart xmlns:r="http://schemas.openxmlformats.org/officeDocument/2006/relationships" r:id="Rb37f80140afe40c8"/>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0" hidden="0" customWidth="1"/>
    <x:col min="2" max="2" width="30" hidden="0" customWidth="1"/>
    <x:col min="3" max="3" width="30" hidden="0" customWidth="1"/>
    <x:col min="4" max="4" width="30" hidden="0" customWidth="1"/>
    <x:col min="5" max="5" width="30" hidden="0" customWidth="1"/>
    <x:col min="6" max="6" width="30" hidden="0" customWidth="1"/>
    <x:col min="7" max="7" width="30" hidden="0" customWidth="1"/>
    <x:col min="8" max="8" width="30" hidden="0" customWidth="1"/>
    <x:col min="9" max="9" width="30" hidden="0" customWidth="1"/>
    <x:col min="10" max="10" width="58" hidden="0" customWidth="1"/>
    <x:col min="11" max="11" width="30" hidden="0" customWidth="1"/>
    <x:col min="12" max="12" width="30" hidden="0" customWidth="1"/>
    <x:col min="13" max="13" width="30" hidden="0" customWidth="1"/>
    <x:col min="14" max="14" width="30" hidden="0" customWidth="1"/>
    <x:col min="15" max="15" width="30" hidden="0" customWidth="1"/>
    <x:col min="16" max="16" width="30" hidden="0" customWidth="1"/>
    <x:col min="17" max="17" width="30" hidden="0" customWidth="1"/>
    <x:col min="18" max="18" width="30" hidden="0" customWidth="1"/>
    <x:col min="19" max="19" width="140" hidden="0" customWidth="1"/>
    <x:col min="20" max="20" width="70" hidden="0" customWidth="1"/>
    <x:col min="21" max="21" width="30" hidden="0" customWidth="1"/>
    <x:col min="22" max="22" width="19" hidden="0" customWidth="1"/>
    <x:col min="23" max="23" width="70" hidden="0" customWidth="1"/>
    <x:col min="24" max="24" width="19" hidden="0" customWidth="1"/>
  </x:cols>
  <x:sheetData>
    <x:row r="1" ht="42" customHeight="1">
      <x:c r="A1" s="6" t="str">
        <x:v>Nome da iniciativa</x:v>
      </x:c>
      <x:c r="B1" s="6" t="str">
        <x:v>Finalidade primária</x:v>
      </x:c>
      <x:c r="C1" s="6" t="str">
        <x:v>Intervenção</x:v>
      </x:c>
      <x:c r="D1" s="6" t="str">
        <x:v>Abrangência</x:v>
      </x:c>
      <x:c r="E1" s="6" t="str">
        <x:v>Modalidade</x:v>
      </x:c>
      <x:c r="F1" s="6" t="str">
        <x:v>Data</x:v>
      </x:c>
      <x:c r="G1" s="6" t="str">
        <x:v>Ano</x:v>
      </x:c>
      <x:c r="H1" s="6" t="str">
        <x:v>Local</x:v>
      </x:c>
      <x:c r="I1" s="6" t="str">
        <x:v>Proponente</x:v>
      </x:c>
      <x:c r="J1" s="6" t="str">
        <x:v>Título do documento</x:v>
      </x:c>
      <x:c r="K1" s="6" t="str">
        <x:v>Gênero documental</x:v>
      </x:c>
      <x:c r="L1" s="6" t="str">
        <x:v>Técnica de registro</x:v>
      </x:c>
      <x:c r="M1" s="6" t="str">
        <x:v>Fonte / Origem</x:v>
      </x:c>
      <x:c r="N1" s="6" t="str">
        <x:v>Idioma</x:v>
      </x:c>
      <x:c r="O1" s="6" t="str">
        <x:v>Chave de busca</x:v>
      </x:c>
      <x:c r="P1" s="6" t="str">
        <x:v>Data de acesso</x:v>
      </x:c>
      <x:c r="Q1" s="6" t="str">
        <x:v>Disponibilidade</x:v>
      </x:c>
      <x:c r="R1" s="6" t="str">
        <x:v>Link</x:v>
      </x:c>
      <x:c r="S1" s="6" t="str">
        <x:v>Citação ABNT</x:v>
      </x:c>
      <x:c r="T1" s="6" t="str">
        <x:v>Arquivo_origem</x:v>
      </x:c>
      <x:c r="U1" s="6" t="str">
        <x:v>Aba_origem</x:v>
      </x:c>
      <x:c r="V1" s="6" t="str">
        <x:v>Linha_origem</x:v>
      </x:c>
      <x:c r="W1" s="6" t="str">
        <x:v>Registro_ID</x:v>
      </x:c>
      <x:c r="X1" s="6" t="str">
        <x:v>Metadados preenchidos</x:v>
      </x:c>
    </x:row>
    <x:row r="2" ht="24" hidden="0" customHeight="1">
      <x:c r="A2" s="10" t="str">
        <x:v>Performance artística</x:v>
      </x:c>
      <x:c r="B2" s="10" t="str"/>
      <x:c r="C2" s="10" t="str">
        <x:v>Manifestação artístico-cultural</x:v>
      </x:c>
      <x:c r="D2" s="10" t="str">
        <x:v>Público Imediato</x:v>
      </x:c>
      <x:c r="E2" s="10" t="str">
        <x:v>Presencial/Físico</x:v>
      </x:c>
      <x:c r="F2" s="10" t="str">
        <x:v>1992</x:v>
      </x:c>
      <x:c r="G2" s="11" t="n">
        <x:v>1992</x:v>
      </x:c>
      <x:c r="H2" s="10" t="str">
        <x:v>São Paulo</x:v>
      </x:c>
      <x:c r="I2" s="10" t="str">
        <x:v>Grupo teatral Kaos Trope</x:v>
      </x:c>
      <x:c r="J2" s="10" t="str">
        <x:v>Fotografia: "Integrantes do grupo Kaos Trope levam cruzes que lembram os 111 mortos no massacre do Carandiru, 1992"</x:v>
      </x:c>
      <x:c r="K2" s="10" t="str">
        <x:v>Hemerográfico</x:v>
      </x:c>
      <x:c r="L2" s="10" t="str">
        <x:v>Digitalizado</x:v>
      </x:c>
      <x:c r="M2" s="10" t="str">
        <x:v>O Estado de S. Paulo</x:v>
      </x:c>
      <x:c r="N2" s="10" t="str">
        <x:v>Português, Brasil</x:v>
      </x:c>
      <x:c r="O2" s="10" t="str">
        <x:v>"Carandiru; manifestação" no acervo d'O Estado de S. Paulo</x:v>
      </x:c>
      <x:c r="P2" s="10" t="str">
        <x:v>2025-07-15 00:00:00</x:v>
      </x:c>
      <x:c r="Q2" s="10" t="str">
        <x:v>Acesso restrito</x:v>
      </x:c>
      <x:c r="R2" s="10" t="str">
        <x:v>Aqui</x:v>
      </x:c>
      <x:c r="S2" s="10" t="str">
        <x:v>GODOY, Marcelo. Tensão marca início do júri do Carandiru. O Estado de S. Paulo, São Paulo, 21 jun. 2001, p. 41. Fotografia: Integrantes do grupo Kaos Trope levam cruzes que lembram os 111 mortos no massacre do Carandiru [sem autoria, 1992]. Disponível em: https://acervo.estadao.com.br/pagina/#!/20010621-39328-spo-41-cid-c4-not/busca/Carandiru. Acesso em: 15 jul. 2025.</x:v>
      </x:c>
      <x:c r="T2" s="10" t="str">
        <x:v>BR-SPCARANDIRU_MAPEAMENTOS-REMEMORA-CARANDIRU.xlsx</x:v>
      </x:c>
      <x:c r="U2" s="10" t="str">
        <x:v>Geral</x:v>
      </x:c>
      <x:c r="V2" s="11" t="n">
        <x:v>3</x:v>
      </x:c>
      <x:c r="W2" s="10" t="str">
        <x:v>BR-SPCARANDIRU_MAPEAMENTOS-REMEMORA-CARANDIRU.xlsx:Geral:3</x:v>
      </x:c>
      <x:c r="X2" s="11" t="n">
        <x:f>COLUMNS(A2:S2)-COUNTBLANK(A2:S2)</x:f>
        <x:v>18</x:v>
      </x:c>
    </x:row>
    <x:row r="3" ht="48" hidden="0" customHeight="1">
      <x:c r="A3" s="10" t="str">
        <x:v>Instalação artística</x:v>
      </x:c>
      <x:c r="B3" s="10" t="str"/>
      <x:c r="C3" s="10" t="str">
        <x:v>Manifestação artístico-cultural</x:v>
      </x:c>
      <x:c r="D3" s="10" t="str">
        <x:v>Público Imediato</x:v>
      </x:c>
      <x:c r="E3" s="10" t="str">
        <x:v>Presencial/Físico</x:v>
      </x:c>
      <x:c r="F3" s="10" t="str">
        <x:v>1992-11-01 00:00:00</x:v>
      </x:c>
      <x:c r="G3" s="11" t="n">
        <x:v>1992</x:v>
      </x:c>
      <x:c r="H3" s="10" t="str">
        <x:v>São Paulo (Gabinete de Arte Raquel Arnaud) Porto Alegre (Casa de Cultura Mário Quintana) Paraguai (Centro de Esudos Brasileiros)</x:v>
      </x:c>
      <x:c r="I3" s="10" t="str">
        <x:v>Nuno Ramos</x:v>
      </x:c>
      <x:c r="J3" s="10" t="str">
        <x:v>111</x:v>
      </x:c>
      <x:c r="K3" s="10" t="str">
        <x:v>Iconográfico</x:v>
      </x:c>
      <x:c r="L3" s="10" t="str">
        <x:v>Imagem (digital)</x:v>
      </x:c>
      <x:c r="M3" s="10" t="str">
        <x:v>Nuno Ramos</x:v>
      </x:c>
      <x:c r="N3" s="10" t="str">
        <x:v>Português, Brasil</x:v>
      </x:c>
      <x:c r="O3" s="10" t="str">
        <x:v>Hiperlink</x:v>
      </x:c>
      <x:c r="P3" s="10" t="str">
        <x:v>2025-07-18 00:00:00</x:v>
      </x:c>
      <x:c r="Q3" s="10" t="str">
        <x:v>Aberto</x:v>
      </x:c>
      <x:c r="R3" s="10" t="str">
        <x:v>Aqui</x:v>
      </x:c>
      <x:c r="S3" s="10" t="str">
        <x:v>RAMOS, Nuno. 111. Disponível em: https://www.nunoramos.com.br/trabalhos/111/. Acesso em: 18 jul. 2025.</x:v>
      </x:c>
      <x:c r="T3" s="10" t="str">
        <x:v>BR-SPCARANDIRU_MAPEAMENTOS-REMEMORA-CARANDIRU.xlsx</x:v>
      </x:c>
      <x:c r="U3" s="10" t="str">
        <x:v>Geral</x:v>
      </x:c>
      <x:c r="V3" s="11" t="n">
        <x:v>4</x:v>
      </x:c>
      <x:c r="W3" s="10" t="str">
        <x:v>BR-SPCARANDIRU_MAPEAMENTOS-REMEMORA-CARANDIRU.xlsx:Geral:4</x:v>
      </x:c>
      <x:c r="X3" s="11" t="n">
        <x:f>COLUMNS(A3:S3)-COUNTBLANK(A3:S3)</x:f>
        <x:v>18</x:v>
      </x:c>
    </x:row>
    <x:row r="4" ht="36" hidden="0" customHeight="1">
      <x:c r="A4" s="10" t="str">
        <x:v>Faixa/Cartaz</x:v>
      </x:c>
      <x:c r="B4" s="10" t="str"/>
      <x:c r="C4" s="10" t="str"/>
      <x:c r="D4" s="10" t="str">
        <x:v>Público Imediato</x:v>
      </x:c>
      <x:c r="E4" s="10" t="str">
        <x:v>Presencial/Físico</x:v>
      </x:c>
      <x:c r="F4" s="10" t="str">
        <x:v>1992</x:v>
      </x:c>
      <x:c r="G4" s="11" t="n">
        <x:v>1992</x:v>
      </x:c>
      <x:c r="H4" s="10" t="str">
        <x:v>Casa de Detenção, Carandiru.</x:v>
      </x:c>
      <x:c r="I4" s="10" t="str">
        <x:v>Sobreviventes do Massacre do Carandiru (pessoas em situação de privação de liberdade da Casa de Detenção)</x:v>
      </x:c>
      <x:c r="J4" s="10" t="str">
        <x:v>Protesto de detentos dentro do complexo</x:v>
      </x:c>
      <x:c r="K4" s="10" t="str">
        <x:v>Iconográfico</x:v>
      </x:c>
      <x:c r="L4" s="10" t="str">
        <x:v>Imagem (digital)</x:v>
      </x:c>
      <x:c r="M4" s="10" t="str">
        <x:v>Esquerda Web</x:v>
      </x:c>
      <x:c r="N4" s="10" t="str">
        <x:v>Português, Brasil</x:v>
      </x:c>
      <x:c r="O4" s="10" t="str">
        <x:v>"manifestação solidariedade ao Massacre do Carandiru" no Google</x:v>
      </x:c>
      <x:c r="P4" s="10" t="str">
        <x:v>2025-07-16 00:00:00</x:v>
      </x:c>
      <x:c r="Q4" s="10" t="str">
        <x:v>Aberto</x:v>
      </x:c>
      <x:c r="R4" s="10" t="str">
        <x:v>Aqui</x:v>
      </x:c>
      <x:c r="S4" s="10" t="str">
        <x:v>CARANDIRU: 27 anos sem justiça e de desrespeito aos direitos humanos. Esquerda Web. Fotografia: Protesto de detentos dentro do complexo [sem autoria e data identificadas]. Disponível em: https://esquerdaweb.com/carandiru-27-anos-sem-justica-e-de-desrespeito-aos-direitos-humanos/. Acesso em: 16 jul. 2025.</x:v>
      </x:c>
      <x:c r="T4" s="10" t="str">
        <x:v>BR-SPCARANDIRU_MAPEAMENTOS-REMEMORA-CARANDIRU.xlsx</x:v>
      </x:c>
      <x:c r="U4" s="10" t="str">
        <x:v>Geral</x:v>
      </x:c>
      <x:c r="V4" s="11" t="n">
        <x:v>5</x:v>
      </x:c>
      <x:c r="W4" s="10" t="str">
        <x:v>BR-SPCARANDIRU_MAPEAMENTOS-REMEMORA-CARANDIRU.xlsx:Geral:5</x:v>
      </x:c>
      <x:c r="X4" s="11" t="n">
        <x:f>COLUMNS(A4:S4)-COUNTBLANK(A4:S4)</x:f>
        <x:v>17</x:v>
      </x:c>
    </x:row>
    <x:row r="5" ht="36" hidden="0" customHeight="1">
      <x:c r="A5" s="10" t="str">
        <x:v>Protesto</x:v>
      </x:c>
      <x:c r="B5" s="10" t="str"/>
      <x:c r="C5" s="10" t="str"/>
      <x:c r="D5" s="10" t="str">
        <x:v>Público Imediato</x:v>
      </x:c>
      <x:c r="E5" s="10" t="str">
        <x:v>Presencial/Físico</x:v>
      </x:c>
      <x:c r="F5" s="10" t="str">
        <x:v>1992</x:v>
      </x:c>
      <x:c r="G5" s="11" t="n">
        <x:v>1992</x:v>
      </x:c>
      <x:c r="H5" s="10" t="str">
        <x:v>Casa de Detenção, Carandiru.</x:v>
      </x:c>
      <x:c r="I5" s="10" t="str">
        <x:v>Sobreviventes do Massacre do Carandiru (pessoas em situação de privação de liberdade da Casa de Detenção)</x:v>
      </x:c>
      <x:c r="J5" s="10" t="str">
        <x:v>Presos nas janelas da Casa de Detenção de São Paulo, com faixa de protesto pela morte de 111 presos do Pavilhão 9, em 05/10/1992 (Andre Penner/VEJA)</x:v>
      </x:c>
      <x:c r="K5" s="10" t="str">
        <x:v>Iconográfico</x:v>
      </x:c>
      <x:c r="L5" s="10" t="str">
        <x:v>Imagem (digital)</x:v>
      </x:c>
      <x:c r="M5" s="10" t="str">
        <x:v>Veja Abril</x:v>
      </x:c>
      <x:c r="N5" s="10" t="str">
        <x:v>Português, Brasil</x:v>
      </x:c>
      <x:c r="O5" s="10" t="str">
        <x:v>"manifestação solidariedade ao Massacre do Carandiru" no Google</x:v>
      </x:c>
      <x:c r="P5" s="10" t="str">
        <x:v>2025-07-16 00:00:00</x:v>
      </x:c>
      <x:c r="Q5" s="10" t="str">
        <x:v>Aberto</x:v>
      </x:c>
      <x:c r="R5" s="10" t="str">
        <x:v>Aqui</x:v>
      </x:c>
      <x:c r="S5" s="10" t="str">
        <x:v>IMPUNE, massacre do Carandiru completa 25 anos. VEJA, São Paulo, 2 out. 2017. Fotografia: Presos nas janelas da Casa de Detenção de São Paulo, com faixa de protesto pela morte de 111 presos do Pavilhão 9, em 05/10/1992 (Andre Penner/VEJA). Disponível em: https://veja.abril.com.br/wp-content/uploads/2016/06/massacre-carandiru-1992-sao-paulo-19921005-81-original1.jpeg?quality=70&amp;strip=info&amp;w=928&amp;w=636. Acesso em: 16 jul. 2025.</x:v>
      </x:c>
      <x:c r="T5" s="10" t="str">
        <x:v>BR-SPCARANDIRU_MAPEAMENTOS-REMEMORA-CARANDIRU.xlsx</x:v>
      </x:c>
      <x:c r="U5" s="10" t="str">
        <x:v>Geral</x:v>
      </x:c>
      <x:c r="V5" s="11" t="n">
        <x:v>6</x:v>
      </x:c>
      <x:c r="W5" s="10" t="str">
        <x:v>BR-SPCARANDIRU_MAPEAMENTOS-REMEMORA-CARANDIRU.xlsx:Geral:6</x:v>
      </x:c>
      <x:c r="X5" s="11" t="n">
        <x:f>COLUMNS(A5:S5)-COUNTBLANK(A5:S5)</x:f>
        <x:v>17</x:v>
      </x:c>
    </x:row>
    <x:row r="6" ht="24" hidden="0" customHeight="1">
      <x:c r="A6" s="10" t="str">
        <x:v>Álbum musical</x:v>
      </x:c>
      <x:c r="B6" s="10" t="str"/>
      <x:c r="C6" s="10" t="str">
        <x:v>Manifestação artístico-cultural</x:v>
      </x:c>
      <x:c r="D6" s="10" t="str">
        <x:v>Público Mediado</x:v>
      </x:c>
      <x:c r="E6" s="10" t="str">
        <x:v>Midiático</x:v>
      </x:c>
      <x:c r="F6" s="10" t="str">
        <x:v>1992</x:v>
      </x:c>
      <x:c r="G6" s="11" t="n">
        <x:v>1992</x:v>
      </x:c>
      <x:c r="H6" s="10" t="str">
        <x:v>São Paulo</x:v>
      </x:c>
      <x:c r="I6" s="10" t="str">
        <x:v>Pavilhão 9</x:v>
      </x:c>
      <x:c r="J6" s="10" t="str">
        <x:v>Primeiro Ato</x:v>
      </x:c>
      <x:c r="K6" s="10" t="str">
        <x:v>Textual</x:v>
      </x:c>
      <x:c r="L6" s="10" t="str">
        <x:v>Texto (digital), Vídeo (digital)</x:v>
      </x:c>
      <x:c r="M6" s="10" t="str">
        <x:v>Wordpress (Sala Secreta)</x:v>
      </x:c>
      <x:c r="N6" s="10" t="str">
        <x:v>Português, Brasil</x:v>
      </x:c>
      <x:c r="O6" s="10" t="str">
        <x:v>Hiperlink</x:v>
      </x:c>
      <x:c r="P6" s="10" t="str">
        <x:v>2025-07-18 00:00:00</x:v>
      </x:c>
      <x:c r="Q6" s="10" t="str">
        <x:v>Aberto</x:v>
      </x:c>
      <x:c r="R6" s="10" t="str">
        <x:v>Aqui</x:v>
      </x:c>
      <x:c r="S6" s="10" t="str">
        <x:v>6 músicas sobre o massacre do Carandiru: do rap ao rock. Sala Secreta (WordPress), 2 set. 2020. Disponível em: https://salasecreta3s.wordpress.com/2020/10/02/seis-musicas-sobre-o-massacre-do-carandiru/. Acesso em: 18 jul. 2025.</x:v>
      </x:c>
      <x:c r="T6" s="10" t="str">
        <x:v>BR-SPCARANDIRU_MAPEAMENTOS-REMEMORA-CARANDIRU.xlsx</x:v>
      </x:c>
      <x:c r="U6" s="10" t="str">
        <x:v>Geral</x:v>
      </x:c>
      <x:c r="V6" s="11" t="n">
        <x:v>7</x:v>
      </x:c>
      <x:c r="W6" s="10" t="str">
        <x:v>BR-SPCARANDIRU_MAPEAMENTOS-REMEMORA-CARANDIRU.xlsx:Geral:7</x:v>
      </x:c>
      <x:c r="X6" s="11" t="n">
        <x:f>COLUMNS(A6:S6)-COUNTBLANK(A6:S6)</x:f>
        <x:v>18</x:v>
      </x:c>
    </x:row>
    <x:row r="7" ht="24" hidden="0" customHeight="1">
      <x:c r="A7" s="10" t="str">
        <x:v>Reportagem</x:v>
      </x:c>
      <x:c r="B7" s="10" t="str"/>
      <x:c r="C7" s="10" t="str">
        <x:v>Produção midiática</x:v>
      </x:c>
      <x:c r="D7" s="10" t="str">
        <x:v>Público Mediado</x:v>
      </x:c>
      <x:c r="E7" s="10" t="str">
        <x:v>Midiático</x:v>
      </x:c>
      <x:c r="F7" s="10" t="str">
        <x:v>1992</x:v>
      </x:c>
      <x:c r="G7" s="11" t="n">
        <x:v>1992</x:v>
      </x:c>
      <x:c r="H7" s="10" t="str">
        <x:v>Rio de Janeiro</x:v>
      </x:c>
      <x:c r="I7" s="10" t="str">
        <x:v>Rede Globo</x:v>
      </x:c>
      <x:c r="J7" s="10" t="str">
        <x:v>Massacre no Carandiru</x:v>
      </x:c>
      <x:c r="K7" s="10" t="str">
        <x:v>Audiovisual</x:v>
      </x:c>
      <x:c r="L7" s="10" t="str">
        <x:v>Vídeo (digital)</x:v>
      </x:c>
      <x:c r="M7" s="10" t="str">
        <x:v>Globo Play</x:v>
      </x:c>
      <x:c r="N7" s="10" t="str">
        <x:v>Português, Brasil</x:v>
      </x:c>
      <x:c r="O7" s="10" t="str">
        <x:v>"Massacre do Carandiru" no Youtube</x:v>
      </x:c>
      <x:c r="P7" s="10" t="str">
        <x:v>2025-10-15 00:00:00</x:v>
      </x:c>
      <x:c r="Q7" s="10" t="str">
        <x:v>Aberto</x:v>
      </x:c>
      <x:c r="R7" s="10" t="str">
        <x:v>Aqui</x:v>
      </x:c>
      <x:c r="S7" s="10" t="str">
        <x:v>ASSUMPÇÃO, Isabela. Massacre no Carandiru. [Reportagem exibida originalmente pelo Jornal Nacional em 3 out. 1992]. GloboPlay. Disponível em: https://globoplay.globo.com/v/2268225/. Acesso em: 29 out. 2025.</x:v>
      </x:c>
      <x:c r="T7" s="10" t="str">
        <x:v>BR-SPCARANDIRU_MAPEAMENTOS-REMEMORA-CARANDIRU.xlsx</x:v>
      </x:c>
      <x:c r="U7" s="10" t="str">
        <x:v>Geral</x:v>
      </x:c>
      <x:c r="V7" s="11" t="n">
        <x:v>8</x:v>
      </x:c>
      <x:c r="W7" s="10" t="str">
        <x:v>BR-SPCARANDIRU_MAPEAMENTOS-REMEMORA-CARANDIRU.xlsx:Geral:8</x:v>
      </x:c>
      <x:c r="X7" s="11" t="n">
        <x:f>COLUMNS(A7:S7)-COUNTBLANK(A7:S7)</x:f>
        <x:v>18</x:v>
      </x:c>
    </x:row>
    <x:row r="8" ht="24" hidden="0" customHeight="1">
      <x:c r="A8" s="10" t="str">
        <x:v>Reportagem</x:v>
      </x:c>
      <x:c r="B8" s="10" t="str"/>
      <x:c r="C8" s="10" t="str">
        <x:v>Produção midiática</x:v>
      </x:c>
      <x:c r="D8" s="10" t="str">
        <x:v>Público Mediado</x:v>
      </x:c>
      <x:c r="E8" s="10" t="str">
        <x:v>Midiático</x:v>
      </x:c>
      <x:c r="F8" s="10" t="str">
        <x:v>1992</x:v>
      </x:c>
      <x:c r="G8" s="11" t="n">
        <x:v>1992</x:v>
      </x:c>
      <x:c r="H8" s="10" t="str">
        <x:v>Não especificado</x:v>
      </x:c>
      <x:c r="I8" s="10" t="str">
        <x:v>Rede Globo</x:v>
      </x:c>
      <x:c r="J8" s="10" t="str">
        <x:v>Massacre no Carandiru – Reportagem: Outubro de 1992.</x:v>
      </x:c>
      <x:c r="K8" s="10" t="str">
        <x:v>Audiovisual</x:v>
      </x:c>
      <x:c r="L8" s="10" t="str">
        <x:v>Vídeo (digital)</x:v>
      </x:c>
      <x:c r="M8" s="10" t="str">
        <x:v>YouTube (Stracker)</x:v>
      </x:c>
      <x:c r="N8" s="10" t="str">
        <x:v>Português, Brasil</x:v>
      </x:c>
      <x:c r="O8" s="10" t="str">
        <x:v>"Massacre do Carandiru" no Youtube</x:v>
      </x:c>
      <x:c r="P8" s="10" t="str">
        <x:v>2025-10-15 00:00:00</x:v>
      </x:c>
      <x:c r="Q8" s="10" t="str">
        <x:v>Aberto</x:v>
      </x:c>
      <x:c r="R8" s="10" t="str">
        <x:v>Aqui</x:v>
      </x:c>
      <x:c r="S8" s="10" t="str">
        <x:v>STRACKER. Massacre no Carandiru – Reportagem: Outubro de 1992. [Reportagem originalmente exibida pela Rede Globo]. YouTube, 19 set. 2015. Disponível em: https://www.youtube.com/watch?v=A29fQMiFKyg. Acesso em: 15 out. 2025.</x:v>
      </x:c>
      <x:c r="T8" s="10" t="str">
        <x:v>BR-SPCARANDIRU_MAPEAMENTOS-REMEMORA-CARANDIRU.xlsx</x:v>
      </x:c>
      <x:c r="U8" s="10" t="str">
        <x:v>Geral</x:v>
      </x:c>
      <x:c r="V8" s="11" t="n">
        <x:v>9</x:v>
      </x:c>
      <x:c r="W8" s="10" t="str">
        <x:v>BR-SPCARANDIRU_MAPEAMENTOS-REMEMORA-CARANDIRU.xlsx:Geral:9</x:v>
      </x:c>
      <x:c r="X8" s="11" t="n">
        <x:f>COLUMNS(A8:S8)-COUNTBLANK(A8:S8)</x:f>
        <x:v>18</x:v>
      </x:c>
    </x:row>
    <x:row r="9" ht="24" hidden="0" customHeight="1">
      <x:c r="A9" s="10" t="str">
        <x:v>Reportagem</x:v>
      </x:c>
      <x:c r="B9" s="10" t="str"/>
      <x:c r="C9" s="10" t="str">
        <x:v>Produção midiática</x:v>
      </x:c>
      <x:c r="D9" s="10" t="str">
        <x:v>Público Mediado</x:v>
      </x:c>
      <x:c r="E9" s="10" t="str">
        <x:v>Midiático</x:v>
      </x:c>
      <x:c r="F9" s="10" t="str">
        <x:v>1992</x:v>
      </x:c>
      <x:c r="G9" s="11" t="n">
        <x:v>1992</x:v>
      </x:c>
      <x:c r="H9" s="10" t="str">
        <x:v>Não especificado</x:v>
      </x:c>
      <x:c r="I9" s="10" t="str">
        <x:v>Canal "Memórias Brasil"</x:v>
      </x:c>
      <x:c r="J9" s="10" t="str">
        <x:v>Massacre no Carandiru 1992. Reportagem original da Rede Globo.</x:v>
      </x:c>
      <x:c r="K9" s="10" t="str">
        <x:v>Audiovisual</x:v>
      </x:c>
      <x:c r="L9" s="10" t="str">
        <x:v>Vídeo (digital)</x:v>
      </x:c>
      <x:c r="M9" s="10" t="str">
        <x:v>YouTube (Memórias Brasil)</x:v>
      </x:c>
      <x:c r="N9" s="10" t="str">
        <x:v>Português, Brasil</x:v>
      </x:c>
      <x:c r="O9" s="10" t="str">
        <x:v>"Massacre do Carandiru" no Youtube</x:v>
      </x:c>
      <x:c r="P9" s="10" t="str">
        <x:v>2025-10-16 00:00:00</x:v>
      </x:c>
      <x:c r="Q9" s="10" t="str">
        <x:v>Aberto</x:v>
      </x:c>
      <x:c r="R9" s="10" t="str">
        <x:v>Aqui</x:v>
      </x:c>
      <x:c r="S9" s="10" t="str">
        <x:v>MEMÓRIAS BRASIL. Massacre no Carandiru 1992. Reportagem original da Rede Globo. YouTube, 1 min 43 s, 15 mar. 2023. Disponível em: https://www.youtube.com/watch?v=a6Kr0tTSf6s. Acesso em: 19 jul. 2025.</x:v>
      </x:c>
      <x:c r="T9" s="10" t="str">
        <x:v>BR-SPCARANDIRU_MAPEAMENTOS-REMEMORA-CARANDIRU.xlsx</x:v>
      </x:c>
      <x:c r="U9" s="10" t="str">
        <x:v>Geral</x:v>
      </x:c>
      <x:c r="V9" s="11" t="n">
        <x:v>10</x:v>
      </x:c>
      <x:c r="W9" s="10" t="str">
        <x:v>BR-SPCARANDIRU_MAPEAMENTOS-REMEMORA-CARANDIRU.xlsx:Geral:10</x:v>
      </x:c>
      <x:c r="X9" s="11" t="n">
        <x:f>COLUMNS(A9:S9)-COUNTBLANK(A9:S9)</x:f>
        <x:v>18</x:v>
      </x:c>
    </x:row>
    <x:row r="10" ht="15" hidden="0" customHeight="1">
      <x:c r="A10" s="10" t="str">
        <x:v>Música</x:v>
      </x:c>
      <x:c r="B10" s="10" t="str"/>
      <x:c r="C10" s="10" t="str">
        <x:v>Manifestação artístico-cultural</x:v>
      </x:c>
      <x:c r="D10" s="10" t="str">
        <x:v>Público Mediado</x:v>
      </x:c>
      <x:c r="E10" s="10" t="str">
        <x:v>Midiático</x:v>
      </x:c>
      <x:c r="F10" s="10" t="str">
        <x:v>1993</x:v>
      </x:c>
      <x:c r="G10" s="11" t="n">
        <x:v>1993</x:v>
      </x:c>
      <x:c r="H10" s="10" t="str">
        <x:v>Rio de Janeiro</x:v>
      </x:c>
      <x:c r="I10" s="10" t="str">
        <x:v>Caetano Veloso</x:v>
      </x:c>
      <x:c r="J10" s="10" t="str">
        <x:v>Haiti</x:v>
      </x:c>
      <x:c r="K10" s="10" t="str">
        <x:v>Audiovisual</x:v>
      </x:c>
      <x:c r="L10" s="10" t="str">
        <x:v>Vídeo (digital)</x:v>
      </x:c>
      <x:c r="M10" s="10" t="str">
        <x:v>YouTube (Caetano Veloso)</x:v>
      </x:c>
      <x:c r="N10" s="10" t="str">
        <x:v>Português, Brasil</x:v>
      </x:c>
      <x:c r="O10" s="10" t="str">
        <x:v>Hiperlink</x:v>
      </x:c>
      <x:c r="P10" s="10" t="str">
        <x:v>2025-07-17 00:00:00</x:v>
      </x:c>
      <x:c r="Q10" s="10" t="str">
        <x:v>Aberto</x:v>
      </x:c>
      <x:c r="R10" s="10" t="str">
        <x:v>Aqui</x:v>
      </x:c>
      <x:c r="S10" s="10" t="str">
        <x:v>VELOSO, Caetano. Haiti. YouTube, 1993. Vídeo: 4 min 59 s. Publicado em: 15 ago. 2012. Disponível em: https://www.youtube.com/watch?v=MfAxBoxdlb0. Acesso em: 18 jul. 2025.</x:v>
      </x:c>
      <x:c r="T10" s="10" t="str">
        <x:v>BR-SPCARANDIRU_MAPEAMENTOS-REMEMORA-CARANDIRU.xlsx</x:v>
      </x:c>
      <x:c r="U10" s="10" t="str">
        <x:v>Geral</x:v>
      </x:c>
      <x:c r="V10" s="11" t="n">
        <x:v>11</x:v>
      </x:c>
      <x:c r="W10" s="10" t="str">
        <x:v>BR-SPCARANDIRU_MAPEAMENTOS-REMEMORA-CARANDIRU.xlsx:Geral:11</x:v>
      </x:c>
      <x:c r="X10" s="11" t="n">
        <x:f>COLUMNS(A10:S10)-COUNTBLANK(A10:S10)</x:f>
        <x:v>18</x:v>
      </x:c>
    </x:row>
    <x:row r="11" ht="15" hidden="0" customHeight="1">
      <x:c r="A11" s="10" t="str">
        <x:v>Música</x:v>
      </x:c>
      <x:c r="B11" s="10" t="str"/>
      <x:c r="C11" s="10" t="str">
        <x:v>Manifestação artístico-cultural</x:v>
      </x:c>
      <x:c r="D11" s="10" t="str">
        <x:v>Público Mediado</x:v>
      </x:c>
      <x:c r="E11" s="10" t="str">
        <x:v>Midiático</x:v>
      </x:c>
      <x:c r="F11" s="10" t="str">
        <x:v>1993</x:v>
      </x:c>
      <x:c r="G11" s="11" t="n">
        <x:v>1993</x:v>
      </x:c>
      <x:c r="H11" s="10" t="str">
        <x:v>São Paulo</x:v>
      </x:c>
      <x:c r="I11" s="10" t="str">
        <x:v>Sepultura</x:v>
      </x:c>
      <x:c r="J11" s="10" t="str">
        <x:v>Manifest</x:v>
      </x:c>
      <x:c r="K11" s="10" t="str">
        <x:v>Sonoro</x:v>
      </x:c>
      <x:c r="L11" s="10" t="str">
        <x:v>Áudio (digital)</x:v>
      </x:c>
      <x:c r="M11" s="10" t="str">
        <x:v>YouTube (Sepultura)</x:v>
      </x:c>
      <x:c r="N11" s="10" t="str">
        <x:v>Português, Brasil</x:v>
      </x:c>
      <x:c r="O11" s="10" t="str">
        <x:v>Hiperlink</x:v>
      </x:c>
      <x:c r="P11" s="10" t="str">
        <x:v>2025-07-17 00:00:00</x:v>
      </x:c>
      <x:c r="Q11" s="10" t="str">
        <x:v>Aberto</x:v>
      </x:c>
      <x:c r="R11" s="10" t="str">
        <x:v>Aqui</x:v>
      </x:c>
      <x:c r="S11" s="10" t="str">
        <x:v>SEPULTURA. Manifest. YouTube, 1993. Vídeo: 4 min 30 s. Disponível em: https://www.youtube.com/watch?v=PE0Y3yZSvks&amp;list=RDPE0Y3yZSvks&amp;start_radio=1. Acesso em: 17 jul. 2025.</x:v>
      </x:c>
      <x:c r="T11" s="10" t="str">
        <x:v>BR-SPCARANDIRU_MAPEAMENTOS-REMEMORA-CARANDIRU.xlsx</x:v>
      </x:c>
      <x:c r="U11" s="10" t="str">
        <x:v>Geral</x:v>
      </x:c>
      <x:c r="V11" s="11" t="n">
        <x:v>12</x:v>
      </x:c>
      <x:c r="W11" s="10" t="str">
        <x:v>BR-SPCARANDIRU_MAPEAMENTOS-REMEMORA-CARANDIRU.xlsx:Geral:12</x:v>
      </x:c>
      <x:c r="X11" s="11" t="n">
        <x:f>COLUMNS(A11:S11)-COUNTBLANK(A11:S11)</x:f>
        <x:v>18</x:v>
      </x:c>
    </x:row>
    <x:row r="12" ht="24" hidden="0" customHeight="1">
      <x:c r="A12" s="10" t="str">
        <x:v>Música</x:v>
      </x:c>
      <x:c r="B12" s="10" t="str"/>
      <x:c r="C12" s="10" t="str">
        <x:v>Manifestação artístico-cultural</x:v>
      </x:c>
      <x:c r="D12" s="10" t="str">
        <x:v>Público Mediado</x:v>
      </x:c>
      <x:c r="E12" s="10" t="str">
        <x:v>Midiático</x:v>
      </x:c>
      <x:c r="F12" s="10" t="str">
        <x:v>1993</x:v>
      </x:c>
      <x:c r="G12" s="11" t="n">
        <x:v>1993</x:v>
      </x:c>
      <x:c r="H12" s="10" t="str">
        <x:v>São Paulo</x:v>
      </x:c>
      <x:c r="I12" s="10" t="str">
        <x:v>Fatos Reais</x:v>
      </x:c>
      <x:c r="J12" s="10" t="str">
        <x:v>Terror no Carandiru</x:v>
      </x:c>
      <x:c r="K12" s="10" t="str">
        <x:v>Sonoro</x:v>
      </x:c>
      <x:c r="L12" s="10" t="str">
        <x:v>Áudio (digital)</x:v>
      </x:c>
      <x:c r="M12" s="10" t="str">
        <x:v>YouTube (Fatos Reais – Topic)</x:v>
      </x:c>
      <x:c r="N12" s="10" t="str">
        <x:v>Português, Brasil</x:v>
      </x:c>
      <x:c r="O12" s="10" t="str">
        <x:v>Hiperlink</x:v>
      </x:c>
      <x:c r="P12" s="10" t="str">
        <x:v>2025-07-18 00:00:00</x:v>
      </x:c>
      <x:c r="Q12" s="10" t="str">
        <x:v>Aberto</x:v>
      </x:c>
      <x:c r="R12" s="10" t="str">
        <x:v>Aqui</x:v>
      </x:c>
      <x:c r="S12" s="10" t="str">
        <x:v>FATOS REAIS – Topic. Terror no Carandiru. YouTube, [1993]. Vídeo: 4 min 36 s. Publicado em: 14 ago. 2020. Disponível em: https://www.youtube.com/watch?v=_XqvYGBVyr8&amp;list=OLAK5uy_mWbLFS3_Xr1Ec2nboNoLkbh6kfBrUXXKQ&amp;index=4. Acesso em: 18 jul. 2025.</x:v>
      </x:c>
      <x:c r="T12" s="10" t="str">
        <x:v>BR-SPCARANDIRU_MAPEAMENTOS-REMEMORA-CARANDIRU.xlsx</x:v>
      </x:c>
      <x:c r="U12" s="10" t="str">
        <x:v>Geral</x:v>
      </x:c>
      <x:c r="V12" s="11" t="n">
        <x:v>13</x:v>
      </x:c>
      <x:c r="W12" s="10" t="str">
        <x:v>BR-SPCARANDIRU_MAPEAMENTOS-REMEMORA-CARANDIRU.xlsx:Geral:13</x:v>
      </x:c>
      <x:c r="X12" s="11" t="n">
        <x:f>COLUMNS(A12:S12)-COUNTBLANK(A12:S12)</x:f>
        <x:v>18</x:v>
      </x:c>
    </x:row>
    <x:row r="13" ht="24" hidden="0" customHeight="1">
      <x:c r="A13" s="10" t="str">
        <x:v>Relatório</x:v>
      </x:c>
      <x:c r="B13" s="10" t="str"/>
      <x:c r="C13" s="10" t="str"/>
      <x:c r="D13" s="10" t="str">
        <x:v>Público Mediado</x:v>
      </x:c>
      <x:c r="E13" s="10" t="str">
        <x:v>Presencial/Físico</x:v>
      </x:c>
      <x:c r="F13" s="10" t="str">
        <x:v>1993-04-30 00:00:00</x:v>
      </x:c>
      <x:c r="G13" s="11" t="n">
        <x:v>1993</x:v>
      </x:c>
      <x:c r="H13" s="10" t="str">
        <x:v>São Paulo</x:v>
      </x:c>
      <x:c r="I13" s="10" t="str">
        <x:v>Anistia Internacional</x:v>
      </x:c>
      <x:c r="J13" s="10" t="str">
        <x:v>“Chegou a morte”: Massacre na casa de detenção São Paulo</x:v>
      </x:c>
      <x:c r="K13" s="10" t="str">
        <x:v>Textual</x:v>
      </x:c>
      <x:c r="L13" s="10" t="str">
        <x:v>Texto (digital)</x:v>
      </x:c>
      <x:c r="M13" s="10" t="str">
        <x:v>Anistia Internacional</x:v>
      </x:c>
      <x:c r="N13" s="10" t="str">
        <x:v>Português, Brasil</x:v>
      </x:c>
      <x:c r="O13" s="10" t="str">
        <x:v>Hiperlink</x:v>
      </x:c>
      <x:c r="P13" s="10" t="str">
        <x:v>2025-07-17 00:00:00</x:v>
      </x:c>
      <x:c r="Q13" s="10" t="str">
        <x:v>Aberto</x:v>
      </x:c>
      <x:c r="R13" s="10" t="str">
        <x:v>Aqui</x:v>
      </x:c>
      <x:c r="S13" s="10" t="str">
        <x:v>ANISTIA INTERNACIONAL. “Chegou a Morte”: Massacre na Casa de Detenção de São Paulo. [S.l.]: AI Index, 1993. Disponível em: https://www.amnesty.org/en/documents/amr19/008/1993/pt/. Acesso em: 18 nov. 2025.</x:v>
      </x:c>
      <x:c r="T13" s="10" t="str">
        <x:v>BR-SPCARANDIRU_MAPEAMENTOS-REMEMORA-CARANDIRU.xlsx</x:v>
      </x:c>
      <x:c r="U13" s="10" t="str">
        <x:v>Geral</x:v>
      </x:c>
      <x:c r="V13" s="11" t="n">
        <x:v>14</x:v>
      </x:c>
      <x:c r="W13" s="10" t="str">
        <x:v>BR-SPCARANDIRU_MAPEAMENTOS-REMEMORA-CARANDIRU.xlsx:Geral:14</x:v>
      </x:c>
      <x:c r="X13" s="11" t="n">
        <x:f>COLUMNS(A13:S13)-COUNTBLANK(A13:S13)</x:f>
        <x:v>17</x:v>
      </x:c>
    </x:row>
    <x:row r="14" ht="24" hidden="0" customHeight="1">
      <x:c r="A14" s="10" t="str">
        <x:v>Crônica</x:v>
      </x:c>
      <x:c r="B14" s="10" t="str"/>
      <x:c r="C14" s="10" t="str">
        <x:v>Produção midiática</x:v>
      </x:c>
      <x:c r="D14" s="10" t="str">
        <x:v>Público Mediado</x:v>
      </x:c>
      <x:c r="E14" s="10" t="str">
        <x:v>Presencial/Físico</x:v>
      </x:c>
      <x:c r="F14" s="10" t="str">
        <x:v>1993-09-03 00:00:00</x:v>
      </x:c>
      <x:c r="G14" s="11" t="n">
        <x:v>1993</x:v>
      </x:c>
      <x:c r="H14" s="10" t="str">
        <x:v>São Paulo</x:v>
      </x:c>
      <x:c r="I14" s="10" t="str">
        <x:v>Sérgio de Carvalho</x:v>
      </x:c>
      <x:c r="J14" s="10" t="str">
        <x:v>No país do massacre, luto não tem sentido</x:v>
      </x:c>
      <x:c r="K14" s="10" t="str">
        <x:v>Hemerográfico</x:v>
      </x:c>
      <x:c r="L14" s="10" t="str">
        <x:v>Digitalizado</x:v>
      </x:c>
      <x:c r="M14" s="10" t="str">
        <x:v>O Estado de S. Paulo</x:v>
      </x:c>
      <x:c r="N14" s="10" t="str">
        <x:v>Português, Brasil</x:v>
      </x:c>
      <x:c r="O14" s="10" t="str">
        <x:v>"111 mortos 1993" no acervo d'O Estado de S. Paulo</x:v>
      </x:c>
      <x:c r="P14" s="10" t="str">
        <x:v>2025-07-17 00:00:00</x:v>
      </x:c>
      <x:c r="Q14" s="10" t="str">
        <x:v>Acesso restrito</x:v>
      </x:c>
      <x:c r="R14" s="10" t="str">
        <x:v>Aqui</x:v>
      </x:c>
      <x:c r="S14" s="10" t="str">
        <x:v>CARVALHO, Sérgio de. No país do massacre, luto não tem sentido. O Estado de S. Paulo, São Paulo, 3 set. 1993. Disponível em: https://acervo.estadao.com.br/pagina/#!/19930903-36479-nac-0047-cd2-5-not/busca/1993. Acesso em: 17 jul. 2025.</x:v>
      </x:c>
      <x:c r="T14" s="10" t="str">
        <x:v>BR-SPCARANDIRU_MAPEAMENTOS-REMEMORA-CARANDIRU.xlsx</x:v>
      </x:c>
      <x:c r="U14" s="10" t="str">
        <x:v>Geral</x:v>
      </x:c>
      <x:c r="V14" s="11" t="n">
        <x:v>15</x:v>
      </x:c>
      <x:c r="W14" s="10" t="str">
        <x:v>BR-SPCARANDIRU_MAPEAMENTOS-REMEMORA-CARANDIRU.xlsx:Geral:15</x:v>
      </x:c>
      <x:c r="X14" s="11" t="n">
        <x:f>COLUMNS(A14:S14)-COUNTBLANK(A14:S14)</x:f>
        <x:v>18</x:v>
      </x:c>
    </x:row>
    <x:row r="15" ht="36" hidden="0" customHeight="1">
      <x:c r="A15" s="10" t="str">
        <x:v>Abaixo-assinado</x:v>
      </x:c>
      <x:c r="B15" s="10" t="str"/>
      <x:c r="C15" s="10" t="str"/>
      <x:c r="D15" s="10" t="str">
        <x:v>Público Mediado</x:v>
      </x:c>
      <x:c r="E15" s="10" t="str">
        <x:v>Presencial/Físico</x:v>
      </x:c>
      <x:c r="F15" s="10" t="str">
        <x:v>1993-10-13 00:00:00</x:v>
      </x:c>
      <x:c r="G15" s="11" t="n">
        <x:v>1993</x:v>
      </x:c>
      <x:c r="H15" s="10" t="str">
        <x:v>São Paulo</x:v>
      </x:c>
      <x:c r="I15" s="10" t="str">
        <x:v>Associação Juízes pela Democracia</x:v>
      </x:c>
      <x:c r="J15" s="10" t="str">
        <x:v>Tribunal decide hoje se indica Pedro Franco</x:v>
      </x:c>
      <x:c r="K15" s="10" t="str">
        <x:v>Hemerográfico</x:v>
      </x:c>
      <x:c r="L15" s="10" t="str">
        <x:v>Digitalizado</x:v>
      </x:c>
      <x:c r="M15" s="10" t="str">
        <x:v>Folha de S. Paulo</x:v>
      </x:c>
      <x:c r="N15" s="10" t="str">
        <x:v>Português, Brasil</x:v>
      </x:c>
      <x:c r="O15" s="10" t="str">
        <x:v>"Massacre do Carandiru" no acervo da Folha de S. Paulo</x:v>
      </x:c>
      <x:c r="P15" s="10" t="str">
        <x:v>2025-07-17 00:00:00</x:v>
      </x:c>
      <x:c r="Q15" s="10" t="str">
        <x:v>Acesso restrito</x:v>
      </x:c>
      <x:c r="R15" s="10" t="str">
        <x:v>Aqui</x:v>
      </x:c>
      <x:c r="S15" s="10" t="str">
        <x:v>FOLHA DE S. PAULO. Tribunal decide hoje se indica Pedro Franco. Folha de S. Paulo, São Paulo, 13 out. 1993. Disponível em: https://acervo.folha.com.br/digital/leitor.do?numero=12210&amp;keyword=%22massacre+do+carandiru%22&amp;anchor=4831804&amp;origem=busca&amp;originURL=&amp;maxTouch=0&amp;pd=1feaed63bbf6ad29ea7ea9ff50a9bd58. Acesso em: 17 jul. 2025.</x:v>
      </x:c>
      <x:c r="T15" s="10" t="str">
        <x:v>BR-SPCARANDIRU_MAPEAMENTOS-REMEMORA-CARANDIRU.xlsx</x:v>
      </x:c>
      <x:c r="U15" s="10" t="str">
        <x:v>Geral</x:v>
      </x:c>
      <x:c r="V15" s="11" t="n">
        <x:v>16</x:v>
      </x:c>
      <x:c r="W15" s="10" t="str">
        <x:v>BR-SPCARANDIRU_MAPEAMENTOS-REMEMORA-CARANDIRU.xlsx:Geral:16</x:v>
      </x:c>
      <x:c r="X15" s="11" t="n">
        <x:f>COLUMNS(A15:S15)-COUNTBLANK(A15:S15)</x:f>
        <x:v>17</x:v>
      </x:c>
    </x:row>
    <x:row r="16" ht="84" hidden="0" customHeight="1">
      <x:c r="A16" s="10" t="str">
        <x:v>Manifesto</x:v>
      </x:c>
      <x:c r="B16" s="10" t="str"/>
      <x:c r="C16" s="10" t="str"/>
      <x:c r="D16" s="10" t="str">
        <x:v>Público Mediado</x:v>
      </x:c>
      <x:c r="E16" s="10" t="str">
        <x:v>Presencial/Físico</x:v>
      </x:c>
      <x:c r="F16" s="10" t="str">
        <x:v>1993-10-13 00:00:00</x:v>
      </x:c>
      <x:c r="G16" s="11" t="n">
        <x:v>1993</x:v>
      </x:c>
      <x:c r="H16" s="10" t="str">
        <x:v>São Paulo</x:v>
      </x:c>
      <x:c r="I16" s="10" t="str">
        <x:v>Associação Juízes pela Democracia, OAB/SP Comissão de Direitos Humanos da OAB/SP, Associaçao Juizes para a Democracia, Pastoral Carcerária, Núcleo de Estudos da Violência da USP, Comissão Teotônio Vilela, Comissão Justiça e Paz, grupo Tortura Nunca Mais, entre outros.</x:v>
      </x:c>
      <x:c r="J16" s="10" t="str">
        <x:v>Tribunal decide hoje se indica Pedro Franco</x:v>
      </x:c>
      <x:c r="K16" s="10" t="str">
        <x:v>Hemerográfico</x:v>
      </x:c>
      <x:c r="L16" s="10" t="str">
        <x:v>Digitalizado</x:v>
      </x:c>
      <x:c r="M16" s="10" t="str">
        <x:v>Folha de S. Paulo</x:v>
      </x:c>
      <x:c r="N16" s="10" t="str">
        <x:v>Português, Brasil</x:v>
      </x:c>
      <x:c r="O16" s="10" t="str">
        <x:v>"Massacre do Carandiru" no acervo da Folha de S. Paulo</x:v>
      </x:c>
      <x:c r="P16" s="10" t="str">
        <x:v>2025-07-17 00:00:00</x:v>
      </x:c>
      <x:c r="Q16" s="10" t="str">
        <x:v>Acesso restrito</x:v>
      </x:c>
      <x:c r="R16" s="10" t="str">
        <x:v>Aqui</x:v>
      </x:c>
      <x:c r="S16" s="10" t="str">
        <x:v>FOLHA DE S. PAULO. Tribunal decide hoje se indica Pedro Franco. Folha de S. Paulo, São Paulo, 13 out. 1993. Disponível em: https://acervo.folha.com.br/digital/leitor.do?numero=12210&amp;keyword=%22massacre+do+carandiru%22&amp;anchor=4831804&amp;origem=busca&amp;originURL=&amp;maxTouch=0&amp;pd=1feaed63bbf6ad29ea7ea9ff50a9bd58. Acesso em: 17 jul. 2025.</x:v>
      </x:c>
      <x:c r="T16" s="10" t="str">
        <x:v>BR-SPCARANDIRU_MAPEAMENTOS-REMEMORA-CARANDIRU.xlsx</x:v>
      </x:c>
      <x:c r="U16" s="10" t="str">
        <x:v>Geral</x:v>
      </x:c>
      <x:c r="V16" s="11" t="n">
        <x:v>17</x:v>
      </x:c>
      <x:c r="W16" s="10" t="str">
        <x:v>BR-SPCARANDIRU_MAPEAMENTOS-REMEMORA-CARANDIRU.xlsx:Geral:17</x:v>
      </x:c>
      <x:c r="X16" s="11" t="n">
        <x:f>COLUMNS(A16:S16)-COUNTBLANK(A16:S16)</x:f>
        <x:v>17</x:v>
      </x:c>
    </x:row>
    <x:row r="17" ht="24" hidden="0" customHeight="1">
      <x:c r="A17" s="10" t="str">
        <x:v>Livro</x:v>
      </x:c>
      <x:c r="B17" s="10" t="str"/>
      <x:c r="C17" s="10" t="str">
        <x:v>Manifestação artístico-cultural</x:v>
      </x:c>
      <x:c r="D17" s="10" t="str">
        <x:v>Público Mediado</x:v>
      </x:c>
      <x:c r="E17" s="10" t="str">
        <x:v>Midiático</x:v>
      </x:c>
      <x:c r="F17" s="10" t="str">
        <x:v>1993</x:v>
      </x:c>
      <x:c r="G17" s="11" t="n">
        <x:v>1993</x:v>
      </x:c>
      <x:c r="H17" s="10" t="str">
        <x:v>São Paulo</x:v>
      </x:c>
      <x:c r="I17" s="10" t="str">
        <x:v>Elói Pietá e Justino Pereira</x:v>
      </x:c>
      <x:c r="J17" s="10" t="str">
        <x:v>Pavilhão 9: O Massacre do Carandiru</x:v>
      </x:c>
      <x:c r="K17" s="10" t="str">
        <x:v>Bibliográfico</x:v>
      </x:c>
      <x:c r="L17" s="10" t="str">
        <x:v>Impresso</x:v>
      </x:c>
      <x:c r="M17" s="10" t="str">
        <x:v>Biblioteca Digital de Teses e Dissertações da USP</x:v>
      </x:c>
      <x:c r="N17" s="10" t="str">
        <x:v>Português, Brasil</x:v>
      </x:c>
      <x:c r="O17" s="10" t="str">
        <x:v>"Massacre do Carandiru" no Dedalus USP</x:v>
      </x:c>
      <x:c r="P17" s="10" t="str">
        <x:v>2025-10-15 00:00:00</x:v>
      </x:c>
      <x:c r="Q17" s="10" t="str">
        <x:v>Aberto</x:v>
      </x:c>
      <x:c r="R17" s="10" t="str">
        <x:v>Aqui</x:v>
      </x:c>
      <x:c r="S17" s="10" t="str">
        <x:v>RODRIGUES, Adriana Mariana de Araujo. Carandiru: formas de lembrar, maneiras de esquecer. Informação, memória e esquecimento. 2021. Dissertação (Mestrado em Cultura e Informação) - Escola de Comunicações e Artes, Universidade de São Paulo, São Paulo, 2021. Disponível em: https://www.teses.usp.br/teses/disponiveis/27/27151/tde-24082021-234649/pt-br.php. Acesso em: 2025-10-15.</x:v>
      </x:c>
      <x:c r="T17" s="10" t="str">
        <x:v>BR-SPCARANDIRU_MAPEAMENTOS-REMEMORA-CARANDIRU.xlsx</x:v>
      </x:c>
      <x:c r="U17" s="10" t="str">
        <x:v>Geral</x:v>
      </x:c>
      <x:c r="V17" s="11" t="n">
        <x:v>18</x:v>
      </x:c>
      <x:c r="W17" s="10" t="str">
        <x:v>BR-SPCARANDIRU_MAPEAMENTOS-REMEMORA-CARANDIRU.xlsx:Geral:18</x:v>
      </x:c>
      <x:c r="X17" s="11" t="n">
        <x:f>COLUMNS(A17:S17)-COUNTBLANK(A17:S17)</x:f>
        <x:v>18</x:v>
      </x:c>
    </x:row>
    <x:row r="18" ht="24" hidden="0" customHeight="1">
      <x:c r="A18" s="10" t="str">
        <x:v>Petição</x:v>
      </x:c>
      <x:c r="B18" s="10" t="str"/>
      <x:c r="C18" s="10" t="str"/>
      <x:c r="D18" s="10" t="str">
        <x:v>Público Mediado</x:v>
      </x:c>
      <x:c r="E18" s="10" t="str">
        <x:v>Presencial/Físico</x:v>
      </x:c>
      <x:c r="F18" s="10" t="str">
        <x:v>1994-02-22 00:00:00</x:v>
      </x:c>
      <x:c r="G18" s="11" t="n">
        <x:v>1994</x:v>
      </x:c>
      <x:c r="H18" s="10" t="str">
        <x:v>São Paulo</x:v>
      </x:c>
      <x:c r="I18" s="10" t="str">
        <x:v>Americas Watch, o CEJIL e a Comissão Teotônio Vilela</x:v>
      </x:c>
      <x:c r="J18" s="10" t="str">
        <x:v>Relatório nº34/00</x:v>
      </x:c>
      <x:c r="K18" s="10" t="str">
        <x:v>Textual</x:v>
      </x:c>
      <x:c r="L18" s="10" t="str">
        <x:v>Texto (digital)</x:v>
      </x:c>
      <x:c r="M18" s="10" t="str">
        <x:v>Comissão Interamericana de Direitos Humanos (CIDH)</x:v>
      </x:c>
      <x:c r="N18" s="10" t="str">
        <x:v>Português, Brasil</x:v>
      </x:c>
      <x:c r="O18" s="10" t="str">
        <x:v>Hiperlink</x:v>
      </x:c>
      <x:c r="P18" s="10" t="str">
        <x:v>2025-07-18 00:00:00</x:v>
      </x:c>
      <x:c r="Q18" s="10" t="str">
        <x:v>Aberto</x:v>
      </x:c>
      <x:c r="R18" s="10" t="str">
        <x:v>Aqui</x:v>
      </x:c>
      <x:c r="S18" s="10" t="str">
        <x:v>COMISSÃO INTERAMERICANA DE DIREITOS HUMANOS (CIDH). Relatório nº 34/00. 2000. Disponível em: https://cidh.oas.org/annualrep/99port/brasil11291.htm. Acesso em: 18 jul. 2025.</x:v>
      </x:c>
      <x:c r="T18" s="10" t="str">
        <x:v>BR-SPCARANDIRU_MAPEAMENTOS-REMEMORA-CARANDIRU.xlsx</x:v>
      </x:c>
      <x:c r="U18" s="10" t="str">
        <x:v>Geral</x:v>
      </x:c>
      <x:c r="V18" s="11" t="n">
        <x:v>19</x:v>
      </x:c>
      <x:c r="W18" s="10" t="str">
        <x:v>BR-SPCARANDIRU_MAPEAMENTOS-REMEMORA-CARANDIRU.xlsx:Geral:19</x:v>
      </x:c>
      <x:c r="X18" s="11" t="n">
        <x:f>COLUMNS(A18:S18)-COUNTBLANK(A18:S18)</x:f>
        <x:v>17</x:v>
      </x:c>
    </x:row>
    <x:row r="19" ht="24" hidden="0" customHeight="1">
      <x:c r="A19" s="10" t="str">
        <x:v>Exposição</x:v>
      </x:c>
      <x:c r="B19" s="10" t="str"/>
      <x:c r="C19" s="10" t="str">
        <x:v>Manifestação artístico-cultural</x:v>
      </x:c>
      <x:c r="D19" s="10" t="str">
        <x:v>Público Imediato</x:v>
      </x:c>
      <x:c r="E19" s="10" t="str">
        <x:v>Presencial/Físico</x:v>
      </x:c>
      <x:c r="F19" s="10" t="str">
        <x:v>1994-10-02 00:00:00</x:v>
      </x:c>
      <x:c r="G19" s="11" t="n">
        <x:v>1994</x:v>
      </x:c>
      <x:c r="H19" s="10" t="str">
        <x:v>Em frente à Casa de Detenção</x:v>
      </x:c>
      <x:c r="I19" s="10" t="str">
        <x:v>Indeterminado</x:v>
      </x:c>
      <x:c r="J19" s="10" t="str">
        <x:v>Bancada 111' usa massacre para se eleger</x:v>
      </x:c>
      <x:c r="K19" s="10" t="str">
        <x:v>Hemerográfico</x:v>
      </x:c>
      <x:c r="L19" s="10" t="str">
        <x:v>Texto (digital), Imagem (digital)</x:v>
      </x:c>
      <x:c r="M19" s="10" t="str">
        <x:v>Folha de S. Paulo</x:v>
      </x:c>
      <x:c r="N19" s="10" t="str">
        <x:v>Português, Brasil</x:v>
      </x:c>
      <x:c r="O19" s="10" t="str">
        <x:v>"manifestação solidariedade ao Massacre do Carandiru" no acervo da Folha de S. Paulo</x:v>
      </x:c>
      <x:c r="P19" s="10" t="str">
        <x:v>2025-07-16 00:00:00</x:v>
      </x:c>
      <x:c r="Q19" s="10" t="str">
        <x:v>Aberto</x:v>
      </x:c>
      <x:c r="R19" s="10" t="str">
        <x:v>Aqui</x:v>
      </x:c>
      <x:c r="S19" s="10" t="str">
        <x:v>CASTRO, Daniel. “Bancada 111” usa massacre para se eleger. Folha de S. Paulo, São Paulo, 2 out. 1994. Disponível em: https://www1.folha.uol.com.br/fsp/1994/10/02/cotidiano/15.html. Acesso em: 16 jul. 2025.</x:v>
      </x:c>
      <x:c r="T19" s="10" t="str">
        <x:v>BR-SPCARANDIRU_MAPEAMENTOS-REMEMORA-CARANDIRU.xlsx</x:v>
      </x:c>
      <x:c r="U19" s="10" t="str">
        <x:v>Geral</x:v>
      </x:c>
      <x:c r="V19" s="11" t="n">
        <x:v>20</x:v>
      </x:c>
      <x:c r="W19" s="10" t="str">
        <x:v>BR-SPCARANDIRU_MAPEAMENTOS-REMEMORA-CARANDIRU.xlsx:Geral:20</x:v>
      </x:c>
      <x:c r="X19" s="11" t="n">
        <x:f>COLUMNS(A19:S19)-COUNTBLANK(A19:S19)</x:f>
        <x:v>18</x:v>
      </x:c>
    </x:row>
    <x:row r="20" ht="24" hidden="0" customHeight="1">
      <x:c r="A20" s="10" t="str">
        <x:v>Paralisação</x:v>
      </x:c>
      <x:c r="B20" s="10" t="str"/>
      <x:c r="C20" s="10" t="str"/>
      <x:c r="D20" s="10" t="str">
        <x:v>Público Imediato</x:v>
      </x:c>
      <x:c r="E20" s="10" t="str">
        <x:v>Presencial/Físico</x:v>
      </x:c>
      <x:c r="F20" s="10" t="str">
        <x:v>1994-10-02 00:00:00</x:v>
      </x:c>
      <x:c r="G20" s="11" t="n">
        <x:v>1994</x:v>
      </x:c>
      <x:c r="H20" s="10" t="str">
        <x:v>Todos os presídios de São Paulo</x:v>
      </x:c>
      <x:c r="I20" s="10" t="str">
        <x:v>Asbras (Associação dos Sentenciados do Brasil)</x:v>
      </x:c>
      <x:c r="J20" s="10" t="str">
        <x:v>Bancada 111' usa massacre para se eleger</x:v>
      </x:c>
      <x:c r="K20" s="10" t="str">
        <x:v>Hemerográfico</x:v>
      </x:c>
      <x:c r="L20" s="10" t="str">
        <x:v>Texto (digital), Imagem (digital)</x:v>
      </x:c>
      <x:c r="M20" s="10" t="str">
        <x:v>Folha de S. Paulo</x:v>
      </x:c>
      <x:c r="N20" s="10" t="str">
        <x:v>Português, Brasil</x:v>
      </x:c>
      <x:c r="O20" s="10" t="str">
        <x:v>"manifestação solidariedade ao Massacre do Carandiru" no acervo da Folha de S. Paulo</x:v>
      </x:c>
      <x:c r="P20" s="10" t="str">
        <x:v>2025-07-16 00:00:00</x:v>
      </x:c>
      <x:c r="Q20" s="10" t="str">
        <x:v>Aberto</x:v>
      </x:c>
      <x:c r="R20" s="10" t="str">
        <x:v>Aqui</x:v>
      </x:c>
      <x:c r="S20" s="10" t="str">
        <x:v>CASTRO, Daniel. “Bancada 111” usa massacre para se eleger. Folha de S. Paulo, São Paulo, 2 out. 1994. Disponível em: https://www1.folha.uol.com.br/fsp/1994/10/02/cotidiano/15.html. Acesso em: 16 jul. 2025.</x:v>
      </x:c>
      <x:c r="T20" s="10" t="str">
        <x:v>BR-SPCARANDIRU_MAPEAMENTOS-REMEMORA-CARANDIRU.xlsx</x:v>
      </x:c>
      <x:c r="U20" s="10" t="str">
        <x:v>Geral</x:v>
      </x:c>
      <x:c r="V20" s="11" t="n">
        <x:v>21</x:v>
      </x:c>
      <x:c r="W20" s="10" t="str">
        <x:v>BR-SPCARANDIRU_MAPEAMENTOS-REMEMORA-CARANDIRU.xlsx:Geral:21</x:v>
      </x:c>
      <x:c r="X20" s="11" t="n">
        <x:f>COLUMNS(A20:S20)-COUNTBLANK(A20:S20)</x:f>
        <x:v>17</x:v>
      </x:c>
    </x:row>
    <x:row r="21" ht="24" hidden="0" customHeight="1">
      <x:c r="A21" s="10" t="str">
        <x:v>Ato</x:v>
      </x:c>
      <x:c r="B21" s="10" t="str"/>
      <x:c r="C21" s="10" t="str"/>
      <x:c r="D21" s="10" t="str">
        <x:v>Público Imediato</x:v>
      </x:c>
      <x:c r="E21" s="10" t="str">
        <x:v>Presencial/Físico</x:v>
      </x:c>
      <x:c r="F21" s="10" t="str">
        <x:v>1994-10-05 00:00:00</x:v>
      </x:c>
      <x:c r="G21" s="11" t="n">
        <x:v>1994</x:v>
      </x:c>
      <x:c r="H21" s="10" t="str">
        <x:v>Largo São Francisco (centro de São Paulo)</x:v>
      </x:c>
      <x:c r="I21" s="10" t="str">
        <x:v>Autoria desconhecida</x:v>
      </x:c>
      <x:c r="J21" s="10" t="str">
        <x:v>Bancada 111' usa massacre para se eleger</x:v>
      </x:c>
      <x:c r="K21" s="10" t="str">
        <x:v>Hemerográfico</x:v>
      </x:c>
      <x:c r="L21" s="10" t="str">
        <x:v>Texto (digital), Imagem (digital)</x:v>
      </x:c>
      <x:c r="M21" s="10" t="str">
        <x:v>Folha de S. Paulo</x:v>
      </x:c>
      <x:c r="N21" s="10" t="str">
        <x:v>Português, Brasil</x:v>
      </x:c>
      <x:c r="O21" s="10" t="str">
        <x:v>"manifestação solidariedade ao Massacre do Carandiru" no acervo da Folha de S. Paulo</x:v>
      </x:c>
      <x:c r="P21" s="10" t="str">
        <x:v>2025-07-16 00:00:00</x:v>
      </x:c>
      <x:c r="Q21" s="10" t="str">
        <x:v>Aberto</x:v>
      </x:c>
      <x:c r="R21" s="10" t="str">
        <x:v>Aqui</x:v>
      </x:c>
      <x:c r="S21" s="10" t="str">
        <x:v>CASTRO, Daniel. “Bancada 111” usa massacre para se eleger. Folha de S. Paulo, São Paulo, 2 out. 1994. Disponível em: https://www1.folha.uol.com.br/fsp/1994/10/02/cotidiano/15.html. Acesso em: 16 jul. 2025.</x:v>
      </x:c>
      <x:c r="T21" s="10" t="str">
        <x:v>BR-SPCARANDIRU_MAPEAMENTOS-REMEMORA-CARANDIRU.xlsx</x:v>
      </x:c>
      <x:c r="U21" s="10" t="str">
        <x:v>Geral</x:v>
      </x:c>
      <x:c r="V21" s="11" t="n">
        <x:v>22</x:v>
      </x:c>
      <x:c r="W21" s="10" t="str">
        <x:v>BR-SPCARANDIRU_MAPEAMENTOS-REMEMORA-CARANDIRU.xlsx:Geral:22</x:v>
      </x:c>
      <x:c r="X21" s="11" t="n">
        <x:f>COLUMNS(A21:S21)-COUNTBLANK(A21:S21)</x:f>
        <x:v>17</x:v>
      </x:c>
    </x:row>
    <x:row r="22" ht="15" hidden="0" customHeight="1">
      <x:c r="A22" s="10" t="str">
        <x:v>Música</x:v>
      </x:c>
      <x:c r="B22" s="10" t="str"/>
      <x:c r="C22" s="10" t="str">
        <x:v>Manifestação artístico-cultural</x:v>
      </x:c>
      <x:c r="D22" s="10" t="str">
        <x:v>Público Mediado</x:v>
      </x:c>
      <x:c r="E22" s="10" t="str">
        <x:v>Midiático</x:v>
      </x:c>
      <x:c r="F22" s="10" t="str">
        <x:v>1996</x:v>
      </x:c>
      <x:c r="G22" s="11" t="n">
        <x:v>1996</x:v>
      </x:c>
      <x:c r="H22" s="10" t="str">
        <x:v>São Paulo</x:v>
      </x:c>
      <x:c r="I22" s="10" t="str">
        <x:v>Pavilhão 9</x:v>
      </x:c>
      <x:c r="J22" s="10" t="str">
        <x:v>Dominando sua área</x:v>
      </x:c>
      <x:c r="K22" s="10" t="str">
        <x:v>Sonoro</x:v>
      </x:c>
      <x:c r="L22" s="10" t="str">
        <x:v>Áudio (digital)</x:v>
      </x:c>
      <x:c r="M22" s="10" t="str">
        <x:v>YouTube (Pavilhão 9)</x:v>
      </x:c>
      <x:c r="N22" s="10" t="str">
        <x:v>Português, Brasil</x:v>
      </x:c>
      <x:c r="O22" s="10" t="str">
        <x:v>Hiperlink</x:v>
      </x:c>
      <x:c r="P22" s="10" t="str">
        <x:v>2025-07-18 00:00:00</x:v>
      </x:c>
      <x:c r="Q22" s="10" t="str">
        <x:v>Aberto</x:v>
      </x:c>
      <x:c r="R22" s="10" t="str">
        <x:v>Aqui</x:v>
      </x:c>
      <x:c r="S22" s="10" t="str">
        <x:v>PAVILHÃO 9. Dominando sua área. Pavilhão 9 TV, YouTube, [1997]. Vídeo: 5 min 22 s. Publicado em: 20 set. 2018. Disponível em: https://www.youtube.com/watch?v=rN0aIdahIk8. Acesso em: 18 jul. 2025.</x:v>
      </x:c>
      <x:c r="T22" s="10" t="str">
        <x:v>BR-SPCARANDIRU_MAPEAMENTOS-REMEMORA-CARANDIRU.xlsx</x:v>
      </x:c>
      <x:c r="U22" s="10" t="str">
        <x:v>Geral</x:v>
      </x:c>
      <x:c r="V22" s="11" t="n">
        <x:v>24</x:v>
      </x:c>
      <x:c r="W22" s="10" t="str">
        <x:v>BR-SPCARANDIRU_MAPEAMENTOS-REMEMORA-CARANDIRU.xlsx:Geral:24</x:v>
      </x:c>
      <x:c r="X22" s="11" t="n">
        <x:f>COLUMNS(A22:S22)-COUNTBLANK(A22:S22)</x:f>
        <x:v>18</x:v>
      </x:c>
    </x:row>
    <x:row r="23" ht="24" hidden="0" customHeight="1">
      <x:c r="A23" s="10" t="str">
        <x:v>Poema</x:v>
      </x:c>
      <x:c r="B23" s="10" t="str"/>
      <x:c r="C23" s="10" t="str">
        <x:v>Manifestação artístico-cultural</x:v>
      </x:c>
      <x:c r="D23" s="10" t="str">
        <x:v>Público Mediado</x:v>
      </x:c>
      <x:c r="E23" s="10" t="str">
        <x:v>Presencial/Físico</x:v>
      </x:c>
      <x:c r="F23" s="10" t="str">
        <x:v>1996-06-29 00:00:00</x:v>
      </x:c>
      <x:c r="G23" s="11" t="n">
        <x:v>1996</x:v>
      </x:c>
      <x:c r="H23" s="10" t="str">
        <x:v>São Paulo</x:v>
      </x:c>
      <x:c r="I23" s="10" t="str">
        <x:v>Pedro Tierra</x:v>
      </x:c>
      <x:c r="J23" s="10" t="str">
        <x:v>A Pedagogia dos aços</x:v>
      </x:c>
      <x:c r="K23" s="10" t="str">
        <x:v>Hemerográfico</x:v>
      </x:c>
      <x:c r="L23" s="10" t="str">
        <x:v>Digitalizado</x:v>
      </x:c>
      <x:c r="M23" s="10" t="str">
        <x:v>O Estado de S. Paulo</x:v>
      </x:c>
      <x:c r="N23" s="10" t="str">
        <x:v>Português, Brasil</x:v>
      </x:c>
      <x:c r="O23" s="10" t="str">
        <x:v>"Carandiru; manifestação" no acervo d'O Estado de S. Paulo</x:v>
      </x:c>
      <x:c r="P23" s="10" t="str">
        <x:v>2025-07-15 00:00:00</x:v>
      </x:c>
      <x:c r="Q23" s="10" t="str">
        <x:v>Acesso restrito</x:v>
      </x:c>
      <x:c r="R23" s="10" t="str">
        <x:v>Aqui</x:v>
      </x:c>
      <x:c r="S23" s="10" t="str">
        <x:v>TIERRA, Pedro. “A pedagogia dos aços”. O Estado de S. Paulo, São Paulo, 29 jun. 1996, p. 83. Disponível em: https://acervo.estadao.com.br/pagina/#!/19960629-37509-nac-0083-cd2-d11-not/busca/carandiru. Acesso em: 15 jul. 2025.</x:v>
      </x:c>
      <x:c r="T23" s="10" t="str">
        <x:v>BR-SPCARANDIRU_MAPEAMENTOS-REMEMORA-CARANDIRU.xlsx</x:v>
      </x:c>
      <x:c r="U23" s="10" t="str">
        <x:v>Geral</x:v>
      </x:c>
      <x:c r="V23" s="11" t="n">
        <x:v>25</x:v>
      </x:c>
      <x:c r="W23" s="10" t="str">
        <x:v>BR-SPCARANDIRU_MAPEAMENTOS-REMEMORA-CARANDIRU.xlsx:Geral:25</x:v>
      </x:c>
      <x:c r="X23" s="11" t="n">
        <x:f>COLUMNS(A23:S23)-COUNTBLANK(A23:S23)</x:f>
        <x:v>18</x:v>
      </x:c>
    </x:row>
    <x:row r="24" ht="15" hidden="0" customHeight="1">
      <x:c r="A24" s="10" t="str">
        <x:v>Música</x:v>
      </x:c>
      <x:c r="B24" s="10" t="str"/>
      <x:c r="C24" s="10" t="str">
        <x:v>Manifestação artístico-cultural</x:v>
      </x:c>
      <x:c r="D24" s="10" t="str">
        <x:v>Público Mediado</x:v>
      </x:c>
      <x:c r="E24" s="10" t="str">
        <x:v>Midiático</x:v>
      </x:c>
      <x:c r="F24" s="10" t="str">
        <x:v>1997</x:v>
      </x:c>
      <x:c r="G24" s="11" t="n">
        <x:v>1997</x:v>
      </x:c>
      <x:c r="H24" s="10" t="str">
        <x:v>São Paulo</x:v>
      </x:c>
      <x:c r="I24" s="10" t="str">
        <x:v>Racionais MC's</x:v>
      </x:c>
      <x:c r="J24" s="10" t="str">
        <x:v>Racionais - Sobrevivendo no Inferno - Diário de um Detento</x:v>
      </x:c>
      <x:c r="K24" s="10" t="str">
        <x:v>Sonoro</x:v>
      </x:c>
      <x:c r="L24" s="10" t="str">
        <x:v>Áudio (digital)</x:v>
      </x:c>
      <x:c r="M24" s="10" t="str">
        <x:v>YouTube (Racionais Mcs)</x:v>
      </x:c>
      <x:c r="N24" s="10" t="str">
        <x:v>Português, Brasil</x:v>
      </x:c>
      <x:c r="O24" s="10" t="str">
        <x:v>Hiperlink</x:v>
      </x:c>
      <x:c r="P24" s="10" t="str">
        <x:v>2025-07-17 00:00:00</x:v>
      </x:c>
      <x:c r="Q24" s="10" t="str">
        <x:v>Aberto</x:v>
      </x:c>
      <x:c r="R24" s="10" t="str">
        <x:v>Aqui</x:v>
      </x:c>
      <x:c r="S24" s="10" t="str">
        <x:v>RACIONAIS MCs. Diário de um detento. Racionais TV, YouTube, [1997]. Vídeo: 7 min 32 s. Disponível em: https://www.youtube.com/watch?v=pK1viMNdYp0. Acesso em: 12 abr. 2008.</x:v>
      </x:c>
      <x:c r="T24" s="10" t="str">
        <x:v>BR-SPCARANDIRU_MAPEAMENTOS-REMEMORA-CARANDIRU.xlsx</x:v>
      </x:c>
      <x:c r="U24" s="10" t="str">
        <x:v>Geral</x:v>
      </x:c>
      <x:c r="V24" s="11" t="n">
        <x:v>26</x:v>
      </x:c>
      <x:c r="W24" s="10" t="str">
        <x:v>BR-SPCARANDIRU_MAPEAMENTOS-REMEMORA-CARANDIRU.xlsx:Geral:26</x:v>
      </x:c>
      <x:c r="X24" s="11" t="n">
        <x:f>COLUMNS(A24:S24)-COUNTBLANK(A24:S24)</x:f>
        <x:v>18</x:v>
      </x:c>
    </x:row>
    <x:row r="25" ht="24" hidden="0" customHeight="1">
      <x:c r="A25" s="10" t="str">
        <x:v>Música</x:v>
      </x:c>
      <x:c r="B25" s="10" t="str"/>
      <x:c r="C25" s="10" t="str">
        <x:v>Manifestação artístico-cultural</x:v>
      </x:c>
      <x:c r="D25" s="10" t="str">
        <x:v>Público Mediado</x:v>
      </x:c>
      <x:c r="E25" s="10" t="str">
        <x:v>Midiático</x:v>
      </x:c>
      <x:c r="F25" s="10" t="str">
        <x:v>1997</x:v>
      </x:c>
      <x:c r="G25" s="11" t="n">
        <x:v>1997</x:v>
      </x:c>
      <x:c r="H25" s="10" t="str">
        <x:v>São Paulo</x:v>
      </x:c>
      <x:c r="I25" s="10" t="str">
        <x:v>Mandando Bronca feat. Igor e Max Cavallera (Sepultura)</x:v>
      </x:c>
      <x:c r="J25" s="10" t="str">
        <x:v>Mandando Bronca</x:v>
      </x:c>
      <x:c r="K25" s="10" t="str">
        <x:v>Audiovisual</x:v>
      </x:c>
      <x:c r="L25" s="10" t="str">
        <x:v>Vídeo (digital)</x:v>
      </x:c>
      <x:c r="M25" s="10" t="str">
        <x:v>YouTube (Pavilhão 9)</x:v>
      </x:c>
      <x:c r="N25" s="10" t="str">
        <x:v>Português, Brasil</x:v>
      </x:c>
      <x:c r="O25" s="10" t="str">
        <x:v>Hiperlink</x:v>
      </x:c>
      <x:c r="P25" s="10" t="str">
        <x:v>2025-07-18 00:00:00</x:v>
      </x:c>
      <x:c r="Q25" s="10" t="str">
        <x:v>Aberto</x:v>
      </x:c>
      <x:c r="R25" s="10" t="str">
        <x:v>Aqui</x:v>
      </x:c>
      <x:c r="S25" s="10" t="str">
        <x:v>PAVILHÃO 9. Mandando Bronca feat. Max e Igor Cavalera. YouTube, [1997]. Vídeo: 4 min 32 s. Publicado em: 25 jul. 2017. Disponível em: https://www.youtube.com/watch?v=jxNYhTQUz0k&amp;t=168s. Acesso em: 18 jul. 2025.</x:v>
      </x:c>
      <x:c r="T25" s="10" t="str">
        <x:v>BR-SPCARANDIRU_MAPEAMENTOS-REMEMORA-CARANDIRU.xlsx</x:v>
      </x:c>
      <x:c r="U25" s="10" t="str">
        <x:v>Geral</x:v>
      </x:c>
      <x:c r="V25" s="11" t="n">
        <x:v>27</x:v>
      </x:c>
      <x:c r="W25" s="10" t="str">
        <x:v>BR-SPCARANDIRU_MAPEAMENTOS-REMEMORA-CARANDIRU.xlsx:Geral:27</x:v>
      </x:c>
      <x:c r="X25" s="11" t="n">
        <x:f>COLUMNS(A25:S25)-COUNTBLANK(A25:S25)</x:f>
        <x:v>18</x:v>
      </x:c>
    </x:row>
    <x:row r="26" ht="24" hidden="0" customHeight="1">
      <x:c r="A26" s="10" t="str">
        <x:v>Música</x:v>
      </x:c>
      <x:c r="B26" s="10" t="str"/>
      <x:c r="C26" s="10" t="str">
        <x:v>Manifestação artístico-cultural</x:v>
      </x:c>
      <x:c r="D26" s="10" t="str">
        <x:v>Público Mediado</x:v>
      </x:c>
      <x:c r="E26" s="10" t="str">
        <x:v>Midiático</x:v>
      </x:c>
      <x:c r="F26" s="10" t="str">
        <x:v>1998</x:v>
      </x:c>
      <x:c r="G26" s="11" t="n">
        <x:v>1998</x:v>
      </x:c>
      <x:c r="H26" s="10" t="str">
        <x:v>São Paulo</x:v>
      </x:c>
      <x:c r="I26" s="10" t="str">
        <x:v>Detentos do Rap</x:v>
      </x:c>
      <x:c r="J26" s="10" t="str">
        <x:v>Detentos do Rap - Casa Cheia</x:v>
      </x:c>
      <x:c r="K26" s="10" t="str">
        <x:v>Audiovisual</x:v>
      </x:c>
      <x:c r="L26" s="10" t="str">
        <x:v>Vídeo (digital)</x:v>
      </x:c>
      <x:c r="M26" s="10" t="str">
        <x:v>YouTube (Detentos Do Rap)</x:v>
      </x:c>
      <x:c r="N26" s="10" t="str">
        <x:v>Português, Brasil</x:v>
      </x:c>
      <x:c r="O26" s="10" t="str">
        <x:v>Hiperlink</x:v>
      </x:c>
      <x:c r="P26" s="10" t="str">
        <x:v>2025-07-17 00:00:00</x:v>
      </x:c>
      <x:c r="Q26" s="10" t="str">
        <x:v>Aberto</x:v>
      </x:c>
      <x:c r="R26" s="10" t="str">
        <x:v>Aqui</x:v>
      </x:c>
      <x:c r="S26" s="10" t="str">
        <x:v>DETENTOS DO RAP. Casa Cheia. YouTube, [1997]. Vídeo: 5 min 10 s. Publicado em: 25 abr. 2020. Disponível em: https://www.youtube.com/watch?v=WN0XejXEiCs&amp;list=RDWN0XejXEiCs&amp;start_radio=1. Acesso em: 18 jul. 2025</x:v>
      </x:c>
      <x:c r="T26" s="10" t="str">
        <x:v>BR-SPCARANDIRU_MAPEAMENTOS-REMEMORA-CARANDIRU.xlsx</x:v>
      </x:c>
      <x:c r="U26" s="10" t="str">
        <x:v>Geral</x:v>
      </x:c>
      <x:c r="V26" s="11" t="n">
        <x:v>28</x:v>
      </x:c>
      <x:c r="W26" s="10" t="str">
        <x:v>BR-SPCARANDIRU_MAPEAMENTOS-REMEMORA-CARANDIRU.xlsx:Geral:28</x:v>
      </x:c>
      <x:c r="X26" s="11" t="n">
        <x:f>COLUMNS(A26:S26)-COUNTBLANK(A26:S26)</x:f>
        <x:v>18</x:v>
      </x:c>
    </x:row>
    <x:row r="27" ht="15" hidden="0" customHeight="1">
      <x:c r="A27" s="10" t="str">
        <x:v>Livro</x:v>
      </x:c>
      <x:c r="B27" s="10" t="str"/>
      <x:c r="C27" s="10" t="str">
        <x:v>Manifestação artístico-cultural</x:v>
      </x:c>
      <x:c r="D27" s="10" t="str">
        <x:v>Público Mediado</x:v>
      </x:c>
      <x:c r="E27" s="10" t="str">
        <x:v>Midiático</x:v>
      </x:c>
      <x:c r="F27" s="10" t="str">
        <x:v>1999</x:v>
      </x:c>
      <x:c r="G27" s="11" t="n">
        <x:v>1999</x:v>
      </x:c>
      <x:c r="H27" s="10" t="str">
        <x:v>São Paulo</x:v>
      </x:c>
      <x:c r="I27" s="10" t="str">
        <x:v>Drauzio Varella</x:v>
      </x:c>
      <x:c r="J27" s="10" t="str">
        <x:v>Estação Carandiru</x:v>
      </x:c>
      <x:c r="K27" s="10" t="str">
        <x:v>Bibliográfico</x:v>
      </x:c>
      <x:c r="L27" s="10" t="str">
        <x:v>Impresso</x:v>
      </x:c>
      <x:c r="M27" s="10" t="str">
        <x:v>Companhia das Letras</x:v>
      </x:c>
      <x:c r="N27" s="10" t="str">
        <x:v>Português, Brasil</x:v>
      </x:c>
      <x:c r="O27" s="10" t="str">
        <x:v>Hiperlink</x:v>
      </x:c>
      <x:c r="P27" s="10" t="str">
        <x:v>2025-07-18 00:00:00</x:v>
      </x:c>
      <x:c r="Q27" s="10" t="str">
        <x:v>Aberto</x:v>
      </x:c>
      <x:c r="R27" s="10" t="str"/>
      <x:c r="S27" s="10" t="str">
        <x:v>VARELLA, Drauzio. Estação Carandiru. São Paulo: Companhia das Letras, 1999.</x:v>
      </x:c>
      <x:c r="T27" s="10" t="str">
        <x:v>BR-SPCARANDIRU_MAPEAMENTOS-REMEMORA-CARANDIRU.xlsx</x:v>
      </x:c>
      <x:c r="U27" s="10" t="str">
        <x:v>Geral</x:v>
      </x:c>
      <x:c r="V27" s="11" t="n">
        <x:v>29</x:v>
      </x:c>
      <x:c r="W27" s="10" t="str">
        <x:v>BR-SPCARANDIRU_MAPEAMENTOS-REMEMORA-CARANDIRU.xlsx:Geral:29</x:v>
      </x:c>
      <x:c r="X27" s="11" t="n">
        <x:f>COLUMNS(A27:S27)-COUNTBLANK(A27:S27)</x:f>
        <x:v>17</x:v>
      </x:c>
    </x:row>
    <x:row r="28" ht="24" hidden="0" customHeight="1">
      <x:c r="A28" s="10" t="str">
        <x:v>Relatório</x:v>
      </x:c>
      <x:c r="B28" s="10" t="str"/>
      <x:c r="C28" s="10" t="str"/>
      <x:c r="D28" s="10" t="str">
        <x:v>Público Mediado</x:v>
      </x:c>
      <x:c r="E28" s="10" t="str">
        <x:v>Presencial/Físico</x:v>
      </x:c>
      <x:c r="F28" s="10" t="str">
        <x:v>2000-04-13 00:00:00</x:v>
      </x:c>
      <x:c r="G28" s="11" t="n">
        <x:v>2000</x:v>
      </x:c>
      <x:c r="H28" s="10" t="str">
        <x:v>São Paulo</x:v>
      </x:c>
      <x:c r="I28" s="10" t="str">
        <x:v>Comissão Interamericana de Direitos Humanos (CIDH)</x:v>
      </x:c>
      <x:c r="J28" s="10" t="str">
        <x:v>Manifestação artístico-cultural, Atividade de Universitária</x:v>
      </x:c>
      <x:c r="K28" s="10" t="str">
        <x:v>Textual</x:v>
      </x:c>
      <x:c r="L28" s="10" t="str">
        <x:v>Texto (digital)</x:v>
      </x:c>
      <x:c r="M28" s="10" t="str">
        <x:v>Comissão Interamericana de Direitos Humanos (CIDH)</x:v>
      </x:c>
      <x:c r="N28" s="10" t="str">
        <x:v>Português, Brasil</x:v>
      </x:c>
      <x:c r="O28" s="10" t="str">
        <x:v>Hiperlink</x:v>
      </x:c>
      <x:c r="P28" s="10" t="str">
        <x:v>2025-07-18 00:00:00</x:v>
      </x:c>
      <x:c r="Q28" s="10" t="str">
        <x:v>Aberto</x:v>
      </x:c>
      <x:c r="R28" s="10" t="str">
        <x:v>Aqui</x:v>
      </x:c>
      <x:c r="S28" s="10" t="str">
        <x:v>COMISSÃO INTERAMERICANA DE DIREITOS HUMANOS (CIDH). Relatório nº 34/00. 2000. Disponível em: https://cidh.oas.org/annualrep/99port/brasil11291.htm. Acesso em: 18 jul. 2025.</x:v>
      </x:c>
      <x:c r="T28" s="10" t="str">
        <x:v>BR-SPCARANDIRU_MAPEAMENTOS-REMEMORA-CARANDIRU.xlsx</x:v>
      </x:c>
      <x:c r="U28" s="10" t="str">
        <x:v>Geral</x:v>
      </x:c>
      <x:c r="V28" s="11" t="n">
        <x:v>30</x:v>
      </x:c>
      <x:c r="W28" s="10" t="str">
        <x:v>BR-SPCARANDIRU_MAPEAMENTOS-REMEMORA-CARANDIRU.xlsx:Geral:30</x:v>
      </x:c>
      <x:c r="X28" s="11" t="n">
        <x:f>COLUMNS(A28:S28)-COUNTBLANK(A28:S28)</x:f>
        <x:v>17</x:v>
      </x:c>
    </x:row>
    <x:row r="29" ht="15" hidden="0" customHeight="1">
      <x:c r="A29" s="10" t="str">
        <x:v>Livro</x:v>
      </x:c>
      <x:c r="B29" s="10" t="str"/>
      <x:c r="C29" s="10" t="str">
        <x:v>Manifestação artístico-cultural</x:v>
      </x:c>
      <x:c r="D29" s="10" t="str">
        <x:v>Público Mediado</x:v>
      </x:c>
      <x:c r="E29" s="10" t="str">
        <x:v>Midiático</x:v>
      </x:c>
      <x:c r="F29" s="10" t="str">
        <x:v>2001</x:v>
      </x:c>
      <x:c r="G29" s="11" t="n">
        <x:v>2001</x:v>
      </x:c>
      <x:c r="H29" s="10" t="str">
        <x:v>São Paulo</x:v>
      </x:c>
      <x:c r="I29" s="10" t="str">
        <x:v>Jocenir</x:v>
      </x:c>
      <x:c r="J29" s="10" t="str">
        <x:v>Diário de um detento, o livro</x:v>
      </x:c>
      <x:c r="K29" s="10" t="str">
        <x:v>Bibliográfico</x:v>
      </x:c>
      <x:c r="L29" s="10" t="str">
        <x:v>Impresso</x:v>
      </x:c>
      <x:c r="M29" s="10" t="str">
        <x:v>Labortexto Editorial</x:v>
      </x:c>
      <x:c r="N29" s="10" t="str">
        <x:v>Português, Brasil</x:v>
      </x:c>
      <x:c r="O29" s="10" t="str">
        <x:v>Hiperlink</x:v>
      </x:c>
      <x:c r="P29" s="10" t="str">
        <x:v>2025-07-18 00:00:00</x:v>
      </x:c>
      <x:c r="Q29" s="10" t="str">
        <x:v>Aberto</x:v>
      </x:c>
      <x:c r="R29" s="10" t="str"/>
      <x:c r="S29" s="10" t="str">
        <x:v>JOCENIR. Diário de um detento: o livro. São Paulo: Labortexto Editorial, 2001.</x:v>
      </x:c>
      <x:c r="T29" s="10" t="str">
        <x:v>BR-SPCARANDIRU_MAPEAMENTOS-REMEMORA-CARANDIRU.xlsx</x:v>
      </x:c>
      <x:c r="U29" s="10" t="str">
        <x:v>Geral</x:v>
      </x:c>
      <x:c r="V29" s="11" t="n">
        <x:v>31</x:v>
      </x:c>
      <x:c r="W29" s="10" t="str">
        <x:v>BR-SPCARANDIRU_MAPEAMENTOS-REMEMORA-CARANDIRU.xlsx:Geral:31</x:v>
      </x:c>
      <x:c r="X29" s="11" t="n">
        <x:f>COLUMNS(A29:S29)-COUNTBLANK(A29:S29)</x:f>
        <x:v>17</x:v>
      </x:c>
    </x:row>
    <x:row r="30" ht="36" hidden="0" customHeight="1">
      <x:c r="A30" s="10" t="str">
        <x:v>Instalação artística</x:v>
      </x:c>
      <x:c r="B30" s="10" t="str"/>
      <x:c r="C30" s="10" t="str">
        <x:v>Manifestação artístico-cultural</x:v>
      </x:c>
      <x:c r="D30" s="10" t="str">
        <x:v>Público Imediato</x:v>
      </x:c>
      <x:c r="E30" s="10" t="str">
        <x:v>Presencial/Físico</x:v>
      </x:c>
      <x:c r="F30" s="10" t="str">
        <x:v>2001</x:v>
      </x:c>
      <x:c r="G30" s="11" t="n">
        <x:v>2001</x:v>
      </x:c>
      <x:c r="H30" s="10" t="str">
        <x:v>Centro de Arte Hélio Oiticica</x:v>
      </x:c>
      <x:c r="I30" s="10" t="str">
        <x:v>Lygia Pape</x:v>
      </x:c>
      <x:c r="J30" s="10" t="str">
        <x:v>Carandiru</x:v>
      </x:c>
      <x:c r="K30" s="10" t="str">
        <x:v>Bibliográfico</x:v>
      </x:c>
      <x:c r="L30" s="10" t="str">
        <x:v>Texto (digital), Imagem (digital)</x:v>
      </x:c>
      <x:c r="M30" s="10" t="str">
        <x:v>FGV DIREITO SP</x:v>
      </x:c>
      <x:c r="N30" s="10" t="str">
        <x:v>Português, Brasil</x:v>
      </x:c>
      <x:c r="O30" s="10" t="str">
        <x:v>"manifestação solidariedade ao Massacre do Carandiru" no Google</x:v>
      </x:c>
      <x:c r="P30" s="10" t="str">
        <x:v>2025-07-18 00:00:00</x:v>
      </x:c>
      <x:c r="Q30" s="10" t="str">
        <x:v>Aberto</x:v>
      </x:c>
      <x:c r="R30" s="10" t="str">
        <x:v>Aqui</x:v>
      </x:c>
      <x:c r="S30" s="10" t="str">
        <x:v>MACHADO, Marta Rodriguez de Assis; MACHADO, Maíra Rocha; MATSUDA, Fernanda Emy; FERREIRA, Luisa Moraes Abreu; FERREIRA, Carolina Cutrupi. Massacre do Carandiru + 23: inação, descontinuidade e resistências. In: MACHADO, Maíra Rocha; MACHADO, Marta Rodriguez de Assis (coord.). Carandiru não é coisa do passado [recurso eletrônico]: um balanço sobre os processos, as instituições e as narrativas 23 anos após o massacre. São Paulo: FGV Direito SP, 2015. Disponível em: https://www.santoandre.sp.gov.br/PESQUISA/ebooks/419563.pdf. Acesso em: 20 jul. 2025.</x:v>
      </x:c>
      <x:c r="T30" s="10" t="str">
        <x:v>BR-SPCARANDIRU_MAPEAMENTOS-REMEMORA-CARANDIRU.xlsx</x:v>
      </x:c>
      <x:c r="U30" s="10" t="str">
        <x:v>Geral</x:v>
      </x:c>
      <x:c r="V30" s="11" t="n">
        <x:v>32</x:v>
      </x:c>
      <x:c r="W30" s="10" t="str">
        <x:v>BR-SPCARANDIRU_MAPEAMENTOS-REMEMORA-CARANDIRU.xlsx:Geral:32</x:v>
      </x:c>
      <x:c r="X30" s="11" t="n">
        <x:f>COLUMNS(A30:S30)-COUNTBLANK(A30:S30)</x:f>
        <x:v>18</x:v>
      </x:c>
    </x:row>
    <x:row r="31" ht="15" hidden="0" customHeight="1">
      <x:c r="A31" s="10" t="str">
        <x:v>Música</x:v>
      </x:c>
      <x:c r="B31" s="10" t="str"/>
      <x:c r="C31" s="10" t="str">
        <x:v>Manifestação artístico-cultural</x:v>
      </x:c>
      <x:c r="D31" s="10" t="str">
        <x:v>Público Mediado</x:v>
      </x:c>
      <x:c r="E31" s="10" t="str">
        <x:v>Midiático</x:v>
      </x:c>
      <x:c r="F31" s="10" t="str">
        <x:v>2001</x:v>
      </x:c>
      <x:c r="G31" s="11" t="n">
        <x:v>2001</x:v>
      </x:c>
      <x:c r="H31" s="10" t="str">
        <x:v>São Paulo</x:v>
      </x:c>
      <x:c r="I31" s="10" t="str">
        <x:v>Sabotage</x:v>
      </x:c>
      <x:c r="J31" s="10" t="str">
        <x:v>Sabotage - O Retorno AC DC A Prisão</x:v>
      </x:c>
      <x:c r="K31" s="10" t="str">
        <x:v>Sonoro</x:v>
      </x:c>
      <x:c r="L31" s="10" t="str">
        <x:v>Áudio (digital)</x:v>
      </x:c>
      <x:c r="M31" s="10" t="str">
        <x:v>YouTube (Sabotage)</x:v>
      </x:c>
      <x:c r="N31" s="10" t="str">
        <x:v>Português, Brasil</x:v>
      </x:c>
      <x:c r="O31" s="10" t="str">
        <x:v>Hiperlink</x:v>
      </x:c>
      <x:c r="P31" s="10" t="str">
        <x:v>2025-07-18 00:00:00</x:v>
      </x:c>
      <x:c r="Q31" s="10" t="str">
        <x:v>Aberto</x:v>
      </x:c>
      <x:c r="R31" s="10" t="str">
        <x:v>Aqui</x:v>
      </x:c>
      <x:c r="S31" s="10" t="str">
        <x:v>SABOTAGE. O Retorno AC DC A Prisão. RapMusicBrasil, YouTube, 2001. Vídeo: 9 min 13 s. Disponível em: https://www.youtube.com/watch?v=9sipJNxJbtQ. Acesso em: 18 jul. 2025.</x:v>
      </x:c>
      <x:c r="T31" s="10" t="str">
        <x:v>BR-SPCARANDIRU_MAPEAMENTOS-REMEMORA-CARANDIRU.xlsx</x:v>
      </x:c>
      <x:c r="U31" s="10" t="str">
        <x:v>Geral</x:v>
      </x:c>
      <x:c r="V31" s="11" t="n">
        <x:v>33</x:v>
      </x:c>
      <x:c r="W31" s="10" t="str">
        <x:v>BR-SPCARANDIRU_MAPEAMENTOS-REMEMORA-CARANDIRU.xlsx:Geral:33</x:v>
      </x:c>
      <x:c r="X31" s="11" t="n">
        <x:f>COLUMNS(A31:S31)-COUNTBLANK(A31:S31)</x:f>
        <x:v>18</x:v>
      </x:c>
    </x:row>
    <x:row r="32" ht="72" hidden="0" customHeight="1">
      <x:c r="A32" s="10" t="str">
        <x:v>Manifestação</x:v>
      </x:c>
      <x:c r="B32" s="10" t="str"/>
      <x:c r="C32" s="10" t="str"/>
      <x:c r="D32" s="10" t="str">
        <x:v>Público Imediato</x:v>
      </x:c>
      <x:c r="E32" s="10" t="str">
        <x:v>Presencial/Físico</x:v>
      </x:c>
      <x:c r="F32" s="10" t="str">
        <x:v>2001-06-20 00:00:00</x:v>
      </x:c>
      <x:c r="G32" s="11" t="n">
        <x:v>2001</x:v>
      </x:c>
      <x:c r="H32" s="10" t="str">
        <x:v>Fórum da Barra Funda</x:v>
      </x:c>
      <x:c r="I32" s="10" t="str">
        <x:v>Entidades de direitos humanos, Representantes do Centro de Justiça Global, Movimento Nacional de Direitos Humanos, Pastoral Carcerária, entre outros, além de parentes de vítimas e sobreviventes do massacre.</x:v>
      </x:c>
      <x:c r="J32" s="10" t="str">
        <x:v>Julgamento de coronel que comandou massacre começa hoje</x:v>
      </x:c>
      <x:c r="K32" s="10" t="str">
        <x:v>Hemerográfico</x:v>
      </x:c>
      <x:c r="L32" s="10" t="str">
        <x:v>Texto (digital), Imagem (digital)</x:v>
      </x:c>
      <x:c r="M32" s="10" t="str">
        <x:v>Folha Online</x:v>
      </x:c>
      <x:c r="N32" s="10" t="str">
        <x:v>Português, Brasil</x:v>
      </x:c>
      <x:c r="O32" s="10" t="str">
        <x:v>"manifestação solidariedade ao Massacre do Carandiru" no Google</x:v>
      </x:c>
      <x:c r="P32" s="10" t="str">
        <x:v>2025-07-16 00:00:00</x:v>
      </x:c>
      <x:c r="Q32" s="10" t="str">
        <x:v>Aberto</x:v>
      </x:c>
      <x:c r="R32" s="10" t="str">
        <x:v>Aqui</x:v>
      </x:c>
      <x:c r="S32" s="10" t="str">
        <x:v>BUOSI, Milena. Julgamento de coronel que comandou massacre começa hoje. Folha Online, São Paulo, 20 jun. 2001. Disponível em: https://www1.folha.uol.com.br/folha/cotidiano/ult95u31424.shtml. Acesso em: 16 jul. 2025.</x:v>
      </x:c>
      <x:c r="T32" s="10" t="str">
        <x:v>BR-SPCARANDIRU_MAPEAMENTOS-REMEMORA-CARANDIRU.xlsx</x:v>
      </x:c>
      <x:c r="U32" s="10" t="str">
        <x:v>Geral</x:v>
      </x:c>
      <x:c r="V32" s="11" t="n">
        <x:v>34</x:v>
      </x:c>
      <x:c r="W32" s="10" t="str">
        <x:v>BR-SPCARANDIRU_MAPEAMENTOS-REMEMORA-CARANDIRU.xlsx:Geral:34</x:v>
      </x:c>
      <x:c r="X32" s="11" t="n">
        <x:f>COLUMNS(A32:S32)-COUNTBLANK(A32:S32)</x:f>
        <x:v>17</x:v>
      </x:c>
    </x:row>
    <x:row r="33" ht="60" hidden="0" customHeight="1">
      <x:c r="A33" s="10" t="str">
        <x:v>Protesto</x:v>
      </x:c>
      <x:c r="B33" s="10" t="str"/>
      <x:c r="C33" s="10" t="str"/>
      <x:c r="D33" s="10" t="str">
        <x:v>Público Imediato</x:v>
      </x:c>
      <x:c r="E33" s="10" t="str">
        <x:v>Presencial/Físico</x:v>
      </x:c>
      <x:c r="F33" s="10" t="str">
        <x:v>2001-06-21 00:00:00</x:v>
      </x:c>
      <x:c r="G33" s="11" t="n">
        <x:v>2001</x:v>
      </x:c>
      <x:c r="H33" s="10" t="str">
        <x:v>Fórum Criminal Ministro Mário Guimarães, na Barra Funda, SP</x:v>
      </x:c>
      <x:c r="I33" s="10" t="str">
        <x:v>Familiares, Pastoral Carcerária, Comissões de Direitos Humanos da Câmara Municipal e da Assembleia Legislativa; Comissão de Direitos Humanos da Câmara dos Deputados</x:v>
      </x:c>
      <x:c r="J33" s="10" t="str">
        <x:v>Tensão marca início do júri do Carandiru</x:v>
      </x:c>
      <x:c r="K33" s="10" t="str">
        <x:v>Hemerográfico</x:v>
      </x:c>
      <x:c r="L33" s="10" t="str">
        <x:v>Digitalizado</x:v>
      </x:c>
      <x:c r="M33" s="10" t="str">
        <x:v>O Estado de S. Paulo</x:v>
      </x:c>
      <x:c r="N33" s="10" t="str">
        <x:v>Português, Brasil</x:v>
      </x:c>
      <x:c r="O33" s="10" t="str">
        <x:v>"Carandiru; manifestação" no acervo d'O Estado de S. Paulo</x:v>
      </x:c>
      <x:c r="P33" s="10" t="str">
        <x:v>2025-07-15 00:00:00</x:v>
      </x:c>
      <x:c r="Q33" s="10" t="str">
        <x:v>Acesso restrito</x:v>
      </x:c>
      <x:c r="R33" s="10" t="str">
        <x:v>Aqui</x:v>
      </x:c>
      <x:c r="S33" s="10" t="str">
        <x:v>GODOY, Marcelo. Tensão marca início do júri do Carandiru. O Estado de S. Paulo, São Paulo, 21 jun. 2001, p. 41. Disponível em: https://acervo.estadao.com.br/pagina/#!/20010621-39328-spo-41-cid-c4-not/busca/Carandiru. Acesso em: 15 jul. 2025.</x:v>
      </x:c>
      <x:c r="T33" s="10" t="str">
        <x:v>BR-SPCARANDIRU_MAPEAMENTOS-REMEMORA-CARANDIRU.xlsx</x:v>
      </x:c>
      <x:c r="U33" s="10" t="str">
        <x:v>Geral</x:v>
      </x:c>
      <x:c r="V33" s="11" t="n">
        <x:v>35</x:v>
      </x:c>
      <x:c r="W33" s="10" t="str">
        <x:v>BR-SPCARANDIRU_MAPEAMENTOS-REMEMORA-CARANDIRU.xlsx:Geral:35</x:v>
      </x:c>
      <x:c r="X33" s="11" t="n">
        <x:f>COLUMNS(A33:S33)-COUNTBLANK(A33:S33)</x:f>
        <x:v>17</x:v>
      </x:c>
    </x:row>
    <x:row r="34" ht="24" hidden="0" customHeight="1">
      <x:c r="A34" s="10" t="str">
        <x:v>Manifestação</x:v>
      </x:c>
      <x:c r="B34" s="10" t="str"/>
      <x:c r="C34" s="10" t="str"/>
      <x:c r="D34" s="10" t="str">
        <x:v>Público Imediato</x:v>
      </x:c>
      <x:c r="E34" s="10" t="str">
        <x:v>Presencial/Físico</x:v>
      </x:c>
      <x:c r="F34" s="10" t="str">
        <x:v>2001-06-29 00:00:00</x:v>
      </x:c>
      <x:c r="G34" s="11" t="n">
        <x:v>2001</x:v>
      </x:c>
      <x:c r="H34" s="10" t="str">
        <x:v>Fórum Criminal Ministro Mário Guimarães, na Barra Funda, SP</x:v>
      </x:c>
      <x:c r="I34" s="10" t="str">
        <x:v>Familiares e “entidades ligadas aos direitos humanos”.</x:v>
      </x:c>
      <x:c r="J34" s="10" t="str">
        <x:v>Sentença sobre o Massacre do Carandiru sai hoje</x:v>
      </x:c>
      <x:c r="K34" s="10" t="str">
        <x:v>Hemerográfico</x:v>
      </x:c>
      <x:c r="L34" s="10" t="str">
        <x:v>Digitalizado</x:v>
      </x:c>
      <x:c r="M34" s="10" t="str">
        <x:v>O Estado de S. Paulo</x:v>
      </x:c>
      <x:c r="N34" s="10" t="str">
        <x:v>Português, Brasil</x:v>
      </x:c>
      <x:c r="O34" s="10" t="str">
        <x:v>"Carandiru; manifestação" no acervo d'O Estado de S. Paulo</x:v>
      </x:c>
      <x:c r="P34" s="10" t="str">
        <x:v>2025-07-15 00:00:00</x:v>
      </x:c>
      <x:c r="Q34" s="10" t="str">
        <x:v>Acesso restrito</x:v>
      </x:c>
      <x:c r="R34" s="10" t="str">
        <x:v>Aqui</x:v>
      </x:c>
      <x:c r="S34" s="10" t="str">
        <x:v>GODOY, Marcelo; PITTA, Iuri. Sentença sobre o Massacre do Carandiru sai hoje. O Estado de S. Paulo, São Paulo, 29 jun. 2001, p. 32. Disponível em: https://acervo.estadao.com.br/pagina/#!/20010629-39336-nac-32-cid-c5-not/busca/Carandiru. Acesso em: 15 jul. 2025.</x:v>
      </x:c>
      <x:c r="T34" s="10" t="str">
        <x:v>BR-SPCARANDIRU_MAPEAMENTOS-REMEMORA-CARANDIRU.xlsx</x:v>
      </x:c>
      <x:c r="U34" s="10" t="str">
        <x:v>Geral</x:v>
      </x:c>
      <x:c r="V34" s="11" t="n">
        <x:v>36</x:v>
      </x:c>
      <x:c r="W34" s="10" t="str">
        <x:v>BR-SPCARANDIRU_MAPEAMENTOS-REMEMORA-CARANDIRU.xlsx:Geral:36</x:v>
      </x:c>
      <x:c r="X34" s="11" t="n">
        <x:f>COLUMNS(A34:S34)-COUNTBLANK(A34:S34)</x:f>
        <x:v>17</x:v>
      </x:c>
    </x:row>
    <x:row r="35" ht="24" hidden="0" customHeight="1">
      <x:c r="A35" s="10" t="str">
        <x:v>Livro</x:v>
      </x:c>
      <x:c r="B35" s="10" t="str"/>
      <x:c r="C35" s="10" t="str">
        <x:v>Manifestação artístico-cultural</x:v>
      </x:c>
      <x:c r="D35" s="10" t="str">
        <x:v>Público Mediado</x:v>
      </x:c>
      <x:c r="E35" s="10" t="str">
        <x:v>Midiático</x:v>
      </x:c>
      <x:c r="F35" s="10" t="str">
        <x:v>2001</x:v>
      </x:c>
      <x:c r="G35" s="11" t="n">
        <x:v>2001</x:v>
      </x:c>
      <x:c r="H35" s="10" t="str">
        <x:v>São Paulo</x:v>
      </x:c>
      <x:c r="I35" s="10" t="str">
        <x:v>Hosmany Ramos</x:v>
      </x:c>
      <x:c r="J35" s="10" t="str">
        <x:v>Pavilhão 9: Paixão e Morte no Carandiru</x:v>
      </x:c>
      <x:c r="K35" s="10" t="str">
        <x:v>Bibliográfico</x:v>
      </x:c>
      <x:c r="L35" s="10" t="str">
        <x:v>Impresso</x:v>
      </x:c>
      <x:c r="M35" s="10" t="str">
        <x:v>Biblioteca Digital de Teses e Dissertações da USP</x:v>
      </x:c>
      <x:c r="N35" s="10" t="str">
        <x:v>Português, Brasil</x:v>
      </x:c>
      <x:c r="O35" s="10" t="str">
        <x:v>"Massacre do Carandiru" no Dedalus USP</x:v>
      </x:c>
      <x:c r="P35" s="10" t="str">
        <x:v>2025-10-15 00:00:00</x:v>
      </x:c>
      <x:c r="Q35" s="10" t="str">
        <x:v>Aberto</x:v>
      </x:c>
      <x:c r="R35" s="10" t="str">
        <x:v>Aqui</x:v>
      </x:c>
      <x:c r="S35" s="10" t="str">
        <x:v>RODRIGUES, Adriana Mariana de Araujo. Carandiru: formas de lembrar, maneiras de esquecer. Informação, memória e esquecimento. 2021. Dissertação (Mestrado em Cultura e Informação) - Escola de Comunicações e Artes, Universidade de São Paulo, São Paulo, 2021. Disponível em: &lt;https://teses.usp.br/teses/disponiveis/27/27151/tde-24082021-234649/pt-br.html&gt;. Acesso em: 2025-10-15.</x:v>
      </x:c>
      <x:c r="T35" s="10" t="str">
        <x:v>BR-SPCARANDIRU_MAPEAMENTOS-REMEMORA-CARANDIRU.xlsx</x:v>
      </x:c>
      <x:c r="U35" s="10" t="str">
        <x:v>Geral</x:v>
      </x:c>
      <x:c r="V35" s="11" t="n">
        <x:v>37</x:v>
      </x:c>
      <x:c r="W35" s="10" t="str">
        <x:v>BR-SPCARANDIRU_MAPEAMENTOS-REMEMORA-CARANDIRU.xlsx:Geral:37</x:v>
      </x:c>
      <x:c r="X35" s="11" t="n">
        <x:f>COLUMNS(A35:S35)-COUNTBLANK(A35:S35)</x:f>
        <x:v>18</x:v>
      </x:c>
    </x:row>
    <x:row r="36" ht="15" hidden="0" customHeight="1">
      <x:c r="A36" s="10" t="str">
        <x:v>Livro</x:v>
      </x:c>
      <x:c r="B36" s="10" t="str"/>
      <x:c r="C36" s="10" t="str">
        <x:v>Manifestação artístico-cultural</x:v>
      </x:c>
      <x:c r="D36" s="10" t="str">
        <x:v>Público Mediado</x:v>
      </x:c>
      <x:c r="E36" s="10" t="str">
        <x:v>Midiático</x:v>
      </x:c>
      <x:c r="F36" s="10" t="str">
        <x:v>2001</x:v>
      </x:c>
      <x:c r="G36" s="11" t="n">
        <x:v>2001</x:v>
      </x:c>
      <x:c r="H36" s="10" t="str">
        <x:v>Sâo Paulo</x:v>
      </x:c>
      <x:c r="I36" s="10" t="str">
        <x:v>Luiz Alberto Mendes</x:v>
      </x:c>
      <x:c r="J36" s="10" t="str">
        <x:v>Memórias de um sobrevivente</x:v>
      </x:c>
      <x:c r="K36" s="10" t="str">
        <x:v>Bibliográfico</x:v>
      </x:c>
      <x:c r="L36" s="10" t="str">
        <x:v>Impresso</x:v>
      </x:c>
      <x:c r="M36" s="10" t="str">
        <x:v>Companhia das Letras</x:v>
      </x:c>
      <x:c r="N36" s="10" t="str">
        <x:v>Português, Brasil</x:v>
      </x:c>
      <x:c r="O36" s="10" t="str"/>
      <x:c r="P36" s="10" t="str">
        <x:v>2026-09-11 00:00:00</x:v>
      </x:c>
      <x:c r="Q36" s="10" t="str">
        <x:v>Acesso restrito</x:v>
      </x:c>
      <x:c r="R36" s="10" t="str"/>
      <x:c r="S36" s="10" t="str">
        <x:v>MENDES, Luiz Alberto. Memórias de um sobrevivente. São Paulo: Companhia das Letras, 2001.</x:v>
      </x:c>
      <x:c r="T36" s="10" t="str">
        <x:v>BR-SPCARANDIRU_MAPEAMENTOS-REMEMORA-CARANDIRU.xlsx</x:v>
      </x:c>
      <x:c r="U36" s="10" t="str">
        <x:v>Geral</x:v>
      </x:c>
      <x:c r="V36" s="11" t="n">
        <x:v>38</x:v>
      </x:c>
      <x:c r="W36" s="10" t="str">
        <x:v>BR-SPCARANDIRU_MAPEAMENTOS-REMEMORA-CARANDIRU.xlsx:Geral:38</x:v>
      </x:c>
      <x:c r="X36" s="11" t="n">
        <x:f>COLUMNS(A36:S36)-COUNTBLANK(A36:S36)</x:f>
        <x:v>16</x:v>
      </x:c>
    </x:row>
    <x:row r="37" ht="36" hidden="0" customHeight="1">
      <x:c r="A37" s="10" t="str">
        <x:v>Rebelião</x:v>
      </x:c>
      <x:c r="B37" s="10" t="str"/>
      <x:c r="C37" s="10" t="str"/>
      <x:c r="D37" s="10" t="str">
        <x:v>Público Imediato</x:v>
      </x:c>
      <x:c r="E37" s="10" t="str">
        <x:v>Presencial/Físico</x:v>
      </x:c>
      <x:c r="F37" s="10" t="str">
        <x:v>2001</x:v>
      </x:c>
      <x:c r="G37" s="11" t="n">
        <x:v>2001</x:v>
      </x:c>
      <x:c r="H37" s="10" t="str">
        <x:v>São Paulo</x:v>
      </x:c>
      <x:c r="I37" s="10" t="str">
        <x:v>Sobreviventes do Massacre do Carandiru (pessoas em situação de privação de liberdade da Penitenciária do Estado)</x:v>
      </x:c>
      <x:c r="J37" s="10" t="str">
        <x:v>Mega rebelião 2001: vista da Penitenciária do Estado (Mercadão) – Parte 1.</x:v>
      </x:c>
      <x:c r="K37" s="10" t="str">
        <x:v>Audiovisual</x:v>
      </x:c>
      <x:c r="L37" s="10" t="str">
        <x:v>Vídeo (digital)</x:v>
      </x:c>
      <x:c r="M37" s="10" t="str">
        <x:v>YouTube (Prisioneiro 84.901)</x:v>
      </x:c>
      <x:c r="N37" s="10" t="str">
        <x:v>Português, Brasil</x:v>
      </x:c>
      <x:c r="O37" s="10" t="str">
        <x:v>"Prisioneiro 84.901" no Youtube</x:v>
      </x:c>
      <x:c r="P37" s="10" t="str">
        <x:v>2025-10-16 00:00:00</x:v>
      </x:c>
      <x:c r="Q37" s="10" t="str">
        <x:v>Aberto</x:v>
      </x:c>
      <x:c r="R37" s="10" t="str">
        <x:v>Aqui</x:v>
      </x:c>
      <x:c r="S37" s="10" t="str">
        <x:v>PRISIONEIRO 84.901. Mega rebelião 2001: vista da Penitenciária do Estado (Mercadão) – Parte 1. YouTube, 15 abr. 2024. Disponível em: https://www.youtube.com/watch?v=lCgKKMo3bvU. Acesso em: 19 jul. 2025.</x:v>
      </x:c>
      <x:c r="T37" s="10" t="str">
        <x:v>BR-SPCARANDIRU_MAPEAMENTOS-REMEMORA-CARANDIRU.xlsx</x:v>
      </x:c>
      <x:c r="U37" s="10" t="str">
        <x:v>Geral</x:v>
      </x:c>
      <x:c r="V37" s="11" t="n">
        <x:v>39</x:v>
      </x:c>
      <x:c r="W37" s="10" t="str">
        <x:v>BR-SPCARANDIRU_MAPEAMENTOS-REMEMORA-CARANDIRU.xlsx:Geral:39</x:v>
      </x:c>
      <x:c r="X37" s="11" t="n">
        <x:f>COLUMNS(A37:S37)-COUNTBLANK(A37:S37)</x:f>
        <x:v>17</x:v>
      </x:c>
    </x:row>
    <x:row r="38" ht="15" hidden="0" customHeight="1">
      <x:c r="A38" s="10" t="str">
        <x:v>Livro</x:v>
      </x:c>
      <x:c r="B38" s="10" t="str"/>
      <x:c r="C38" s="10" t="str">
        <x:v>Manifestação artístico-cultural</x:v>
      </x:c>
      <x:c r="D38" s="10" t="str">
        <x:v>Público Mediado</x:v>
      </x:c>
      <x:c r="E38" s="10" t="str">
        <x:v>Midiático</x:v>
      </x:c>
      <x:c r="F38" s="10" t="str">
        <x:v>2002</x:v>
      </x:c>
      <x:c r="G38" s="11" t="n">
        <x:v>2002</x:v>
      </x:c>
      <x:c r="H38" s="10" t="str">
        <x:v>São Paulo</x:v>
      </x:c>
      <x:c r="I38" s="10" t="str">
        <x:v>Bruno Zeni</x:v>
      </x:c>
      <x:c r="J38" s="10" t="str">
        <x:v>Sobrevivente André du Rap (do Massacre do Carandiru)</x:v>
      </x:c>
      <x:c r="K38" s="10" t="str">
        <x:v>Bibliográfico</x:v>
      </x:c>
      <x:c r="L38" s="10" t="str">
        <x:v>Impresso</x:v>
      </x:c>
      <x:c r="M38" s="10" t="str">
        <x:v>Labortexto Editorial</x:v>
      </x:c>
      <x:c r="N38" s="10" t="str">
        <x:v>Português, Brasil</x:v>
      </x:c>
      <x:c r="O38" s="10" t="str">
        <x:v>Hiperlink</x:v>
      </x:c>
      <x:c r="P38" s="10" t="str">
        <x:v>2025-07-18 00:00:00</x:v>
      </x:c>
      <x:c r="Q38" s="10" t="str">
        <x:v>Aberto</x:v>
      </x:c>
      <x:c r="R38" s="10" t="str"/>
      <x:c r="S38" s="10" t="str">
        <x:v>ZENI, Bruno. Sobrevivente André du Rap (do massacre do Carandiru) / coordenação editorial: Bruno Zeni. São Paulo: Labortexto Editorial, 2002.</x:v>
      </x:c>
      <x:c r="T38" s="10" t="str">
        <x:v>BR-SPCARANDIRU_MAPEAMENTOS-REMEMORA-CARANDIRU.xlsx</x:v>
      </x:c>
      <x:c r="U38" s="10" t="str">
        <x:v>Geral</x:v>
      </x:c>
      <x:c r="V38" s="11" t="n">
        <x:v>40</x:v>
      </x:c>
      <x:c r="W38" s="10" t="str">
        <x:v>BR-SPCARANDIRU_MAPEAMENTOS-REMEMORA-CARANDIRU.xlsx:Geral:40</x:v>
      </x:c>
      <x:c r="X38" s="11" t="n">
        <x:f>COLUMNS(A38:S38)-COUNTBLANK(A38:S38)</x:f>
        <x:v>17</x:v>
      </x:c>
    </x:row>
    <x:row r="39" ht="120" hidden="0" customHeight="1">
      <x:c r="A39" s="10" t="str">
        <x:v>Ato</x:v>
      </x:c>
      <x:c r="B39" s="10" t="str"/>
      <x:c r="C39" s="10" t="str"/>
      <x:c r="D39" s="10" t="str">
        <x:v>Público Imediato</x:v>
      </x:c>
      <x:c r="E39" s="10" t="str">
        <x:v>Presencial/Físico</x:v>
      </x:c>
      <x:c r="F39" s="10" t="str">
        <x:v>2002-10-02 00:00:00</x:v>
      </x:c>
      <x:c r="G39" s="11" t="n">
        <x:v>2002</x:v>
      </x:c>
      <x:c r="H39" s="10" t="str">
        <x:v>Faculdade de Direito do Largo São Francisco, no centro de São Paulo</x:v>
      </x:c>
      <x:c r="I39" s="10" t="str">
        <x:v>Comissões de Direitos Humanos da Assembléia Legislativa e da Câmara Municipal, Rede Social de Justiça e Direitos Humanos, Centro Santo Dias de Direitos Humanos, Sindicato dos Procuradores do Estado de São Paulo, Grupo Tortura Nunca Mais, Movimento dos Sem Universidade, cardeal dom Paulo Evaristo Arns, Comissão Justiça e Paz, Pastoral Carcerária e Comissão de Direitos Humanos da OAB/SP.</x:v>
      </x:c>
      <x:c r="J39" s="10" t="str">
        <x:v>Atividades marcam dez anos do massacre do Carandiru</x:v>
      </x:c>
      <x:c r="K39" s="10" t="str">
        <x:v>Hemerográfico</x:v>
      </x:c>
      <x:c r="L39" s="10" t="str">
        <x:v>Texto (digital)</x:v>
      </x:c>
      <x:c r="M39" s="10" t="str">
        <x:v>Folha de S. Paulo</x:v>
      </x:c>
      <x:c r="N39" s="10" t="str">
        <x:v>Português, Brasil</x:v>
      </x:c>
      <x:c r="O39" s="10" t="str">
        <x:v>"manifestação solidariedade ao Massacre do Carandiru" no acervo da Folha de S. Paulo</x:v>
      </x:c>
      <x:c r="P39" s="10" t="str">
        <x:v>2025-07-17 00:00:00</x:v>
      </x:c>
      <x:c r="Q39" s="10" t="str">
        <x:v>Aberto</x:v>
      </x:c>
      <x:c r="R39" s="10" t="str">
        <x:v>Aqui</x:v>
      </x:c>
      <x:c r="S39" s="10" t="str">
        <x:v>FOLHA DE S. PAULO. Atividades marcam dez anos do massacre do Carandiru. Folha de S. Paulo, São Paulo, 2 out. 2002. Disponível em: https://www1.folha.uol.com.br/folha/cotidiano/ult95u60186.shtml. Acesso em: 17 jul. 2025.</x:v>
      </x:c>
      <x:c r="T39" s="10" t="str">
        <x:v>BR-SPCARANDIRU_MAPEAMENTOS-REMEMORA-CARANDIRU.xlsx</x:v>
      </x:c>
      <x:c r="U39" s="10" t="str">
        <x:v>Geral</x:v>
      </x:c>
      <x:c r="V39" s="11" t="n">
        <x:v>41</x:v>
      </x:c>
      <x:c r="W39" s="10" t="str">
        <x:v>BR-SPCARANDIRU_MAPEAMENTOS-REMEMORA-CARANDIRU.xlsx:Geral:41</x:v>
      </x:c>
      <x:c r="X39" s="11" t="n">
        <x:f>COLUMNS(A39:S39)-COUNTBLANK(A39:S39)</x:f>
        <x:v>17</x:v>
      </x:c>
    </x:row>
    <x:row r="40" ht="15" hidden="0" customHeight="1">
      <x:c r="A40" s="10" t="str">
        <x:v>Livro</x:v>
      </x:c>
      <x:c r="B40" s="10" t="str"/>
      <x:c r="C40" s="10" t="str">
        <x:v>Manifestação artístico-cultural</x:v>
      </x:c>
      <x:c r="D40" s="10" t="str">
        <x:v>Público Mediado</x:v>
      </x:c>
      <x:c r="E40" s="10" t="str">
        <x:v>Midiático</x:v>
      </x:c>
      <x:c r="F40" s="10" t="str">
        <x:v>2002-11-08 00:00:00</x:v>
      </x:c>
      <x:c r="G40" s="11" t="n">
        <x:v>2002</x:v>
      </x:c>
      <x:c r="H40" s="10" t="str">
        <x:v>São Paulo</x:v>
      </x:c>
      <x:c r="I40" s="10" t="str">
        <x:v>Humberto Rodrigues</x:v>
      </x:c>
      <x:c r="J40" s="10" t="str">
        <x:v>Vidas do Carandiru: histórias reais</x:v>
      </x:c>
      <x:c r="K40" s="10" t="str">
        <x:v>Bibliográfico</x:v>
      </x:c>
      <x:c r="L40" s="10" t="str">
        <x:v>Impresso</x:v>
      </x:c>
      <x:c r="M40" s="10" t="str">
        <x:v>Geração Editorial</x:v>
      </x:c>
      <x:c r="N40" s="10" t="str">
        <x:v>Português, Brasil</x:v>
      </x:c>
      <x:c r="O40" s="10" t="str">
        <x:v>Hiperlink</x:v>
      </x:c>
      <x:c r="P40" s="10" t="str">
        <x:v>2025-07-18 00:00:00</x:v>
      </x:c>
      <x:c r="Q40" s="10" t="str">
        <x:v>Aberto</x:v>
      </x:c>
      <x:c r="R40" s="10" t="str"/>
      <x:c r="S40" s="10" t="str">
        <x:v>RODRIGUES, Humberto. Vidas do Carandiru: histórias reais. São Paulo: Geração Editorial, 2002.</x:v>
      </x:c>
      <x:c r="T40" s="10" t="str">
        <x:v>BR-SPCARANDIRU_MAPEAMENTOS-REMEMORA-CARANDIRU.xlsx</x:v>
      </x:c>
      <x:c r="U40" s="10" t="str">
        <x:v>Geral</x:v>
      </x:c>
      <x:c r="V40" s="11" t="n">
        <x:v>42</x:v>
      </x:c>
      <x:c r="W40" s="10" t="str">
        <x:v>BR-SPCARANDIRU_MAPEAMENTOS-REMEMORA-CARANDIRU.xlsx:Geral:42</x:v>
      </x:c>
      <x:c r="X40" s="11" t="n">
        <x:f>COLUMNS(A40:S40)-COUNTBLANK(A40:S40)</x:f>
        <x:v>17</x:v>
      </x:c>
    </x:row>
    <x:row r="41" ht="24" hidden="0" customHeight="1">
      <x:c r="A41" s="10" t="str">
        <x:v>Instalação artística</x:v>
      </x:c>
      <x:c r="B41" s="10" t="str"/>
      <x:c r="C41" s="10" t="str">
        <x:v>Manifestação artístico-cultural</x:v>
      </x:c>
      <x:c r="D41" s="10" t="str">
        <x:v>Público Imediato</x:v>
      </x:c>
      <x:c r="E41" s="10" t="str">
        <x:v>Presencial/Físico</x:v>
      </x:c>
      <x:c r="F41" s="10" t="str">
        <x:v>2002</x:v>
      </x:c>
      <x:c r="G41" s="11" t="n">
        <x:v>2002</x:v>
      </x:c>
      <x:c r="H41" s="10" t="str">
        <x:v>São Paulo</x:v>
      </x:c>
      <x:c r="I41" s="10" t="str">
        <x:v>Siron Franco</x:v>
      </x:c>
      <x:c r="J41" s="10" t="str">
        <x:v>Portas</x:v>
      </x:c>
      <x:c r="K41" s="10" t="str">
        <x:v>Iconográfico</x:v>
      </x:c>
      <x:c r="L41" s="10" t="str">
        <x:v>Imagem (digital)</x:v>
      </x:c>
      <x:c r="M41" s="10" t="str">
        <x:v>Biblioteca Digital de Teses e Dissertações da USP</x:v>
      </x:c>
      <x:c r="N41" s="10" t="str">
        <x:v>Português, Brasil</x:v>
      </x:c>
      <x:c r="O41" s="10" t="str">
        <x:v>"Massacre do Carandiru" no Dedalus USP</x:v>
      </x:c>
      <x:c r="P41" s="10" t="str">
        <x:v>2025-10-15 00:00:00</x:v>
      </x:c>
      <x:c r="Q41" s="10" t="str">
        <x:v>Aberto</x:v>
      </x:c>
      <x:c r="R41" s="10" t="str">
        <x:v>Aqui</x:v>
      </x:c>
      <x:c r="S41" s="10" t="str">
        <x:v>RODRIGUES, Adriana Mariana de Araujo. Carandiru: formas de lembrar, maneiras de esquecer. Informação, memória e esquecimento. 2021. Dissertação (Mestrado em Cultura e Informação) - Escola de Comunicações e Artes, Universidade de São Paulo, São Paulo, 2021. Disponível em: https://www.teses.usp.br/teses/disponiveis/27/27151/tde-24082021-234649/pt-br.php. Acesso em: 2025-10-15.</x:v>
      </x:c>
      <x:c r="T41" s="10" t="str">
        <x:v>BR-SPCARANDIRU_MAPEAMENTOS-REMEMORA-CARANDIRU.xlsx</x:v>
      </x:c>
      <x:c r="U41" s="10" t="str">
        <x:v>Geral</x:v>
      </x:c>
      <x:c r="V41" s="11" t="n">
        <x:v>43</x:v>
      </x:c>
      <x:c r="W41" s="10" t="str">
        <x:v>BR-SPCARANDIRU_MAPEAMENTOS-REMEMORA-CARANDIRU.xlsx:Geral:43</x:v>
      </x:c>
      <x:c r="X41" s="11" t="n">
        <x:f>COLUMNS(A41:S41)-COUNTBLANK(A41:S41)</x:f>
        <x:v>18</x:v>
      </x:c>
    </x:row>
    <x:row r="42" ht="24" hidden="0" customHeight="1">
      <x:c r="A42" s="10" t="str">
        <x:v>Livro</x:v>
      </x:c>
      <x:c r="B42" s="10" t="str"/>
      <x:c r="C42" s="10" t="str">
        <x:v>Manifestação artístico-cultural</x:v>
      </x:c>
      <x:c r="D42" s="10" t="str">
        <x:v>Público Mediado</x:v>
      </x:c>
      <x:c r="E42" s="10" t="str">
        <x:v>Midiático</x:v>
      </x:c>
      <x:c r="F42" s="10" t="str">
        <x:v>2002</x:v>
      </x:c>
      <x:c r="G42" s="11" t="n">
        <x:v>2002</x:v>
      </x:c>
      <x:c r="H42" s="10" t="str">
        <x:v>São Paulo</x:v>
      </x:c>
      <x:c r="I42" s="10" t="str">
        <x:v>Humberto Rodrigues</x:v>
      </x:c>
      <x:c r="J42" s="10" t="str">
        <x:v>Vidas do Carandiru</x:v>
      </x:c>
      <x:c r="K42" s="10" t="str">
        <x:v>Bibliográfico</x:v>
      </x:c>
      <x:c r="L42" s="10" t="str">
        <x:v>Impresso</x:v>
      </x:c>
      <x:c r="M42" s="10" t="str">
        <x:v>Biblioteca Digital de Teses e Dissertações da USP</x:v>
      </x:c>
      <x:c r="N42" s="10" t="str">
        <x:v>Português, Brasil</x:v>
      </x:c>
      <x:c r="O42" s="10" t="str">
        <x:v>"Massacre do Carandiru" no Dedalus USP</x:v>
      </x:c>
      <x:c r="P42" s="10" t="str">
        <x:v>2025-10-15 00:00:00</x:v>
      </x:c>
      <x:c r="Q42" s="10" t="str">
        <x:v>Aberto</x:v>
      </x:c>
      <x:c r="R42" s="10" t="str">
        <x:v>Aqui</x:v>
      </x:c>
      <x:c r="S42" s="10" t="str">
        <x:v>RODRIGUES, Adriana Mariana de Araujo. Carandiru: formas de lembrar, maneiras de esquecer. Informação, memória e esquecimento. 2021. Dissertação (Mestrado em Cultura e Informação) - Escola de Comunicações e Artes, Universidade de São Paulo, São Paulo, 2021. Disponível em: https://www.teses.usp.br/teses/disponiveis/27/27151/tde-24082021-234649/pt-br.php. Acesso em: 2025-10-15.</x:v>
      </x:c>
      <x:c r="T42" s="10" t="str">
        <x:v>BR-SPCARANDIRU_MAPEAMENTOS-REMEMORA-CARANDIRU.xlsx</x:v>
      </x:c>
      <x:c r="U42" s="10" t="str">
        <x:v>Geral</x:v>
      </x:c>
      <x:c r="V42" s="11" t="n">
        <x:v>44</x:v>
      </x:c>
      <x:c r="W42" s="10" t="str">
        <x:v>BR-SPCARANDIRU_MAPEAMENTOS-REMEMORA-CARANDIRU.xlsx:Geral:44</x:v>
      </x:c>
      <x:c r="X42" s="11" t="n">
        <x:f>COLUMNS(A42:S42)-COUNTBLANK(A42:S42)</x:f>
        <x:v>18</x:v>
      </x:c>
    </x:row>
    <x:row r="43" ht="72" hidden="0" customHeight="1">
      <x:c r="A43" s="10" t="str">
        <x:v>Filme</x:v>
      </x:c>
      <x:c r="B43" s="10" t="str"/>
      <x:c r="C43" s="10" t="str">
        <x:v>Manifestação artístico-cultural</x:v>
      </x:c>
      <x:c r="D43" s="10" t="str">
        <x:v>Público Mediado</x:v>
      </x:c>
      <x:c r="E43" s="10" t="str">
        <x:v>Midiático</x:v>
      </x:c>
      <x:c r="F43" s="10" t="str">
        <x:v>2003-04-11 00:00:00</x:v>
      </x:c>
      <x:c r="G43" s="11" t="n">
        <x:v>2003</x:v>
      </x:c>
      <x:c r="H43" s="10" t="str">
        <x:v>São Paulo</x:v>
      </x:c>
      <x:c r="I43" s="10" t="str">
        <x:v>Direção: Hector Babenco. Roteiro: Victor Navas, Fernando Bonassi e Hector Babenco. Elenco: Rodrigo Santoro, Milton Gonçalves, Luiz Carlos Vasconcelos, Maria Luiza Mendonça e Caio Blat. Brasil. HB Filmes e Globo Filmes.</x:v>
      </x:c>
      <x:c r="J43" s="10" t="str">
        <x:v>Carandiru</x:v>
      </x:c>
      <x:c r="K43" s="10" t="str">
        <x:v>Textual</x:v>
      </x:c>
      <x:c r="L43" s="10" t="str">
        <x:v>Texto (digital), Imagem (digital)</x:v>
      </x:c>
      <x:c r="M43" s="10" t="str">
        <x:v>47a Mostra Internacional de Cinema em São Paulo</x:v>
      </x:c>
      <x:c r="N43" s="10" t="str">
        <x:v>Português, Brasil</x:v>
      </x:c>
      <x:c r="O43" s="10" t="str">
        <x:v>Hiperlink</x:v>
      </x:c>
      <x:c r="P43" s="10" t="str">
        <x:v>2025-07-18 00:00:00</x:v>
      </x:c>
      <x:c r="Q43" s="10" t="str">
        <x:v>Aberto</x:v>
      </x:c>
      <x:c r="R43" s="10" t="str">
        <x:v>Aqui</x:v>
      </x:c>
      <x:c r="S43" s="10" t="str">
        <x:v>CARANDIRU. 47ª Mostra Internacional de Cinema em São Paulo, 2023. Disponível em: https://47.mostra.org/filmes/carandiru-47a. Acesso em: 18 jul. 2025.</x:v>
      </x:c>
      <x:c r="T43" s="10" t="str">
        <x:v>BR-SPCARANDIRU_MAPEAMENTOS-REMEMORA-CARANDIRU.xlsx</x:v>
      </x:c>
      <x:c r="U43" s="10" t="str">
        <x:v>Geral</x:v>
      </x:c>
      <x:c r="V43" s="11" t="n">
        <x:v>45</x:v>
      </x:c>
      <x:c r="W43" s="10" t="str">
        <x:v>BR-SPCARANDIRU_MAPEAMENTOS-REMEMORA-CARANDIRU.xlsx:Geral:45</x:v>
      </x:c>
      <x:c r="X43" s="11" t="n">
        <x:f>COLUMNS(A43:S43)-COUNTBLANK(A43:S43)</x:f>
        <x:v>18</x:v>
      </x:c>
    </x:row>
    <x:row r="44" ht="24" hidden="0" customHeight="1">
      <x:c r="A44" s="10" t="str">
        <x:v>Livro</x:v>
      </x:c>
      <x:c r="B44" s="10" t="str"/>
      <x:c r="C44" s="10" t="str">
        <x:v>Manifestação artístico-cultural</x:v>
      </x:c>
      <x:c r="D44" s="10" t="str">
        <x:v>Público Mediado</x:v>
      </x:c>
      <x:c r="E44" s="10" t="str">
        <x:v>Midiático</x:v>
      </x:c>
      <x:c r="F44" s="10" t="str">
        <x:v>2003</x:v>
      </x:c>
      <x:c r="G44" s="11" t="n">
        <x:v>2003</x:v>
      </x:c>
      <x:c r="H44" s="10" t="str">
        <x:v>São Paulo</x:v>
      </x:c>
      <x:c r="I44" s="10" t="str">
        <x:v>Maureen Bisilliat, Sophia Bisilliat, André Caramante e João Wainer</x:v>
      </x:c>
      <x:c r="J44" s="10" t="str">
        <x:v>Aqui dentro - páginas de uma memória: Carandiru.</x:v>
      </x:c>
      <x:c r="K44" s="10" t="str">
        <x:v>Bibliográfico</x:v>
      </x:c>
      <x:c r="L44" s="10" t="str">
        <x:v>Impresso</x:v>
      </x:c>
      <x:c r="M44" s="10" t="str">
        <x:v>Editora Imprensa Oficial</x:v>
      </x:c>
      <x:c r="N44" s="10" t="str">
        <x:v>Português, Brasil</x:v>
      </x:c>
      <x:c r="O44" s="10" t="str">
        <x:v>Hiperlink</x:v>
      </x:c>
      <x:c r="P44" s="10" t="str">
        <x:v>2025-07-18 00:00:00</x:v>
      </x:c>
      <x:c r="Q44" s="10" t="str">
        <x:v>Aberto</x:v>
      </x:c>
      <x:c r="R44" s="10" t="str"/>
      <x:c r="S44" s="10" t="str">
        <x:v>BISILLIAT, Maureen. Aqui dentro - páginas de uma memória: Carandiru. São Paulo: Imprensa Oficial, 2003.</x:v>
      </x:c>
      <x:c r="T44" s="10" t="str">
        <x:v>BR-SPCARANDIRU_MAPEAMENTOS-REMEMORA-CARANDIRU.xlsx</x:v>
      </x:c>
      <x:c r="U44" s="10" t="str">
        <x:v>Geral</x:v>
      </x:c>
      <x:c r="V44" s="11" t="n">
        <x:v>46</x:v>
      </x:c>
      <x:c r="W44" s="10" t="str">
        <x:v>BR-SPCARANDIRU_MAPEAMENTOS-REMEMORA-CARANDIRU.xlsx:Geral:46</x:v>
      </x:c>
      <x:c r="X44" s="11" t="n">
        <x:f>COLUMNS(A44:S44)-COUNTBLANK(A44:S44)</x:f>
        <x:v>17</x:v>
      </x:c>
    </x:row>
    <x:row r="45" ht="24" hidden="0" customHeight="1">
      <x:c r="A45" s="10" t="str">
        <x:v>Documentário</x:v>
      </x:c>
      <x:c r="B45" s="10" t="str"/>
      <x:c r="C45" s="10" t="str">
        <x:v>Manifestação artístico-cultural</x:v>
      </x:c>
      <x:c r="D45" s="10" t="str">
        <x:v>Público Mediado</x:v>
      </x:c>
      <x:c r="E45" s="10" t="str">
        <x:v>Midiático</x:v>
      </x:c>
      <x:c r="F45" s="10" t="str">
        <x:v>2003</x:v>
      </x:c>
      <x:c r="G45" s="11" t="n">
        <x:v>2003</x:v>
      </x:c>
      <x:c r="H45" s="10" t="str">
        <x:v>São Paulo</x:v>
      </x:c>
      <x:c r="I45" s="10" t="str">
        <x:v>Paulo Sacramento</x:v>
      </x:c>
      <x:c r="J45" s="10" t="str">
        <x:v>O prisioneiro da grade de ferro (Auto-retratos)</x:v>
      </x:c>
      <x:c r="K45" s="10" t="str">
        <x:v>Audiovisual</x:v>
      </x:c>
      <x:c r="L45" s="10" t="str">
        <x:v>Vídeo (digital)</x:v>
      </x:c>
      <x:c r="M45" s="10" t="str">
        <x:v>YouTube (Itaú Cultural)</x:v>
      </x:c>
      <x:c r="N45" s="10" t="str">
        <x:v>Português, Brasil</x:v>
      </x:c>
      <x:c r="O45" s="10" t="str">
        <x:v>Hiperlink</x:v>
      </x:c>
      <x:c r="P45" s="10" t="str">
        <x:v>2025-07-18 00:00:00</x:v>
      </x:c>
      <x:c r="Q45" s="10" t="str">
        <x:v>Aberto</x:v>
      </x:c>
      <x:c r="R45" s="10" t="str">
        <x:v>Aqui</x:v>
      </x:c>
      <x:c r="S45" s="10" t="str">
        <x:v>PRISIONEIRO DA GRADE DE FERRO (Auto-retratos). Direção: Paulo Sacramento. Itaú Cultural. São Paulo, 2003. 123 min. Trecho do documentário. Publicado em: 31 mar. 2009. Disponível em: https://www.youtube.com/watch?v=EnJN0emCYas. Acesso em: 18 jul. 2025</x:v>
      </x:c>
      <x:c r="T45" s="10" t="str">
        <x:v>BR-SPCARANDIRU_MAPEAMENTOS-REMEMORA-CARANDIRU.xlsx</x:v>
      </x:c>
      <x:c r="U45" s="10" t="str">
        <x:v>Geral</x:v>
      </x:c>
      <x:c r="V45" s="11" t="n">
        <x:v>47</x:v>
      </x:c>
      <x:c r="W45" s="10" t="str">
        <x:v>BR-SPCARANDIRU_MAPEAMENTOS-REMEMORA-CARANDIRU.xlsx:Geral:47</x:v>
      </x:c>
      <x:c r="X45" s="11" t="n">
        <x:f>COLUMNS(A45:S45)-COUNTBLANK(A45:S45)</x:f>
        <x:v>18</x:v>
      </x:c>
    </x:row>
    <x:row r="46" ht="24" hidden="0" customHeight="1">
      <x:c r="A46" s="10" t="str">
        <x:v>Música</x:v>
      </x:c>
      <x:c r="B46" s="10" t="str"/>
      <x:c r="C46" s="10" t="str">
        <x:v>Manifestação artístico-cultural</x:v>
      </x:c>
      <x:c r="D46" s="10" t="str">
        <x:v>Público Mediado</x:v>
      </x:c>
      <x:c r="E46" s="10" t="str">
        <x:v>Midiático</x:v>
      </x:c>
      <x:c r="F46" s="10" t="str">
        <x:v>2003</x:v>
      </x:c>
      <x:c r="G46" s="11" t="n">
        <x:v>2003</x:v>
      </x:c>
      <x:c r="H46" s="10" t="str">
        <x:v>Reino Unido</x:v>
      </x:c>
      <x:c r="I46" s="10" t="str">
        <x:v>Asian Dub Foundation</x:v>
      </x:c>
      <x:c r="J46" s="10" t="str">
        <x:v>19 Rebellions</x:v>
      </x:c>
      <x:c r="K46" s="10" t="str">
        <x:v>Sonoro</x:v>
      </x:c>
      <x:c r="L46" s="10" t="str">
        <x:v>Áudio (digital)</x:v>
      </x:c>
      <x:c r="M46" s="10" t="str">
        <x:v>Biblioteca Digital de Teses e Dissertações da USP</x:v>
      </x:c>
      <x:c r="N46" s="10" t="str">
        <x:v>Português, Brasil</x:v>
      </x:c>
      <x:c r="O46" s="10" t="str">
        <x:v>"Massacre do Carandiru" no Dedalus USP</x:v>
      </x:c>
      <x:c r="P46" s="10" t="str">
        <x:v>2025-10-15 00:00:00</x:v>
      </x:c>
      <x:c r="Q46" s="10" t="str">
        <x:v>Aberto</x:v>
      </x:c>
      <x:c r="R46" s="10" t="str">
        <x:v>Aqui</x:v>
      </x:c>
      <x:c r="S46" s="10" t="str">
        <x:v>RODRIGUES, Adriana Mariana de Araujo. Carandiru: formas de lembrar, maneiras de esquecer. Informação, memória e esquecimento. 2021. Dissertação (Mestrado em Cultura e Informação) - Escola de Comunicações e Artes, Universidade de São Paulo, São Paulo, 2021. Disponível em: https://www.teses.usp.br/teses/disponiveis/27/27151/tde-24082021-234649/pt-br.php. Acesso em: 2025-10-15.</x:v>
      </x:c>
      <x:c r="T46" s="10" t="str">
        <x:v>BR-SPCARANDIRU_MAPEAMENTOS-REMEMORA-CARANDIRU.xlsx</x:v>
      </x:c>
      <x:c r="U46" s="10" t="str">
        <x:v>Geral</x:v>
      </x:c>
      <x:c r="V46" s="11" t="n">
        <x:v>48</x:v>
      </x:c>
      <x:c r="W46" s="10" t="str">
        <x:v>BR-SPCARANDIRU_MAPEAMENTOS-REMEMORA-CARANDIRU.xlsx:Geral:48</x:v>
      </x:c>
      <x:c r="X46" s="11" t="n">
        <x:f>COLUMNS(A46:S46)-COUNTBLANK(A46:S46)</x:f>
        <x:v>18</x:v>
      </x:c>
    </x:row>
    <x:row r="47" ht="15" hidden="0" customHeight="1">
      <x:c r="A47" s="10" t="str">
        <x:v>Série</x:v>
      </x:c>
      <x:c r="B47" s="10" t="str"/>
      <x:c r="C47" s="10" t="str">
        <x:v>Produção midiática</x:v>
      </x:c>
      <x:c r="D47" s="10" t="str">
        <x:v>Público Mediado</x:v>
      </x:c>
      <x:c r="E47" s="10" t="str">
        <x:v>Midiático</x:v>
      </x:c>
      <x:c r="F47" s="10" t="str">
        <x:v>2005-06-10 00:00:00</x:v>
      </x:c>
      <x:c r="G47" s="11" t="n">
        <x:v>2005</x:v>
      </x:c>
      <x:c r="H47" s="10" t="str">
        <x:v>São Paulo</x:v>
      </x:c>
      <x:c r="I47" s="10" t="str">
        <x:v>Drauzio Varella, Walter Carvalho e outros.</x:v>
      </x:c>
      <x:c r="J47" s="10" t="str">
        <x:v>Carandiru, Outras Histórias</x:v>
      </x:c>
      <x:c r="K47" s="10" t="str">
        <x:v>Bibliográfico</x:v>
      </x:c>
      <x:c r="L47" s="10" t="str">
        <x:v>Texto (digital), Imagem (digital)</x:v>
      </x:c>
      <x:c r="M47" s="10" t="str">
        <x:v>Wikipedia</x:v>
      </x:c>
      <x:c r="N47" s="10" t="str">
        <x:v>Português, Brasil</x:v>
      </x:c>
      <x:c r="O47" s="10" t="str">
        <x:v>Hiperlink</x:v>
      </x:c>
      <x:c r="P47" s="10" t="str">
        <x:v>2025-07-18 00:00:00</x:v>
      </x:c>
      <x:c r="Q47" s="10" t="str">
        <x:v>Aberto</x:v>
      </x:c>
      <x:c r="R47" s="10" t="str">
        <x:v>Aqui</x:v>
      </x:c>
      <x:c r="S47" s="10" t="str">
        <x:v>WIKIPÉDIA. Carandiru, Outras Histórias. Wikipédia: a enciclopédia livre. Disponível em: https://pt.wikipedia.org/wiki/Carandiru,_Outras_Hist%C3%B3rias. Acesso em: 18 jul. 2025.</x:v>
      </x:c>
      <x:c r="T47" s="10" t="str">
        <x:v>BR-SPCARANDIRU_MAPEAMENTOS-REMEMORA-CARANDIRU.xlsx</x:v>
      </x:c>
      <x:c r="U47" s="10" t="str">
        <x:v>Geral</x:v>
      </x:c>
      <x:c r="V47" s="11" t="n">
        <x:v>50</x:v>
      </x:c>
      <x:c r="W47" s="10" t="str">
        <x:v>BR-SPCARANDIRU_MAPEAMENTOS-REMEMORA-CARANDIRU.xlsx:Geral:50</x:v>
      </x:c>
      <x:c r="X47" s="11" t="n">
        <x:f>COLUMNS(A47:S47)-COUNTBLANK(A47:S47)</x:f>
        <x:v>18</x:v>
      </x:c>
    </x:row>
    <x:row r="48" ht="24" hidden="0" customHeight="1">
      <x:c r="A48" s="10" t="str">
        <x:v>Música</x:v>
      </x:c>
      <x:c r="B48" s="10" t="str"/>
      <x:c r="C48" s="10" t="str">
        <x:v>Manifestação artístico-cultural</x:v>
      </x:c>
      <x:c r="D48" s="10" t="str">
        <x:v>Público Mediado</x:v>
      </x:c>
      <x:c r="E48" s="10" t="str">
        <x:v>Midiático</x:v>
      </x:c>
      <x:c r="F48" s="10" t="str">
        <x:v>2006</x:v>
      </x:c>
      <x:c r="G48" s="11" t="n">
        <x:v>2006</x:v>
      </x:c>
      <x:c r="H48" s="10" t="str">
        <x:v>São Paulo</x:v>
      </x:c>
      <x:c r="I48" s="10" t="str">
        <x:v>Facção Central</x:v>
      </x:c>
      <x:c r="J48" s="10" t="str">
        <x:v>Aonde o Filho Chora e a Mãe Não Vê</x:v>
      </x:c>
      <x:c r="K48" s="10" t="str">
        <x:v>Sonoro</x:v>
      </x:c>
      <x:c r="L48" s="10" t="str">
        <x:v>Áudio (digital)</x:v>
      </x:c>
      <x:c r="M48" s="10" t="str">
        <x:v>YouTube (Facção Central)</x:v>
      </x:c>
      <x:c r="N48" s="10" t="str">
        <x:v>Português, Brasil</x:v>
      </x:c>
      <x:c r="O48" s="10" t="str">
        <x:v>Hiperlink</x:v>
      </x:c>
      <x:c r="P48" s="10" t="str">
        <x:v>2025-07-18 00:00:00</x:v>
      </x:c>
      <x:c r="Q48" s="10" t="str">
        <x:v>Aberto</x:v>
      </x:c>
      <x:c r="R48" s="10" t="str">
        <x:v>Aqui</x:v>
      </x:c>
      <x:c r="S48" s="10" t="str">
        <x:v>FACÇÃO CENTRAL. Aonde o Filho Chora e a Mãe Não Vê – O Espetáculo do Circo dos Horrores – Faixa 14. YouTube, [2006]. Publicado em: 9 ago. 2020. Disponível em: https://www.youtube.com/watch?v=ScrbQ-rVJ3A. Acesso em: 18 jul. 2025</x:v>
      </x:c>
      <x:c r="T48" s="10" t="str">
        <x:v>BR-SPCARANDIRU_MAPEAMENTOS-REMEMORA-CARANDIRU.xlsx</x:v>
      </x:c>
      <x:c r="U48" s="10" t="str">
        <x:v>Geral</x:v>
      </x:c>
      <x:c r="V48" s="11" t="n">
        <x:v>51</x:v>
      </x:c>
      <x:c r="W48" s="10" t="str">
        <x:v>BR-SPCARANDIRU_MAPEAMENTOS-REMEMORA-CARANDIRU.xlsx:Geral:51</x:v>
      </x:c>
      <x:c r="X48" s="11" t="n">
        <x:f>COLUMNS(A48:S48)-COUNTBLANK(A48:S48)</x:f>
        <x:v>18</x:v>
      </x:c>
    </x:row>
    <x:row r="49" ht="24" hidden="0" customHeight="1">
      <x:c r="A49" s="10" t="str">
        <x:v>Música</x:v>
      </x:c>
      <x:c r="B49" s="10" t="str"/>
      <x:c r="C49" s="10" t="str">
        <x:v>Manifestação artístico-cultural</x:v>
      </x:c>
      <x:c r="D49" s="10" t="str">
        <x:v>Público Mediado</x:v>
      </x:c>
      <x:c r="E49" s="10" t="str">
        <x:v>Midiático</x:v>
      </x:c>
      <x:c r="F49" s="10" t="str">
        <x:v>2006</x:v>
      </x:c>
      <x:c r="G49" s="11" t="n">
        <x:v>2006</x:v>
      </x:c>
      <x:c r="H49" s="10" t="str">
        <x:v>São Paulo</x:v>
      </x:c>
      <x:c r="I49" s="10" t="str">
        <x:v>Facção Central</x:v>
      </x:c>
      <x:c r="J49" s="10" t="str">
        <x:v>Facção Central - Roleta Macabra - O Espetáculo do Circo dos Horrores - Faixa 16</x:v>
      </x:c>
      <x:c r="K49" s="10" t="str">
        <x:v>Sonoro</x:v>
      </x:c>
      <x:c r="L49" s="10" t="str">
        <x:v>Áudio (digital)</x:v>
      </x:c>
      <x:c r="M49" s="10" t="str">
        <x:v>YouTube (Facção Central)</x:v>
      </x:c>
      <x:c r="N49" s="10" t="str">
        <x:v>Português, Brasil</x:v>
      </x:c>
      <x:c r="O49" s="10" t="str">
        <x:v>Hiperlink</x:v>
      </x:c>
      <x:c r="P49" s="10" t="str">
        <x:v>2025-07-18 00:00:00</x:v>
      </x:c>
      <x:c r="Q49" s="10" t="str">
        <x:v>Aberto</x:v>
      </x:c>
      <x:c r="R49" s="10" t="str">
        <x:v>Aqui</x:v>
      </x:c>
      <x:c r="S49" s="10" t="str">
        <x:v>FACÇÃO CENTRAL. Roleta Macabra – O Espetáculo do Circo dos Horrores – Faixa 16. YouTube, [2006]. Vídeo: 5 min 17 s. Disponível em: https://www.youtube.com/watch?v=HPtq2LE246o. Acesso em: 18 jul. 2025.</x:v>
      </x:c>
      <x:c r="T49" s="10" t="str">
        <x:v>BR-SPCARANDIRU_MAPEAMENTOS-REMEMORA-CARANDIRU.xlsx</x:v>
      </x:c>
      <x:c r="U49" s="10" t="str">
        <x:v>Geral</x:v>
      </x:c>
      <x:c r="V49" s="11" t="n">
        <x:v>52</x:v>
      </x:c>
      <x:c r="W49" s="10" t="str">
        <x:v>BR-SPCARANDIRU_MAPEAMENTOS-REMEMORA-CARANDIRU.xlsx:Geral:52</x:v>
      </x:c>
      <x:c r="X49" s="11" t="n">
        <x:f>COLUMNS(A49:S49)-COUNTBLANK(A49:S49)</x:f>
        <x:v>18</x:v>
      </x:c>
    </x:row>
    <x:row r="50" ht="24" hidden="0" customHeight="1">
      <x:c r="A50" s="10" t="str">
        <x:v>Música</x:v>
      </x:c>
      <x:c r="B50" s="10" t="str"/>
      <x:c r="C50" s="10" t="str">
        <x:v>Manifestação artístico-cultural</x:v>
      </x:c>
      <x:c r="D50" s="10" t="str">
        <x:v>Público Mediado</x:v>
      </x:c>
      <x:c r="E50" s="10" t="str">
        <x:v>Midiático</x:v>
      </x:c>
      <x:c r="F50" s="10" t="str">
        <x:v>2006</x:v>
      </x:c>
      <x:c r="G50" s="11" t="n">
        <x:v>2006</x:v>
      </x:c>
      <x:c r="H50" s="10" t="str">
        <x:v>São Paulo</x:v>
      </x:c>
      <x:c r="I50" s="10" t="str">
        <x:v>Facção Central</x:v>
      </x:c>
      <x:c r="J50" s="10" t="str">
        <x:v>Facção Central - Homenagem Póstuma - O Espetáculo do Circo dos Horrores - Faixa 10</x:v>
      </x:c>
      <x:c r="K50" s="10" t="str">
        <x:v>Sonoro</x:v>
      </x:c>
      <x:c r="L50" s="10" t="str">
        <x:v>Áudio (digital)</x:v>
      </x:c>
      <x:c r="M50" s="10" t="str">
        <x:v>YouTube (Facção Central)</x:v>
      </x:c>
      <x:c r="N50" s="10" t="str">
        <x:v>Português, Brasil</x:v>
      </x:c>
      <x:c r="O50" s="10" t="str">
        <x:v>Hiperlink</x:v>
      </x:c>
      <x:c r="P50" s="10" t="str">
        <x:v>2025-07-18 00:00:00</x:v>
      </x:c>
      <x:c r="Q50" s="10" t="str">
        <x:v>Aberto</x:v>
      </x:c>
      <x:c r="R50" s="10" t="str">
        <x:v>Aqui</x:v>
      </x:c>
      <x:c r="S50" s="10" t="str">
        <x:v>FACÇÃO CENTRAL. Homenagem Póstuma – O Espetáculo do Circo dos Horrores – Faixa 10. YouTube, [2006]. Vídeo: 5 min 17 s. Disponível em: https://www.youtube.com/watch?v=Na3khdNxYUs. Acesso em: 18 jul. 2025.</x:v>
      </x:c>
      <x:c r="T50" s="10" t="str">
        <x:v>BR-SPCARANDIRU_MAPEAMENTOS-REMEMORA-CARANDIRU.xlsx</x:v>
      </x:c>
      <x:c r="U50" s="10" t="str">
        <x:v>Geral</x:v>
      </x:c>
      <x:c r="V50" s="11" t="n">
        <x:v>53</x:v>
      </x:c>
      <x:c r="W50" s="10" t="str">
        <x:v>BR-SPCARANDIRU_MAPEAMENTOS-REMEMORA-CARANDIRU.xlsx:Geral:53</x:v>
      </x:c>
      <x:c r="X50" s="11" t="n">
        <x:f>COLUMNS(A50:S50)-COUNTBLANK(A50:S50)</x:f>
        <x:v>18</x:v>
      </x:c>
    </x:row>
    <x:row r="51" ht="24" hidden="0" customHeight="1">
      <x:c r="A51" s="10" t="str">
        <x:v>Ato</x:v>
      </x:c>
      <x:c r="B51" s="10" t="str"/>
      <x:c r="C51" s="10" t="str"/>
      <x:c r="D51" s="10" t="str">
        <x:v>Público Imediato</x:v>
      </x:c>
      <x:c r="E51" s="10" t="str">
        <x:v>Presencial/Físico</x:v>
      </x:c>
      <x:c r="F51" s="10" t="str">
        <x:v>2006-02-20 00:00:00</x:v>
      </x:c>
      <x:c r="G51" s="11" t="n">
        <x:v>2006</x:v>
      </x:c>
      <x:c r="H51" s="10" t="str">
        <x:v>Catedral da Sé</x:v>
      </x:c>
      <x:c r="I51" s="10" t="str">
        <x:v>Comissão de Direitos Humanos da Câmara de Vereadores da capital.</x:v>
      </x:c>
      <x:c r="J51" s="10" t="str">
        <x:v>São Paulo protesta hoje contra impunidade no massacre do Carandiru</x:v>
      </x:c>
      <x:c r="K51" s="10" t="str">
        <x:v>Textual</x:v>
      </x:c>
      <x:c r="L51" s="10" t="str">
        <x:v>Texto (digital)</x:v>
      </x:c>
      <x:c r="M51" s="10" t="str">
        <x:v>SINTRAJUSC</x:v>
      </x:c>
      <x:c r="N51" s="10" t="str">
        <x:v>Português, Brasil</x:v>
      </x:c>
      <x:c r="O51" s="10" t="str">
        <x:v>Hiperlink</x:v>
      </x:c>
      <x:c r="P51" s="10" t="str">
        <x:v>2025-07-17 00:00:00</x:v>
      </x:c>
      <x:c r="Q51" s="10" t="str">
        <x:v>Aberto</x:v>
      </x:c>
      <x:c r="R51" s="10" t="str">
        <x:v>Aqui</x:v>
      </x:c>
      <x:c r="S51" s="10" t="str">
        <x:v>SINTRAJUSC. São Paulo protesta hoje contra impunidade no massacre do Carandiru. SINTRAJUSC, 20 fev. 2006. Disponível em: https://www.sintrajusc.org.br/sao-paulo-protesta-hoje-contra-impunidade-no-massacre-do-carandiru/. Acesso em: 17 jul. 2025.</x:v>
      </x:c>
      <x:c r="T51" s="10" t="str">
        <x:v>BR-SPCARANDIRU_MAPEAMENTOS-REMEMORA-CARANDIRU.xlsx</x:v>
      </x:c>
      <x:c r="U51" s="10" t="str">
        <x:v>Geral</x:v>
      </x:c>
      <x:c r="V51" s="11" t="n">
        <x:v>54</x:v>
      </x:c>
      <x:c r="W51" s="10" t="str">
        <x:v>BR-SPCARANDIRU_MAPEAMENTOS-REMEMORA-CARANDIRU.xlsx:Geral:54</x:v>
      </x:c>
      <x:c r="X51" s="11" t="n">
        <x:f>COLUMNS(A51:S51)-COUNTBLANK(A51:S51)</x:f>
        <x:v>17</x:v>
      </x:c>
    </x:row>
    <x:row r="52" ht="24" hidden="0" customHeight="1">
      <x:c r="A52" s="10" t="str">
        <x:v>Fotografia</x:v>
      </x:c>
      <x:c r="B52" s="10" t="str"/>
      <x:c r="C52" s="10" t="str">
        <x:v>Manifestação artístico-cultural</x:v>
      </x:c>
      <x:c r="D52" s="10" t="str">
        <x:v>Público Mediado</x:v>
      </x:c>
      <x:c r="E52" s="10" t="str">
        <x:v>Presencial/Físico</x:v>
      </x:c>
      <x:c r="F52" s="10" t="str">
        <x:v>2006</x:v>
      </x:c>
      <x:c r="G52" s="11" t="n">
        <x:v>2006</x:v>
      </x:c>
      <x:c r="H52" s="10" t="str">
        <x:v>São Paulo</x:v>
      </x:c>
      <x:c r="I52" s="10" t="str">
        <x:v>Doug Casarin</x:v>
      </x:c>
      <x:c r="J52" s="10" t="str">
        <x:v>Carandiru 111</x:v>
      </x:c>
      <x:c r="K52" s="10" t="str">
        <x:v>Iconográfico</x:v>
      </x:c>
      <x:c r="L52" s="10" t="str">
        <x:v>Imagem (digital)</x:v>
      </x:c>
      <x:c r="M52" s="10" t="str">
        <x:v>Biblioteca Digital de Teses e Dissertações da USP</x:v>
      </x:c>
      <x:c r="N52" s="10" t="str">
        <x:v>Português, Brasil</x:v>
      </x:c>
      <x:c r="O52" s="10" t="str">
        <x:v>"Massacre do Carandiru" no Dedalus USP</x:v>
      </x:c>
      <x:c r="P52" s="10" t="str">
        <x:v>2025-10-15 00:00:00</x:v>
      </x:c>
      <x:c r="Q52" s="10" t="str">
        <x:v>Aberto</x:v>
      </x:c>
      <x:c r="R52" s="10" t="str">
        <x:v>Aqui</x:v>
      </x:c>
      <x:c r="S52" s="10" t="str">
        <x:v>RODRIGUES, Adriana Mariana de Araujo. Carandiru: formas de lembrar, maneiras de esquecer. Informação, memória e esquecimento. 2021. Dissertação (Mestrado em Cultura e Informação) - Escola de Comunicações e Artes, Universidade de São Paulo, São Paulo, 2021. Disponível em: https://www.teses.usp.br/teses/disponiveis/27/27151/tde-24082021-234649/pt-br.php. Acesso em: 2025-10-15.</x:v>
      </x:c>
      <x:c r="T52" s="10" t="str">
        <x:v>BR-SPCARANDIRU_MAPEAMENTOS-REMEMORA-CARANDIRU.xlsx</x:v>
      </x:c>
      <x:c r="U52" s="10" t="str">
        <x:v>Geral</x:v>
      </x:c>
      <x:c r="V52" s="11" t="n">
        <x:v>55</x:v>
      </x:c>
      <x:c r="W52" s="10" t="str">
        <x:v>BR-SPCARANDIRU_MAPEAMENTOS-REMEMORA-CARANDIRU.xlsx:Geral:55</x:v>
      </x:c>
      <x:c r="X52" s="11" t="n">
        <x:f>COLUMNS(A52:S52)-COUNTBLANK(A52:S52)</x:f>
        <x:v>18</x:v>
      </x:c>
    </x:row>
    <x:row r="53" ht="24" hidden="0" customHeight="1">
      <x:c r="A53" s="10" t="str">
        <x:v>Livro</x:v>
      </x:c>
      <x:c r="B53" s="10" t="str"/>
      <x:c r="C53" s="10" t="str">
        <x:v>Manifestação artístico-cultural</x:v>
      </x:c>
      <x:c r="D53" s="10" t="str">
        <x:v>Público Mediado</x:v>
      </x:c>
      <x:c r="E53" s="10" t="str">
        <x:v>Midiático</x:v>
      </x:c>
      <x:c r="F53" s="10" t="str">
        <x:v>2006</x:v>
      </x:c>
      <x:c r="G53" s="11" t="n">
        <x:v>2006</x:v>
      </x:c>
      <x:c r="H53" s="10" t="str">
        <x:v>São Paulo</x:v>
      </x:c>
      <x:c r="I53" s="10" t="str">
        <x:v>Doug Casarin</x:v>
      </x:c>
      <x:c r="J53" s="10" t="str">
        <x:v>Carandiru 111</x:v>
      </x:c>
      <x:c r="K53" s="10" t="str">
        <x:v>Iconográfico</x:v>
      </x:c>
      <x:c r="L53" s="10" t="str">
        <x:v>Impresso</x:v>
      </x:c>
      <x:c r="M53" s="10" t="str">
        <x:v>Biblioteca Digital de Teses e Dissertações da USP</x:v>
      </x:c>
      <x:c r="N53" s="10" t="str">
        <x:v>Português, Brasil</x:v>
      </x:c>
      <x:c r="O53" s="10" t="str">
        <x:v>"Massacre do Carandiru" no Dedalus USP</x:v>
      </x:c>
      <x:c r="P53" s="10" t="str">
        <x:v>2025-10-15 00:00:00</x:v>
      </x:c>
      <x:c r="Q53" s="10" t="str">
        <x:v>Aberto</x:v>
      </x:c>
      <x:c r="R53" s="10" t="str">
        <x:v>Aqui</x:v>
      </x:c>
      <x:c r="S53" s="10" t="str">
        <x:v>RODRIGUES, Adriana Mariana de Araujo. Carandiru: formas de lembrar, maneiras de esquecer. Informação, memória e esquecimento. 2021. Dissertação (Mestrado em Cultura e Informação) - Escola de Comunicações e Artes, Universidade de São Paulo, São Paulo, 2021. Disponível em: https://www.teses.usp.br/teses/disponiveis/27/27151/tde-24082021-234649/pt-br.php. Acesso em: 2025-10-15.</x:v>
      </x:c>
      <x:c r="T53" s="10" t="str">
        <x:v>BR-SPCARANDIRU_MAPEAMENTOS-REMEMORA-CARANDIRU.xlsx</x:v>
      </x:c>
      <x:c r="U53" s="10" t="str">
        <x:v>Geral</x:v>
      </x:c>
      <x:c r="V53" s="11" t="n">
        <x:v>56</x:v>
      </x:c>
      <x:c r="W53" s="10" t="str">
        <x:v>BR-SPCARANDIRU_MAPEAMENTOS-REMEMORA-CARANDIRU.xlsx:Geral:56</x:v>
      </x:c>
      <x:c r="X53" s="11" t="n">
        <x:f>COLUMNS(A53:S53)-COUNTBLANK(A53:S53)</x:f>
        <x:v>18</x:v>
      </x:c>
    </x:row>
    <x:row r="54" ht="24" hidden="0" customHeight="1">
      <x:c r="A54" s="10" t="str">
        <x:v>Música</x:v>
      </x:c>
      <x:c r="B54" s="10" t="str"/>
      <x:c r="C54" s="10" t="str">
        <x:v>Manifestação artístico-cultural</x:v>
      </x:c>
      <x:c r="D54" s="10" t="str">
        <x:v>Público Mediado</x:v>
      </x:c>
      <x:c r="E54" s="10" t="str">
        <x:v>Midiático</x:v>
      </x:c>
      <x:c r="F54" s="10" t="str">
        <x:v>2007</x:v>
      </x:c>
      <x:c r="G54" s="11" t="n">
        <x:v>2007</x:v>
      </x:c>
      <x:c r="H54" s="10" t="str">
        <x:v>São Paulo</x:v>
      </x:c>
      <x:c r="I54" s="10" t="str">
        <x:v>Heróis do G.u.e.t.o., Mc Don King e R!CCO</x:v>
      </x:c>
      <x:c r="J54" s="10" t="str">
        <x:v>Estranho Sorriso</x:v>
      </x:c>
      <x:c r="K54" s="10" t="str">
        <x:v>Sonoro</x:v>
      </x:c>
      <x:c r="L54" s="10" t="str">
        <x:v>Áudio (digital)</x:v>
      </x:c>
      <x:c r="M54" s="10" t="str">
        <x:v>Spotify (Herois Do G)</x:v>
      </x:c>
      <x:c r="N54" s="10" t="str">
        <x:v>Português, Brasil</x:v>
      </x:c>
      <x:c r="O54" s="10" t="str">
        <x:v>Hiperlink</x:v>
      </x:c>
      <x:c r="P54" s="10" t="str">
        <x:v>2025-07-18 00:00:00</x:v>
      </x:c>
      <x:c r="Q54" s="10" t="str">
        <x:v>Aberto</x:v>
      </x:c>
      <x:c r="R54" s="10" t="str">
        <x:v>Aqui</x:v>
      </x:c>
      <x:c r="S54" s="10" t="str">
        <x:v>HEROIS DO G.U.E.T.O, MC DON KING &amp; R!CCO. Estranho Sorriso. Playlist criada por Elias Santos. Spotify. Disponível em: https://open.spotify.com/intl-pt/track/3yJKAg8QXpAyQ1TC2hca1i. Acesso em: 18 jul. 2025.</x:v>
      </x:c>
      <x:c r="T54" s="10" t="str">
        <x:v>BR-SPCARANDIRU_MAPEAMENTOS-REMEMORA-CARANDIRU.xlsx</x:v>
      </x:c>
      <x:c r="U54" s="10" t="str">
        <x:v>Geral</x:v>
      </x:c>
      <x:c r="V54" s="11" t="n">
        <x:v>57</x:v>
      </x:c>
      <x:c r="W54" s="10" t="str">
        <x:v>BR-SPCARANDIRU_MAPEAMENTOS-REMEMORA-CARANDIRU.xlsx:Geral:57</x:v>
      </x:c>
      <x:c r="X54" s="11" t="n">
        <x:f>COLUMNS(A54:S54)-COUNTBLANK(A54:S54)</x:f>
        <x:v>18</x:v>
      </x:c>
    </x:row>
    <x:row r="55" ht="24" hidden="0" customHeight="1">
      <x:c r="A55" s="10" t="str">
        <x:v>Livro</x:v>
      </x:c>
      <x:c r="B55" s="10" t="str"/>
      <x:c r="C55" s="10" t="str">
        <x:v>Manifestação artístico-cultural</x:v>
      </x:c>
      <x:c r="D55" s="10" t="str">
        <x:v>Público Mediado</x:v>
      </x:c>
      <x:c r="E55" s="10" t="str">
        <x:v>Midiático</x:v>
      </x:c>
      <x:c r="F55" s="10" t="str">
        <x:v>2007</x:v>
      </x:c>
      <x:c r="G55" s="11" t="n">
        <x:v>2007</x:v>
      </x:c>
      <x:c r="H55" s="10" t="str">
        <x:v>Sem local</x:v>
      </x:c>
      <x:c r="I55" s="10" t="str">
        <x:v>Hélvio Borelli e Karina Florido Rodrigues</x:v>
      </x:c>
      <x:c r="J55" s="10" t="str">
        <x:v>Vozes do Carandiru</x:v>
      </x:c>
      <x:c r="K55" s="10" t="str">
        <x:v>Bibliográfico</x:v>
      </x:c>
      <x:c r="L55" s="10" t="str">
        <x:v>Impresso</x:v>
      </x:c>
      <x:c r="M55" s="10" t="str">
        <x:v>Biblioteca Digital de Teses e Dissertações da USP</x:v>
      </x:c>
      <x:c r="N55" s="10" t="str">
        <x:v>Português, Brasil</x:v>
      </x:c>
      <x:c r="O55" s="10" t="str">
        <x:v>"Massacre do Carandiru" no Dedalus USP</x:v>
      </x:c>
      <x:c r="P55" s="10" t="str">
        <x:v>2025-10-15 00:00:00</x:v>
      </x:c>
      <x:c r="Q55" s="10" t="str">
        <x:v>Aberto</x:v>
      </x:c>
      <x:c r="R55" s="10" t="str">
        <x:v>Aqui</x:v>
      </x:c>
      <x:c r="S55" s="10" t="str">
        <x:v>RODRIGUES, Adriana Mariana de Araujo. Carandiru: formas de lembrar, maneiras de esquecer. Informação, memória e esquecimento. 2021. Dissertação (Mestrado em Cultura e Informação) - Escola de Comunicações e Artes, Universidade de São Paulo, São Paulo, 2021. Disponível em: https://www.teses.usp.br/teses/disponiveis/27/27151/tde-24082021-234649/pt-br.php. Acesso em: 2025-10-15.</x:v>
      </x:c>
      <x:c r="T55" s="10" t="str">
        <x:v>BR-SPCARANDIRU_MAPEAMENTOS-REMEMORA-CARANDIRU.xlsx</x:v>
      </x:c>
      <x:c r="U55" s="10" t="str">
        <x:v>Geral</x:v>
      </x:c>
      <x:c r="V55" s="11" t="n">
        <x:v>58</x:v>
      </x:c>
      <x:c r="W55" s="10" t="str">
        <x:v>BR-SPCARANDIRU_MAPEAMENTOS-REMEMORA-CARANDIRU.xlsx:Geral:58</x:v>
      </x:c>
      <x:c r="X55" s="11" t="n">
        <x:f>COLUMNS(A55:S55)-COUNTBLANK(A55:S55)</x:f>
        <x:v>18</x:v>
      </x:c>
    </x:row>
    <x:row r="56" ht="24" hidden="0" customHeight="1">
      <x:c r="A56" s="10" t="str">
        <x:v>Documentário</x:v>
      </x:c>
      <x:c r="B56" s="10" t="str"/>
      <x:c r="C56" s="10" t="str">
        <x:v>Manifestação artístico-cultural</x:v>
      </x:c>
      <x:c r="D56" s="10" t="str">
        <x:v>Público Mediado</x:v>
      </x:c>
      <x:c r="E56" s="10" t="str">
        <x:v>Midiático</x:v>
      </x:c>
      <x:c r="F56" s="10" t="str">
        <x:v>2009-07-05 00:00:00</x:v>
      </x:c>
      <x:c r="G56" s="11" t="n">
        <x:v>2009</x:v>
      </x:c>
      <x:c r="H56" s="10" t="str">
        <x:v>São Paulo</x:v>
      </x:c>
      <x:c r="I56" s="10" t="str">
        <x:v>Autoria desconhecida</x:v>
      </x:c>
      <x:c r="J56" s="10" t="str">
        <x:v>Carandiru: Dois lados de um só lugar (Parte 1): Introdução</x:v>
      </x:c>
      <x:c r="K56" s="10" t="str">
        <x:v>Audiovisual</x:v>
      </x:c>
      <x:c r="L56" s="10" t="str">
        <x:v>Vídeo (digital)</x:v>
      </x:c>
      <x:c r="M56" s="10" t="str">
        <x:v>YouTube (Henrique Vasco)</x:v>
      </x:c>
      <x:c r="N56" s="10" t="str">
        <x:v>Português, Brasil</x:v>
      </x:c>
      <x:c r="O56" s="10" t="str">
        <x:v>Site Memória Massacre Carandiru</x:v>
      </x:c>
      <x:c r="P56" s="10" t="str">
        <x:v>2025-10-10 00:00:00</x:v>
      </x:c>
      <x:c r="Q56" s="10" t="str">
        <x:v>Aberto</x:v>
      </x:c>
      <x:c r="R56" s="10" t="str">
        <x:v>Aqui</x:v>
      </x:c>
      <x:c r="S56" s="10" t="str">
        <x:v>VASCO, Henrique. Carandiru: Dois lados de um só lugar (Parte 1): Introdução. [Documentário]. YouTube, 5 jul. 2009. Disponível em: https://www.youtube.com/watch?v=Hz411P7w_mo&amp;t=1s. Acesso em: 10 out. 2025.</x:v>
      </x:c>
      <x:c r="T56" s="10" t="str">
        <x:v>BR-SPCARANDIRU_MAPEAMENTOS-REMEMORA-CARANDIRU.xlsx</x:v>
      </x:c>
      <x:c r="U56" s="10" t="str">
        <x:v>Geral</x:v>
      </x:c>
      <x:c r="V56" s="11" t="n">
        <x:v>60</x:v>
      </x:c>
      <x:c r="W56" s="10" t="str">
        <x:v>BR-SPCARANDIRU_MAPEAMENTOS-REMEMORA-CARANDIRU.xlsx:Geral:60</x:v>
      </x:c>
      <x:c r="X56" s="11" t="n">
        <x:f>COLUMNS(A56:S56)-COUNTBLANK(A56:S56)</x:f>
        <x:v>18</x:v>
      </x:c>
    </x:row>
    <x:row r="57" ht="24" hidden="0" customHeight="1">
      <x:c r="A57" s="10" t="str">
        <x:v>Documentário</x:v>
      </x:c>
      <x:c r="B57" s="10" t="str"/>
      <x:c r="C57" s="10" t="str">
        <x:v>Manifestação artístico-cultural</x:v>
      </x:c>
      <x:c r="D57" s="10" t="str">
        <x:v>Público Mediado</x:v>
      </x:c>
      <x:c r="E57" s="10" t="str">
        <x:v>Midiático</x:v>
      </x:c>
      <x:c r="F57" s="10" t="str">
        <x:v>2009-07-05 00:00:00</x:v>
      </x:c>
      <x:c r="G57" s="11" t="n">
        <x:v>2009</x:v>
      </x:c>
      <x:c r="H57" s="10" t="str">
        <x:v>São Paulo</x:v>
      </x:c>
      <x:c r="I57" s="10" t="str">
        <x:v>Autoria desconhecida</x:v>
      </x:c>
      <x:c r="J57" s="10" t="str">
        <x:v>Carandiru: Dois lados de um só lugar (Parte 2): A rotina no presídio</x:v>
      </x:c>
      <x:c r="K57" s="10" t="str">
        <x:v>Audiovisual</x:v>
      </x:c>
      <x:c r="L57" s="10" t="str">
        <x:v>Vídeo (digital)</x:v>
      </x:c>
      <x:c r="M57" s="10" t="str">
        <x:v>YouTube (Henrique Vasco)</x:v>
      </x:c>
      <x:c r="N57" s="10" t="str">
        <x:v>Português, Brasil</x:v>
      </x:c>
      <x:c r="O57" s="10" t="str">
        <x:v>Site Memória Massacre Carandiru</x:v>
      </x:c>
      <x:c r="P57" s="10" t="str">
        <x:v>2025-10-10 00:00:00</x:v>
      </x:c>
      <x:c r="Q57" s="10" t="str">
        <x:v>Aberto</x:v>
      </x:c>
      <x:c r="R57" s="10" t="str">
        <x:v>Aqui</x:v>
      </x:c>
      <x:c r="S57" s="10" t="str">
        <x:v>VASCO, Henrique. Carandiru: Dois lados de um só lugar (Parte 2): A rotina no presídio. [Documentário]. YouTube, 5 jul. 2009. Disponível em: https://www.youtube.com/watch?v=KYGktugXJhg. Acesso em: 10 out. 2025</x:v>
      </x:c>
      <x:c r="T57" s="10" t="str">
        <x:v>BR-SPCARANDIRU_MAPEAMENTOS-REMEMORA-CARANDIRU.xlsx</x:v>
      </x:c>
      <x:c r="U57" s="10" t="str">
        <x:v>Geral</x:v>
      </x:c>
      <x:c r="V57" s="11" t="n">
        <x:v>61</x:v>
      </x:c>
      <x:c r="W57" s="10" t="str">
        <x:v>BR-SPCARANDIRU_MAPEAMENTOS-REMEMORA-CARANDIRU.xlsx:Geral:61</x:v>
      </x:c>
      <x:c r="X57" s="11" t="n">
        <x:f>COLUMNS(A57:S57)-COUNTBLANK(A57:S57)</x:f>
        <x:v>18</x:v>
      </x:c>
    </x:row>
    <x:row r="58" ht="24" hidden="0" customHeight="1">
      <x:c r="A58" s="10" t="str">
        <x:v>Documentário</x:v>
      </x:c>
      <x:c r="B58" s="10" t="str"/>
      <x:c r="C58" s="10" t="str">
        <x:v>Manifestação artístico-cultural</x:v>
      </x:c>
      <x:c r="D58" s="10" t="str">
        <x:v>Público Mediado</x:v>
      </x:c>
      <x:c r="E58" s="10" t="str">
        <x:v>Midiático</x:v>
      </x:c>
      <x:c r="F58" s="10" t="str">
        <x:v>2009-07-05 00:00:00</x:v>
      </x:c>
      <x:c r="G58" s="11" t="n">
        <x:v>2009</x:v>
      </x:c>
      <x:c r="H58" s="10" t="str">
        <x:v>São Paulo</x:v>
      </x:c>
      <x:c r="I58" s="10" t="str">
        <x:v>Autoria desconhecida</x:v>
      </x:c>
      <x:c r="J58" s="10" t="str">
        <x:v>Carandiru: Dois lados de um só lugar (Parte 3:) O "massacre" no Pavilhão 9</x:v>
      </x:c>
      <x:c r="K58" s="10" t="str">
        <x:v>Audiovisual</x:v>
      </x:c>
      <x:c r="L58" s="10" t="str">
        <x:v>Vídeo (digital)</x:v>
      </x:c>
      <x:c r="M58" s="10" t="str">
        <x:v>YouTube (Henrique Vasco)</x:v>
      </x:c>
      <x:c r="N58" s="10" t="str">
        <x:v>Português, Brasil</x:v>
      </x:c>
      <x:c r="O58" s="10" t="str">
        <x:v>Site Memória Massacre Carandiru</x:v>
      </x:c>
      <x:c r="P58" s="10" t="str">
        <x:v>2025-10-10 00:00:00</x:v>
      </x:c>
      <x:c r="Q58" s="10" t="str">
        <x:v>Aberto</x:v>
      </x:c>
      <x:c r="R58" s="10" t="str">
        <x:v>Aqui</x:v>
      </x:c>
      <x:c r="S58" s="10" t="str">
        <x:v>VASCO, Henrique. Carandiru: Dois lados de um só lugar (Parte 3:) O "massacre" no Pavilhão 9. [Documentário]. YouTube, 5 jul. 2009. Disponível em: https://www.youtube.com/watch?v=FPDmERJO1D4. Acesso em: 10 out. 2025.</x:v>
      </x:c>
      <x:c r="T58" s="10" t="str">
        <x:v>BR-SPCARANDIRU_MAPEAMENTOS-REMEMORA-CARANDIRU.xlsx</x:v>
      </x:c>
      <x:c r="U58" s="10" t="str">
        <x:v>Geral</x:v>
      </x:c>
      <x:c r="V58" s="11" t="n">
        <x:v>62</x:v>
      </x:c>
      <x:c r="W58" s="10" t="str">
        <x:v>BR-SPCARANDIRU_MAPEAMENTOS-REMEMORA-CARANDIRU.xlsx:Geral:62</x:v>
      </x:c>
      <x:c r="X58" s="11" t="n">
        <x:f>COLUMNS(A58:S58)-COUNTBLANK(A58:S58)</x:f>
        <x:v>18</x:v>
      </x:c>
    </x:row>
    <x:row r="59" ht="24" hidden="0" customHeight="1">
      <x:c r="A59" s="10" t="str">
        <x:v>Documentário</x:v>
      </x:c>
      <x:c r="B59" s="10" t="str"/>
      <x:c r="C59" s="10" t="str">
        <x:v>Manifestação artístico-cultural</x:v>
      </x:c>
      <x:c r="D59" s="10" t="str">
        <x:v>Público Mediado</x:v>
      </x:c>
      <x:c r="E59" s="10" t="str">
        <x:v>Midiático</x:v>
      </x:c>
      <x:c r="F59" s="10" t="str">
        <x:v>2009-07-05 00:00:00</x:v>
      </x:c>
      <x:c r="G59" s="11" t="n">
        <x:v>2009</x:v>
      </x:c>
      <x:c r="H59" s="10" t="str">
        <x:v>São Paulo</x:v>
      </x:c>
      <x:c r="I59" s="10" t="str">
        <x:v>Autoria desconhecida</x:v>
      </x:c>
      <x:c r="J59" s="10" t="str">
        <x:v>Carandiru: Dois lados de um só lugar (Parte 4): Histórias Parte 1</x:v>
      </x:c>
      <x:c r="K59" s="10" t="str">
        <x:v>Audiovisual</x:v>
      </x:c>
      <x:c r="L59" s="10" t="str">
        <x:v>Vídeo (digital)</x:v>
      </x:c>
      <x:c r="M59" s="10" t="str">
        <x:v>YouTube (Henrique Vasco)</x:v>
      </x:c>
      <x:c r="N59" s="10" t="str">
        <x:v>Português, Brasil</x:v>
      </x:c>
      <x:c r="O59" s="10" t="str">
        <x:v>Site Memória Massacre Carandiru</x:v>
      </x:c>
      <x:c r="P59" s="10" t="str">
        <x:v>2025-10-10 00:00:00</x:v>
      </x:c>
      <x:c r="Q59" s="10" t="str">
        <x:v>Aberto</x:v>
      </x:c>
      <x:c r="R59" s="10" t="str">
        <x:v>Aqui</x:v>
      </x:c>
      <x:c r="S59" s="10" t="str">
        <x:v>VASCO, Henrique. Carandiru: Dois lados de um só lugar (Parte 4): Histórias Parte 1. [Documentário]. YouTube, 5 jul. 2009. Disponível em: https://www.youtube.com/watch?v=W1YWe6jdjl4. Acesso em: 10 out. 2025.</x:v>
      </x:c>
      <x:c r="T59" s="10" t="str">
        <x:v>BR-SPCARANDIRU_MAPEAMENTOS-REMEMORA-CARANDIRU.xlsx</x:v>
      </x:c>
      <x:c r="U59" s="10" t="str">
        <x:v>Geral</x:v>
      </x:c>
      <x:c r="V59" s="11" t="n">
        <x:v>63</x:v>
      </x:c>
      <x:c r="W59" s="10" t="str">
        <x:v>BR-SPCARANDIRU_MAPEAMENTOS-REMEMORA-CARANDIRU.xlsx:Geral:63</x:v>
      </x:c>
      <x:c r="X59" s="11" t="n">
        <x:f>COLUMNS(A59:S59)-COUNTBLANK(A59:S59)</x:f>
        <x:v>18</x:v>
      </x:c>
    </x:row>
    <x:row r="60" ht="24" hidden="0" customHeight="1">
      <x:c r="A60" s="10" t="str">
        <x:v>Documentário</x:v>
      </x:c>
      <x:c r="B60" s="10" t="str"/>
      <x:c r="C60" s="10" t="str">
        <x:v>Manifestação artístico-cultural</x:v>
      </x:c>
      <x:c r="D60" s="10" t="str">
        <x:v>Público Mediado</x:v>
      </x:c>
      <x:c r="E60" s="10" t="str">
        <x:v>Midiático</x:v>
      </x:c>
      <x:c r="F60" s="10" t="str">
        <x:v>2009-07-05 00:00:00</x:v>
      </x:c>
      <x:c r="G60" s="11" t="n">
        <x:v>2009</x:v>
      </x:c>
      <x:c r="H60" s="10" t="str">
        <x:v>São Paulo</x:v>
      </x:c>
      <x:c r="I60" s="10" t="str">
        <x:v>Autoria desconhecida</x:v>
      </x:c>
      <x:c r="J60" s="10" t="str">
        <x:v>Carandiru: Dois lados de um só lugar (Parte 5): Histórias Parte 2</x:v>
      </x:c>
      <x:c r="K60" s="10" t="str">
        <x:v>Audiovisual</x:v>
      </x:c>
      <x:c r="L60" s="10" t="str">
        <x:v>Vídeo (digital)</x:v>
      </x:c>
      <x:c r="M60" s="10" t="str">
        <x:v>YouTube (Henrique Vasco)</x:v>
      </x:c>
      <x:c r="N60" s="10" t="str">
        <x:v>Português, Brasil</x:v>
      </x:c>
      <x:c r="O60" s="10" t="str">
        <x:v>Site Memória Massacre Carandiru</x:v>
      </x:c>
      <x:c r="P60" s="10" t="str">
        <x:v>2025-10-10 00:00:00</x:v>
      </x:c>
      <x:c r="Q60" s="10" t="str">
        <x:v>Aberto</x:v>
      </x:c>
      <x:c r="R60" s="10" t="str">
        <x:v>Aqui</x:v>
      </x:c>
      <x:c r="S60" s="10" t="str">
        <x:v>VASCO, Henrique. Carandiru: Dois lados de um só lugar (Parte 5): Histórias Parte 2. [Documentário]. YouTube, 5 jul. 2009. Disponível em: https://www.youtube.com/watch?v=eHjkdHXXjR8. Acesso em: 10 out. 2025.</x:v>
      </x:c>
      <x:c r="T60" s="10" t="str">
        <x:v>BR-SPCARANDIRU_MAPEAMENTOS-REMEMORA-CARANDIRU.xlsx</x:v>
      </x:c>
      <x:c r="U60" s="10" t="str">
        <x:v>Geral</x:v>
      </x:c>
      <x:c r="V60" s="11" t="n">
        <x:v>64</x:v>
      </x:c>
      <x:c r="W60" s="10" t="str">
        <x:v>BR-SPCARANDIRU_MAPEAMENTOS-REMEMORA-CARANDIRU.xlsx:Geral:64</x:v>
      </x:c>
      <x:c r="X60" s="11" t="n">
        <x:f>COLUMNS(A60:S60)-COUNTBLANK(A60:S60)</x:f>
        <x:v>18</x:v>
      </x:c>
    </x:row>
    <x:row r="61" ht="24" hidden="0" customHeight="1">
      <x:c r="A61" s="10" t="str">
        <x:v>Documentário</x:v>
      </x:c>
      <x:c r="B61" s="10" t="str"/>
      <x:c r="C61" s="10" t="str">
        <x:v>Manifestação artístico-cultural</x:v>
      </x:c>
      <x:c r="D61" s="10" t="str">
        <x:v>Público Mediado</x:v>
      </x:c>
      <x:c r="E61" s="10" t="str">
        <x:v>Midiático</x:v>
      </x:c>
      <x:c r="F61" s="10" t="str">
        <x:v>2009-07-05 00:00:00</x:v>
      </x:c>
      <x:c r="G61" s="11" t="n">
        <x:v>2009</x:v>
      </x:c>
      <x:c r="H61" s="10" t="str">
        <x:v>São Paulo</x:v>
      </x:c>
      <x:c r="I61" s="10" t="str">
        <x:v>Autoria desconhecida</x:v>
      </x:c>
      <x:c r="J61" s="10" t="str">
        <x:v>Carandiru: Dois lados de um só lugar (Parte Final): Lei própria</x:v>
      </x:c>
      <x:c r="K61" s="10" t="str">
        <x:v>Audiovisual</x:v>
      </x:c>
      <x:c r="L61" s="10" t="str">
        <x:v>Vídeo (digital)</x:v>
      </x:c>
      <x:c r="M61" s="10" t="str">
        <x:v>YouTube (Henrique Vasco)</x:v>
      </x:c>
      <x:c r="N61" s="10" t="str">
        <x:v>Português, Brasil</x:v>
      </x:c>
      <x:c r="O61" s="10" t="str">
        <x:v>Site Memória Massacre Carandiru</x:v>
      </x:c>
      <x:c r="P61" s="10" t="str">
        <x:v>2025-10-10 00:00:00</x:v>
      </x:c>
      <x:c r="Q61" s="10" t="str">
        <x:v>Aberto</x:v>
      </x:c>
      <x:c r="R61" s="10" t="str">
        <x:v>Aqui</x:v>
      </x:c>
      <x:c r="S61" s="10" t="str">
        <x:v>VASCO, Henrique. Carandiru: Dois lados de um só lugar (Parte Final): Lei própria. [Documentário]. YouTube, 5 jul. 2009. Disponível em: https://www.youtube.com/watch?v=CST4WPVUJz07. Acesso em: 10 out. 2025.</x:v>
      </x:c>
      <x:c r="T61" s="10" t="str">
        <x:v>BR-SPCARANDIRU_MAPEAMENTOS-REMEMORA-CARANDIRU.xlsx</x:v>
      </x:c>
      <x:c r="U61" s="10" t="str">
        <x:v>Geral</x:v>
      </x:c>
      <x:c r="V61" s="11" t="n">
        <x:v>65</x:v>
      </x:c>
      <x:c r="W61" s="10" t="str">
        <x:v>BR-SPCARANDIRU_MAPEAMENTOS-REMEMORA-CARANDIRU.xlsx:Geral:65</x:v>
      </x:c>
      <x:c r="X61" s="11" t="n">
        <x:f>COLUMNS(A61:S61)-COUNTBLANK(A61:S61)</x:f>
        <x:v>18</x:v>
      </x:c>
    </x:row>
    <x:row r="62" ht="24" hidden="0" customHeight="1">
      <x:c r="A62" s="10" t="str">
        <x:v>Documentário</x:v>
      </x:c>
      <x:c r="B62" s="10" t="str"/>
      <x:c r="C62" s="10" t="str">
        <x:v>Manifestação artístico-cultural</x:v>
      </x:c>
      <x:c r="D62" s="10" t="str">
        <x:v>Público Mediado</x:v>
      </x:c>
      <x:c r="E62" s="10" t="str">
        <x:v>Midiático</x:v>
      </x:c>
      <x:c r="F62" s="10" t="str">
        <x:v>2009-05-11 00:00:00</x:v>
      </x:c>
      <x:c r="G62" s="11" t="n">
        <x:v>2009</x:v>
      </x:c>
      <x:c r="H62" s="10" t="str">
        <x:v>São Paulo</x:v>
      </x:c>
      <x:c r="I62" s="10" t="str">
        <x:v>IX Turma da FGV Direito SP</x:v>
      </x:c>
      <x:c r="J62" s="10" t="str">
        <x:v>Relatos do Carandiru</x:v>
      </x:c>
      <x:c r="K62" s="10" t="str">
        <x:v>Audiovisual</x:v>
      </x:c>
      <x:c r="L62" s="10" t="str">
        <x:v>Vídeo (digital)</x:v>
      </x:c>
      <x:c r="M62" s="10" t="str">
        <x:v>FGV DIREITO SP</x:v>
      </x:c>
      <x:c r="N62" s="10" t="str">
        <x:v>Português, Brasil</x:v>
      </x:c>
      <x:c r="O62" s="10" t="str">
        <x:v>Site Memória Massacre Carandiru</x:v>
      </x:c>
      <x:c r="P62" s="10" t="str">
        <x:v>2025-10-10 00:00:00</x:v>
      </x:c>
      <x:c r="Q62" s="10" t="str">
        <x:v>Aberto</x:v>
      </x:c>
      <x:c r="R62" s="10" t="str">
        <x:v>Aqui</x:v>
      </x:c>
      <x:c r="S62" s="10" t="str">
        <x:v>DOUER, Zack. Relatos do Carandiru – Documentário com Entrevistas. Produção: IX Turma da FGV Direito SP. [Documentário]. YouTube, 11 maio 2015. Duração: 19 min 49 s. Disponível em: https://www.youtube.com/watch?v=oMYieRwBz-8. Acesso em: 10 out. 2025.</x:v>
      </x:c>
      <x:c r="T62" s="10" t="str">
        <x:v>BR-SPCARANDIRU_MAPEAMENTOS-REMEMORA-CARANDIRU.xlsx</x:v>
      </x:c>
      <x:c r="U62" s="10" t="str">
        <x:v>Geral</x:v>
      </x:c>
      <x:c r="V62" s="11" t="n">
        <x:v>66</x:v>
      </x:c>
      <x:c r="W62" s="10" t="str">
        <x:v>BR-SPCARANDIRU_MAPEAMENTOS-REMEMORA-CARANDIRU.xlsx:Geral:66</x:v>
      </x:c>
      <x:c r="X62" s="11" t="n">
        <x:f>COLUMNS(A62:S62)-COUNTBLANK(A62:S62)</x:f>
        <x:v>18</x:v>
      </x:c>
    </x:row>
    <x:row r="63" ht="15" hidden="0" customHeight="1">
      <x:c r="A63" s="10" t="str">
        <x:v>Entrevista</x:v>
      </x:c>
      <x:c r="B63" s="10" t="str"/>
      <x:c r="C63" s="10" t="str">
        <x:v>Produção midiática</x:v>
      </x:c>
      <x:c r="D63" s="10" t="str">
        <x:v>Público Mediado</x:v>
      </x:c>
      <x:c r="E63" s="10" t="str">
        <x:v>Midiático</x:v>
      </x:c>
      <x:c r="F63" s="10" t="str">
        <x:v>2009-11-30 00:00:00</x:v>
      </x:c>
      <x:c r="G63" s="11" t="n">
        <x:v>2009</x:v>
      </x:c>
      <x:c r="H63" s="10" t="str">
        <x:v>São Paulo</x:v>
      </x:c>
      <x:c r="I63" s="10" t="str">
        <x:v>Autoria desconhecida</x:v>
      </x:c>
      <x:c r="J63" s="10" t="str">
        <x:v>Massacre do Carandiru</x:v>
      </x:c>
      <x:c r="K63" s="10" t="str">
        <x:v>Audiovisual</x:v>
      </x:c>
      <x:c r="L63" s="10" t="str">
        <x:v>Vídeo (digital)</x:v>
      </x:c>
      <x:c r="M63" s="10" t="str">
        <x:v>YouTube (Maricarrera)</x:v>
      </x:c>
      <x:c r="N63" s="10" t="str">
        <x:v>Português, Brasil</x:v>
      </x:c>
      <x:c r="O63" s="10" t="str">
        <x:v>Site Memória Massacre Carandiru</x:v>
      </x:c>
      <x:c r="P63" s="10" t="str">
        <x:v>2025-10-10 00:00:00</x:v>
      </x:c>
      <x:c r="Q63" s="10" t="str">
        <x:v>Aberto</x:v>
      </x:c>
      <x:c r="R63" s="10" t="str">
        <x:v>Aqui</x:v>
      </x:c>
      <x:c r="S63" s="10" t="str">
        <x:v>MARICARRERA. Massacre do Carandiru. [Entrevista]. YouTube, 30 nov. 2009. Disponível em: https://www.youtube.com/watch?v=wylxwOy25Y8. Acesso em: 10 out. 2025</x:v>
      </x:c>
      <x:c r="T63" s="10" t="str">
        <x:v>BR-SPCARANDIRU_MAPEAMENTOS-REMEMORA-CARANDIRU.xlsx</x:v>
      </x:c>
      <x:c r="U63" s="10" t="str">
        <x:v>Geral</x:v>
      </x:c>
      <x:c r="V63" s="11" t="n">
        <x:v>67</x:v>
      </x:c>
      <x:c r="W63" s="10" t="str">
        <x:v>BR-SPCARANDIRU_MAPEAMENTOS-REMEMORA-CARANDIRU.xlsx:Geral:67</x:v>
      </x:c>
      <x:c r="X63" s="11" t="n">
        <x:f>COLUMNS(A63:S63)-COUNTBLANK(A63:S63)</x:f>
        <x:v>18</x:v>
      </x:c>
    </x:row>
    <x:row r="64" ht="60" hidden="0" customHeight="1">
      <x:c r="A64" s="10" t="str">
        <x:v>Mobilização</x:v>
      </x:c>
      <x:c r="B64" s="10" t="str"/>
      <x:c r="C64" s="10" t="str"/>
      <x:c r="D64" s="10" t="str">
        <x:v>Público Imediato</x:v>
      </x:c>
      <x:c r="E64" s="10" t="str">
        <x:v>Presencial/Físico</x:v>
      </x:c>
      <x:c r="F64" s="10" t="str">
        <x:v>2011-10-02 00:00:00</x:v>
      </x:c>
      <x:c r="G64" s="11" t="n">
        <x:v>2011</x:v>
      </x:c>
      <x:c r="H64" s="10" t="str">
        <x:v>Avenida Cruzeiro do Sul, 2630 - Carandiru (Entrada do Parque da Juventude)</x:v>
      </x:c>
      <x:c r="I64" s="10" t="str">
        <x:v>Convocada por diversas organizações como as Mães de Maio e representantes da Igreja Católica, essa mobilização deu origem a Rede 02 de Outubro que existiu de 2011 até 2016</x:v>
      </x:c>
      <x:c r="J64" s="10" t="str">
        <x:v>28 anos do massacre do Carandiru: álbum da luta por memória e justiça</x:v>
      </x:c>
      <x:c r="K64" s="10" t="str">
        <x:v>Hemerográfico</x:v>
      </x:c>
      <x:c r="L64" s="10" t="str">
        <x:v>Texto (digital), Vídeo (digital), Imagem (digital)</x:v>
      </x:c>
      <x:c r="M64" s="10" t="str">
        <x:v>Quilombo Invisível</x:v>
      </x:c>
      <x:c r="N64" s="10" t="str">
        <x:v>Português, Brasil</x:v>
      </x:c>
      <x:c r="O64" s="10" t="str">
        <x:v>"manifestação solidariedade ao Massacre do Carandiru" no Google</x:v>
      </x:c>
      <x:c r="P64" s="10" t="str">
        <x:v>2025-07-17 00:00:00</x:v>
      </x:c>
      <x:c r="Q64" s="10" t="str">
        <x:v>Aberto</x:v>
      </x:c>
      <x:c r="R64" s="10" t="str">
        <x:v>Aqui</x:v>
      </x:c>
      <x:c r="S64" s="10" t="str">
        <x:v>QUILOMBO INVISÍVEL. 28 anos do massacre do Carandiru: álbum da luta por memória e justiça. Quilombo Invisível, 1 out. 2020. Disponível em: https://quilomboinvisivel.com/2020/10/01/28-anos-do-massacre-carandiru-album-da-luta-por-memoria-e-justica/. Acesso em: 17 jul. 2025.</x:v>
      </x:c>
      <x:c r="T64" s="10" t="str">
        <x:v>BR-SPCARANDIRU_MAPEAMENTOS-REMEMORA-CARANDIRU.xlsx</x:v>
      </x:c>
      <x:c r="U64" s="10" t="str">
        <x:v>Geral</x:v>
      </x:c>
      <x:c r="V64" s="11" t="n">
        <x:v>69</x:v>
      </x:c>
      <x:c r="W64" s="10" t="str">
        <x:v>BR-SPCARANDIRU_MAPEAMENTOS-REMEMORA-CARANDIRU.xlsx:Geral:69</x:v>
      </x:c>
      <x:c r="X64" s="11" t="n">
        <x:f>COLUMNS(A64:S64)-COUNTBLANK(A64:S64)</x:f>
        <x:v>17</x:v>
      </x:c>
    </x:row>
    <x:row r="65" ht="60" hidden="0" customHeight="1">
      <x:c r="A65" s="10" t="str">
        <x:v>Recitação de poema</x:v>
      </x:c>
      <x:c r="B65" s="10" t="str"/>
      <x:c r="C65" s="10" t="str">
        <x:v>Manifestação artístico-cultural</x:v>
      </x:c>
      <x:c r="D65" s="10" t="str">
        <x:v>Público Imediato</x:v>
      </x:c>
      <x:c r="E65" s="10" t="str">
        <x:v>Presencial/Físico</x:v>
      </x:c>
      <x:c r="F65" s="10" t="str">
        <x:v>2011-10-02 00:00:00</x:v>
      </x:c>
      <x:c r="G65" s="11" t="n">
        <x:v>2011</x:v>
      </x:c>
      <x:c r="H65" s="10" t="str">
        <x:v>Avenida Cruzeiro do Sul, 2630 - Carandiru (Entrada do Parque da Juventude)</x:v>
      </x:c>
      <x:c r="I65" s="10" t="str">
        <x:v>Convocada por diversas organizações como as Mães de Maio e representantes da Igreja Católica, essa mobilização deu origem a Rede 02 de Outubro que existiu de 2011 até 2016</x:v>
      </x:c>
      <x:c r="J65" s="10" t="str">
        <x:v>Periferia</x:v>
      </x:c>
      <x:c r="K65" s="10" t="str">
        <x:v>Audiovisual</x:v>
      </x:c>
      <x:c r="L65" s="10" t="str">
        <x:v>Vídeo (digital)</x:v>
      </x:c>
      <x:c r="M65" s="10" t="str">
        <x:v>YouTube (Renan Andrade)</x:v>
      </x:c>
      <x:c r="N65" s="10" t="str">
        <x:v>Português, Brasil</x:v>
      </x:c>
      <x:c r="O65" s="10" t="str">
        <x:v>Hiperlink</x:v>
      </x:c>
      <x:c r="P65" s="10" t="str">
        <x:v>2025-07-17 00:00:00</x:v>
      </x:c>
      <x:c r="Q65" s="10" t="str">
        <x:v>Aberto</x:v>
      </x:c>
      <x:c r="R65" s="10" t="str">
        <x:v>Aqui</x:v>
      </x:c>
      <x:c r="S65" s="10" t="str">
        <x:v>ANDRADE, Renan. Periferia. YouTube, publicado em: 9 out. 2011. Disponível em: https://www.youtube.com/watch?v=gyyYug6PUGo. Acesso em: 18 jul. 2025.</x:v>
      </x:c>
      <x:c r="T65" s="10" t="str">
        <x:v>BR-SPCARANDIRU_MAPEAMENTOS-REMEMORA-CARANDIRU.xlsx</x:v>
      </x:c>
      <x:c r="U65" s="10" t="str">
        <x:v>Geral</x:v>
      </x:c>
      <x:c r="V65" s="11" t="n">
        <x:v>70</x:v>
      </x:c>
      <x:c r="W65" s="10" t="str">
        <x:v>BR-SPCARANDIRU_MAPEAMENTOS-REMEMORA-CARANDIRU.xlsx:Geral:70</x:v>
      </x:c>
      <x:c r="X65" s="11" t="n">
        <x:f>COLUMNS(A65:S65)-COUNTBLANK(A65:S65)</x:f>
        <x:v>18</x:v>
      </x:c>
    </x:row>
    <x:row r="66" ht="60" hidden="0" customHeight="1">
      <x:c r="A66" s="10" t="str">
        <x:v>Espetáculo de dança</x:v>
      </x:c>
      <x:c r="B66" s="10" t="str"/>
      <x:c r="C66" s="10" t="str">
        <x:v>Manifestação artístico-cultural</x:v>
      </x:c>
      <x:c r="D66" s="10" t="str">
        <x:v>Público Imediato</x:v>
      </x:c>
      <x:c r="E66" s="10" t="str">
        <x:v>Presencial/Físico</x:v>
      </x:c>
      <x:c r="F66" s="10" t="str">
        <x:v>2011-10-02 00:00:00</x:v>
      </x:c>
      <x:c r="G66" s="11" t="n">
        <x:v>2011</x:v>
      </x:c>
      <x:c r="H66" s="10" t="str">
        <x:v>Avenida Cruzeiro do Sul, 2630 - Carandiru (Entrada do Parque da Juventude)</x:v>
      </x:c>
      <x:c r="I66" s="10" t="str">
        <x:v>Convocada por diversas organizações como as Mães de Maio e representantes da Igreja Católica, essa mobilização deu origem a Rede 02 de Outubro que existiu de 2011 até 2017</x:v>
      </x:c>
      <x:c r="J66" s="10" t="str">
        <x:v>A opinião do internauta sobre o caso Carandiru</x:v>
      </x:c>
      <x:c r="K66" s="10" t="str">
        <x:v>Bibliográfico</x:v>
      </x:c>
      <x:c r="L66" s="10" t="str">
        <x:v>Texto (digital), Imagem (digital)</x:v>
      </x:c>
      <x:c r="M66" s="10" t="str">
        <x:v>FGV DIREITO SP</x:v>
      </x:c>
      <x:c r="N66" s="10" t="str">
        <x:v>Português, Brasil</x:v>
      </x:c>
      <x:c r="O66" s="10" t="str">
        <x:v>"manifestação solidariedade ao Massacre do Carandiru" no Google</x:v>
      </x:c>
      <x:c r="P66" s="10" t="str">
        <x:v>2025-07-18 00:00:00</x:v>
      </x:c>
      <x:c r="Q66" s="10" t="str">
        <x:v>Aberto</x:v>
      </x:c>
      <x:c r="R66" s="10" t="str">
        <x:v>Aqui</x:v>
      </x:c>
      <x:c r="S66" s="10" t="str">
        <x:v>RIBEIRO, Thaíssa Bernhardt. A opinião do internauta sobre o caso Carandiru: análise de dados colhidos no YouTube. In: MACHADO, Maíra Rocha; MACHADO, Marta Rodriguez de Assis Machado (coord.). Carandiru não é coisa do passado [recurso eletrônico]: um balanço sobre os processos, as instituições e as narrativas 23 anos após o massacre. São Paulo: FGV Direito SP, 2015. Disponível em: https://www.santoandre.sp.gov.br/PESQUISA/ebooks/419563.pdf. Acesso em: 20 jul. 2025.</x:v>
      </x:c>
      <x:c r="T66" s="10" t="str">
        <x:v>BR-SPCARANDIRU_MAPEAMENTOS-REMEMORA-CARANDIRU.xlsx</x:v>
      </x:c>
      <x:c r="U66" s="10" t="str">
        <x:v>Geral</x:v>
      </x:c>
      <x:c r="V66" s="11" t="n">
        <x:v>71</x:v>
      </x:c>
      <x:c r="W66" s="10" t="str">
        <x:v>BR-SPCARANDIRU_MAPEAMENTOS-REMEMORA-CARANDIRU.xlsx:Geral:71</x:v>
      </x:c>
      <x:c r="X66" s="11" t="n">
        <x:f>COLUMNS(A66:S66)-COUNTBLANK(A66:S66)</x:f>
        <x:v>18</x:v>
      </x:c>
    </x:row>
    <x:row r="67" ht="24" hidden="0" customHeight="1">
      <x:c r="A67" s="10" t="str">
        <x:v>Protesto</x:v>
      </x:c>
      <x:c r="B67" s="10" t="str"/>
      <x:c r="C67" s="10" t="str"/>
      <x:c r="D67" s="10" t="str">
        <x:v>Público Imediato</x:v>
      </x:c>
      <x:c r="E67" s="10" t="str">
        <x:v>Presencial/Físico</x:v>
      </x:c>
      <x:c r="F67" s="10" t="str">
        <x:v>2012</x:v>
      </x:c>
      <x:c r="G67" s="11" t="n">
        <x:v>2012</x:v>
      </x:c>
      <x:c r="H67" s="10" t="str">
        <x:v>Pça. da Sé</x:v>
      </x:c>
      <x:c r="I67" s="10" t="str">
        <x:v>Movimentos sociais (ex. citado Rede 02 de outubro) e a Pastoral Carcerária</x:v>
      </x:c>
      <x:c r="J67" s="10" t="str">
        <x:v>ONU elogia punição a policiais militares envolvidos no massacre do Carandiru</x:v>
      </x:c>
      <x:c r="K67" s="10" t="str">
        <x:v>Hemerográfico</x:v>
      </x:c>
      <x:c r="L67" s="10" t="str">
        <x:v>Texto (digital), Imagem (digital)</x:v>
      </x:c>
      <x:c r="M67" s="10" t="str">
        <x:v>ONU Brasil</x:v>
      </x:c>
      <x:c r="N67" s="10" t="str">
        <x:v>Português, Brasil</x:v>
      </x:c>
      <x:c r="O67" s="10" t="str">
        <x:v>Hiperlink</x:v>
      </x:c>
      <x:c r="P67" s="10" t="str">
        <x:v>2025-07-15 00:00:00</x:v>
      </x:c>
      <x:c r="Q67" s="10" t="str">
        <x:v>Aberto</x:v>
      </x:c>
      <x:c r="R67" s="10" t="str">
        <x:v>Aqui</x:v>
      </x:c>
      <x:c r="S67" s="10" t="str">
        <x:v>ONU BRASIL. ONU elogia punição a policiais militares envolvidos no massacre do Carandiru. ONU Brasil, 23 abr. 2013. Disponível em: https://brasil.un.org/pt-br/62390-onu-elogia-puni%C3%A7%C3%A3o-policiais-militares-envolvidos-no-massacre-do-carandiru. Acesso em: 17 jul. 2025.</x:v>
      </x:c>
      <x:c r="T67" s="10" t="str">
        <x:v>BR-SPCARANDIRU_MAPEAMENTOS-REMEMORA-CARANDIRU.xlsx</x:v>
      </x:c>
      <x:c r="U67" s="10" t="str">
        <x:v>Geral</x:v>
      </x:c>
      <x:c r="V67" s="11" t="n">
        <x:v>72</x:v>
      </x:c>
      <x:c r="W67" s="10" t="str">
        <x:v>BR-SPCARANDIRU_MAPEAMENTOS-REMEMORA-CARANDIRU.xlsx:Geral:72</x:v>
      </x:c>
      <x:c r="X67" s="11" t="n">
        <x:f>COLUMNS(A67:S67)-COUNTBLANK(A67:S67)</x:f>
        <x:v>17</x:v>
      </x:c>
    </x:row>
    <x:row r="68" ht="15" hidden="0" customHeight="1">
      <x:c r="A68" s="10" t="str">
        <x:v>Documentário</x:v>
      </x:c>
      <x:c r="B68" s="10" t="str"/>
      <x:c r="C68" s="10" t="str">
        <x:v>Manifestação artístico-cultural</x:v>
      </x:c>
      <x:c r="D68" s="10" t="str">
        <x:v>Público Mediado</x:v>
      </x:c>
      <x:c r="E68" s="10" t="str">
        <x:v>Midiático</x:v>
      </x:c>
      <x:c r="F68" s="10" t="str">
        <x:v>2012-01-24 00:00:00</x:v>
      </x:c>
      <x:c r="G68" s="11" t="n">
        <x:v>2012</x:v>
      </x:c>
      <x:c r="H68" s="10" t="str">
        <x:v>Favela do Moinho</x:v>
      </x:c>
      <x:c r="I68" s="10" t="str">
        <x:v>Coletivo Independente 'Mães de Maio"</x:v>
      </x:c>
      <x:c r="J68" s="10" t="str">
        <x:v>Mães de Maio no Moinho</x:v>
      </x:c>
      <x:c r="K68" s="10" t="str">
        <x:v>Audiovisual</x:v>
      </x:c>
      <x:c r="L68" s="10" t="str">
        <x:v>Vídeo (digital)</x:v>
      </x:c>
      <x:c r="M68" s="10" t="str">
        <x:v>YouTube (Cinescadão)</x:v>
      </x:c>
      <x:c r="N68" s="10" t="str">
        <x:v>Português, Brasil</x:v>
      </x:c>
      <x:c r="O68" s="10" t="str">
        <x:v>Hiperlink</x:v>
      </x:c>
      <x:c r="P68" s="10" t="str">
        <x:v>2025-07-17 00:00:00</x:v>
      </x:c>
      <x:c r="Q68" s="10" t="str">
        <x:v>Aberto</x:v>
      </x:c>
      <x:c r="R68" s="10" t="str">
        <x:v>Aqui</x:v>
      </x:c>
      <x:c r="S68" s="10" t="str">
        <x:v>CINESCADÃO. Mães de Maio no Moinho. YouTube, publicado em: 24 jan. 2012. Vídeo: 9 min 55 s. Disponível em: https://www.youtube.com/watch?v=Q9MpEVJgF_Y. Acesso em: 18 jul. 2025.</x:v>
      </x:c>
      <x:c r="T68" s="10" t="str">
        <x:v>BR-SPCARANDIRU_MAPEAMENTOS-REMEMORA-CARANDIRU.xlsx</x:v>
      </x:c>
      <x:c r="U68" s="10" t="str">
        <x:v>Geral</x:v>
      </x:c>
      <x:c r="V68" s="11" t="n">
        <x:v>73</x:v>
      </x:c>
      <x:c r="W68" s="10" t="str">
        <x:v>BR-SPCARANDIRU_MAPEAMENTOS-REMEMORA-CARANDIRU.xlsx:Geral:73</x:v>
      </x:c>
      <x:c r="X68" s="11" t="n">
        <x:f>COLUMNS(A68:S68)-COUNTBLANK(A68:S68)</x:f>
        <x:v>18</x:v>
      </x:c>
    </x:row>
    <x:row r="69" ht="36" hidden="0" customHeight="1">
      <x:c r="A69" s="10" t="str">
        <x:v>Leitura pública</x:v>
      </x:c>
      <x:c r="B69" s="10" t="str"/>
      <x:c r="C69" s="10" t="str">
        <x:v>Manifestação artístico-cultural</x:v>
      </x:c>
      <x:c r="D69" s="10" t="str">
        <x:v>Público Mediado</x:v>
      </x:c>
      <x:c r="E69" s="10" t="str">
        <x:v>Presencial/Físico</x:v>
      </x:c>
      <x:c r="F69" s="10" t="str">
        <x:v>2012-03-06 00:00:00</x:v>
      </x:c>
      <x:c r="G69" s="11" t="n">
        <x:v>2012</x:v>
      </x:c>
      <x:c r="H69" s="10" t="str">
        <x:v>30ª edição da Bienal de São Paulo</x:v>
      </x:c>
      <x:c r="I69" s="10" t="str">
        <x:v>Nuno Ramos</x:v>
      </x:c>
      <x:c r="J69" s="10" t="str">
        <x:v>Massacre do Carandiru + 23: inação, descontinuidade e resistências.</x:v>
      </x:c>
      <x:c r="K69" s="10" t="str">
        <x:v>Bibliográfico</x:v>
      </x:c>
      <x:c r="L69" s="10" t="str">
        <x:v>Texto (digital), Imagem (digital)</x:v>
      </x:c>
      <x:c r="M69" s="10" t="str">
        <x:v>FGV DIREITO SP</x:v>
      </x:c>
      <x:c r="N69" s="10" t="str">
        <x:v>Português, Brasil</x:v>
      </x:c>
      <x:c r="O69" s="10" t="str">
        <x:v>"manifestação solidariedade ao Massacre do Carandiru" no Google</x:v>
      </x:c>
      <x:c r="P69" s="10" t="str">
        <x:v>2025-07-18 00:00:00</x:v>
      </x:c>
      <x:c r="Q69" s="10" t="str">
        <x:v>Aberto</x:v>
      </x:c>
      <x:c r="R69" s="10" t="str">
        <x:v>Aqui</x:v>
      </x:c>
      <x:c r="S69" s="10" t="str">
        <x:v>MACHADO, Marta Rodriguez de Assis; MACHADO, Maíra Rocha; MATSUDA, Fernanda Emy; FERREIRA, Luisa Moraes Abreu; FERREIRA, Carolina Cutrupi. Massacre do Carandiru + 23: inação, descontinuidade e resistências. In: MACHADO, Maíra Rocha; MACHADO, Marta Rodriguez de Assis (coord.). Carandiru não é coisa do passado [recurso eletrônico]: um balanço sobre os processos, as instituições e as narrativas 23 anos após o massacre. São Paulo: FGV Direito SP, 2015. Disponível em: https://www.santoandre.sp.gov.br/PESQUISA/ebooks/419563.pdf. Acesso em: 20 jul. 2025.</x:v>
      </x:c>
      <x:c r="T69" s="10" t="str">
        <x:v>BR-SPCARANDIRU_MAPEAMENTOS-REMEMORA-CARANDIRU.xlsx</x:v>
      </x:c>
      <x:c r="U69" s="10" t="str">
        <x:v>Geral</x:v>
      </x:c>
      <x:c r="V69" s="11" t="n">
        <x:v>74</x:v>
      </x:c>
      <x:c r="W69" s="10" t="str">
        <x:v>BR-SPCARANDIRU_MAPEAMENTOS-REMEMORA-CARANDIRU.xlsx:Geral:74</x:v>
      </x:c>
      <x:c r="X69" s="11" t="n">
        <x:f>COLUMNS(A69:S69)-COUNTBLANK(A69:S69)</x:f>
        <x:v>18</x:v>
      </x:c>
    </x:row>
    <x:row r="70" ht="24" hidden="0" customHeight="1">
      <x:c r="A70" s="10" t="str">
        <x:v>Peça teatral</x:v>
      </x:c>
      <x:c r="B70" s="10" t="str"/>
      <x:c r="C70" s="10" t="str">
        <x:v>Manifestação artístico-cultural</x:v>
      </x:c>
      <x:c r="D70" s="10" t="str">
        <x:v>Público Imediato</x:v>
      </x:c>
      <x:c r="E70" s="10" t="str">
        <x:v>Presencial/Físico</x:v>
      </x:c>
      <x:c r="F70" s="10" t="str">
        <x:v>2012-03-10 00:00:00</x:v>
      </x:c>
      <x:c r="G70" s="11" t="n">
        <x:v>2012</x:v>
      </x:c>
      <x:c r="H70" s="10" t="str">
        <x:v>Teatro Molière, Av. 7 de Setembro, 401 – Ladeira da Barra, BA</x:v>
      </x:c>
      <x:c r="I70" s="10" t="str">
        <x:v>Dib Carneiro e grupo teatral Teatro da Vertigem</x:v>
      </x:c>
      <x:c r="J70" s="10" t="str">
        <x:v>Salmo 91</x:v>
      </x:c>
      <x:c r="K70" s="10" t="str">
        <x:v>Textual</x:v>
      </x:c>
      <x:c r="L70" s="10" t="str">
        <x:v>Texto (digital), Imagem (digital)</x:v>
      </x:c>
      <x:c r="M70" s="10" t="str">
        <x:v>Blogspot (Revista Contemporartes)</x:v>
      </x:c>
      <x:c r="N70" s="10" t="str">
        <x:v>Português, Brasil</x:v>
      </x:c>
      <x:c r="O70" s="10" t="str">
        <x:v>Hiperlink</x:v>
      </x:c>
      <x:c r="P70" s="10" t="str">
        <x:v>2025-07-18 00:00:00</x:v>
      </x:c>
      <x:c r="Q70" s="10" t="str">
        <x:v>Aberto</x:v>
      </x:c>
      <x:c r="R70" s="10" t="str">
        <x:v>Aqui</x:v>
      </x:c>
      <x:c r="S70" s="10" t="str">
        <x:v>REVISTA CONTEMPORARTES. Salmo 91 – estreia. Revista Contemporartes (Blogspot), publicado em: 10 mar. 2012. Disponível em: https://revistacontemporartes.blogspot.com/2012/03/salmo-91-estreia.html. Acesso em: 18 jul. 2025.</x:v>
      </x:c>
      <x:c r="T70" s="10" t="str">
        <x:v>BR-SPCARANDIRU_MAPEAMENTOS-REMEMORA-CARANDIRU.xlsx</x:v>
      </x:c>
      <x:c r="U70" s="10" t="str">
        <x:v>Geral</x:v>
      </x:c>
      <x:c r="V70" s="11" t="n">
        <x:v>75</x:v>
      </x:c>
      <x:c r="W70" s="10" t="str">
        <x:v>BR-SPCARANDIRU_MAPEAMENTOS-REMEMORA-CARANDIRU.xlsx:Geral:75</x:v>
      </x:c>
      <x:c r="X70" s="11" t="n">
        <x:f>COLUMNS(A70:S70)-COUNTBLANK(A70:S70)</x:f>
        <x:v>18</x:v>
      </x:c>
    </x:row>
    <x:row r="71" ht="24" hidden="0" customHeight="1">
      <x:c r="A71" s="10" t="str">
        <x:v>Documentário</x:v>
      </x:c>
      <x:c r="B71" s="10" t="str"/>
      <x:c r="C71" s="10" t="str">
        <x:v>Manifestação artístico-cultural</x:v>
      </x:c>
      <x:c r="D71" s="10" t="str">
        <x:v>Público Mediado</x:v>
      </x:c>
      <x:c r="E71" s="10" t="str">
        <x:v>Midiático</x:v>
      </x:c>
      <x:c r="F71" s="10" t="str">
        <x:v>2012-04-05 00:00:00</x:v>
      </x:c>
      <x:c r="G71" s="11" t="n">
        <x:v>2012</x:v>
      </x:c>
      <x:c r="H71" s="10" t="str">
        <x:v>Não especificado</x:v>
      </x:c>
      <x:c r="I71" s="10" t="str">
        <x:v>Rede 02 de outubro</x:v>
      </x:c>
      <x:c r="J71" s="10" t="str">
        <x:v>Carandiru - O Massacre ainda não terminou</x:v>
      </x:c>
      <x:c r="K71" s="10" t="str">
        <x:v>Audiovisual</x:v>
      </x:c>
      <x:c r="L71" s="10" t="str">
        <x:v>Vídeo (digital)</x:v>
      </x:c>
      <x:c r="M71" s="10" t="str">
        <x:v>Vimeo (Passa Palavra)</x:v>
      </x:c>
      <x:c r="N71" s="10" t="str">
        <x:v>Português, Brasil</x:v>
      </x:c>
      <x:c r="O71" s="10" t="str">
        <x:v>Hiperlink</x:v>
      </x:c>
      <x:c r="P71" s="10" t="str">
        <x:v>2025-07-17 00:00:00</x:v>
      </x:c>
      <x:c r="Q71" s="10" t="str">
        <x:v>Aberto</x:v>
      </x:c>
      <x:c r="R71" s="10" t="str">
        <x:v>Aqui</x:v>
      </x:c>
      <x:c r="S71" s="10" t="str">
        <x:v>REDE 02 DE OUTUBRO. Carandiru – O massacre ainda não acabou. Passa Palavra [Vimeo], publicado em: 5 abr. 2012. Vídeo: 14 min. Disponível em: https://vimeo.com/39846281?p=1t. Acesso em: 17 out. 2025.</x:v>
      </x:c>
      <x:c r="T71" s="10" t="str">
        <x:v>BR-SPCARANDIRU_MAPEAMENTOS-REMEMORA-CARANDIRU.xlsx</x:v>
      </x:c>
      <x:c r="U71" s="10" t="str">
        <x:v>Geral</x:v>
      </x:c>
      <x:c r="V71" s="11" t="n">
        <x:v>76</x:v>
      </x:c>
      <x:c r="W71" s="10" t="str">
        <x:v>BR-SPCARANDIRU_MAPEAMENTOS-REMEMORA-CARANDIRU.xlsx:Geral:76</x:v>
      </x:c>
      <x:c r="X71" s="11" t="n">
        <x:f>COLUMNS(A71:S71)-COUNTBLANK(A71:S71)</x:f>
        <x:v>18</x:v>
      </x:c>
    </x:row>
    <x:row r="72" ht="24" hidden="0" customHeight="1">
      <x:c r="A72" s="10" t="str">
        <x:v>Reportagem</x:v>
      </x:c>
      <x:c r="B72" s="10" t="str"/>
      <x:c r="C72" s="10" t="str">
        <x:v>Produção midiática</x:v>
      </x:c>
      <x:c r="D72" s="10" t="str">
        <x:v>Público Mediado</x:v>
      </x:c>
      <x:c r="E72" s="10" t="str">
        <x:v>Midiático</x:v>
      </x:c>
      <x:c r="F72" s="10" t="str">
        <x:v>2012-10-16 00:00:00</x:v>
      </x:c>
      <x:c r="G72" s="11" t="n">
        <x:v>2012</x:v>
      </x:c>
      <x:c r="H72" s="10" t="str">
        <x:v>São Paulo</x:v>
      </x:c>
      <x:c r="I72" s="10" t="str">
        <x:v>Rede Bandeirantes</x:v>
      </x:c>
      <x:c r="J72" s="10" t="str">
        <x:v>Documento da Semana: 20 anos do Carandiru</x:v>
      </x:c>
      <x:c r="K72" s="10" t="str">
        <x:v>Audiovisual</x:v>
      </x:c>
      <x:c r="L72" s="10" t="str">
        <x:v>Vídeo (digital)</x:v>
      </x:c>
      <x:c r="M72" s="10" t="str">
        <x:v>YouTube (Vitor Roepke)</x:v>
      </x:c>
      <x:c r="N72" s="10" t="str">
        <x:v>Português, Brasil</x:v>
      </x:c>
      <x:c r="O72" s="10" t="str">
        <x:v>Site Memória Massacre Carandiru</x:v>
      </x:c>
      <x:c r="P72" s="10" t="str">
        <x:v>2025-10-10 00:00:00</x:v>
      </x:c>
      <x:c r="Q72" s="10" t="str">
        <x:v>Aberto</x:v>
      </x:c>
      <x:c r="R72" s="10" t="str">
        <x:v>Aqui</x:v>
      </x:c>
      <x:c r="S72" s="10" t="str">
        <x:v>ROEPKE, Vitor. Documento da Semana: 20 anos do Carandiru – CQC (Rede Bandeirantes). [Reportagem]. YouTube, 16 out. 2012. Disponível em: https://www.youtube.com/watch?v=mIlEhGqmHDQ. Acesso em: 10 out. 2025.</x:v>
      </x:c>
      <x:c r="T72" s="10" t="str">
        <x:v>BR-SPCARANDIRU_MAPEAMENTOS-REMEMORA-CARANDIRU.xlsx</x:v>
      </x:c>
      <x:c r="U72" s="10" t="str">
        <x:v>Geral</x:v>
      </x:c>
      <x:c r="V72" s="11" t="n">
        <x:v>77</x:v>
      </x:c>
      <x:c r="W72" s="10" t="str">
        <x:v>BR-SPCARANDIRU_MAPEAMENTOS-REMEMORA-CARANDIRU.xlsx:Geral:77</x:v>
      </x:c>
      <x:c r="X72" s="11" t="n">
        <x:f>COLUMNS(A72:S72)-COUNTBLANK(A72:S72)</x:f>
        <x:v>18</x:v>
      </x:c>
    </x:row>
    <x:row r="73" ht="24" hidden="0" customHeight="1">
      <x:c r="A73" s="10" t="str">
        <x:v>Curta-metragem</x:v>
      </x:c>
      <x:c r="B73" s="10" t="str"/>
      <x:c r="C73" s="10" t="str"/>
      <x:c r="D73" s="10" t="str">
        <x:v>Público Mediado</x:v>
      </x:c>
      <x:c r="E73" s="10" t="str">
        <x:v>Midiático</x:v>
      </x:c>
      <x:c r="F73" s="10" t="str">
        <x:v>2012-10-02 00:00:00</x:v>
      </x:c>
      <x:c r="G73" s="11" t="n">
        <x:v>2012</x:v>
      </x:c>
      <x:c r="H73" s="10" t="str">
        <x:v>São Paulo</x:v>
      </x:c>
      <x:c r="I73" s="10" t="str">
        <x:v>Marcos Lauro</x:v>
      </x:c>
      <x:c r="J73" s="10" t="str">
        <x:v>Massacre do Carandiru</x:v>
      </x:c>
      <x:c r="K73" s="10" t="str">
        <x:v>Audiovisual</x:v>
      </x:c>
      <x:c r="L73" s="10" t="str">
        <x:v>Vídeo (digital)</x:v>
      </x:c>
      <x:c r="M73" s="10" t="str">
        <x:v>YouTube (Filipe Franco)</x:v>
      </x:c>
      <x:c r="N73" s="10" t="str">
        <x:v>Português, Brasil</x:v>
      </x:c>
      <x:c r="O73" s="10" t="str">
        <x:v>Site Memória Massacre Carandiru</x:v>
      </x:c>
      <x:c r="P73" s="10" t="str">
        <x:v>2025-10-10 00:00:00</x:v>
      </x:c>
      <x:c r="Q73" s="10" t="str">
        <x:v>Aberto</x:v>
      </x:c>
      <x:c r="R73" s="10" t="str">
        <x:v>Aqui</x:v>
      </x:c>
      <x:c r="S73" s="10" t="str">
        <x:v>FRANCO, Filipe. Massacre do Carandiru – 20 anos. Direção: Marcos Lauro. [Curta-metragem]. YouTube, 2 out. 2012. Duração: 7 min 49 s. Disponível em: https://www.youtube.com/watch?v=TS61qUZKsec. Acesso em: 10 out. 2025.</x:v>
      </x:c>
      <x:c r="T73" s="10" t="str">
        <x:v>BR-SPCARANDIRU_MAPEAMENTOS-REMEMORA-CARANDIRU.xlsx</x:v>
      </x:c>
      <x:c r="U73" s="10" t="str">
        <x:v>Geral</x:v>
      </x:c>
      <x:c r="V73" s="11" t="n">
        <x:v>78</x:v>
      </x:c>
      <x:c r="W73" s="10" t="str">
        <x:v>BR-SPCARANDIRU_MAPEAMENTOS-REMEMORA-CARANDIRU.xlsx:Geral:78</x:v>
      </x:c>
      <x:c r="X73" s="11" t="n">
        <x:f>COLUMNS(A73:S73)-COUNTBLANK(A73:S73)</x:f>
        <x:v>17</x:v>
      </x:c>
    </x:row>
    <x:row r="74" ht="15" hidden="0" customHeight="1">
      <x:c r="A74" s="10" t="str">
        <x:v>Documentário</x:v>
      </x:c>
      <x:c r="B74" s="10" t="str"/>
      <x:c r="C74" s="10" t="str">
        <x:v>Manifestação artístico-cultural</x:v>
      </x:c>
      <x:c r="D74" s="10" t="str">
        <x:v>Público Mediado</x:v>
      </x:c>
      <x:c r="E74" s="10" t="str">
        <x:v>Midiático</x:v>
      </x:c>
      <x:c r="F74" s="10" t="str">
        <x:v>2012-01-27 00:00:00</x:v>
      </x:c>
      <x:c r="G74" s="11" t="n">
        <x:v>2012</x:v>
      </x:c>
      <x:c r="H74" s="10" t="str">
        <x:v>São Paulo</x:v>
      </x:c>
      <x:c r="I74" s="10" t="str">
        <x:v>Forense Latina</x:v>
      </x:c>
      <x:c r="J74" s="10" t="str">
        <x:v>Carandirú Masacre: InformeForeneLatina</x:v>
      </x:c>
      <x:c r="K74" s="10" t="str">
        <x:v>Audiovisual</x:v>
      </x:c>
      <x:c r="L74" s="10" t="str">
        <x:v>Vídeo (digital)</x:v>
      </x:c>
      <x:c r="M74" s="10" t="str">
        <x:v>YouTube (Forense Latina)</x:v>
      </x:c>
      <x:c r="N74" s="10" t="str">
        <x:v>Português, Brasil</x:v>
      </x:c>
      <x:c r="O74" s="10" t="str">
        <x:v>Site Memória Massacre Carandiru</x:v>
      </x:c>
      <x:c r="P74" s="10" t="str">
        <x:v>2025-10-10 00:00:00</x:v>
      </x:c>
      <x:c r="Q74" s="10" t="str">
        <x:v>Aberto</x:v>
      </x:c>
      <x:c r="R74" s="10" t="str">
        <x:v>Aqui</x:v>
      </x:c>
      <x:c r="S74" s="10" t="str">
        <x:v>FORENSE LATINA. Carandirú Masacre: InformeForeneLatina. [Documentário]. YouTube, 27 nov. 2012. Disponível em: https://www.youtube.com/watch?v=Mnt0V4keRQc. Acesso em: 10 out. 2025.</x:v>
      </x:c>
      <x:c r="T74" s="10" t="str">
        <x:v>BR-SPCARANDIRU_MAPEAMENTOS-REMEMORA-CARANDIRU.xlsx</x:v>
      </x:c>
      <x:c r="U74" s="10" t="str">
        <x:v>Geral</x:v>
      </x:c>
      <x:c r="V74" s="11" t="n">
        <x:v>79</x:v>
      </x:c>
      <x:c r="W74" s="10" t="str">
        <x:v>BR-SPCARANDIRU_MAPEAMENTOS-REMEMORA-CARANDIRU.xlsx:Geral:79</x:v>
      </x:c>
      <x:c r="X74" s="11" t="n">
        <x:f>COLUMNS(A74:S74)-COUNTBLANK(A74:S74)</x:f>
        <x:v>18</x:v>
      </x:c>
    </x:row>
    <x:row r="75" ht="24" hidden="0" customHeight="1">
      <x:c r="A75" s="10" t="str">
        <x:v>Exposição</x:v>
      </x:c>
      <x:c r="B75" s="10" t="str"/>
      <x:c r="C75" s="10" t="str">
        <x:v>Manifestação artístico-cultural</x:v>
      </x:c>
      <x:c r="D75" s="10" t="str">
        <x:v>Público Imediato</x:v>
      </x:c>
      <x:c r="E75" s="10" t="str">
        <x:v>Presencial/Físico</x:v>
      </x:c>
      <x:c r="F75" s="10" t="str">
        <x:v>2012</x:v>
      </x:c>
      <x:c r="G75" s="11" t="n">
        <x:v>2012</x:v>
      </x:c>
      <x:c r="H75" s="10" t="str">
        <x:v>São Paulo</x:v>
      </x:c>
      <x:c r="I75" s="10" t="str">
        <x:v>Nuno Ramos</x:v>
      </x:c>
      <x:c r="J75" s="10" t="str">
        <x:v>Fotografia registrada na Bienal de 2012</x:v>
      </x:c>
      <x:c r="K75" s="10" t="str">
        <x:v>Iconográfico</x:v>
      </x:c>
      <x:c r="L75" s="10" t="str">
        <x:v>Imagem (digital)</x:v>
      </x:c>
      <x:c r="M75" s="10" t="str">
        <x:v>FGV DIREITO SP</x:v>
      </x:c>
      <x:c r="N75" s="10" t="str">
        <x:v>Português, Brasil</x:v>
      </x:c>
      <x:c r="O75" s="10" t="str">
        <x:v>Site Memória Massacre Carandiru</x:v>
      </x:c>
      <x:c r="P75" s="10" t="str">
        <x:v>2025-10-10 00:00:00</x:v>
      </x:c>
      <x:c r="Q75" s="10" t="str">
        <x:v>Aberto</x:v>
      </x:c>
      <x:c r="R75" s="10" t="str">
        <x:v>Aqui</x:v>
      </x:c>
      <x:c r="S75" s="10" t="str">
        <x:v>RAMOS, Nuno. Fotografia registrada na Bienal de 2012. Fotografia. Acervo: Núcleo de Estudos sobre o Crime e a Pena FGV Direito SP [Fotografia]. Memória Massacre Carandiru, 2012. Disponível em: https://www.massacrecarandiru.org.br/documento/ustebBtczs8n9v7g9. Acesso em: 10 out. 2025.</x:v>
      </x:c>
      <x:c r="T75" s="10" t="str">
        <x:v>BR-SPCARANDIRU_MAPEAMENTOS-REMEMORA-CARANDIRU.xlsx</x:v>
      </x:c>
      <x:c r="U75" s="10" t="str">
        <x:v>Geral</x:v>
      </x:c>
      <x:c r="V75" s="11" t="n">
        <x:v>80</x:v>
      </x:c>
      <x:c r="W75" s="10" t="str">
        <x:v>BR-SPCARANDIRU_MAPEAMENTOS-REMEMORA-CARANDIRU.xlsx:Geral:80</x:v>
      </x:c>
      <x:c r="X75" s="11" t="n">
        <x:f>COLUMNS(A75:S75)-COUNTBLANK(A75:S75)</x:f>
        <x:v>18</x:v>
      </x:c>
    </x:row>
    <x:row r="76" ht="24" hidden="0" customHeight="1">
      <x:c r="A76" s="10" t="str">
        <x:v>Exposição</x:v>
      </x:c>
      <x:c r="B76" s="10" t="str"/>
      <x:c r="C76" s="10" t="str">
        <x:v>Manifestação artístico-cultural</x:v>
      </x:c>
      <x:c r="D76" s="10" t="str">
        <x:v>Público Imediato</x:v>
      </x:c>
      <x:c r="E76" s="10" t="str">
        <x:v>Presencial/Físico</x:v>
      </x:c>
      <x:c r="F76" s="10" t="str">
        <x:v>2012</x:v>
      </x:c>
      <x:c r="G76" s="11" t="n">
        <x:v>2012</x:v>
      </x:c>
      <x:c r="H76" s="10" t="str">
        <x:v>São Paulo</x:v>
      </x:c>
      <x:c r="I76" s="10" t="str">
        <x:v>Nuno Ramos</x:v>
      </x:c>
      <x:c r="J76" s="10" t="str">
        <x:v>Fotografia registrada na Bienal de 2012</x:v>
      </x:c>
      <x:c r="K76" s="10" t="str">
        <x:v>Iconográfico</x:v>
      </x:c>
      <x:c r="L76" s="10" t="str">
        <x:v>Imagem (digital)</x:v>
      </x:c>
      <x:c r="M76" s="10" t="str">
        <x:v>FGV DIREITO SP</x:v>
      </x:c>
      <x:c r="N76" s="10" t="str">
        <x:v>Português, Brasil</x:v>
      </x:c>
      <x:c r="O76" s="10" t="str">
        <x:v>Site Memória Massacre Carandiru</x:v>
      </x:c>
      <x:c r="P76" s="10" t="str">
        <x:v>2025-10-10 00:00:00</x:v>
      </x:c>
      <x:c r="Q76" s="10" t="str">
        <x:v>Aberto</x:v>
      </x:c>
      <x:c r="R76" s="10" t="str">
        <x:v>Aqui</x:v>
      </x:c>
      <x:c r="S76" s="10" t="str">
        <x:v>RAMOS, Nuno. Fotografia registrada na Bienal de 2012. Fotografia. Acervo: Núcleo de Estudos sobre o Crime e a Pena FGV Direito SP. [Fotografia]. Memória Massacre Carandiru, 2012. Disponível em: https://www.massacrecarandiru.org.br/documento/WbuNeghc3Fe4HNHH2. Acesso em: 10 out. 2025.</x:v>
      </x:c>
      <x:c r="T76" s="10" t="str">
        <x:v>BR-SPCARANDIRU_MAPEAMENTOS-REMEMORA-CARANDIRU.xlsx</x:v>
      </x:c>
      <x:c r="U76" s="10" t="str">
        <x:v>Geral</x:v>
      </x:c>
      <x:c r="V76" s="11" t="n">
        <x:v>81</x:v>
      </x:c>
      <x:c r="W76" s="10" t="str">
        <x:v>BR-SPCARANDIRU_MAPEAMENTOS-REMEMORA-CARANDIRU.xlsx:Geral:81</x:v>
      </x:c>
      <x:c r="X76" s="11" t="n">
        <x:f>COLUMNS(A76:S76)-COUNTBLANK(A76:S76)</x:f>
        <x:v>18</x:v>
      </x:c>
    </x:row>
    <x:row r="77" ht="24" hidden="0" customHeight="1">
      <x:c r="A77" s="10" t="str">
        <x:v>Exposição</x:v>
      </x:c>
      <x:c r="B77" s="10" t="str"/>
      <x:c r="C77" s="10" t="str">
        <x:v>Manifestação artístico-cultural</x:v>
      </x:c>
      <x:c r="D77" s="10" t="str">
        <x:v>Público Imediato</x:v>
      </x:c>
      <x:c r="E77" s="10" t="str">
        <x:v>Presencial/Físico</x:v>
      </x:c>
      <x:c r="F77" s="10" t="str">
        <x:v>2012</x:v>
      </x:c>
      <x:c r="G77" s="11" t="n">
        <x:v>2012</x:v>
      </x:c>
      <x:c r="H77" s="10" t="str">
        <x:v>São Paulo</x:v>
      </x:c>
      <x:c r="I77" s="10" t="str">
        <x:v>Nuno Ramos</x:v>
      </x:c>
      <x:c r="J77" s="10" t="str">
        <x:v>Fotografia da exposição na Bienal de 2012</x:v>
      </x:c>
      <x:c r="K77" s="10" t="str">
        <x:v>Iconográfico</x:v>
      </x:c>
      <x:c r="L77" s="10" t="str">
        <x:v>Imagem (digital)</x:v>
      </x:c>
      <x:c r="M77" s="10" t="str">
        <x:v>Memória Massacre Carandiru</x:v>
      </x:c>
      <x:c r="N77" s="10" t="str">
        <x:v>Português, Brasil</x:v>
      </x:c>
      <x:c r="O77" s="10" t="str">
        <x:v>Site Memória Massacre Carandiru</x:v>
      </x:c>
      <x:c r="P77" s="10" t="str">
        <x:v>2025-10-10 00:00:00</x:v>
      </x:c>
      <x:c r="Q77" s="10" t="str">
        <x:v>Aberto</x:v>
      </x:c>
      <x:c r="R77" s="10" t="str">
        <x:v>Aqui</x:v>
      </x:c>
      <x:c r="S77" s="10" t="str">
        <x:v>RAMOS, Nuno. Fotografia da exposição na Bienal de 2012. [Fotografia]. Acervo: Núcleo de Estudos do Crime e da Pena da FGV SP. Memória Massacre Carandiru, 2012. Disponível em: https://www.massacrecarandiru.org.br/documento/JhjmMxt6HJJuwniJu. Acesso em: 10 out. 2025.</x:v>
      </x:c>
      <x:c r="T77" s="10" t="str">
        <x:v>BR-SPCARANDIRU_MAPEAMENTOS-REMEMORA-CARANDIRU.xlsx</x:v>
      </x:c>
      <x:c r="U77" s="10" t="str">
        <x:v>Geral</x:v>
      </x:c>
      <x:c r="V77" s="11" t="n">
        <x:v>82</x:v>
      </x:c>
      <x:c r="W77" s="10" t="str">
        <x:v>BR-SPCARANDIRU_MAPEAMENTOS-REMEMORA-CARANDIRU.xlsx:Geral:82</x:v>
      </x:c>
      <x:c r="X77" s="11" t="n">
        <x:f>COLUMNS(A77:S77)-COUNTBLANK(A77:S77)</x:f>
        <x:v>18</x:v>
      </x:c>
    </x:row>
    <x:row r="78" ht="24" hidden="0" customHeight="1">
      <x:c r="A78" s="10" t="str">
        <x:v>Escracho</x:v>
      </x:c>
      <x:c r="B78" s="10" t="str"/>
      <x:c r="C78" s="10" t="str"/>
      <x:c r="D78" s="10" t="str">
        <x:v>Público Imediato</x:v>
      </x:c>
      <x:c r="E78" s="10" t="str">
        <x:v>Presencial/Físico</x:v>
      </x:c>
      <x:c r="F78" s="10" t="str">
        <x:v>2012</x:v>
      </x:c>
      <x:c r="G78" s="11" t="n">
        <x:v>2012</x:v>
      </x:c>
      <x:c r="H78" s="10" t="str">
        <x:v>São Paulo</x:v>
      </x:c>
      <x:c r="I78" s="10" t="str">
        <x:v>Caio Castor</x:v>
      </x:c>
      <x:c r="J78" s="10" t="str">
        <x:v>Fotografia do escracho a Fleury, 20 anos do massacre (1)</x:v>
      </x:c>
      <x:c r="K78" s="10" t="str">
        <x:v>Iconográfico</x:v>
      </x:c>
      <x:c r="L78" s="10" t="str">
        <x:v>Imagem (digital)</x:v>
      </x:c>
      <x:c r="M78" s="10" t="str">
        <x:v>FGV DIREITO SP</x:v>
      </x:c>
      <x:c r="N78" s="10" t="str">
        <x:v>Português, Brasil</x:v>
      </x:c>
      <x:c r="O78" s="10" t="str">
        <x:v>Site Memória Massacre Carandiru</x:v>
      </x:c>
      <x:c r="P78" s="10" t="str">
        <x:v>2025-10-10 00:00:00</x:v>
      </x:c>
      <x:c r="Q78" s="10" t="str">
        <x:v>Aberto</x:v>
      </x:c>
      <x:c r="R78" s="10" t="str">
        <x:v>Aqui</x:v>
      </x:c>
      <x:c r="S78" s="10" t="str">
        <x:v>CASTOR, Caio. Fotografia do escracho a Fleury, 20 anos do massacre (1). [Fotografia]. Acervo: Núcleo de Estudos sobre o Crime e a Pena da FGV Direito SP. Memória Massacre Carandiru, 2012. Disponível em: https://www.massacrecarandiru.org.br/documento/yELgxtgdYFY9Crhr2. Acesso em: 10 out. 2025.</x:v>
      </x:c>
      <x:c r="T78" s="10" t="str">
        <x:v>BR-SPCARANDIRU_MAPEAMENTOS-REMEMORA-CARANDIRU.xlsx</x:v>
      </x:c>
      <x:c r="U78" s="10" t="str">
        <x:v>Geral</x:v>
      </x:c>
      <x:c r="V78" s="11" t="n">
        <x:v>83</x:v>
      </x:c>
      <x:c r="W78" s="10" t="str">
        <x:v>BR-SPCARANDIRU_MAPEAMENTOS-REMEMORA-CARANDIRU.xlsx:Geral:83</x:v>
      </x:c>
      <x:c r="X78" s="11" t="n">
        <x:f>COLUMNS(A78:S78)-COUNTBLANK(A78:S78)</x:f>
        <x:v>17</x:v>
      </x:c>
    </x:row>
    <x:row r="79" ht="24" hidden="0" customHeight="1">
      <x:c r="A79" s="10" t="str">
        <x:v>Escracho</x:v>
      </x:c>
      <x:c r="B79" s="10" t="str"/>
      <x:c r="C79" s="10" t="str"/>
      <x:c r="D79" s="10" t="str">
        <x:v>Público Imediato</x:v>
      </x:c>
      <x:c r="E79" s="10" t="str">
        <x:v>Presencial/Físico</x:v>
      </x:c>
      <x:c r="F79" s="10" t="str">
        <x:v>2012</x:v>
      </x:c>
      <x:c r="G79" s="11" t="n">
        <x:v>2012</x:v>
      </x:c>
      <x:c r="H79" s="10" t="str">
        <x:v>São Paulo</x:v>
      </x:c>
      <x:c r="I79" s="10" t="str">
        <x:v>Caio Castor</x:v>
      </x:c>
      <x:c r="J79" s="10" t="str">
        <x:v>Fotografia do escracho a Fleury, 20 anos do massacre (2)</x:v>
      </x:c>
      <x:c r="K79" s="10" t="str">
        <x:v>Iconográfico</x:v>
      </x:c>
      <x:c r="L79" s="10" t="str">
        <x:v>Imagem (digital)</x:v>
      </x:c>
      <x:c r="M79" s="10" t="str">
        <x:v>FGV DIREITO SP</x:v>
      </x:c>
      <x:c r="N79" s="10" t="str">
        <x:v>Português, Brasil</x:v>
      </x:c>
      <x:c r="O79" s="10" t="str">
        <x:v>Site Memória Massacre Carandiru</x:v>
      </x:c>
      <x:c r="P79" s="10" t="str">
        <x:v>2025-10-10 00:00:00</x:v>
      </x:c>
      <x:c r="Q79" s="10" t="str">
        <x:v>Aberto</x:v>
      </x:c>
      <x:c r="R79" s="10" t="str">
        <x:v>Aqui</x:v>
      </x:c>
      <x:c r="S79" s="10" t="str">
        <x:v>CASTOR, Caio. Fotografia do escracho a Fleury, 20 anos do massacre (2). [Fotografia]. Acervo: Núcleo de Estudos sobre o Crime e a Pena da FGV Direito SP. Memória Massacre Carandiru, 2012. Disponível em: https://www.massacrecarandiru.org.br/documento/cpBKehKCZdCiR5cCG. Acesso em: 10 out. 2025.</x:v>
      </x:c>
      <x:c r="T79" s="10" t="str">
        <x:v>BR-SPCARANDIRU_MAPEAMENTOS-REMEMORA-CARANDIRU.xlsx</x:v>
      </x:c>
      <x:c r="U79" s="10" t="str">
        <x:v>Geral</x:v>
      </x:c>
      <x:c r="V79" s="11" t="n">
        <x:v>84</x:v>
      </x:c>
      <x:c r="W79" s="10" t="str">
        <x:v>BR-SPCARANDIRU_MAPEAMENTOS-REMEMORA-CARANDIRU.xlsx:Geral:84</x:v>
      </x:c>
      <x:c r="X79" s="11" t="n">
        <x:f>COLUMNS(A79:S79)-COUNTBLANK(A79:S79)</x:f>
        <x:v>17</x:v>
      </x:c>
    </x:row>
    <x:row r="80" ht="24" hidden="0" customHeight="1">
      <x:c r="A80" s="10" t="str">
        <x:v>Protesto</x:v>
      </x:c>
      <x:c r="B80" s="10" t="str"/>
      <x:c r="C80" s="10" t="str"/>
      <x:c r="D80" s="10" t="str">
        <x:v>Público Imediato</x:v>
      </x:c>
      <x:c r="E80" s="10" t="str">
        <x:v>Presencial/Físico</x:v>
      </x:c>
      <x:c r="F80" s="10" t="str">
        <x:v>2013</x:v>
      </x:c>
      <x:c r="G80" s="11" t="n">
        <x:v>2013</x:v>
      </x:c>
      <x:c r="H80" s="10" t="str">
        <x:v>Lgo. São Francisco - Faculdade de Direito da USP</x:v>
      </x:c>
      <x:c r="I80" s="10" t="str">
        <x:v>Autoria desconhecida</x:v>
      </x:c>
      <x:c r="J80" s="10" t="str">
        <x:v>Protesto lembra as vítimas do massacre durante um dos julgamentos do caso em 2013 Foto: NELSON ALMEIDA/AFP/Getty Images</x:v>
      </x:c>
      <x:c r="K80" s="10" t="str">
        <x:v>Iconográfico</x:v>
      </x:c>
      <x:c r="L80" s="10" t="str">
        <x:v>Imagem (digital)</x:v>
      </x:c>
      <x:c r="M80" s="10" t="str">
        <x:v>Deutsche Welle</x:v>
      </x:c>
      <x:c r="N80" s="10" t="str">
        <x:v>Português, Brasil</x:v>
      </x:c>
      <x:c r="O80" s="10" t="str">
        <x:v>"manifestação solidariedade ao Massacre do Carandiru" no Google</x:v>
      </x:c>
      <x:c r="P80" s="10" t="str">
        <x:v>2025-07-16 00:00:00</x:v>
      </x:c>
      <x:c r="Q80" s="10" t="str">
        <x:v>Aberto</x:v>
      </x:c>
      <x:c r="R80" s="10" t="str">
        <x:v>Aqui</x:v>
      </x:c>
      <x:c r="S80" s="10" t="str">
        <x:v>STRUCK, Jean-Philip. Massacre do Carandiru: 25 anos de impunidade. Deutsche Welle, 2 out. 2017. Fotografia de Nelson Almeida para AFP/Getty Images. Disponível em: https://www.dw.com/pt-br/massacre-do-carandiru-25-anos-de-impunidade/a-40778556. Acesso em: 16 jul. 2025.</x:v>
      </x:c>
      <x:c r="T80" s="10" t="str">
        <x:v>BR-SPCARANDIRU_MAPEAMENTOS-REMEMORA-CARANDIRU.xlsx</x:v>
      </x:c>
      <x:c r="U80" s="10" t="str">
        <x:v>Geral</x:v>
      </x:c>
      <x:c r="V80" s="11" t="n">
        <x:v>85</x:v>
      </x:c>
      <x:c r="W80" s="10" t="str">
        <x:v>BR-SPCARANDIRU_MAPEAMENTOS-REMEMORA-CARANDIRU.xlsx:Geral:85</x:v>
      </x:c>
      <x:c r="X80" s="11" t="n">
        <x:f>COLUMNS(A80:S80)-COUNTBLANK(A80:S80)</x:f>
        <x:v>17</x:v>
      </x:c>
    </x:row>
    <x:row r="81" ht="24" hidden="0" customHeight="1">
      <x:c r="A81" s="10" t="str">
        <x:v>Ato</x:v>
      </x:c>
      <x:c r="B81" s="10" t="str"/>
      <x:c r="C81" s="10" t="str"/>
      <x:c r="D81" s="10" t="str">
        <x:v>Público Imediato</x:v>
      </x:c>
      <x:c r="E81" s="10" t="str">
        <x:v>Presencial/Físico</x:v>
      </x:c>
      <x:c r="F81" s="10" t="str">
        <x:v>2013-10-05 00:00:00</x:v>
      </x:c>
      <x:c r="G81" s="11" t="n">
        <x:v>2013</x:v>
      </x:c>
      <x:c r="H81" s="10" t="str">
        <x:v>Avenida Cruzeiro do Sul, 2630 - Carandiru (Entrada do Parque da Juventude)</x:v>
      </x:c>
      <x:c r="I81" s="10" t="str">
        <x:v>Rede 02 de outubro</x:v>
      </x:c>
      <x:c r="J81" s="10" t="str">
        <x:v>Memória de 21 anos do Massacre do Carandiru: dia pelo fim dos massacres!</x:v>
      </x:c>
      <x:c r="K81" s="10" t="str">
        <x:v>Textual</x:v>
      </x:c>
      <x:c r="L81" s="10" t="str">
        <x:v>Texto (digital), Imagem (digital)</x:v>
      </x:c>
      <x:c r="M81" s="10" t="str">
        <x:v>Blogspot (Rede 02 de Outubro)</x:v>
      </x:c>
      <x:c r="N81" s="10" t="str">
        <x:v>Português, Brasil</x:v>
      </x:c>
      <x:c r="O81" s="10" t="str">
        <x:v>Hiperlink</x:v>
      </x:c>
      <x:c r="P81" s="10" t="str">
        <x:v>2025-07-17 00:00:00</x:v>
      </x:c>
      <x:c r="Q81" s="10" t="str">
        <x:v>Aberto</x:v>
      </x:c>
      <x:c r="R81" s="10" t="str">
        <x:v>Aqui</x:v>
      </x:c>
      <x:c r="S81" s="10" t="str">
        <x:v>REDE 02 DE OUTUBRO. Memória de 21 anos do Massacre do Carandiru: dia pelo fim dos massacres! Rede 02 de Outubro, [2013]. Disponível em: https://rede2deoutubro.blogspot.com/2013/10/. Acesso em: 17 jul. 2025.</x:v>
      </x:c>
      <x:c r="T81" s="10" t="str">
        <x:v>BR-SPCARANDIRU_MAPEAMENTOS-REMEMORA-CARANDIRU.xlsx</x:v>
      </x:c>
      <x:c r="U81" s="10" t="str">
        <x:v>Geral</x:v>
      </x:c>
      <x:c r="V81" s="11" t="n">
        <x:v>86</x:v>
      </x:c>
      <x:c r="W81" s="10" t="str">
        <x:v>BR-SPCARANDIRU_MAPEAMENTOS-REMEMORA-CARANDIRU.xlsx:Geral:86</x:v>
      </x:c>
      <x:c r="X81" s="11" t="n">
        <x:f>COLUMNS(A81:S81)-COUNTBLANK(A81:S81)</x:f>
        <x:v>17</x:v>
      </x:c>
    </x:row>
    <x:row r="82" ht="24" hidden="0" customHeight="1">
      <x:c r="A82" s="10" t="str">
        <x:v>Fotografia</x:v>
      </x:c>
      <x:c r="B82" s="10" t="str"/>
      <x:c r="C82" s="10" t="str">
        <x:v>Manifestação artístico-cultural</x:v>
      </x:c>
      <x:c r="D82" s="10" t="str">
        <x:v>Público Mediado</x:v>
      </x:c>
      <x:c r="E82" s="10" t="str">
        <x:v>Presencial/Físico</x:v>
      </x:c>
      <x:c r="F82" s="10" t="str">
        <x:v>2013</x:v>
      </x:c>
      <x:c r="G82" s="11" t="n">
        <x:v>2013</x:v>
      </x:c>
      <x:c r="H82" s="10" t="str">
        <x:v>São Paulo</x:v>
      </x:c>
      <x:c r="I82" s="10" t="str">
        <x:v>Maíra Machado</x:v>
      </x:c>
      <x:c r="J82" s="10" t="str">
        <x:v>Fotografia de manifestação em 2 de outubro de 2013</x:v>
      </x:c>
      <x:c r="K82" s="10" t="str">
        <x:v>Iconográfico</x:v>
      </x:c>
      <x:c r="L82" s="10" t="str">
        <x:v>Imagem (digital)</x:v>
      </x:c>
      <x:c r="M82" s="10" t="str">
        <x:v>FGV DIREITO SP</x:v>
      </x:c>
      <x:c r="N82" s="10" t="str">
        <x:v>Português, Brasil</x:v>
      </x:c>
      <x:c r="O82" s="10" t="str">
        <x:v>Site Memória Massacre Carandiru</x:v>
      </x:c>
      <x:c r="P82" s="10" t="str">
        <x:v>2025-10-10 00:00:00</x:v>
      </x:c>
      <x:c r="Q82" s="10" t="str">
        <x:v>Aberto</x:v>
      </x:c>
      <x:c r="R82" s="10" t="str">
        <x:v>Aqui</x:v>
      </x:c>
      <x:c r="S82" s="10" t="str">
        <x:v>MACHADO, Maíra. Fotografia de manifestação em 2 de outubro de 2013. [Fotografia]. Acervo: Núcleo de Estudos sobre o Crime e a Pena da FGV Direito SP. Memória Massacre Carandiru, 2013. Disponível em: https://www.massacrecarandiru.org.br/documento/mY2FdncPcN6vSia8f. Acesso em: 10 out. 2025.</x:v>
      </x:c>
      <x:c r="T82" s="10" t="str">
        <x:v>BR-SPCARANDIRU_MAPEAMENTOS-REMEMORA-CARANDIRU.xlsx</x:v>
      </x:c>
      <x:c r="U82" s="10" t="str">
        <x:v>Geral</x:v>
      </x:c>
      <x:c r="V82" s="11" t="n">
        <x:v>87</x:v>
      </x:c>
      <x:c r="W82" s="10" t="str">
        <x:v>BR-SPCARANDIRU_MAPEAMENTOS-REMEMORA-CARANDIRU.xlsx:Geral:87</x:v>
      </x:c>
      <x:c r="X82" s="11" t="n">
        <x:f>COLUMNS(A82:S82)-COUNTBLANK(A82:S82)</x:f>
        <x:v>18</x:v>
      </x:c>
    </x:row>
    <x:row r="83" ht="24" hidden="0" customHeight="1">
      <x:c r="A83" s="10" t="str">
        <x:v>Charge</x:v>
      </x:c>
      <x:c r="B83" s="10" t="str"/>
      <x:c r="C83" s="10" t="str">
        <x:v>Manifestação artístico-cultural</x:v>
      </x:c>
      <x:c r="D83" s="10" t="str">
        <x:v>Público Mediado</x:v>
      </x:c>
      <x:c r="E83" s="10" t="str">
        <x:v>Midiático</x:v>
      </x:c>
      <x:c r="F83" s="10" t="str">
        <x:v>2013</x:v>
      </x:c>
      <x:c r="G83" s="11" t="n">
        <x:v>2013</x:v>
      </x:c>
      <x:c r="H83" s="10" t="str">
        <x:v>São Paulo</x:v>
      </x:c>
      <x:c r="I83" s="10" t="str">
        <x:v>Rafael Campos Rocha</x:v>
      </x:c>
      <x:c r="J83" s="10" t="str">
        <x:v>Charge por Rafael Campos Rocha</x:v>
      </x:c>
      <x:c r="K83" s="10" t="str">
        <x:v>Bibliográfico</x:v>
      </x:c>
      <x:c r="L83" s="10" t="str">
        <x:v>Texto (digital), Imagem (digital)</x:v>
      </x:c>
      <x:c r="M83" s="10" t="str">
        <x:v>FGV DIREITO SP</x:v>
      </x:c>
      <x:c r="N83" s="10" t="str">
        <x:v>Português, Brasil</x:v>
      </x:c>
      <x:c r="O83" s="10" t="str">
        <x:v>"manifestação solidariedade ao Massacre do Carandiru" no Google</x:v>
      </x:c>
      <x:c r="P83" s="10" t="str">
        <x:v>2025-07-18 00:00:00</x:v>
      </x:c>
      <x:c r="Q83" s="10" t="str">
        <x:v>Aberto</x:v>
      </x:c>
      <x:c r="R83" s="10" t="str">
        <x:v>Aqui</x:v>
      </x:c>
      <x:c r="S83" s="10" t="str">
        <x:v>MACHADO, Maíra Rocha; MACHADO, Marta Rodriguez de Assis (coord.). Carandiru não é coisa do passado [recurso eletrônico]: um balanço sobre os processos, as instituições e as narrativas 23 anos após o massacre. São Paulo: FGV Direito SP, 2015. Disponível em: https://www.santoandre.sp.gov.br/PESQUISA/ebooks/419563.pdf. Acesso em: 20 jul. 2025.</x:v>
      </x:c>
      <x:c r="T83" s="10" t="str">
        <x:v>BR-SPCARANDIRU_MAPEAMENTOS-REMEMORA-CARANDIRU.xlsx</x:v>
      </x:c>
      <x:c r="U83" s="10" t="str">
        <x:v>Geral</x:v>
      </x:c>
      <x:c r="V83" s="11" t="n">
        <x:v>88</x:v>
      </x:c>
      <x:c r="W83" s="10" t="str">
        <x:v>BR-SPCARANDIRU_MAPEAMENTOS-REMEMORA-CARANDIRU.xlsx:Geral:88</x:v>
      </x:c>
      <x:c r="X83" s="11" t="n">
        <x:f>COLUMNS(A83:S83)-COUNTBLANK(A83:S83)</x:f>
        <x:v>18</x:v>
      </x:c>
    </x:row>
    <x:row r="84" ht="24" hidden="0" customHeight="1">
      <x:c r="A84" s="10" t="str">
        <x:v>Reportagem</x:v>
      </x:c>
      <x:c r="B84" s="10" t="str"/>
      <x:c r="C84" s="10" t="str">
        <x:v>Produção midiática</x:v>
      </x:c>
      <x:c r="D84" s="10" t="str">
        <x:v>Público Mediado</x:v>
      </x:c>
      <x:c r="E84" s="10" t="str">
        <x:v>Midiático</x:v>
      </x:c>
      <x:c r="F84" s="10" t="str">
        <x:v>2013</x:v>
      </x:c>
      <x:c r="G84" s="11" t="n">
        <x:v>2013</x:v>
      </x:c>
      <x:c r="H84" s="10" t="str">
        <x:v>Rio de Janeiro</x:v>
      </x:c>
      <x:c r="I84" s="10" t="str">
        <x:v>Rede Globo</x:v>
      </x:c>
      <x:c r="J84" s="10" t="str">
        <x:v>Julgamento do massacre do Carandiru chega à sua reta final.</x:v>
      </x:c>
      <x:c r="K84" s="10" t="str">
        <x:v>Audiovisual</x:v>
      </x:c>
      <x:c r="L84" s="10" t="str">
        <x:v>Vídeo (digital)</x:v>
      </x:c>
      <x:c r="M84" s="10" t="str">
        <x:v>Rede Globo</x:v>
      </x:c>
      <x:c r="N84" s="10" t="str">
        <x:v>Português, Brasil</x:v>
      </x:c>
      <x:c r="O84" s="10" t="str">
        <x:v>Hiperlink (via Site Memória Massacre Carandiru)</x:v>
      </x:c>
      <x:c r="P84" s="10" t="str">
        <x:v>2025-10-17 00:00:00</x:v>
      </x:c>
      <x:c r="Q84" s="10" t="str">
        <x:v>Aberto</x:v>
      </x:c>
      <x:c r="R84" s="10" t="str">
        <x:v>Aqui</x:v>
      </x:c>
      <x:c r="S84" s="10" t="str">
        <x:v>REDE GLOBO. Julgamento do massacre do Carandiru chega à sua reta final. Jornal Nacional, 20 abr. 2013. Disponível em: https://globoplay.globo.com/v/2529069/. Acesso em: 17 out. 2025.</x:v>
      </x:c>
      <x:c r="T84" s="10" t="str">
        <x:v>BR-SPCARANDIRU_MAPEAMENTOS-REMEMORA-CARANDIRU.xlsx</x:v>
      </x:c>
      <x:c r="U84" s="10" t="str">
        <x:v>Geral</x:v>
      </x:c>
      <x:c r="V84" s="11" t="n">
        <x:v>89</x:v>
      </x:c>
      <x:c r="W84" s="10" t="str">
        <x:v>BR-SPCARANDIRU_MAPEAMENTOS-REMEMORA-CARANDIRU.xlsx:Geral:89</x:v>
      </x:c>
      <x:c r="X84" s="11" t="n">
        <x:f>COLUMNS(A84:S84)-COUNTBLANK(A84:S84)</x:f>
        <x:v>18</x:v>
      </x:c>
    </x:row>
    <x:row r="85" ht="24" hidden="0" customHeight="1">
      <x:c r="A85" s="10" t="str">
        <x:v>Protesto</x:v>
      </x:c>
      <x:c r="B85" s="10" t="str"/>
      <x:c r="C85" s="10" t="str"/>
      <x:c r="D85" s="10" t="str">
        <x:v>Público Imediato</x:v>
      </x:c>
      <x:c r="E85" s="10" t="str">
        <x:v>Presencial/Físico</x:v>
      </x:c>
      <x:c r="F85" s="10" t="str">
        <x:v>2014-10-02 00:00:00</x:v>
      </x:c>
      <x:c r="G85" s="11" t="n">
        <x:v>2014</x:v>
      </x:c>
      <x:c r="H85" s="10" t="str">
        <x:v>Praça da Luz</x:v>
      </x:c>
      <x:c r="I85" s="10" t="str">
        <x:v>Mães de Maio e outros.</x:v>
      </x:c>
      <x:c r="J85" s="10" t="str">
        <x:v>28 anos do massacre do Carandiru: álbum da luta por memória e justiça</x:v>
      </x:c>
      <x:c r="K85" s="10" t="str">
        <x:v>Hemerográfico</x:v>
      </x:c>
      <x:c r="L85" s="10" t="str">
        <x:v>Texto (digital), Vídeo (digital), Imagem (digital)</x:v>
      </x:c>
      <x:c r="M85" s="10" t="str">
        <x:v>Quilombo Invisível</x:v>
      </x:c>
      <x:c r="N85" s="10" t="str">
        <x:v>Português, Brasil</x:v>
      </x:c>
      <x:c r="O85" s="10" t="str">
        <x:v>"manifestação solidariedade ao Massacre do Carandiru" no Google</x:v>
      </x:c>
      <x:c r="P85" s="10" t="str">
        <x:v>2025-07-17 00:00:00</x:v>
      </x:c>
      <x:c r="Q85" s="10" t="str">
        <x:v>Aberto</x:v>
      </x:c>
      <x:c r="R85" s="10" t="str">
        <x:v>Aqui</x:v>
      </x:c>
      <x:c r="S85" s="10" t="str">
        <x:v>QUILOMBO INVISÍVEL. 28 anos do massacre do Carandiru: álbum da luta por memória e justiça. Quilombo Invisível, 1 out. 2020. Disponível em: https://quilomboinvisivel.com/2020/10/01/28-anos-do-massacre-carandiru-album-da-luta-por-memoria-e-justica/. Acesso em: 17 jul. 2025.</x:v>
      </x:c>
      <x:c r="T85" s="10" t="str">
        <x:v>BR-SPCARANDIRU_MAPEAMENTOS-REMEMORA-CARANDIRU.xlsx</x:v>
      </x:c>
      <x:c r="U85" s="10" t="str">
        <x:v>Geral</x:v>
      </x:c>
      <x:c r="V85" s="11" t="n">
        <x:v>90</x:v>
      </x:c>
      <x:c r="W85" s="10" t="str">
        <x:v>BR-SPCARANDIRU_MAPEAMENTOS-REMEMORA-CARANDIRU.xlsx:Geral:90</x:v>
      </x:c>
      <x:c r="X85" s="11" t="n">
        <x:f>COLUMNS(A85:S85)-COUNTBLANK(A85:S85)</x:f>
        <x:v>17</x:v>
      </x:c>
    </x:row>
    <x:row r="86" ht="24" hidden="0" customHeight="1">
      <x:c r="A86" s="10" t="str">
        <x:v>Manifestação</x:v>
      </x:c>
      <x:c r="B86" s="10" t="str"/>
      <x:c r="C86" s="10" t="str"/>
      <x:c r="D86" s="10" t="str">
        <x:v>Público Imediato</x:v>
      </x:c>
      <x:c r="E86" s="10" t="str">
        <x:v>Presencial/Físico</x:v>
      </x:c>
      <x:c r="F86" s="10" t="str">
        <x:v>2014-10-02 00:00:00</x:v>
      </x:c>
      <x:c r="G86" s="11" t="n">
        <x:v>2014</x:v>
      </x:c>
      <x:c r="H86" s="10" t="str">
        <x:v>Em frente à Estação da Luz</x:v>
      </x:c>
      <x:c r="I86" s="10" t="str">
        <x:v>Mães de Maio, Rede 2 de Outubro e familiares</x:v>
      </x:c>
      <x:c r="J86" s="10" t="str">
        <x:v>Manifestação lembra 22 anos do Massacre do Carandiru (1)</x:v>
      </x:c>
      <x:c r="K86" s="10" t="str">
        <x:v>Hemerográfico</x:v>
      </x:c>
      <x:c r="L86" s="10" t="str">
        <x:v>Texto (digital), Imagem (digital)</x:v>
      </x:c>
      <x:c r="M86" s="10" t="str">
        <x:v>Agência Brasil</x:v>
      </x:c>
      <x:c r="N86" s="10" t="str">
        <x:v>Português, Brasil</x:v>
      </x:c>
      <x:c r="O86" s="10" t="str">
        <x:v>"manifestação solidariedade ao Massacre do Carandiru" no Google</x:v>
      </x:c>
      <x:c r="P86" s="10" t="str">
        <x:v>2025-07-16 00:00:00</x:v>
      </x:c>
      <x:c r="Q86" s="10" t="str">
        <x:v>Aberto</x:v>
      </x:c>
      <x:c r="R86" s="10" t="str">
        <x:v>Aqui</x:v>
      </x:c>
      <x:c r="S86" s="10" t="str">
        <x:v>MELLO, Daniel. Manifestação lembra 22 anos do Massacre do Carandiru (1). Agência Brasil, 3 out. 2014. Disponível em: https://agenciabrasil.ebc.com.br/direitos-humanos/noticia/2014-10/manifestacao-lembra-22-anos-do-massacre-do-carandiru. Acesso em: 17 jul. 2025.</x:v>
      </x:c>
      <x:c r="T86" s="10" t="str">
        <x:v>BR-SPCARANDIRU_MAPEAMENTOS-REMEMORA-CARANDIRU.xlsx</x:v>
      </x:c>
      <x:c r="U86" s="10" t="str">
        <x:v>Geral</x:v>
      </x:c>
      <x:c r="V86" s="11" t="n">
        <x:v>91</x:v>
      </x:c>
      <x:c r="W86" s="10" t="str">
        <x:v>BR-SPCARANDIRU_MAPEAMENTOS-REMEMORA-CARANDIRU.xlsx:Geral:91</x:v>
      </x:c>
      <x:c r="X86" s="11" t="n">
        <x:f>COLUMNS(A86:S86)-COUNTBLANK(A86:S86)</x:f>
        <x:v>17</x:v>
      </x:c>
    </x:row>
    <x:row r="87" ht="48" hidden="0" customHeight="1">
      <x:c r="A87" s="10" t="str">
        <x:v>Ato</x:v>
      </x:c>
      <x:c r="B87" s="10" t="str"/>
      <x:c r="C87" s="10" t="str"/>
      <x:c r="D87" s="10" t="str">
        <x:v>Público Imediato</x:v>
      </x:c>
      <x:c r="E87" s="10" t="str">
        <x:v>Presencial/Físico</x:v>
      </x:c>
      <x:c r="F87" s="10" t="str">
        <x:v>2014-10-02 00:00:00</x:v>
      </x:c>
      <x:c r="G87" s="11" t="n">
        <x:v>2014</x:v>
      </x:c>
      <x:c r="H87" s="10" t="str">
        <x:v>Praça da Luz</x:v>
      </x:c>
      <x:c r="I87" s="10" t="str">
        <x:v>Mães de Maio e outras 16 organizações confirmaram a participação no ato, entre eles o Movimento Passe Livre e a Rede 2 de Outubro.</x:v>
      </x:c>
      <x:c r="J87" s="10" t="str">
        <x:v>Em ato no Centro, grupo relembra massacre do Carandiru</x:v>
      </x:c>
      <x:c r="K87" s="10" t="str">
        <x:v>Hemerográfico</x:v>
      </x:c>
      <x:c r="L87" s="10" t="str">
        <x:v>Texto (digital), Imagem (digital)</x:v>
      </x:c>
      <x:c r="M87" s="10" t="str">
        <x:v>G1</x:v>
      </x:c>
      <x:c r="N87" s="10" t="str">
        <x:v>Português, Brasil</x:v>
      </x:c>
      <x:c r="O87" s="10" t="str">
        <x:v>"manifestação solidariedade ao Massacre do Carandiru" no Google</x:v>
      </x:c>
      <x:c r="P87" s="10" t="str">
        <x:v>2025-07-16 00:00:00</x:v>
      </x:c>
      <x:c r="Q87" s="10" t="str">
        <x:v>Aberto</x:v>
      </x:c>
      <x:c r="R87" s="10" t="str">
        <x:v>Aqui</x:v>
      </x:c>
      <x:c r="S87" s="10" t="str">
        <x:v>G1. Em ato no Centro, grupo relembra massacre do Carandiru. G1, 2 out. 2014. Disponível em: https://g1.globo.com/sao-paulo/noticia/2014/10/em-ato-no-centro-grupo-relembra-massacre-do-carandiru.html. Acesso em: 16 jul. 2025.</x:v>
      </x:c>
      <x:c r="T87" s="10" t="str">
        <x:v>BR-SPCARANDIRU_MAPEAMENTOS-REMEMORA-CARANDIRU.xlsx</x:v>
      </x:c>
      <x:c r="U87" s="10" t="str">
        <x:v>Geral</x:v>
      </x:c>
      <x:c r="V87" s="11" t="n">
        <x:v>92</x:v>
      </x:c>
      <x:c r="W87" s="10" t="str">
        <x:v>BR-SPCARANDIRU_MAPEAMENTOS-REMEMORA-CARANDIRU.xlsx:Geral:92</x:v>
      </x:c>
      <x:c r="X87" s="11" t="n">
        <x:f>COLUMNS(A87:S87)-COUNTBLANK(A87:S87)</x:f>
        <x:v>17</x:v>
      </x:c>
    </x:row>
    <x:row r="88" ht="48" hidden="0" customHeight="1">
      <x:c r="A88" s="10" t="str">
        <x:v>Manifestação</x:v>
      </x:c>
      <x:c r="B88" s="10" t="str"/>
      <x:c r="C88" s="10" t="str"/>
      <x:c r="D88" s="10" t="str">
        <x:v>Público Imediato</x:v>
      </x:c>
      <x:c r="E88" s="10" t="str">
        <x:v>Presencial/Físico</x:v>
      </x:c>
      <x:c r="F88" s="10" t="str">
        <x:v>2014-10-03 00:00:00</x:v>
      </x:c>
      <x:c r="G88" s="11" t="n">
        <x:v>2014</x:v>
      </x:c>
      <x:c r="H88" s="10" t="str">
        <x:v>Percorreram o centro de São Paulo e sede da Fundação Casa (antiga Febem)</x:v>
      </x:c>
      <x:c r="I88" s="10" t="str">
        <x:v>Movimentos sociais e de direitos humanos; Diretamente citados: Movimento Mães de Maio, Coletivo Perifatividade, Pastoral Carcerária do Estado de São Paulo.</x:v>
      </x:c>
      <x:c r="J88" s="10" t="str">
        <x:v>Manifestação lembra 22 anos do massacre do Carandiru (2)</x:v>
      </x:c>
      <x:c r="K88" s="10" t="str">
        <x:v>Audiovisual</x:v>
      </x:c>
      <x:c r="L88" s="10" t="str">
        <x:v>Vídeo (digital)</x:v>
      </x:c>
      <x:c r="M88" s="10" t="str">
        <x:v>YouTube (Rede TVT)</x:v>
      </x:c>
      <x:c r="N88" s="10" t="str">
        <x:v>Português, Brasil</x:v>
      </x:c>
      <x:c r="O88" s="10" t="str">
        <x:v>"manifestação solidariedade ao Massacre do Carandiru" no Google</x:v>
      </x:c>
      <x:c r="P88" s="10" t="str">
        <x:v>2025-07-16 00:00:00</x:v>
      </x:c>
      <x:c r="Q88" s="10" t="str">
        <x:v>Aberto</x:v>
      </x:c>
      <x:c r="R88" s="10" t="str">
        <x:v>Aqui</x:v>
      </x:c>
      <x:c r="S88" s="10" t="str">
        <x:v>MIYAGUI, Jô. Manifestação lembra 22 anos do massacre do Carandiru (2). Rede TVT [YouTube], publicado em: 3 out. 2014. Disponível em: https://www.youtube.com/watch?v=TqJgTHxTHp8. Acesso em: 16 jul. 2025.</x:v>
      </x:c>
      <x:c r="T88" s="10" t="str">
        <x:v>BR-SPCARANDIRU_MAPEAMENTOS-REMEMORA-CARANDIRU.xlsx</x:v>
      </x:c>
      <x:c r="U88" s="10" t="str">
        <x:v>Geral</x:v>
      </x:c>
      <x:c r="V88" s="11" t="n">
        <x:v>93</x:v>
      </x:c>
      <x:c r="W88" s="10" t="str">
        <x:v>BR-SPCARANDIRU_MAPEAMENTOS-REMEMORA-CARANDIRU.xlsx:Geral:93</x:v>
      </x:c>
      <x:c r="X88" s="11" t="n">
        <x:f>COLUMNS(A88:S88)-COUNTBLANK(A88:S88)</x:f>
        <x:v>17</x:v>
      </x:c>
    </x:row>
    <x:row r="89" ht="24" hidden="0" customHeight="1">
      <x:c r="A89" s="10" t="str">
        <x:v>Exposição</x:v>
      </x:c>
      <x:c r="B89" s="10" t="str"/>
      <x:c r="C89" s="10" t="str">
        <x:v>Manifestação artístico-cultural</x:v>
      </x:c>
      <x:c r="D89" s="10" t="str">
        <x:v>Público Imediato</x:v>
      </x:c>
      <x:c r="E89" s="10" t="str">
        <x:v>Presencial/Físico</x:v>
      </x:c>
      <x:c r="F89" s="10" t="str">
        <x:v>2014-12-09 00:00:00</x:v>
      </x:c>
      <x:c r="G89" s="11" t="n">
        <x:v>2014</x:v>
      </x:c>
      <x:c r="H89" s="10" t="str">
        <x:v>Avenida Cruzeiro do Sul, 2630 - Carandiru (Entrada do Parque da Juventude)</x:v>
      </x:c>
      <x:c r="I89" s="10" t="str">
        <x:v>EMC Espaço Memória Carandiru e Maureen Bisilliat</x:v>
      </x:c>
      <x:c r="J89" s="10" t="str">
        <x:v>Exposição Temporária: Casas do Brasil 2014 – SOBREVIVÊNCIAS/ uma exposição Sobre Vivências: Carandiru</x:v>
      </x:c>
      <x:c r="K89" s="10" t="str">
        <x:v>Textual</x:v>
      </x:c>
      <x:c r="L89" s="10" t="str">
        <x:v>Texto (digital), Imagem (digital)</x:v>
      </x:c>
      <x:c r="M89" s="10" t="str">
        <x:v>Casas Do Brasil 2014 – Sobrevivências: Uma Exposição Sobre Vivências: Carandiru</x:v>
      </x:c>
      <x:c r="N89" s="10" t="str">
        <x:v>Português, Brasil</x:v>
      </x:c>
      <x:c r="O89" s="10" t="str">
        <x:v>"manifestação solidariedade ao Massacre do Carandiru" no Google</x:v>
      </x:c>
      <x:c r="P89" s="10" t="str">
        <x:v>2025-07-16 00:00:00</x:v>
      </x:c>
      <x:c r="Q89" s="10" t="str">
        <x:v>Aberto</x:v>
      </x:c>
      <x:c r="R89" s="10" t="str">
        <x:v>Aqui</x:v>
      </x:c>
      <x:c r="S89" s="10" t="str">
        <x:v>CASAS DO BRASIL 2014 – SOBREVIVÊNCIAS: uma exposição sobre vivências: Carandiru. MCB, 05 jan. 2015. ArchDaily. Disponível em: &lt;https://www.archdaily.com.br/br/759831/casas-do-brasil-2014-nil-sobrevivencias-uma-exposicao-sobre-vivencias-carandiru&gt;. Acesso em: 04 jul. 2026.</x:v>
      </x:c>
      <x:c r="T89" s="10" t="str">
        <x:v>BR-SPCARANDIRU_MAPEAMENTOS-REMEMORA-CARANDIRU.xlsx</x:v>
      </x:c>
      <x:c r="U89" s="10" t="str">
        <x:v>Geral</x:v>
      </x:c>
      <x:c r="V89" s="11" t="n">
        <x:v>94</x:v>
      </x:c>
      <x:c r="W89" s="10" t="str">
        <x:v>BR-SPCARANDIRU_MAPEAMENTOS-REMEMORA-CARANDIRU.xlsx:Geral:94</x:v>
      </x:c>
      <x:c r="X89" s="11" t="n">
        <x:f>COLUMNS(A89:S89)-COUNTBLANK(A89:S89)</x:f>
        <x:v>18</x:v>
      </x:c>
    </x:row>
    <x:row r="90" ht="24" hidden="0" customHeight="1">
      <x:c r="A90" s="10" t="str">
        <x:v>Documentário</x:v>
      </x:c>
      <x:c r="B90" s="10" t="str"/>
      <x:c r="C90" s="10" t="str">
        <x:v>Manifestação artístico-cultural</x:v>
      </x:c>
      <x:c r="D90" s="10" t="str">
        <x:v>Público Mediado</x:v>
      </x:c>
      <x:c r="E90" s="10" t="str">
        <x:v>Midiático</x:v>
      </x:c>
      <x:c r="F90" s="10" t="str">
        <x:v>2014-03-24 00:00:00</x:v>
      </x:c>
      <x:c r="G90" s="11" t="n">
        <x:v>2014</x:v>
      </x:c>
      <x:c r="H90" s="10" t="str">
        <x:v>São Paulo</x:v>
      </x:c>
      <x:c r="I90" s="10" t="str">
        <x:v>Rede Record</x:v>
      </x:c>
      <x:c r="J90" s="10" t="str">
        <x:v>Gil Gomes conta fatos inéditos do massacre no Carandiru</x:v>
      </x:c>
      <x:c r="K90" s="10" t="str">
        <x:v>Audiovisual</x:v>
      </x:c>
      <x:c r="L90" s="10" t="str">
        <x:v>Vídeo (digital)</x:v>
      </x:c>
      <x:c r="M90" s="10" t="str">
        <x:v>YouTube (José Luiz)</x:v>
      </x:c>
      <x:c r="N90" s="10" t="str">
        <x:v>Português, Brasil</x:v>
      </x:c>
      <x:c r="O90" s="10" t="str">
        <x:v>"manifestação solidariedade ao Massacre do Carandiru" no Google</x:v>
      </x:c>
      <x:c r="P90" s="10" t="str">
        <x:v>2025-10-10 00:00:00</x:v>
      </x:c>
      <x:c r="Q90" s="10" t="str">
        <x:v>Aberto</x:v>
      </x:c>
      <x:c r="R90" s="10" t="str">
        <x:v>Aqui</x:v>
      </x:c>
      <x:c r="S90" s="10" t="str">
        <x:v>LUIZ, José. Gil Gomes conta fatos inéditos do massacre no Carandiru. [Documentário]. Corte do programa Domingo Espetacular, Rede Record. YouTube, 24 mar. 2014. Disponível em: https://www.youtube.com/watch?v=7P54HXQ4ITQ. Acesso em: 10 out. 2025.</x:v>
      </x:c>
      <x:c r="T90" s="10" t="str">
        <x:v>BR-SPCARANDIRU_MAPEAMENTOS-REMEMORA-CARANDIRU.xlsx</x:v>
      </x:c>
      <x:c r="U90" s="10" t="str">
        <x:v>Geral</x:v>
      </x:c>
      <x:c r="V90" s="11" t="n">
        <x:v>95</x:v>
      </x:c>
      <x:c r="W90" s="10" t="str">
        <x:v>BR-SPCARANDIRU_MAPEAMENTOS-REMEMORA-CARANDIRU.xlsx:Geral:95</x:v>
      </x:c>
      <x:c r="X90" s="11" t="n">
        <x:f>COLUMNS(A90:S90)-COUNTBLANK(A90:S90)</x:f>
        <x:v>18</x:v>
      </x:c>
    </x:row>
    <x:row r="91" ht="24" hidden="0" customHeight="1">
      <x:c r="A91" s="10" t="str">
        <x:v>Documento</x:v>
      </x:c>
      <x:c r="B91" s="10" t="str"/>
      <x:c r="C91" s="10" t="str"/>
      <x:c r="D91" s="10" t="str"/>
      <x:c r="E91" s="10" t="str"/>
      <x:c r="F91" s="10" t="str">
        <x:v>2014</x:v>
      </x:c>
      <x:c r="G91" s="11" t="n">
        <x:v>2014</x:v>
      </x:c>
      <x:c r="H91" s="10" t="str">
        <x:v>São Paulo</x:v>
      </x:c>
      <x:c r="I91" s="10" t="str">
        <x:v>Autoria desconhecida</x:v>
      </x:c>
      <x:c r="J91" s="10" t="str">
        <x:v>Nome das 111 vítimas</x:v>
      </x:c>
      <x:c r="K91" s="10" t="str">
        <x:v>Textual</x:v>
      </x:c>
      <x:c r="L91" s="10" t="str">
        <x:v>Texto (digital)</x:v>
      </x:c>
      <x:c r="M91" s="10" t="str">
        <x:v>Memória Massacre Carandiru</x:v>
      </x:c>
      <x:c r="N91" s="10" t="str">
        <x:v>Português, Brasil</x:v>
      </x:c>
      <x:c r="O91" s="10" t="str">
        <x:v>"manifestação solidariedade ao Massacre do Carandiru" no Google</x:v>
      </x:c>
      <x:c r="P91" s="10" t="str">
        <x:v>2025-10-10 00:00:00</x:v>
      </x:c>
      <x:c r="Q91" s="10" t="str">
        <x:v>Aberto</x:v>
      </x:c>
      <x:c r="R91" s="10" t="str">
        <x:v>Aqui</x:v>
      </x:c>
      <x:c r="S91" s="10" t="str">
        <x:v>AUTORIA DESCONHECIDA. Nome das 111 vítimas. Fotografia. Acervo: Núcleo de Estudos do Crime e da Pena da FGV SP. [Documento] Memória Massacre Carandiru, 2014. Disponível em: https://www.massacrecarandiru.org.br/documento/LN3ySv8JTvZakHsY4. Acesso em: 10 out. 2025.</x:v>
      </x:c>
      <x:c r="T91" s="10" t="str">
        <x:v>BR-SPCARANDIRU_MAPEAMENTOS-REMEMORA-CARANDIRU.xlsx</x:v>
      </x:c>
      <x:c r="U91" s="10" t="str">
        <x:v>Geral</x:v>
      </x:c>
      <x:c r="V91" s="11" t="n">
        <x:v>96</x:v>
      </x:c>
      <x:c r="W91" s="10" t="str">
        <x:v>BR-SPCARANDIRU_MAPEAMENTOS-REMEMORA-CARANDIRU.xlsx:Geral:96</x:v>
      </x:c>
      <x:c r="X91" s="11" t="n">
        <x:f>COLUMNS(A91:S91)-COUNTBLANK(A91:S91)</x:f>
        <x:v>15</x:v>
      </x:c>
    </x:row>
    <x:row r="92" ht="84" hidden="0" customHeight="1">
      <x:c r="A92" s="10" t="str">
        <x:v>Coletiva de imprensa</x:v>
      </x:c>
      <x:c r="B92" s="10" t="str"/>
      <x:c r="C92" s="10" t="str"/>
      <x:c r="D92" s="10" t="str">
        <x:v>Público Imediato</x:v>
      </x:c>
      <x:c r="E92" s="10" t="str">
        <x:v>Presencial/Físico</x:v>
      </x:c>
      <x:c r="F92" s="10" t="str">
        <x:v>2015-10-03 00:00:00</x:v>
      </x:c>
      <x:c r="G92" s="11" t="n">
        <x:v>2015</x:v>
      </x:c>
      <x:c r="H92" s="10" t="str">
        <x:v>Faculdade de Direito da Universidade de São Paulo, Secretária Estadual de Segurança Pública, Praça da Sé, Fórum João Mendes, Páteo do Colégio, Praça do Correio e DOPS.</x:v>
      </x:c>
      <x:c r="I92" s="10" t="str">
        <x:v>Imprensa: Rede Gazeta e TV Brasil. Movimentos sociais: Mães de Maio, Mães do Cárcere, Pastoral Carcerária, Movimento Passe Livre, Frente Negra Contra o Genocídio, Movimento Revolucionário de Trabalhadores (MRT), Grupo de Mulheres Pão e Rosas, Kilombagem e outros.</x:v>
      </x:c>
      <x:c r="J92" s="10" t="str">
        <x:v>Violência Policial 23 anos do Massacre do Carandiru: luto e luta contra a impunidade</x:v>
      </x:c>
      <x:c r="K92" s="10" t="str">
        <x:v>Hemerográfico</x:v>
      </x:c>
      <x:c r="L92" s="10" t="str">
        <x:v>Texto (digital), Imagem (digital)</x:v>
      </x:c>
      <x:c r="M92" s="10" t="str">
        <x:v>EMC Espaço Memória Carandiru</x:v>
      </x:c>
      <x:c r="N92" s="10" t="str">
        <x:v>Português, Brasil</x:v>
      </x:c>
      <x:c r="O92" s="10" t="str">
        <x:v>"manifestação solidariedade ao Massacre do Carandiru" no Google</x:v>
      </x:c>
      <x:c r="P92" s="10" t="str">
        <x:v>2025-07-16 00:00:00</x:v>
      </x:c>
      <x:c r="Q92" s="10" t="str">
        <x:v>Aberto</x:v>
      </x:c>
      <x:c r="R92" s="10" t="str">
        <x:v>Aqui</x:v>
      </x:c>
      <x:c r="S92" s="10" t="str">
        <x:v>EMC ESPAÇO MEMÓRIA CARANDIRU. Exposição Temporária: Casas do Brasil 2014 – SOBREVIVÊNCIAS / uma exposição Sobre Vivências: Carandiru. EMC Espaço Memória Carandiru, 9 dez. 2014. Disponível em: https://memoriacarandiru.wordpress.com/exposicoes-intinerantes/. Acesso em: 16 jul. 2025.</x:v>
      </x:c>
      <x:c r="T92" s="10" t="str">
        <x:v>BR-SPCARANDIRU_MAPEAMENTOS-REMEMORA-CARANDIRU.xlsx</x:v>
      </x:c>
      <x:c r="U92" s="10" t="str">
        <x:v>Geral</x:v>
      </x:c>
      <x:c r="V92" s="11" t="n">
        <x:v>97</x:v>
      </x:c>
      <x:c r="W92" s="10" t="str">
        <x:v>BR-SPCARANDIRU_MAPEAMENTOS-REMEMORA-CARANDIRU.xlsx:Geral:97</x:v>
      </x:c>
      <x:c r="X92" s="11" t="n">
        <x:f>COLUMNS(A92:S92)-COUNTBLANK(A92:S92)</x:f>
        <x:v>17</x:v>
      </x:c>
    </x:row>
    <x:row r="93" ht="15" hidden="0" customHeight="1">
      <x:c r="A93" s="10" t="str">
        <x:v>Documentário</x:v>
      </x:c>
      <x:c r="B93" s="10" t="str"/>
      <x:c r="C93" s="10" t="str">
        <x:v>Manifestação artístico-cultural</x:v>
      </x:c>
      <x:c r="D93" s="10" t="str">
        <x:v>Público Mediado</x:v>
      </x:c>
      <x:c r="E93" s="10" t="str">
        <x:v>Midiático</x:v>
      </x:c>
      <x:c r="F93" s="10" t="str">
        <x:v>2015-09-15 00:00:00</x:v>
      </x:c>
      <x:c r="G93" s="11" t="n">
        <x:v>2015</x:v>
      </x:c>
      <x:c r="H93" s="10" t="str">
        <x:v>Não especificado</x:v>
      </x:c>
      <x:c r="I93" s="10" t="str">
        <x:v>Canal "Drauzio Varella"</x:v>
      </x:c>
      <x:c r="J93" s="10" t="str">
        <x:v>Deus e o Diabo em Cima da Muralha. Drauzio Varella.</x:v>
      </x:c>
      <x:c r="K93" s="10" t="str">
        <x:v>Audiovisual</x:v>
      </x:c>
      <x:c r="L93" s="10" t="str">
        <x:v>Vídeo (digital)</x:v>
      </x:c>
      <x:c r="M93" s="10" t="str">
        <x:v>YouTube (Drauzio Varella)</x:v>
      </x:c>
      <x:c r="N93" s="10" t="str">
        <x:v>Português, Brasil</x:v>
      </x:c>
      <x:c r="O93" s="10" t="str">
        <x:v>"Massacre do Carandiru" no Youtube</x:v>
      </x:c>
      <x:c r="P93" s="10" t="str">
        <x:v>2025-10-16 00:00:00</x:v>
      </x:c>
      <x:c r="Q93" s="10" t="str">
        <x:v>Aberto</x:v>
      </x:c>
      <x:c r="R93" s="10" t="str">
        <x:v>Aqui</x:v>
      </x:c>
      <x:c r="S93" s="10" t="str">
        <x:v>DRAUZIO VARELLA. Deus e o Diabo em Cima da Muralha. Drauzio Varella. YouTube, 54 min 32 s, 2015. Disponível em: https://www.youtube.com/watch?v=VbTMV1-0BTk. Acesso em: 19 jul. 2025.</x:v>
      </x:c>
      <x:c r="T93" s="10" t="str">
        <x:v>BR-SPCARANDIRU_MAPEAMENTOS-REMEMORA-CARANDIRU.xlsx</x:v>
      </x:c>
      <x:c r="U93" s="10" t="str">
        <x:v>Geral</x:v>
      </x:c>
      <x:c r="V93" s="11" t="n">
        <x:v>98</x:v>
      </x:c>
      <x:c r="W93" s="10" t="str">
        <x:v>BR-SPCARANDIRU_MAPEAMENTOS-REMEMORA-CARANDIRU.xlsx:Geral:98</x:v>
      </x:c>
      <x:c r="X93" s="11" t="n">
        <x:f>COLUMNS(A93:S93)-COUNTBLANK(A93:S93)</x:f>
        <x:v>18</x:v>
      </x:c>
    </x:row>
    <x:row r="94" ht="36" hidden="0" customHeight="1">
      <x:c r="A94" s="10" t="str">
        <x:v>Ato</x:v>
      </x:c>
      <x:c r="B94" s="10" t="str"/>
      <x:c r="C94" s="10" t="str"/>
      <x:c r="D94" s="10" t="str">
        <x:v>Público Imediato</x:v>
      </x:c>
      <x:c r="E94" s="10" t="str">
        <x:v>Presencial/Físico</x:v>
      </x:c>
      <x:c r="F94" s="10" t="str">
        <x:v>2016</x:v>
      </x:c>
      <x:c r="G94" s="11" t="n">
        <x:v>2016</x:v>
      </x:c>
      <x:c r="H94" s="10" t="str">
        <x:v>Não especificado</x:v>
      </x:c>
      <x:c r="I94" s="10" t="str">
        <x:v>Movimentos sociais</x:v>
      </x:c>
      <x:c r="J94" s="10" t="str">
        <x:v>Massacre do Carandiru completa 29 anos sem nenhum agente de segurança responsabilizado</x:v>
      </x:c>
      <x:c r="K94" s="10" t="str">
        <x:v>Hemerográfico</x:v>
      </x:c>
      <x:c r="L94" s="10" t="str">
        <x:v>Texto (digital), Imagem (digital)</x:v>
      </x:c>
      <x:c r="M94" s="10" t="str">
        <x:v>Brasil de Fato</x:v>
      </x:c>
      <x:c r="N94" s="10" t="str">
        <x:v>Português, Brasil</x:v>
      </x:c>
      <x:c r="O94" s="10" t="str">
        <x:v>"manifestação solidariedade ao Massacre do Carandiru" no Google</x:v>
      </x:c>
      <x:c r="P94" s="10" t="str">
        <x:v>2025-07-16 00:00:00</x:v>
      </x:c>
      <x:c r="Q94" s="10" t="str">
        <x:v>Aberto</x:v>
      </x:c>
      <x:c r="R94" s="10" t="str">
        <x:v>Aqui</x:v>
      </x:c>
      <x:c r="S94" s="10" t="str">
        <x:v>BRASIL DE FATO. Movimentos sociais promovem ato para relembrar, vinte e quatro anos depois, o massacre do Carandiru – Sérgio Silva/Ponte Jornalismo. In: Massacre do Carandiru completa 29 anos sem nenhum agente de segurança responsabilizado. Brasil de Fato, 2 out. 2021. Disponível em: https://www.brasildefato.com.br/2021/10/02/massacre-do-carandiru-completa-29-anos-sem-nenhum-agente-de-seguranca-responsabilizado/. Acesso em: 16 jul. 2025.</x:v>
      </x:c>
      <x:c r="T94" s="10" t="str">
        <x:v>BR-SPCARANDIRU_MAPEAMENTOS-REMEMORA-CARANDIRU.xlsx</x:v>
      </x:c>
      <x:c r="U94" s="10" t="str">
        <x:v>Geral</x:v>
      </x:c>
      <x:c r="V94" s="11" t="n">
        <x:v>99</x:v>
      </x:c>
      <x:c r="W94" s="10" t="str">
        <x:v>BR-SPCARANDIRU_MAPEAMENTOS-REMEMORA-CARANDIRU.xlsx:Geral:99</x:v>
      </x:c>
      <x:c r="X94" s="11" t="n">
        <x:f>COLUMNS(A94:S94)-COUNTBLANK(A94:S94)</x:f>
        <x:v>17</x:v>
      </x:c>
    </x:row>
    <x:row r="95" ht="24" hidden="0" customHeight="1">
      <x:c r="A95" s="10" t="str">
        <x:v>Protesto</x:v>
      </x:c>
      <x:c r="B95" s="10" t="str"/>
      <x:c r="C95" s="10" t="str"/>
      <x:c r="D95" s="10" t="str">
        <x:v>Público Imediato</x:v>
      </x:c>
      <x:c r="E95" s="10" t="str">
        <x:v>Presencial/Físico</x:v>
      </x:c>
      <x:c r="F95" s="10" t="str">
        <x:v>2016-11-06 00:00:00</x:v>
      </x:c>
      <x:c r="G95" s="11" t="n">
        <x:v>2016</x:v>
      </x:c>
      <x:c r="H95" s="10" t="str">
        <x:v>Casa do Povo, Bom Retiro, SP</x:v>
      </x:c>
      <x:c r="I95" s="10" t="str">
        <x:v>Mães de Maio, Rede 02 de outubro</x:v>
      </x:c>
      <x:c r="J95" s="10" t="str">
        <x:v>24 anos do Massacre do Carandiru é lembrado em ato</x:v>
      </x:c>
      <x:c r="K95" s="10" t="str">
        <x:v>Textual, Iconográfico</x:v>
      </x:c>
      <x:c r="L95" s="10" t="str">
        <x:v>Texto (digital), Imagem (digital)</x:v>
      </x:c>
      <x:c r="M95" s="10" t="str">
        <x:v>Pastoral Carcerária</x:v>
      </x:c>
      <x:c r="N95" s="10" t="str">
        <x:v>Português, Brasil</x:v>
      </x:c>
      <x:c r="O95" s="10" t="str">
        <x:v>Hiperlink</x:v>
      </x:c>
      <x:c r="P95" s="10" t="str">
        <x:v>2025-07-15 00:00:00</x:v>
      </x:c>
      <x:c r="Q95" s="10" t="str">
        <x:v>Aberto</x:v>
      </x:c>
      <x:c r="R95" s="10" t="str">
        <x:v>Aqui</x:v>
      </x:c>
      <x:c r="S95" s="10" t="str">
        <x:v>PASTORAL CARCERÁRIA (CNBB). 24 anos do Massacre do Carandiru é lembrado em ato. Pastoral Carcerária, 7 out. 2016. Disponível em: https://carceraria.org.br/combate-e-prevencao-a-tortura/24-anos-do-massacre-do-carandiru-e-lembrado-em-ato. Acesso em: 17 jul. 2025.</x:v>
      </x:c>
      <x:c r="T95" s="10" t="str">
        <x:v>BR-SPCARANDIRU_MAPEAMENTOS-REMEMORA-CARANDIRU.xlsx</x:v>
      </x:c>
      <x:c r="U95" s="10" t="str">
        <x:v>Geral</x:v>
      </x:c>
      <x:c r="V95" s="11" t="n">
        <x:v>100</x:v>
      </x:c>
      <x:c r="W95" s="10" t="str">
        <x:v>BR-SPCARANDIRU_MAPEAMENTOS-REMEMORA-CARANDIRU.xlsx:Geral:100</x:v>
      </x:c>
      <x:c r="X95" s="11" t="n">
        <x:f>COLUMNS(A95:S95)-COUNTBLANK(A95:S95)</x:f>
        <x:v>17</x:v>
      </x:c>
    </x:row>
    <x:row r="96" ht="24" hidden="0" customHeight="1">
      <x:c r="A96" s="10" t="str">
        <x:v>Protesto</x:v>
      </x:c>
      <x:c r="B96" s="10" t="str"/>
      <x:c r="C96" s="10" t="str"/>
      <x:c r="D96" s="10" t="str">
        <x:v>Público Imediato</x:v>
      </x:c>
      <x:c r="E96" s="10" t="str">
        <x:v>Presencial/Físico</x:v>
      </x:c>
      <x:c r="F96" s="10" t="str">
        <x:v>2016-11-02 00:00:00</x:v>
      </x:c>
      <x:c r="G96" s="11" t="n">
        <x:v>2016</x:v>
      </x:c>
      <x:c r="H96" s="10" t="str">
        <x:v>Praça da Alfândega, SP</x:v>
      </x:c>
      <x:c r="I96" s="10" t="str">
        <x:v>Edson Souza (Professor da UFRGS), Nuno Ramos e outros 23 artistas</x:v>
      </x:c>
      <x:c r="J96" s="10" t="str">
        <x:v>Manifestantes fazem ato na Praça da Alfândega em memória das vítimas do massacre do Carandiru</x:v>
      </x:c>
      <x:c r="K96" s="10" t="str">
        <x:v>Hemerográfico</x:v>
      </x:c>
      <x:c r="L96" s="10" t="str">
        <x:v>Texto (digital), Imagem (digital)</x:v>
      </x:c>
      <x:c r="M96" s="10" t="str">
        <x:v>GZH</x:v>
      </x:c>
      <x:c r="N96" s="10" t="str">
        <x:v>Português, Brasil</x:v>
      </x:c>
      <x:c r="O96" s="10" t="str">
        <x:v>Hiperlink</x:v>
      </x:c>
      <x:c r="P96" s="10" t="str">
        <x:v>2025-07-15 00:00:00</x:v>
      </x:c>
      <x:c r="Q96" s="10" t="str">
        <x:v>Aberto</x:v>
      </x:c>
      <x:c r="R96" s="10" t="str">
        <x:v>Aqui</x:v>
      </x:c>
      <x:c r="S96" s="10" t="str">
        <x:v>GZH. Manifestantes fazem ato na Praça da Alfândega em memória das vítimas do massacre do Carandiru. GZH, 2 nov. 2016. Disponível em: https://gauchazh.clicrbs.com.br/cultura-e-lazer/livros/noticia/2016/11/manifestantes-fazem-ato-na-praca-da-alfandega-em-memoria-das-vitimas-do-massacre-do-carandiru-8127355.html. Acesso em: 17 jul. 2025.</x:v>
      </x:c>
      <x:c r="T96" s="10" t="str">
        <x:v>BR-SPCARANDIRU_MAPEAMENTOS-REMEMORA-CARANDIRU.xlsx</x:v>
      </x:c>
      <x:c r="U96" s="10" t="str">
        <x:v>Geral</x:v>
      </x:c>
      <x:c r="V96" s="11" t="n">
        <x:v>101</x:v>
      </x:c>
      <x:c r="W96" s="10" t="str">
        <x:v>BR-SPCARANDIRU_MAPEAMENTOS-REMEMORA-CARANDIRU.xlsx:Geral:101</x:v>
      </x:c>
      <x:c r="X96" s="11" t="n">
        <x:f>COLUMNS(A96:S96)-COUNTBLANK(A96:S96)</x:f>
        <x:v>17</x:v>
      </x:c>
    </x:row>
    <x:row r="97" ht="24" hidden="0" customHeight="1">
      <x:c r="A97" s="10" t="str">
        <x:v>Reportagem</x:v>
      </x:c>
      <x:c r="B97" s="10" t="str"/>
      <x:c r="C97" s="10" t="str">
        <x:v>Produção midiática</x:v>
      </x:c>
      <x:c r="D97" s="10" t="str">
        <x:v>Público Mediado</x:v>
      </x:c>
      <x:c r="E97" s="10" t="str">
        <x:v>Midiático</x:v>
      </x:c>
      <x:c r="F97" s="10" t="str">
        <x:v>2016-11-02 00:00:00</x:v>
      </x:c>
      <x:c r="G97" s="11" t="n">
        <x:v>2016</x:v>
      </x:c>
      <x:c r="H97" s="10" t="str">
        <x:v>Não especificado</x:v>
      </x:c>
      <x:c r="I97" s="10" t="str">
        <x:v>Agência Pavio e Brasil de Fato</x:v>
      </x:c>
      <x:c r="J97" s="10" t="str">
        <x:v>28 anos do massacre do Carandiru: álbum da luta por memória e justiça</x:v>
      </x:c>
      <x:c r="K97" s="10" t="str">
        <x:v>Hemerográfico</x:v>
      </x:c>
      <x:c r="L97" s="10" t="str">
        <x:v>Texto (digital), Imagem (digital)</x:v>
      </x:c>
      <x:c r="M97" s="10" t="str">
        <x:v>Quilombo Invisível</x:v>
      </x:c>
      <x:c r="N97" s="10" t="str">
        <x:v>Português, Brasil</x:v>
      </x:c>
      <x:c r="O97" s="10" t="str">
        <x:v>"manifestação solidariedade ao Massacre do Carandiru" no Google</x:v>
      </x:c>
      <x:c r="P97" s="10" t="str">
        <x:v>2025-07-17 00:00:00</x:v>
      </x:c>
      <x:c r="Q97" s="10" t="str">
        <x:v>Aberto</x:v>
      </x:c>
      <x:c r="R97" s="10" t="str">
        <x:v>Aqui</x:v>
      </x:c>
      <x:c r="S97" s="10" t="str">
        <x:v>QUILOMBO INVISÍVEL. 28 anos do massacre do Carandiru: álbum da luta por memória e justiça. Quilombo Invisível, 1 out. 2020. Disponível em: https://quilomboinvisivel.com/2020/10/01/28-anos-do-massacre-carandiru-album-da-luta-por-memoria-e-justica/. Acesso em: 17 jul. 2025.</x:v>
      </x:c>
      <x:c r="T97" s="10" t="str">
        <x:v>BR-SPCARANDIRU_MAPEAMENTOS-REMEMORA-CARANDIRU.xlsx</x:v>
      </x:c>
      <x:c r="U97" s="10" t="str">
        <x:v>Geral</x:v>
      </x:c>
      <x:c r="V97" s="11" t="n">
        <x:v>102</x:v>
      </x:c>
      <x:c r="W97" s="10" t="str">
        <x:v>BR-SPCARANDIRU_MAPEAMENTOS-REMEMORA-CARANDIRU.xlsx:Geral:102</x:v>
      </x:c>
      <x:c r="X97" s="11" t="n">
        <x:f>COLUMNS(A97:S97)-COUNTBLANK(A97:S97)</x:f>
        <x:v>18</x:v>
      </x:c>
    </x:row>
    <x:row r="98" ht="15" hidden="0" customHeight="1">
      <x:c r="A98" s="10" t="str">
        <x:v>Vídeo</x:v>
      </x:c>
      <x:c r="B98" s="10" t="str"/>
      <x:c r="C98" s="10" t="str">
        <x:v>Produção midiática</x:v>
      </x:c>
      <x:c r="D98" s="10" t="str">
        <x:v>Público Mediado</x:v>
      </x:c>
      <x:c r="E98" s="10" t="str">
        <x:v>Midiático</x:v>
      </x:c>
      <x:c r="F98" s="10" t="str">
        <x:v>2016-12-15 00:00:00</x:v>
      </x:c>
      <x:c r="G98" s="11" t="n">
        <x:v>2016</x:v>
      </x:c>
      <x:c r="H98" s="10" t="str">
        <x:v>Não especificado</x:v>
      </x:c>
      <x:c r="I98" s="10" t="str">
        <x:v>Canal "Você Sabia?"</x:v>
      </x:c>
      <x:c r="J98" s="10" t="str">
        <x:v>Veja como foi o Massacre do Carandiru</x:v>
      </x:c>
      <x:c r="K98" s="10" t="str">
        <x:v>Audiovisual</x:v>
      </x:c>
      <x:c r="L98" s="10" t="str">
        <x:v>Vídeo (digital)</x:v>
      </x:c>
      <x:c r="M98" s="10" t="str">
        <x:v>YouTube (Você Sabia?)</x:v>
      </x:c>
      <x:c r="N98" s="10" t="str">
        <x:v>Português, Brasil</x:v>
      </x:c>
      <x:c r="O98" s="10" t="str">
        <x:v>"Massacre do Carandiru" no Youtube</x:v>
      </x:c>
      <x:c r="P98" s="10" t="str">
        <x:v>2025-10-15 00:00:00</x:v>
      </x:c>
      <x:c r="Q98" s="10" t="str">
        <x:v>Aberto</x:v>
      </x:c>
      <x:c r="R98" s="10" t="str">
        <x:v>Aqui</x:v>
      </x:c>
      <x:c r="S98" s="10" t="str">
        <x:v>VOCÊ SABIA?. Veja como foi o Massacre do Carandiru. YouTube, 15 dez. 2016. Disponível em: https://www.youtube.com/watch?v=99st4G_vcgE. Acesso em: 15 out. 2025.</x:v>
      </x:c>
      <x:c r="T98" s="10" t="str">
        <x:v>BR-SPCARANDIRU_MAPEAMENTOS-REMEMORA-CARANDIRU.xlsx</x:v>
      </x:c>
      <x:c r="U98" s="10" t="str">
        <x:v>Geral</x:v>
      </x:c>
      <x:c r="V98" s="11" t="n">
        <x:v>103</x:v>
      </x:c>
      <x:c r="W98" s="10" t="str">
        <x:v>BR-SPCARANDIRU_MAPEAMENTOS-REMEMORA-CARANDIRU.xlsx:Geral:103</x:v>
      </x:c>
      <x:c r="X98" s="11" t="n">
        <x:f>COLUMNS(A98:S98)-COUNTBLANK(A98:S98)</x:f>
        <x:v>18</x:v>
      </x:c>
    </x:row>
    <x:row r="99" ht="36" hidden="0" customHeight="1">
      <x:c r="A99" s="10" t="str">
        <x:v>Seminário</x:v>
      </x:c>
      <x:c r="B99" s="10" t="str"/>
      <x:c r="C99" s="10" t="str"/>
      <x:c r="D99" s="10" t="str">
        <x:v>Público Imediato</x:v>
      </x:c>
      <x:c r="E99" s="10" t="str">
        <x:v>Presencial/Físico</x:v>
      </x:c>
      <x:c r="F99" s="10" t="str">
        <x:v>2017-10-25 00:00:00</x:v>
      </x:c>
      <x:c r="G99" s="11" t="n">
        <x:v>2017</x:v>
      </x:c>
      <x:c r="H99" s="10" t="str">
        <x:v>TUCA - Teatro da Pontifícia Universidade Católica. Rua Monte Alegre, 1024 - Perdizes, São Paulo - SP</x:v>
      </x:c>
      <x:c r="I99" s="10" t="str">
        <x:v>Pontifícia Universidade Católica de São Paulo</x:v>
      </x:c>
      <x:c r="J99" s="10" t="str">
        <x:v>Seminário 25 anos do massacre do Carandiru</x:v>
      </x:c>
      <x:c r="K99" s="10" t="str">
        <x:v>Audiovisual</x:v>
      </x:c>
      <x:c r="L99" s="10" t="str">
        <x:v>Vídeo (digital)</x:v>
      </x:c>
      <x:c r="M99" s="10" t="str">
        <x:v>TVPUC</x:v>
      </x:c>
      <x:c r="N99" s="10" t="str">
        <x:v>Português, Brasil</x:v>
      </x:c>
      <x:c r="O99" s="10" t="str">
        <x:v>"manifestação solidariedade ao Massacre do Carandiru" no Google</x:v>
      </x:c>
      <x:c r="P99" s="10" t="str">
        <x:v>2025-07-16 00:00:00</x:v>
      </x:c>
      <x:c r="Q99" s="10" t="str">
        <x:v>Aberto</x:v>
      </x:c>
      <x:c r="R99" s="10" t="str">
        <x:v>Aqui</x:v>
      </x:c>
      <x:c r="S99" s="10" t="str">
        <x:v>TVPUC. Seminário 25 anos do massacre do Carandiru. TVPUC [YouTube], publicado em: 26 out. 2017. Vídeo: 109 min 57 s. Disponível em: https://www.youtube.com/watch?v=zZX3OETLf4c. Acesso em: 16 jul. 2025.</x:v>
      </x:c>
      <x:c r="T99" s="10" t="str">
        <x:v>BR-SPCARANDIRU_MAPEAMENTOS-REMEMORA-CARANDIRU.xlsx</x:v>
      </x:c>
      <x:c r="U99" s="10" t="str">
        <x:v>Geral</x:v>
      </x:c>
      <x:c r="V99" s="11" t="n">
        <x:v>104</x:v>
      </x:c>
      <x:c r="W99" s="10" t="str">
        <x:v>BR-SPCARANDIRU_MAPEAMENTOS-REMEMORA-CARANDIRU.xlsx:Geral:104</x:v>
      </x:c>
      <x:c r="X99" s="11" t="n">
        <x:f>COLUMNS(A99:S99)-COUNTBLANK(A99:S99)</x:f>
        <x:v>17</x:v>
      </x:c>
    </x:row>
    <x:row r="100" ht="24" hidden="0" customHeight="1">
      <x:c r="A100" s="10" t="str">
        <x:v>Charge</x:v>
      </x:c>
      <x:c r="B100" s="10" t="str"/>
      <x:c r="C100" s="10" t="str">
        <x:v>Manifestação artístico-cultural</x:v>
      </x:c>
      <x:c r="D100" s="10" t="str">
        <x:v>Público Mediado</x:v>
      </x:c>
      <x:c r="E100" s="10" t="str">
        <x:v>Midiático</x:v>
      </x:c>
      <x:c r="F100" s="10" t="str">
        <x:v>2017</x:v>
      </x:c>
      <x:c r="G100" s="11" t="n">
        <x:v>2017</x:v>
      </x:c>
      <x:c r="H100" s="10" t="str">
        <x:v>São Paulo</x:v>
      </x:c>
      <x:c r="I100" s="10" t="str">
        <x:v>Simanca</x:v>
      </x:c>
      <x:c r="J100" s="10" t="str">
        <x:v>Charge sobre a anulação dos julgamentos, por Simanca (2017)</x:v>
      </x:c>
      <x:c r="K100" s="10" t="str">
        <x:v>Iconográfico</x:v>
      </x:c>
      <x:c r="L100" s="10" t="str">
        <x:v>Imagem (digital)</x:v>
      </x:c>
      <x:c r="M100" s="10" t="str">
        <x:v>Biblioteca Digital de Teses e Dissertações da USP</x:v>
      </x:c>
      <x:c r="N100" s="10" t="str">
        <x:v>Português, Brasil</x:v>
      </x:c>
      <x:c r="O100" s="10" t="str">
        <x:v>"Massacre do Carandiru" no Dedalus USP</x:v>
      </x:c>
      <x:c r="P100" s="10" t="str">
        <x:v>2025-10-15 00:00:00</x:v>
      </x:c>
      <x:c r="Q100" s="10" t="str">
        <x:v>Aberto</x:v>
      </x:c>
      <x:c r="R100" s="10" t="str">
        <x:v>Aqui</x:v>
      </x:c>
      <x:c r="S100" s="10" t="str">
        <x:v>RODRIGUES, Adriana Mariana de Araujo. Carandiru: formas de lembrar, maneiras de esquecer. Informação, memória e esquecimento. 2021. Dissertação (Mestrado em Cultura e Informação) - Escola de Comunicações e Artes, Universidade de São Paulo, São Paulo, 2021. Disponível em: https://www.teses.usp.br/teses/disponiveis/27/27151/tde-24082021-234649/pt-br.php. Acesso em: 2025-10-15.</x:v>
      </x:c>
      <x:c r="T100" s="10" t="str">
        <x:v>BR-SPCARANDIRU_MAPEAMENTOS-REMEMORA-CARANDIRU.xlsx</x:v>
      </x:c>
      <x:c r="U100" s="10" t="str">
        <x:v>Geral</x:v>
      </x:c>
      <x:c r="V100" s="11" t="n">
        <x:v>105</x:v>
      </x:c>
      <x:c r="W100" s="10" t="str">
        <x:v>BR-SPCARANDIRU_MAPEAMENTOS-REMEMORA-CARANDIRU.xlsx:Geral:105</x:v>
      </x:c>
      <x:c r="X100" s="11" t="n">
        <x:f>COLUMNS(A100:S100)-COUNTBLANK(A100:S100)</x:f>
        <x:v>18</x:v>
      </x:c>
    </x:row>
    <x:row r="101" ht="24" hidden="0" customHeight="1">
      <x:c r="A101" s="10" t="str">
        <x:v>Reportagem</x:v>
      </x:c>
      <x:c r="B101" s="10" t="str"/>
      <x:c r="C101" s="10" t="str">
        <x:v>Produção midiática</x:v>
      </x:c>
      <x:c r="D101" s="10" t="str">
        <x:v>Público Mediado</x:v>
      </x:c>
      <x:c r="E101" s="10" t="str">
        <x:v>Midiático</x:v>
      </x:c>
      <x:c r="F101" s="10" t="str">
        <x:v>2017-10-03 00:00:00</x:v>
      </x:c>
      <x:c r="G101" s="11" t="n">
        <x:v>2017</x:v>
      </x:c>
      <x:c r="H101" s="10" t="str">
        <x:v>Não especificado</x:v>
      </x:c>
      <x:c r="I101" s="10" t="str">
        <x:v>Canal "TV Brasil"</x:v>
      </x:c>
      <x:c r="J101" s="10" t="str">
        <x:v>O massacre do Carandiru completa 25 anos, nenhum dos envolvidos responderam pelos crimes.</x:v>
      </x:c>
      <x:c r="K101" s="10" t="str">
        <x:v>Audiovisual</x:v>
      </x:c>
      <x:c r="L101" s="10" t="str">
        <x:v>Vídeo (digital)</x:v>
      </x:c>
      <x:c r="M101" s="10" t="str">
        <x:v>YouTube (Tv Brasil)</x:v>
      </x:c>
      <x:c r="N101" s="10" t="str">
        <x:v>Português, Brasil</x:v>
      </x:c>
      <x:c r="O101" s="10" t="str">
        <x:v>"Massacre do Carandiru" no Youtube</x:v>
      </x:c>
      <x:c r="P101" s="10" t="str">
        <x:v>2025-10-16 00:00:00</x:v>
      </x:c>
      <x:c r="Q101" s="10" t="str">
        <x:v>Aberto</x:v>
      </x:c>
      <x:c r="R101" s="10" t="str">
        <x:v>Aqui</x:v>
      </x:c>
      <x:c r="S101" s="10" t="str">
        <x:v>TV BRASIL. O massacre do Carandiru completa 25 anos, nenhum dos envolvidos responderam pelos crimes. YouTube, 2 min 11 s, 3 out. 2017. Disponível em: https://www.youtube.com/watch?v=IxUt8-piN7k. Acesso em: 19 jul. 2025.</x:v>
      </x:c>
      <x:c r="T101" s="10" t="str">
        <x:v>BR-SPCARANDIRU_MAPEAMENTOS-REMEMORA-CARANDIRU.xlsx</x:v>
      </x:c>
      <x:c r="U101" s="10" t="str">
        <x:v>Geral</x:v>
      </x:c>
      <x:c r="V101" s="11" t="n">
        <x:v>106</x:v>
      </x:c>
      <x:c r="W101" s="10" t="str">
        <x:v>BR-SPCARANDIRU_MAPEAMENTOS-REMEMORA-CARANDIRU.xlsx:Geral:106</x:v>
      </x:c>
      <x:c r="X101" s="11" t="n">
        <x:f>COLUMNS(A101:S101)-COUNTBLANK(A101:S101)</x:f>
        <x:v>18</x:v>
      </x:c>
    </x:row>
    <x:row r="102" ht="48" hidden="0" customHeight="1">
      <x:c r="A102" s="10" t="str">
        <x:v>Lançamento</x:v>
      </x:c>
      <x:c r="B102" s="10" t="str"/>
      <x:c r="C102" s="10" t="str"/>
      <x:c r="D102" s="10" t="str"/>
      <x:c r="E102" s="10" t="str"/>
      <x:c r="F102" s="10" t="str">
        <x:v>2018-10-19 00:00:00</x:v>
      </x:c>
      <x:c r="G102" s="11" t="n">
        <x:v>2018</x:v>
      </x:c>
      <x:c r="H102" s="10" t="str">
        <x:v>Viaduto Alcântara Machado, SP</x:v>
      </x:c>
      <x:c r="I102" s="10" t="str">
        <x:v>Frente Estadual Pelo Desencarceramento de São Paulo, representantes de diversas organizações e show do grupo Comunidade Carcerária</x:v>
      </x:c>
      <x:c r="J102" s="10" t="str">
        <x:v>28 anos do massacre do Carandiru: álbum da luta por memória e justiça</x:v>
      </x:c>
      <x:c r="K102" s="10" t="str">
        <x:v>Hemerográfico</x:v>
      </x:c>
      <x:c r="L102" s="10" t="str">
        <x:v>Texto (digital), Vídeo (digital), Imagem (digital)</x:v>
      </x:c>
      <x:c r="M102" s="10" t="str">
        <x:v>Quilombo Invisível</x:v>
      </x:c>
      <x:c r="N102" s="10" t="str">
        <x:v>Português, Brasil</x:v>
      </x:c>
      <x:c r="O102" s="10" t="str">
        <x:v>"manifestação solidariedade ao Massacre do Carandiru" no Google</x:v>
      </x:c>
      <x:c r="P102" s="10" t="str">
        <x:v>2025-07-17 00:00:00</x:v>
      </x:c>
      <x:c r="Q102" s="10" t="str">
        <x:v>Aberto</x:v>
      </x:c>
      <x:c r="R102" s="10" t="str">
        <x:v>Aqui</x:v>
      </x:c>
      <x:c r="S102" s="10" t="str">
        <x:v>QUILOMBO INVISÍVEL. 28 anos do massacre do Carandiru: álbum da luta por memória e justiça. Quilombo Invisível, 1 out. 2020. Disponível em: https://quilomboinvisivel.com/2020/10/01/28-anos-do-massacre-carandiru-album-da-luta-por-memoria-e-justica/. Acesso em: 17 jul. 2025.</x:v>
      </x:c>
      <x:c r="T102" s="10" t="str">
        <x:v>BR-SPCARANDIRU_MAPEAMENTOS-REMEMORA-CARANDIRU.xlsx</x:v>
      </x:c>
      <x:c r="U102" s="10" t="str">
        <x:v>Geral</x:v>
      </x:c>
      <x:c r="V102" s="11" t="n">
        <x:v>107</x:v>
      </x:c>
      <x:c r="W102" s="10" t="str">
        <x:v>BR-SPCARANDIRU_MAPEAMENTOS-REMEMORA-CARANDIRU.xlsx:Geral:107</x:v>
      </x:c>
      <x:c r="X102" s="11" t="n">
        <x:f>COLUMNS(A102:S102)-COUNTBLANK(A102:S102)</x:f>
        <x:v>15</x:v>
      </x:c>
    </x:row>
    <x:row r="103" ht="24" hidden="0" customHeight="1">
      <x:c r="A103" s="10" t="str">
        <x:v>Exposição</x:v>
      </x:c>
      <x:c r="B103" s="10" t="str"/>
      <x:c r="C103" s="10" t="str">
        <x:v>Manifestação artístico-cultural</x:v>
      </x:c>
      <x:c r="D103" s="10" t="str">
        <x:v>Público Imediato</x:v>
      </x:c>
      <x:c r="E103" s="10" t="str">
        <x:v>Presencial/Físico</x:v>
      </x:c>
      <x:c r="F103" s="10" t="str">
        <x:v>2018</x:v>
      </x:c>
      <x:c r="G103" s="11" t="n">
        <x:v>2018</x:v>
      </x:c>
      <x:c r="H103" s="10" t="str">
        <x:v>Avenida Cruzeiro do Sul, 2630 - Carandiru (Entrada do Parque da Juventude)</x:v>
      </x:c>
      <x:c r="I103" s="10" t="str">
        <x:v>Maureen Bisilliat</x:v>
      </x:c>
      <x:c r="J103" s="10" t="str">
        <x:v>Sobre Vivências - Os Últimos anos do Carandiru</x:v>
      </x:c>
      <x:c r="K103" s="10" t="str">
        <x:v>Iconográfico</x:v>
      </x:c>
      <x:c r="L103" s="10" t="str">
        <x:v>Imagem (digital)</x:v>
      </x:c>
      <x:c r="M103" s="10" t="str">
        <x:v>Biblioteca Digital de Teses e Dissertações da USP</x:v>
      </x:c>
      <x:c r="N103" s="10" t="str">
        <x:v>Português, Brasil</x:v>
      </x:c>
      <x:c r="O103" s="10" t="str">
        <x:v>"Massacre do Carandiru" no Dedalus USP</x:v>
      </x:c>
      <x:c r="P103" s="10" t="str">
        <x:v>2025-10-15 00:00:00</x:v>
      </x:c>
      <x:c r="Q103" s="10" t="str">
        <x:v>Aberto</x:v>
      </x:c>
      <x:c r="R103" s="10" t="str">
        <x:v>Aqui</x:v>
      </x:c>
      <x:c r="S103" s="10" t="str">
        <x:v>RODRIGUES, Adriana Mariana de Araujo. Carandiru: formas de lembrar, maneiras de esquecer. Informação, memória e esquecimento. 2021. Dissertação (Mestrado em Cultura e Informação) - Escola de Comunicações e Artes, Universidade de São Paulo, São Paulo, 2021. Disponível em: https://www.teses.usp.br/teses/disponiveis/27/27151/tde-24082021-234649/pt-br.php. Acesso em: 2025-10-15.</x:v>
      </x:c>
      <x:c r="T103" s="10" t="str">
        <x:v>BR-SPCARANDIRU_MAPEAMENTOS-REMEMORA-CARANDIRU.xlsx</x:v>
      </x:c>
      <x:c r="U103" s="10" t="str">
        <x:v>Geral</x:v>
      </x:c>
      <x:c r="V103" s="11" t="n">
        <x:v>108</x:v>
      </x:c>
      <x:c r="W103" s="10" t="str">
        <x:v>BR-SPCARANDIRU_MAPEAMENTOS-REMEMORA-CARANDIRU.xlsx:Geral:108</x:v>
      </x:c>
      <x:c r="X103" s="11" t="n">
        <x:f>COLUMNS(A103:S103)-COUNTBLANK(A103:S103)</x:f>
        <x:v>18</x:v>
      </x:c>
    </x:row>
    <x:row r="104" ht="24" hidden="0" customHeight="1">
      <x:c r="A104" s="10" t="str">
        <x:v>Grafite</x:v>
      </x:c>
      <x:c r="B104" s="10" t="str"/>
      <x:c r="C104" s="10" t="str">
        <x:v>Manifestação artístico-cultural</x:v>
      </x:c>
      <x:c r="D104" s="10" t="str">
        <x:v>Público Imediato</x:v>
      </x:c>
      <x:c r="E104" s="10" t="str">
        <x:v>Presencial/Físico</x:v>
      </x:c>
      <x:c r="F104" s="10" t="str">
        <x:v>2018</x:v>
      </x:c>
      <x:c r="G104" s="11" t="n">
        <x:v>2018</x:v>
      </x:c>
      <x:c r="H104" s="10" t="str">
        <x:v>São Paulo</x:v>
      </x:c>
      <x:c r="I104" s="10" t="str">
        <x:v>Estudantes da Escola Técnica Estadual das Artes</x:v>
      </x:c>
      <x:c r="J104" s="10" t="str">
        <x:v>Grafite “111 pássaros”, por alunos da ETEC de Artes (2018)</x:v>
      </x:c>
      <x:c r="K104" s="10" t="str">
        <x:v>Iconográfico</x:v>
      </x:c>
      <x:c r="L104" s="10" t="str">
        <x:v>Impresso</x:v>
      </x:c>
      <x:c r="M104" s="10" t="str">
        <x:v>Biblioteca Digital de Teses e Dissertações da USP</x:v>
      </x:c>
      <x:c r="N104" s="10" t="str">
        <x:v>Português, Brasil</x:v>
      </x:c>
      <x:c r="O104" s="10" t="str">
        <x:v>"Massacre do Carandiru" no Dedalus USP</x:v>
      </x:c>
      <x:c r="P104" s="10" t="str">
        <x:v>2025-10-15 00:00:00</x:v>
      </x:c>
      <x:c r="Q104" s="10" t="str">
        <x:v>Aberto</x:v>
      </x:c>
      <x:c r="R104" s="10" t="str">
        <x:v>Aqui</x:v>
      </x:c>
      <x:c r="S104" s="10" t="str">
        <x:v>RODRIGUES, Adriana Mariana de Araujo. Carandiru: formas de lembrar, maneiras de esquecer. Informação, memória e esquecimento. 2021. Dissertação (Mestrado em Cultura e Informação) - Escola de Comunicações e Artes, Universidade de São Paulo, São Paulo, 2021. Disponível em: https://www.teses.usp.br/teses/disponiveis/27/27151/tde-24082021-234649/pt-br.php. Acesso em: 2025-10-15.</x:v>
      </x:c>
      <x:c r="T104" s="10" t="str">
        <x:v>BR-SPCARANDIRU_MAPEAMENTOS-REMEMORA-CARANDIRU.xlsx</x:v>
      </x:c>
      <x:c r="U104" s="10" t="str">
        <x:v>Geral</x:v>
      </x:c>
      <x:c r="V104" s="11" t="n">
        <x:v>109</x:v>
      </x:c>
      <x:c r="W104" s="10" t="str">
        <x:v>BR-SPCARANDIRU_MAPEAMENTOS-REMEMORA-CARANDIRU.xlsx:Geral:109</x:v>
      </x:c>
      <x:c r="X104" s="11" t="n">
        <x:f>COLUMNS(A104:S104)-COUNTBLANK(A104:S104)</x:f>
        <x:v>18</x:v>
      </x:c>
    </x:row>
    <x:row r="105" ht="48" hidden="0" customHeight="1">
      <x:c r="A105" s="10" t="str">
        <x:v>Ato</x:v>
      </x:c>
      <x:c r="B105" s="10" t="str"/>
      <x:c r="C105" s="10" t="str"/>
      <x:c r="D105" s="10" t="str">
        <x:v>Público Imediato</x:v>
      </x:c>
      <x:c r="E105" s="10" t="str">
        <x:v>Presencial/Físico</x:v>
      </x:c>
      <x:c r="F105" s="10" t="str">
        <x:v>2019-10-02 00:00:00</x:v>
      </x:c>
      <x:c r="G105" s="11" t="n">
        <x:v>2019</x:v>
      </x:c>
      <x:c r="H105" s="10" t="str">
        <x:v>Ato saiu da praça da Sé e seguiu pela região central, passando por sedes de órgãos do aparato policial e judiciário de São Paulo</x:v>
      </x:c>
      <x:c r="I105" s="10" t="str">
        <x:v>Autoria desconhecida</x:v>
      </x:c>
      <x:c r="J105" s="10" t="str">
        <x:v>Nos 27 anos do Massacre do Carandiru, protesto em SP denuncia impunidade de agentes.</x:v>
      </x:c>
      <x:c r="K105" s="10" t="str">
        <x:v>Hemerográfico</x:v>
      </x:c>
      <x:c r="L105" s="10" t="str">
        <x:v>Texto (digital), Imagem (digital)</x:v>
      </x:c>
      <x:c r="M105" s="10" t="str">
        <x:v>Brasil de Fato</x:v>
      </x:c>
      <x:c r="N105" s="10" t="str">
        <x:v>Português, Brasil</x:v>
      </x:c>
      <x:c r="O105" s="10" t="str">
        <x:v>"manifestação solidariedade ao Massacre do Carandiru" no Google</x:v>
      </x:c>
      <x:c r="P105" s="10" t="str">
        <x:v>2025-07-16 00:00:00</x:v>
      </x:c>
      <x:c r="Q105" s="10" t="str">
        <x:v>Aberto</x:v>
      </x:c>
      <x:c r="R105" s="10" t="str">
        <x:v>Aqui</x:v>
      </x:c>
      <x:c r="S105" s="10" t="str">
        <x:v>CARVALHO, Igor. Nos 27 anos do Massacre do Carandiru, protesto em SP denuncia impunidade de agentes. Brasil de Fato, 2 out. 2019. Disponível em: https://www.brasildefato.com.br/2019/10/02/nos-27-anos-do-massacre-do-carandiru-protesto-em-sp-denuncia-impunidade-de-agentes/. Acesso em: 16 jul. 2025.</x:v>
      </x:c>
      <x:c r="T105" s="10" t="str">
        <x:v>BR-SPCARANDIRU_MAPEAMENTOS-REMEMORA-CARANDIRU.xlsx</x:v>
      </x:c>
      <x:c r="U105" s="10" t="str">
        <x:v>Geral</x:v>
      </x:c>
      <x:c r="V105" s="11" t="n">
        <x:v>110</x:v>
      </x:c>
      <x:c r="W105" s="10" t="str">
        <x:v>BR-SPCARANDIRU_MAPEAMENTOS-REMEMORA-CARANDIRU.xlsx:Geral:110</x:v>
      </x:c>
      <x:c r="X105" s="11" t="n">
        <x:f>COLUMNS(A105:S105)-COUNTBLANK(A105:S105)</x:f>
        <x:v>17</x:v>
      </x:c>
    </x:row>
    <x:row r="106" ht="24" hidden="0" customHeight="1">
      <x:c r="A106" s="10" t="str">
        <x:v>Marcha</x:v>
      </x:c>
      <x:c r="B106" s="10" t="str"/>
      <x:c r="C106" s="10" t="str"/>
      <x:c r="D106" s="10" t="str">
        <x:v>Público Imediato</x:v>
      </x:c>
      <x:c r="E106" s="10" t="str">
        <x:v>Presencial/Físico</x:v>
      </x:c>
      <x:c r="F106" s="10" t="str">
        <x:v>2019-10-03 00:00:00</x:v>
      </x:c>
      <x:c r="G106" s="11" t="n">
        <x:v>2019</x:v>
      </x:c>
      <x:c r="H106" s="10" t="str">
        <x:v>Centro de São Paulo</x:v>
      </x:c>
      <x:c r="I106" s="10" t="str">
        <x:v>Autoria desconhecida</x:v>
      </x:c>
      <x:c r="J106" s="10" t="str">
        <x:v>Não esqueceremos. 27 anos do Massacre do Carandiru.</x:v>
      </x:c>
      <x:c r="K106" s="10" t="str">
        <x:v>Hemerográfico</x:v>
      </x:c>
      <x:c r="L106" s="10" t="str">
        <x:v>Texto (digital), Imagem (digital)</x:v>
      </x:c>
      <x:c r="M106" s="10" t="str">
        <x:v>Facebook (Mídia Ninja)</x:v>
      </x:c>
      <x:c r="N106" s="10" t="str">
        <x:v>Português, Brasil</x:v>
      </x:c>
      <x:c r="O106" s="10" t="str">
        <x:v>"manifestação solidariedade ao Massacre do Carandiru" no Google</x:v>
      </x:c>
      <x:c r="P106" s="10" t="str">
        <x:v>2025-07-16 00:00:00</x:v>
      </x:c>
      <x:c r="Q106" s="10" t="str">
        <x:v>Aberto</x:v>
      </x:c>
      <x:c r="R106" s="10" t="str">
        <x:v>Aqui</x:v>
      </x:c>
      <x:c r="S106" s="10" t="str">
        <x:v>MÍDIA NINJA. Não esqueceremos. 27 anos do massacre do Carandiru. Mídia Ninja [Facebook], 3 out. 2019. Disponível em: https://www.facebook.com/photo/?fbid=1611558852335587&amp;set=a.235526863272133. Acesso em: 16 jul. 2025.</x:v>
      </x:c>
      <x:c r="T106" s="10" t="str">
        <x:v>BR-SPCARANDIRU_MAPEAMENTOS-REMEMORA-CARANDIRU.xlsx</x:v>
      </x:c>
      <x:c r="U106" s="10" t="str">
        <x:v>Geral</x:v>
      </x:c>
      <x:c r="V106" s="11" t="n">
        <x:v>111</x:v>
      </x:c>
      <x:c r="W106" s="10" t="str">
        <x:v>BR-SPCARANDIRU_MAPEAMENTOS-REMEMORA-CARANDIRU.xlsx:Geral:111</x:v>
      </x:c>
      <x:c r="X106" s="11" t="n">
        <x:f>COLUMNS(A106:S106)-COUNTBLANK(A106:S106)</x:f>
        <x:v>17</x:v>
      </x:c>
    </x:row>
    <x:row r="107" ht="36" hidden="0" customHeight="1">
      <x:c r="A107" s="10" t="str">
        <x:v>Roda de conversa</x:v>
      </x:c>
      <x:c r="B107" s="10" t="str"/>
      <x:c r="C107" s="10" t="str"/>
      <x:c r="D107" s="10" t="str">
        <x:v>Público Imediato</x:v>
      </x:c>
      <x:c r="E107" s="10" t="str">
        <x:v>Presencial/Físico</x:v>
      </x:c>
      <x:c r="F107" s="10" t="str">
        <x:v>2019-10-10 00:00:00</x:v>
      </x:c>
      <x:c r="G107" s="11" t="n">
        <x:v>2019</x:v>
      </x:c>
      <x:c r="H107" s="10" t="str">
        <x:v>Casa Cultural do Hip-Hop Jaçanã. Av. Maria Amália Lopes de Azevedo, 4180 - Jaçanã.</x:v>
      </x:c>
      <x:c r="I107" s="10" t="str">
        <x:v>Frente pelo desencarceramento SP e Comunidade carcerária (Kric, WO e FW, formada em 1996)</x:v>
      </x:c>
      <x:c r="J107" s="10" t="str">
        <x:v>28 anos do massacre do Carandiru: álbum da luta por memória e justiça</x:v>
      </x:c>
      <x:c r="K107" s="10" t="str">
        <x:v>Hemerográfico</x:v>
      </x:c>
      <x:c r="L107" s="10" t="str">
        <x:v>Texto (digital), Vídeo (digital), Imagem (digital)</x:v>
      </x:c>
      <x:c r="M107" s="10" t="str">
        <x:v>Quilombo Invisível</x:v>
      </x:c>
      <x:c r="N107" s="10" t="str">
        <x:v>Português, Brasil</x:v>
      </x:c>
      <x:c r="O107" s="10" t="str">
        <x:v>"manifestação solidariedade ao Massacre do Carandiru" no Google</x:v>
      </x:c>
      <x:c r="P107" s="10" t="str">
        <x:v>2025-07-17 00:00:00</x:v>
      </x:c>
      <x:c r="Q107" s="10" t="str">
        <x:v>Aberto</x:v>
      </x:c>
      <x:c r="R107" s="10" t="str">
        <x:v>Aqui</x:v>
      </x:c>
      <x:c r="S107" s="10" t="str">
        <x:v>QUILOMBO INVISÍVEL. 28 anos do massacre do Carandiru: álbum da luta por memória e justiça. Quilombo Invisível, 1 out. 2020. Disponível em: https://quilomboinvisivel.com/2020/10/01/28-anos-do-massacre-carandiru-album-da-luta-por-memoria-e-justica/. Acesso em: 17 jul. 2025.</x:v>
      </x:c>
      <x:c r="T107" s="10" t="str">
        <x:v>BR-SPCARANDIRU_MAPEAMENTOS-REMEMORA-CARANDIRU.xlsx</x:v>
      </x:c>
      <x:c r="U107" s="10" t="str">
        <x:v>Geral</x:v>
      </x:c>
      <x:c r="V107" s="11" t="n">
        <x:v>112</x:v>
      </x:c>
      <x:c r="W107" s="10" t="str">
        <x:v>BR-SPCARANDIRU_MAPEAMENTOS-REMEMORA-CARANDIRU.xlsx:Geral:112</x:v>
      </x:c>
      <x:c r="X107" s="11" t="n">
        <x:f>COLUMNS(A107:S107)-COUNTBLANK(A107:S107)</x:f>
        <x:v>17</x:v>
      </x:c>
    </x:row>
    <x:row r="108" ht="36" hidden="0" customHeight="1">
      <x:c r="A108" s="10" t="str">
        <x:v>Visita mediada</x:v>
      </x:c>
      <x:c r="B108" s="10" t="str"/>
      <x:c r="C108" s="10" t="str"/>
      <x:c r="D108" s="10" t="str">
        <x:v>Público Imediato</x:v>
      </x:c>
      <x:c r="E108" s="10" t="str">
        <x:v>Presencial/Físico</x:v>
      </x:c>
      <x:c r="F108" s="10" t="str">
        <x:v>2019-11-09 00:00:00</x:v>
      </x:c>
      <x:c r="G108" s="11" t="n">
        <x:v>2019</x:v>
      </x:c>
      <x:c r="H108" s="10" t="str">
        <x:v>Av. Cruzeiro do Sul, 2630 - Carandiru</x:v>
      </x:c>
      <x:c r="I108" s="10" t="str">
        <x:v>Memórias Carandiru, Secretaria Municipal de Direitos Humanos e Instituto Resgata Cidadão</x:v>
      </x:c>
      <x:c r="J108" s="10" t="str">
        <x:v>Recitando memórias: Carandiru pelo olhar de um ex-morador</x:v>
      </x:c>
      <x:c r="K108" s="10" t="str">
        <x:v>Iconográfico, Textual</x:v>
      </x:c>
      <x:c r="L108" s="10" t="str">
        <x:v>Texto (digital), Imagem (digital)</x:v>
      </x:c>
      <x:c r="M108" s="10" t="str">
        <x:v>Instagram (Memórias Carandiru)</x:v>
      </x:c>
      <x:c r="N108" s="10" t="str">
        <x:v>Português, Brasil</x:v>
      </x:c>
      <x:c r="O108" s="10" t="str">
        <x:v>Hiperlink</x:v>
      </x:c>
      <x:c r="P108" s="10" t="str">
        <x:v>2025-07-19 00:00:00</x:v>
      </x:c>
      <x:c r="Q108" s="10" t="str">
        <x:v>Aberto</x:v>
      </x:c>
      <x:c r="R108" s="10" t="str">
        <x:v>Aqui</x:v>
      </x:c>
      <x:c r="S108" s="10" t="str">
        <x:v>MEMÓRIAS CARANDIRU. Recitando memórias: Carandiru pelo olhar de um ex-morador. Memórias Carandiru [Instagram], 9 nov. 2019. Disponível em: https://www.instagram.com/p/B4nYnouABaf/?utm_source=ig_web_copy_link&amp;igsh=MzRlODBiNWFlZA==. Acesso em: 19 jul. 2025.</x:v>
      </x:c>
      <x:c r="T108" s="10" t="str">
        <x:v>BR-SPCARANDIRU_MAPEAMENTOS-REMEMORA-CARANDIRU.xlsx</x:v>
      </x:c>
      <x:c r="U108" s="10" t="str">
        <x:v>Geral</x:v>
      </x:c>
      <x:c r="V108" s="11" t="n">
        <x:v>113</x:v>
      </x:c>
      <x:c r="W108" s="10" t="str">
        <x:v>BR-SPCARANDIRU_MAPEAMENTOS-REMEMORA-CARANDIRU.xlsx:Geral:113</x:v>
      </x:c>
      <x:c r="X108" s="11" t="n">
        <x:f>COLUMNS(A108:S108)-COUNTBLANK(A108:S108)</x:f>
        <x:v>17</x:v>
      </x:c>
    </x:row>
    <x:row r="109" ht="36" hidden="0" customHeight="1">
      <x:c r="A109" s="10" t="str">
        <x:v>Roda de conversa</x:v>
      </x:c>
      <x:c r="B109" s="10" t="str"/>
      <x:c r="C109" s="10" t="str"/>
      <x:c r="D109" s="10" t="str">
        <x:v>Público Imediato</x:v>
      </x:c>
      <x:c r="E109" s="10" t="str">
        <x:v>Presencial/Físico</x:v>
      </x:c>
      <x:c r="F109" s="10" t="str">
        <x:v>2019-12-09 00:00:00</x:v>
      </x:c>
      <x:c r="G109" s="11" t="n">
        <x:v>2019</x:v>
      </x:c>
      <x:c r="H109" s="10" t="str">
        <x:v>Av. Cruzeiro do Sul, 2630 - Carandiru</x:v>
      </x:c>
      <x:c r="I109" s="10" t="str">
        <x:v>Maurício Monteiro (Espaço Memória Carandiru), Sistema Estadual de Museus da Secretaria de Cultura e Economia Criativa</x:v>
      </x:c>
      <x:c r="J109" s="10" t="str">
        <x:v>Roda de conversa com Maurício Monteiro no âmbito da Campanha Sonhar o Mundo, organizada pelo Sistema Estadual de Museus da Secretaria de Cultura e Economia Criativa, que mobiliza os museus paulistas a se unirem pelos Direitos Humanos</x:v>
      </x:c>
      <x:c r="K109" s="10" t="str">
        <x:v>Iconográfico, Textual</x:v>
      </x:c>
      <x:c r="L109" s="10" t="str">
        <x:v>Texto (digital), Imagem (digital)</x:v>
      </x:c>
      <x:c r="M109" s="10" t="str">
        <x:v>Instagram (Memórias Carandiru)</x:v>
      </x:c>
      <x:c r="N109" s="10" t="str">
        <x:v>Português, Brasil</x:v>
      </x:c>
      <x:c r="O109" s="10" t="str">
        <x:v>Hiperlink</x:v>
      </x:c>
      <x:c r="P109" s="10" t="str">
        <x:v>2025-07-19 00:00:00</x:v>
      </x:c>
      <x:c r="Q109" s="10" t="str">
        <x:v>Aberto</x:v>
      </x:c>
      <x:c r="R109" s="10" t="str">
        <x:v>Aqui</x:v>
      </x:c>
      <x:c r="S109" s="10" t="str">
        <x:v>MEMÓRIAS CARANDIRU. Roda de conversa com Maurício Monteiro no âmbito da Campanha Sonhar o Mundo, organizada pelo Sistema Estadual de Museus da Secretaria de Cultura e Economia Criativa, que mobiliza os museus paulistas a se unirem pelos Direitos Humanos. Memórias Carandiru [Instagram], 9 dez. 2019. Disponível em: https://www.instagram.com/p/B55zeKMgt0m/?utm_source=ig_web_copy_link&amp;igsh=MzRlODBiNWFlZA==. Acesso em: 19 jul. 2025.</x:v>
      </x:c>
      <x:c r="T109" s="10" t="str">
        <x:v>BR-SPCARANDIRU_MAPEAMENTOS-REMEMORA-CARANDIRU.xlsx</x:v>
      </x:c>
      <x:c r="U109" s="10" t="str">
        <x:v>Geral</x:v>
      </x:c>
      <x:c r="V109" s="11" t="n">
        <x:v>114</x:v>
      </x:c>
      <x:c r="W109" s="10" t="str">
        <x:v>BR-SPCARANDIRU_MAPEAMENTOS-REMEMORA-CARANDIRU.xlsx:Geral:114</x:v>
      </x:c>
      <x:c r="X109" s="11" t="n">
        <x:f>COLUMNS(A109:S109)-COUNTBLANK(A109:S109)</x:f>
        <x:v>17</x:v>
      </x:c>
    </x:row>
    <x:row r="110" ht="48" hidden="0" customHeight="1">
      <x:c r="A110" s="10" t="str">
        <x:v>Visita mediada</x:v>
      </x:c>
      <x:c r="B110" s="10" t="str"/>
      <x:c r="C110" s="10" t="str"/>
      <x:c r="D110" s="10" t="str">
        <x:v>Público Imediato</x:v>
      </x:c>
      <x:c r="E110" s="10" t="str">
        <x:v>Presencial/Físico</x:v>
      </x:c>
      <x:c r="F110" s="10" t="str">
        <x:v>2020-03-07 00:00:00</x:v>
      </x:c>
      <x:c r="G110" s="11" t="n">
        <x:v>2020</x:v>
      </x:c>
      <x:c r="H110" s="10" t="str">
        <x:v>Av. Cruzeiro do Sul, 2630 - Carandiru</x:v>
      </x:c>
      <x:c r="I110" s="10" t="str">
        <x:v>1ª Frente de Sobreviventes do Cárcere, Memórias Carandiru, Secretaria Municipal de Direitos Humanos e Instituto Resgata Cidadão</x:v>
      </x:c>
      <x:c r="J110" s="10" t="str">
        <x:v>Memórias poéticas: o Carandiru pelo olhar de Claudinho da Cidade. poeta e ex-detento</x:v>
      </x:c>
      <x:c r="K110" s="10" t="str">
        <x:v>Iconográfico, Textual</x:v>
      </x:c>
      <x:c r="L110" s="10" t="str">
        <x:v>Texto (digital), Imagem (digital)</x:v>
      </x:c>
      <x:c r="M110" s="10" t="str">
        <x:v>Instagram (Memórias Carandiru)</x:v>
      </x:c>
      <x:c r="N110" s="10" t="str">
        <x:v>Português, Brasil</x:v>
      </x:c>
      <x:c r="O110" s="10" t="str">
        <x:v>Hiperlink</x:v>
      </x:c>
      <x:c r="P110" s="10" t="str">
        <x:v>2025-07-19 00:00:00</x:v>
      </x:c>
      <x:c r="Q110" s="10" t="str">
        <x:v>Aberto</x:v>
      </x:c>
      <x:c r="R110" s="10" t="str">
        <x:v>Aqui</x:v>
      </x:c>
      <x:c r="S110" s="10" t="str">
        <x:v>MEMÓRIAS CARANDIRU. Memórias poéticas: o Carandiru pelo olhar de Claudinho da Cidade, poeta e ex-detento. Memórias Carandiru [Instagram], 7 mar. 2020. Disponível em: https://www.instagram.com/p/B9Zid3ontXQ/?utm_source=ig_web_copy_link&amp;igsh=MzRlODBiNWFlZA==. Acesso em: 19 jul. 2025.</x:v>
      </x:c>
      <x:c r="T110" s="10" t="str">
        <x:v>BR-SPCARANDIRU_MAPEAMENTOS-REMEMORA-CARANDIRU.xlsx</x:v>
      </x:c>
      <x:c r="U110" s="10" t="str">
        <x:v>Geral</x:v>
      </x:c>
      <x:c r="V110" s="11" t="n">
        <x:v>115</x:v>
      </x:c>
      <x:c r="W110" s="10" t="str">
        <x:v>BR-SPCARANDIRU_MAPEAMENTOS-REMEMORA-CARANDIRU.xlsx:Geral:115</x:v>
      </x:c>
      <x:c r="X110" s="11" t="n">
        <x:f>COLUMNS(A110:S110)-COUNTBLANK(A110:S110)</x:f>
        <x:v>17</x:v>
      </x:c>
    </x:row>
    <x:row r="111" ht="60" hidden="0" customHeight="1">
      <x:c r="A111" s="10" t="str">
        <x:v>Exposição</x:v>
      </x:c>
      <x:c r="B111" s="10" t="str"/>
      <x:c r="C111" s="10" t="str">
        <x:v>Manifestação artístico-cultural</x:v>
      </x:c>
      <x:c r="D111" s="10" t="str">
        <x:v>Público Imediato</x:v>
      </x:c>
      <x:c r="E111" s="10" t="str">
        <x:v>Presencial/Físico</x:v>
      </x:c>
      <x:c r="F111" s="10" t="str">
        <x:v>2020-06-25 00:00:00</x:v>
      </x:c>
      <x:c r="G111" s="11" t="n">
        <x:v>2020</x:v>
      </x:c>
      <x:c r="H111" s="10" t="str">
        <x:v>Av. Cruzeiro do Sul, 2630 - Carandiru</x:v>
      </x:c>
      <x:c r="I111" s="10" t="str">
        <x:v>1ª Frente de Sobreviventes do Cárcere, Memórias Carandiru, Secretaria Municipal de Direitos Humanos e Instituto Resgata Cidadão. Com curadoria de Maureen Bisilliat.</x:v>
      </x:c>
      <x:c r="J111" s="10" t="str">
        <x:v>Exposição Sobre Vivências</x:v>
      </x:c>
      <x:c r="K111" s="10" t="str">
        <x:v>Iconográfico, Textual</x:v>
      </x:c>
      <x:c r="L111" s="10" t="str">
        <x:v>Texto (digital), Imagem (digital)</x:v>
      </x:c>
      <x:c r="M111" s="10" t="str">
        <x:v>Instagram (Memórias Carandiru)</x:v>
      </x:c>
      <x:c r="N111" s="10" t="str">
        <x:v>Português, Brasil</x:v>
      </x:c>
      <x:c r="O111" s="10" t="str">
        <x:v>Hiperlink</x:v>
      </x:c>
      <x:c r="P111" s="10" t="str">
        <x:v>2025-07-19 00:00:00</x:v>
      </x:c>
      <x:c r="Q111" s="10" t="str">
        <x:v>Aberto</x:v>
      </x:c>
      <x:c r="R111" s="10" t="str">
        <x:v>Aqui</x:v>
      </x:c>
      <x:c r="S111" s="10" t="str">
        <x:v>MEMÓRIAS CARANDIRU. Exposição Sobre Vivências. Memórias Carandiru [Instagram], 25 jun. 2020. Disponível em: https://www.instagram.com/p/CB3vqFcnRax/?utm_source=ig_web_copy_link&amp;igsh=MzRlODBiNWFlZA==. Acesso em: 19 jul. 2025.</x:v>
      </x:c>
      <x:c r="T111" s="10" t="str">
        <x:v>BR-SPCARANDIRU_MAPEAMENTOS-REMEMORA-CARANDIRU.xlsx</x:v>
      </x:c>
      <x:c r="U111" s="10" t="str">
        <x:v>Geral</x:v>
      </x:c>
      <x:c r="V111" s="11" t="n">
        <x:v>116</x:v>
      </x:c>
      <x:c r="W111" s="10" t="str">
        <x:v>BR-SPCARANDIRU_MAPEAMENTOS-REMEMORA-CARANDIRU.xlsx:Geral:116</x:v>
      </x:c>
      <x:c r="X111" s="11" t="n">
        <x:f>COLUMNS(A111:S111)-COUNTBLANK(A111:S111)</x:f>
        <x:v>18</x:v>
      </x:c>
    </x:row>
    <x:row r="112" ht="24" hidden="0" customHeight="1">
      <x:c r="A112" s="10" t="str">
        <x:v>Ato</x:v>
      </x:c>
      <x:c r="B112" s="10" t="str"/>
      <x:c r="C112" s="10" t="str"/>
      <x:c r="D112" s="10" t="str">
        <x:v>Público Imediato</x:v>
      </x:c>
      <x:c r="E112" s="10" t="str">
        <x:v>Presencial/Físico</x:v>
      </x:c>
      <x:c r="F112" s="10" t="str">
        <x:v>2020-10-02 00:00:00</x:v>
      </x:c>
      <x:c r="G112" s="11" t="n">
        <x:v>2020</x:v>
      </x:c>
      <x:c r="H112" s="10" t="str">
        <x:v>Avenida Cruzeiro do Sul, 2630 - Carandiru (Metrô Carandiru)</x:v>
      </x:c>
      <x:c r="I112" s="10" t="str">
        <x:v>Autoria desconhecida</x:v>
      </x:c>
      <x:c r="J112" s="10" t="str">
        <x:v>28 anos do massacre do Carandiru: álbum da luta por memória e justiça</x:v>
      </x:c>
      <x:c r="K112" s="10" t="str">
        <x:v>Hemerográfico</x:v>
      </x:c>
      <x:c r="L112" s="10" t="str">
        <x:v>Texto (digital), Vídeo (digital), Imagem (digital)</x:v>
      </x:c>
      <x:c r="M112" s="10" t="str">
        <x:v>Quilombo Invisível</x:v>
      </x:c>
      <x:c r="N112" s="10" t="str">
        <x:v>Português, Brasil</x:v>
      </x:c>
      <x:c r="O112" s="10" t="str">
        <x:v>"manifestação solidariedade ao Massacre do Carandiru" no Google</x:v>
      </x:c>
      <x:c r="P112" s="10" t="str">
        <x:v>2025-07-17 00:00:00</x:v>
      </x:c>
      <x:c r="Q112" s="10" t="str">
        <x:v>Aberto</x:v>
      </x:c>
      <x:c r="R112" s="10" t="str">
        <x:v>Aqui</x:v>
      </x:c>
      <x:c r="S112" s="10" t="str">
        <x:v>QUILOMBO INVISÍVEL. 28 anos do massacre do Carandiru: álbum da luta por memória e justiça. Quilombo Invisível, 1 out. 2020. Disponível em: https://quilomboinvisivel.com/2020/10/01/28-anos-do-massacre-carandiru-album-da-luta-por-memoria-e-justica/. Acesso em: 17 jul. 2025.</x:v>
      </x:c>
      <x:c r="T112" s="10" t="str">
        <x:v>BR-SPCARANDIRU_MAPEAMENTOS-REMEMORA-CARANDIRU.xlsx</x:v>
      </x:c>
      <x:c r="U112" s="10" t="str">
        <x:v>Geral</x:v>
      </x:c>
      <x:c r="V112" s="11" t="n">
        <x:v>117</x:v>
      </x:c>
      <x:c r="W112" s="10" t="str">
        <x:v>BR-SPCARANDIRU_MAPEAMENTOS-REMEMORA-CARANDIRU.xlsx:Geral:117</x:v>
      </x:c>
      <x:c r="X112" s="11" t="n">
        <x:f>COLUMNS(A112:S112)-COUNTBLANK(A112:S112)</x:f>
        <x:v>17</x:v>
      </x:c>
    </x:row>
    <x:row r="113" ht="24" hidden="0" customHeight="1">
      <x:c r="A113" s="10" t="str">
        <x:v>Live</x:v>
      </x:c>
      <x:c r="B113" s="10" t="str"/>
      <x:c r="C113" s="10" t="str"/>
      <x:c r="D113" s="10" t="str">
        <x:v>Público Mediado</x:v>
      </x:c>
      <x:c r="E113" s="10" t="str">
        <x:v>Virtual</x:v>
      </x:c>
      <x:c r="F113" s="10" t="str">
        <x:v>2020-10-03 00:00:00</x:v>
      </x:c>
      <x:c r="G113" s="11" t="n">
        <x:v>2020</x:v>
      </x:c>
      <x:c r="H113" s="10" t="str">
        <x:v>Não especificado</x:v>
      </x:c>
      <x:c r="I113" s="10" t="str">
        <x:v>Frente pelo desencarceramento SP</x:v>
      </x:c>
      <x:c r="J113" s="10" t="str">
        <x:v>LIVE-ATO: Em memória das vítimas do massacre do Carandiru e de toda a política de morte do estado!</x:v>
      </x:c>
      <x:c r="K113" s="10" t="str">
        <x:v>Audiovisual</x:v>
      </x:c>
      <x:c r="L113" s="10" t="str">
        <x:v>Vídeo (digital)</x:v>
      </x:c>
      <x:c r="M113" s="10" t="str">
        <x:v>YouTube (Frente Pelo Desencarceramento SP)</x:v>
      </x:c>
      <x:c r="N113" s="10" t="str">
        <x:v>Português, Brasil</x:v>
      </x:c>
      <x:c r="O113" s="10" t="str">
        <x:v>"manifestação solidariedade ao Massacre do Carandiru" no Google</x:v>
      </x:c>
      <x:c r="P113" s="10" t="str">
        <x:v>2025-07-16 00:00:00</x:v>
      </x:c>
      <x:c r="Q113" s="10" t="str">
        <x:v>Aberto</x:v>
      </x:c>
      <x:c r="R113" s="10" t="str">
        <x:v>Aqui</x:v>
      </x:c>
      <x:c r="S113" s="10" t="str">
        <x:v>FRENTE PELO DESENCARCERAMENTO SP. LIVE-ATO: Em memória das vítimas do massacre do Carandiru e de toda a política de morte do estado! Frente pelo Desencarceramento SP [YouTube], 2020. Vídeo: 205 min 14 s. Disponível em: https://www.youtube.com/watch?v=Yvp1eJCPJSM. Acesso em: 16 jul. 2025.</x:v>
      </x:c>
      <x:c r="T113" s="10" t="str">
        <x:v>BR-SPCARANDIRU_MAPEAMENTOS-REMEMORA-CARANDIRU.xlsx</x:v>
      </x:c>
      <x:c r="U113" s="10" t="str">
        <x:v>Geral</x:v>
      </x:c>
      <x:c r="V113" s="11" t="n">
        <x:v>118</x:v>
      </x:c>
      <x:c r="W113" s="10" t="str">
        <x:v>BR-SPCARANDIRU_MAPEAMENTOS-REMEMORA-CARANDIRU.xlsx:Geral:118</x:v>
      </x:c>
      <x:c r="X113" s="11" t="n">
        <x:f>COLUMNS(A113:S113)-COUNTBLANK(A113:S113)</x:f>
        <x:v>17</x:v>
      </x:c>
    </x:row>
    <x:row r="114" ht="60" hidden="0" customHeight="1">
      <x:c r="A114" s="10" t="str">
        <x:v>Webinário</x:v>
      </x:c>
      <x:c r="B114" s="10" t="str"/>
      <x:c r="C114" s="10" t="str"/>
      <x:c r="D114" s="10" t="str">
        <x:v>Público Mediado</x:v>
      </x:c>
      <x:c r="E114" s="10" t="str">
        <x:v>Virtual</x:v>
      </x:c>
      <x:c r="F114" s="10" t="str">
        <x:v>2021-10-05 00:00:00</x:v>
      </x:c>
      <x:c r="G114" s="11" t="n">
        <x:v>2021</x:v>
      </x:c>
      <x:c r="H114" s="10" t="str">
        <x:v>Não especificado</x:v>
      </x:c>
      <x:c r="I114" s="10" t="str">
        <x:v>Associação Brasileira de Antropologia, Comitê Migrações e Deslocamentos, Comitê Cidadania, Violência e Gestão Estatal, Coletivo Por Nós e sobrevivente do Massacre (Maurício Monteiro)</x:v>
      </x:c>
      <x:c r="J114" s="10" t="str">
        <x:v>29 anos do massacre do Carandiru e a vida que pulsa</x:v>
      </x:c>
      <x:c r="K114" s="10" t="str">
        <x:v>Audiovisual</x:v>
      </x:c>
      <x:c r="L114" s="10" t="str">
        <x:v>Vídeo (digital)</x:v>
      </x:c>
      <x:c r="M114" s="10" t="str">
        <x:v>YouTube (TV ABA)</x:v>
      </x:c>
      <x:c r="N114" s="10" t="str">
        <x:v>Português, Brasil</x:v>
      </x:c>
      <x:c r="O114" s="10" t="str">
        <x:v>"Massacre do Carandiru homenagem 29 anos 2021" no Google</x:v>
      </x:c>
      <x:c r="P114" s="10" t="str">
        <x:v>2025-07-17 00:00:00</x:v>
      </x:c>
      <x:c r="Q114" s="10" t="str">
        <x:v>Aberto</x:v>
      </x:c>
      <x:c r="R114" s="10" t="str">
        <x:v>Aqui</x:v>
      </x:c>
      <x:c r="S114" s="10" t="str">
        <x:v>TV ABA. 29 anos do massacre do Carandiru e a vida que pulsa. TV ABA [YouTube], publicado em: 5 out. 2021. Vídeo: 121 min. Disponível em: https://www.youtube.com/watch?v=JPZyvHuQW2w. Acesso em: 17 jul. 2025.</x:v>
      </x:c>
      <x:c r="T114" s="10" t="str">
        <x:v>BR-SPCARANDIRU_MAPEAMENTOS-REMEMORA-CARANDIRU.xlsx</x:v>
      </x:c>
      <x:c r="U114" s="10" t="str">
        <x:v>Geral</x:v>
      </x:c>
      <x:c r="V114" s="11" t="n">
        <x:v>119</x:v>
      </x:c>
      <x:c r="W114" s="10" t="str">
        <x:v>BR-SPCARANDIRU_MAPEAMENTOS-REMEMORA-CARANDIRU.xlsx:Geral:119</x:v>
      </x:c>
      <x:c r="X114" s="11" t="n">
        <x:f>COLUMNS(A114:S114)-COUNTBLANK(A114:S114)</x:f>
        <x:v>17</x:v>
      </x:c>
    </x:row>
    <x:row r="115" ht="15" hidden="0" customHeight="1">
      <x:c r="A115" s="10" t="str">
        <x:v>Vídeo</x:v>
      </x:c>
      <x:c r="B115" s="10" t="str"/>
      <x:c r="C115" s="10" t="str">
        <x:v>Produção midiática</x:v>
      </x:c>
      <x:c r="D115" s="10" t="str">
        <x:v>Público Mediado</x:v>
      </x:c>
      <x:c r="E115" s="10" t="str">
        <x:v>Midiático</x:v>
      </x:c>
      <x:c r="F115" s="10" t="str">
        <x:v>2021-10-03 00:00:00</x:v>
      </x:c>
      <x:c r="G115" s="11" t="n">
        <x:v>2021</x:v>
      </x:c>
      <x:c r="H115" s="10" t="str">
        <x:v>São Paulo</x:v>
      </x:c>
      <x:c r="I115" s="10" t="str">
        <x:v>Canal "Prisioneiro 84.901"</x:v>
      </x:c>
      <x:c r="J115" s="10" t="str">
        <x:v>Dia 3 de outubro de 1992.</x:v>
      </x:c>
      <x:c r="K115" s="10" t="str">
        <x:v>Audiovisual</x:v>
      </x:c>
      <x:c r="L115" s="10" t="str">
        <x:v>Vídeo (digital)</x:v>
      </x:c>
      <x:c r="M115" s="10" t="str">
        <x:v>YouTube (Prisioneiro 84.901)</x:v>
      </x:c>
      <x:c r="N115" s="10" t="str">
        <x:v>Português, Brasil</x:v>
      </x:c>
      <x:c r="O115" s="10" t="str">
        <x:v>"Prisioneiro 84.901" no Youtube</x:v>
      </x:c>
      <x:c r="P115" s="10" t="str">
        <x:v>2025-10-16 00:00:00</x:v>
      </x:c>
      <x:c r="Q115" s="10" t="str">
        <x:v>Aberto</x:v>
      </x:c>
      <x:c r="R115" s="10" t="str">
        <x:v>Aqui</x:v>
      </x:c>
      <x:c r="S115" s="10" t="str">
        <x:v>PRISIONEIRO 84.901. Dia 3 de outubro de 1992. YouTube, 3 out. 2021. Disponível em: https://www.youtube.com/watch?v=K48uW_0CEFA. Acesso em: 19 jul. 2025.</x:v>
      </x:c>
      <x:c r="T115" s="10" t="str">
        <x:v>BR-SPCARANDIRU_MAPEAMENTOS-REMEMORA-CARANDIRU.xlsx</x:v>
      </x:c>
      <x:c r="U115" s="10" t="str">
        <x:v>Geral</x:v>
      </x:c>
      <x:c r="V115" s="11" t="n">
        <x:v>120</x:v>
      </x:c>
      <x:c r="W115" s="10" t="str">
        <x:v>BR-SPCARANDIRU_MAPEAMENTOS-REMEMORA-CARANDIRU.xlsx:Geral:120</x:v>
      </x:c>
      <x:c r="X115" s="11" t="n">
        <x:f>COLUMNS(A115:S115)-COUNTBLANK(A115:S115)</x:f>
        <x:v>18</x:v>
      </x:c>
    </x:row>
    <x:row r="116" ht="24" hidden="0" customHeight="1">
      <x:c r="A116" s="10" t="str">
        <x:v>Música</x:v>
      </x:c>
      <x:c r="B116" s="10" t="str"/>
      <x:c r="C116" s="10" t="str">
        <x:v>Manifestação artístico-cultural</x:v>
      </x:c>
      <x:c r="D116" s="10" t="str">
        <x:v>Público Mediado</x:v>
      </x:c>
      <x:c r="E116" s="10" t="str">
        <x:v>Midiático</x:v>
      </x:c>
      <x:c r="F116" s="10" t="str">
        <x:v>2022</x:v>
      </x:c>
      <x:c r="G116" s="11" t="n">
        <x:v>2022</x:v>
      </x:c>
      <x:c r="H116" s="10" t="str">
        <x:v>São Paulo</x:v>
      </x:c>
      <x:c r="I116" s="10" t="str">
        <x:v>Invasores de Cérebros</x:v>
      </x:c>
      <x:c r="J116" s="10" t="str">
        <x:v>111 escombros</x:v>
      </x:c>
      <x:c r="K116" s="10" t="str">
        <x:v>Sonoro</x:v>
      </x:c>
      <x:c r="L116" s="10" t="str">
        <x:v>Áudio (digital)</x:v>
      </x:c>
      <x:c r="M116" s="10" t="str">
        <x:v>Letras</x:v>
      </x:c>
      <x:c r="N116" s="10" t="str">
        <x:v>Português, Brasil</x:v>
      </x:c>
      <x:c r="O116" s="10" t="str">
        <x:v>Hiperlink</x:v>
      </x:c>
      <x:c r="P116" s="10" t="str">
        <x:v>2025-07-18 00:00:00</x:v>
      </x:c>
      <x:c r="Q116" s="10" t="str">
        <x:v>Aberto</x:v>
      </x:c>
      <x:c r="R116" s="10" t="str">
        <x:v>Aqui</x:v>
      </x:c>
      <x:c r="S116" s="10" t="str">
        <x:v>INVASORES DE CÉREBROS. 111 Escombros. Letras, 2022. Disponível em: https://www.letras.mus.br/invasores-de-cerebros/1871807/. Acesso em: 18 jul. 2025. Se quiser, posso reunir todas as suas referências em uma lista única e ordenada conforme a ABNT. Posso fazer isso agora mesmo se desejar.</x:v>
      </x:c>
      <x:c r="T116" s="10" t="str">
        <x:v>BR-SPCARANDIRU_MAPEAMENTOS-REMEMORA-CARANDIRU.xlsx</x:v>
      </x:c>
      <x:c r="U116" s="10" t="str">
        <x:v>Geral</x:v>
      </x:c>
      <x:c r="V116" s="11" t="n">
        <x:v>121</x:v>
      </x:c>
      <x:c r="W116" s="10" t="str">
        <x:v>BR-SPCARANDIRU_MAPEAMENTOS-REMEMORA-CARANDIRU.xlsx:Geral:121</x:v>
      </x:c>
      <x:c r="X116" s="11" t="n">
        <x:f>COLUMNS(A116:S116)-COUNTBLANK(A116:S116)</x:f>
        <x:v>18</x:v>
      </x:c>
    </x:row>
    <x:row r="117" ht="48" hidden="0" customHeight="1">
      <x:c r="A117" s="10" t="str">
        <x:v>Jornada</x:v>
      </x:c>
      <x:c r="B117" s="10" t="str"/>
      <x:c r="C117" s="10" t="str"/>
      <x:c r="D117" s="10" t="str">
        <x:v>Público Imediato</x:v>
      </x:c>
      <x:c r="E117" s="10" t="str">
        <x:v>Presencial/Físico</x:v>
      </x:c>
      <x:c r="F117" s="10" t="str">
        <x:v>2022-08-20 00:00:00</x:v>
      </x:c>
      <x:c r="G117" s="11" t="n">
        <x:v>2022</x:v>
      </x:c>
      <x:c r="H117" s="10" t="str">
        <x:v>Av. Cruzeiro do Sul, 2630 - Carandiru</x:v>
      </x:c>
      <x:c r="I117" s="10" t="str">
        <x:v>1ª Frente de Sobreviventes do Cárcere, Memórias Carandiru, Secretaria Municipal de Direitos Humanos e Instituto Resgata Cidadão</x:v>
      </x:c>
      <x:c r="J117" s="10" t="str">
        <x:v>Jornada do Patrimônio 2022: Caminhos do Carandiru</x:v>
      </x:c>
      <x:c r="K117" s="10" t="str">
        <x:v>Iconográfico, Textual</x:v>
      </x:c>
      <x:c r="L117" s="10" t="str">
        <x:v>Texto (digital), Imagem (digital)</x:v>
      </x:c>
      <x:c r="M117" s="10" t="str">
        <x:v>Instagram (Memórias Carandiru)</x:v>
      </x:c>
      <x:c r="N117" s="10" t="str">
        <x:v>Português, Brasil</x:v>
      </x:c>
      <x:c r="O117" s="10" t="str">
        <x:v>Hiperlink</x:v>
      </x:c>
      <x:c r="P117" s="10" t="str">
        <x:v>2025-07-19 00:00:00</x:v>
      </x:c>
      <x:c r="Q117" s="10" t="str">
        <x:v>Aberto</x:v>
      </x:c>
      <x:c r="R117" s="10" t="str">
        <x:v>Aqui</x:v>
      </x:c>
      <x:c r="S117" s="10" t="str">
        <x:v>MEMÓRIAS CARANDIRU. Jornada do Patrimônio 2022: Caminhos do Carandiru. Memórias Carandiru [Instagram], 20 ago. 2022. Disponível em: https://www.instagram.com/p/ChaNPE6Pdhj/?utm_source=ig_web_copy_link&amp;igsh=MzRlODBiNWFlZA==. Acesso em: 19 jul. 2025.</x:v>
      </x:c>
      <x:c r="T117" s="10" t="str">
        <x:v>BR-SPCARANDIRU_MAPEAMENTOS-REMEMORA-CARANDIRU.xlsx</x:v>
      </x:c>
      <x:c r="U117" s="10" t="str">
        <x:v>Geral</x:v>
      </x:c>
      <x:c r="V117" s="11" t="n">
        <x:v>122</x:v>
      </x:c>
      <x:c r="W117" s="10" t="str">
        <x:v>BR-SPCARANDIRU_MAPEAMENTOS-REMEMORA-CARANDIRU.xlsx:Geral:122</x:v>
      </x:c>
      <x:c r="X117" s="11" t="n">
        <x:f>COLUMNS(A117:S117)-COUNTBLANK(A117:S117)</x:f>
        <x:v>17</x:v>
      </x:c>
    </x:row>
    <x:row r="118" ht="24" hidden="0" customHeight="1">
      <x:c r="A118" s="10" t="str">
        <x:v>Peça teatral</x:v>
      </x:c>
      <x:c r="B118" s="10" t="str"/>
      <x:c r="C118" s="10" t="str">
        <x:v>Manifestação artístico-cultural</x:v>
      </x:c>
      <x:c r="D118" s="10" t="str">
        <x:v>Público Imediato</x:v>
      </x:c>
      <x:c r="E118" s="10" t="str">
        <x:v>Presencial/Físico</x:v>
      </x:c>
      <x:c r="F118" s="10" t="str">
        <x:v>2022-09-06 00:00:00</x:v>
      </x:c>
      <x:c r="G118" s="11" t="n">
        <x:v>2022</x:v>
      </x:c>
      <x:c r="H118" s="10" t="str">
        <x:v>Pça. Franklin Roosevelt, Bela Vista , SP</x:v>
      </x:c>
      <x:c r="I118" s="10" t="str">
        <x:v>CIA. DOS PROFANOS</x:v>
      </x:c>
      <x:c r="J118" s="10" t="str">
        <x:v>Era uma vez no... Carandiru</x:v>
      </x:c>
      <x:c r="K118" s="10" t="str">
        <x:v>Textual, Iconográfico</x:v>
      </x:c>
      <x:c r="L118" s="10" t="str">
        <x:v>Texto (digital), Imagem (digital)</x:v>
      </x:c>
      <x:c r="M118" s="10" t="str">
        <x:v>SP Escola de Teatro</x:v>
      </x:c>
      <x:c r="N118" s="10" t="str">
        <x:v>Português, Brasil</x:v>
      </x:c>
      <x:c r="O118" s="10" t="str">
        <x:v>Hiperlink</x:v>
      </x:c>
      <x:c r="P118" s="10" t="str">
        <x:v>2025-07-18 00:00:00</x:v>
      </x:c>
      <x:c r="Q118" s="10" t="str">
        <x:v>Aberto</x:v>
      </x:c>
      <x:c r="R118" s="10" t="str">
        <x:v>Aqui</x:v>
      </x:c>
      <x:c r="S118" s="10" t="str">
        <x:v>SP ESCOLA DE TEATRO. Espetáculo Era Uma Vez No… Carandiru estreia dia 6/09 na sede Roosevelt da SP e rememora massacre trágico de 1992. SP Escola de Teatro, 24 ago. 2022. Disponível em: https://www.spescoladeteatro.org.br/noticia/espetaculo-era-uma-vez-no-carandiru-estreia-dia-6-09-na-sede-roosevelt-da-sp-e-rememora-massacre-tragico-de-1992. Acesso em: 18 jul. 2025.</x:v>
      </x:c>
      <x:c r="T118" s="10" t="str">
        <x:v>BR-SPCARANDIRU_MAPEAMENTOS-REMEMORA-CARANDIRU.xlsx</x:v>
      </x:c>
      <x:c r="U118" s="10" t="str">
        <x:v>Geral</x:v>
      </x:c>
      <x:c r="V118" s="11" t="n">
        <x:v>123</x:v>
      </x:c>
      <x:c r="W118" s="10" t="str">
        <x:v>BR-SPCARANDIRU_MAPEAMENTOS-REMEMORA-CARANDIRU.xlsx:Geral:123</x:v>
      </x:c>
      <x:c r="X118" s="11" t="n">
        <x:f>COLUMNS(A118:S118)-COUNTBLANK(A118:S118)</x:f>
        <x:v>18</x:v>
      </x:c>
    </x:row>
    <x:row r="119" ht="36" hidden="0" customHeight="1">
      <x:c r="A119" s="10" t="str">
        <x:v>Seminário</x:v>
      </x:c>
      <x:c r="B119" s="10" t="str"/>
      <x:c r="C119" s="10" t="str"/>
      <x:c r="D119" s="10" t="str">
        <x:v>Público Imediato</x:v>
      </x:c>
      <x:c r="E119" s="10" t="str">
        <x:v>Presencial/Físico</x:v>
      </x:c>
      <x:c r="F119" s="10" t="str">
        <x:v>2022-09-28 00:00:00</x:v>
      </x:c>
      <x:c r="G119" s="11" t="n">
        <x:v>2022</x:v>
      </x:c>
      <x:c r="H119" s="10" t="str">
        <x:v>Campinas, SP</x:v>
      </x:c>
      <x:c r="I119" s="10" t="str">
        <x:v>Instituto de Filosofia e Ciências Humanas da Universidade Estadual de Campinas</x:v>
      </x:c>
      <x:c r="J119" s="10" t="str">
        <x:v>Massacres e(m) Democracias: 30 anos do massacre do Carandiru</x:v>
      </x:c>
      <x:c r="K119" s="10" t="str">
        <x:v>Textual</x:v>
      </x:c>
      <x:c r="L119" s="10" t="str">
        <x:v>Texto (digital), Vídeo (digital)</x:v>
      </x:c>
      <x:c r="M119" s="10" t="str">
        <x:v>Instituto De Filosofia, Letras E Ciências Humanas Da Universidade Estadual De Campinas</x:v>
      </x:c>
      <x:c r="N119" s="10" t="str">
        <x:v>Português, Brasil</x:v>
      </x:c>
      <x:c r="O119" s="10" t="str">
        <x:v>"manifestação solidariedade ao Massacre do Carandiru" no Google</x:v>
      </x:c>
      <x:c r="P119" s="10" t="str">
        <x:v>2025-07-16 00:00:00</x:v>
      </x:c>
      <x:c r="Q119" s="10" t="str">
        <x:v>Aberto</x:v>
      </x:c>
      <x:c r="R119" s="10" t="str">
        <x:v>Aqui</x:v>
      </x:c>
      <x:c r="S119" s="10" t="str">
        <x:v>INSTITUTO DE FILOSOFIA, LETRAS E CIÊNCIAS HUMANAS DA UNIVERSIDADE ESTADUAL DE CAMPINAS. Massacres e(m) Democracias: 30 anos do massacre do Carandiru. Divulgação publicada em 26 set. 2022. Disponível em: https://www.ifch.unicamp.br/eventos/57044. Acesso em: 16 jul. 2025.</x:v>
      </x:c>
      <x:c r="T119" s="10" t="str">
        <x:v>BR-SPCARANDIRU_MAPEAMENTOS-REMEMORA-CARANDIRU.xlsx</x:v>
      </x:c>
      <x:c r="U119" s="10" t="str">
        <x:v>Geral</x:v>
      </x:c>
      <x:c r="V119" s="11" t="n">
        <x:v>124</x:v>
      </x:c>
      <x:c r="W119" s="10" t="str">
        <x:v>BR-SPCARANDIRU_MAPEAMENTOS-REMEMORA-CARANDIRU.xlsx:Geral:124</x:v>
      </x:c>
      <x:c r="X119" s="11" t="n">
        <x:f>COLUMNS(A119:S119)-COUNTBLANK(A119:S119)</x:f>
        <x:v>17</x:v>
      </x:c>
    </x:row>
    <x:row r="120" ht="36" hidden="0" customHeight="1">
      <x:c r="A120" s="10" t="str">
        <x:v>Debate</x:v>
      </x:c>
      <x:c r="B120" s="10" t="str"/>
      <x:c r="C120" s="10" t="str"/>
      <x:c r="D120" s="10" t="str">
        <x:v>Público Imediato</x:v>
      </x:c>
      <x:c r="E120" s="10" t="str">
        <x:v>Presencial/Físico</x:v>
      </x:c>
      <x:c r="F120" s="10" t="str">
        <x:v>2022-10-27 00:00:00</x:v>
      </x:c>
      <x:c r="G120" s="11" t="n">
        <x:v>2022</x:v>
      </x:c>
      <x:c r="H120" s="10" t="str">
        <x:v>Camara Municipal de Sao Paulo</x:v>
      </x:c>
      <x:c r="I120" s="10" t="str">
        <x:v>7 comissões da OAB SP em parceria com mais de 25 organizações de direitos humanos e coletivos</x:v>
      </x:c>
      <x:c r="J120" s="10" t="str">
        <x:v>Inventário do Massacre do Carandiru: evento debate chacina que aconteceu há 30 anos em São Paulo TV Senado</x:v>
      </x:c>
      <x:c r="K120" s="10" t="str">
        <x:v>Audiovisual</x:v>
      </x:c>
      <x:c r="L120" s="10" t="str">
        <x:v>Vídeo (digital)</x:v>
      </x:c>
      <x:c r="M120" s="10" t="str">
        <x:v>YouTube (TV Senado)</x:v>
      </x:c>
      <x:c r="N120" s="10" t="str">
        <x:v>Português, Brasil</x:v>
      </x:c>
      <x:c r="O120" s="10" t="str">
        <x:v>"manifestação solidariedade ao Massacre do Carandiru" no Google</x:v>
      </x:c>
      <x:c r="P120" s="10" t="str">
        <x:v>2025-07-16 00:00:00</x:v>
      </x:c>
      <x:c r="Q120" s="10" t="str">
        <x:v>Aberto</x:v>
      </x:c>
      <x:c r="R120" s="10" t="str">
        <x:v>Aqui</x:v>
      </x:c>
      <x:c r="S120" s="10" t="str">
        <x:v>TV SENADO. INVENTÁRIO do Massacre do Carandiru: evento debate chacina que aconteceu há 30 anos em São Paulo. 27 out. 2022. Duração: 25 min 4 s. Disponível em: https://www.youtube.com/watch?v=LjH9PMlXS1k. Acesso em: 16 jul. 2025.</x:v>
      </x:c>
      <x:c r="T120" s="10" t="str">
        <x:v>BR-SPCARANDIRU_MAPEAMENTOS-REMEMORA-CARANDIRU.xlsx</x:v>
      </x:c>
      <x:c r="U120" s="10" t="str">
        <x:v>Geral</x:v>
      </x:c>
      <x:c r="V120" s="11" t="n">
        <x:v>125</x:v>
      </x:c>
      <x:c r="W120" s="10" t="str">
        <x:v>BR-SPCARANDIRU_MAPEAMENTOS-REMEMORA-CARANDIRU.xlsx:Geral:125</x:v>
      </x:c>
      <x:c r="X120" s="11" t="n">
        <x:f>COLUMNS(A120:S120)-COUNTBLANK(A120:S120)</x:f>
        <x:v>17</x:v>
      </x:c>
    </x:row>
    <x:row r="121" ht="120" hidden="0" customHeight="1">
      <x:c r="A121" s="10" t="str">
        <x:v>Intervenção artística</x:v>
      </x:c>
      <x:c r="B121" s="10" t="str"/>
      <x:c r="C121" s="10" t="str">
        <x:v>Manifestação artístico-cultural</x:v>
      </x:c>
      <x:c r="D121" s="10" t="str">
        <x:v>Público Imediato</x:v>
      </x:c>
      <x:c r="E121" s="10" t="str">
        <x:v>Presencial/Físico</x:v>
      </x:c>
      <x:c r="F121" s="10" t="str">
        <x:v>2022-11-06 00:00:00</x:v>
      </x:c>
      <x:c r="G121" s="11" t="n">
        <x:v>2022</x:v>
      </x:c>
      <x:c r="H121" s="10" t="str">
        <x:v>Avenida Cruzeiro do Sul, 2630 - Carandiru (Entrada do Parque da Juventude)</x:v>
      </x:c>
      <x:c r="I121" s="10" t="str">
        <x:v>Movimento Independente Mães de Maio, Cia Dxs Terroristxs, Amparar (Associação de Amigas/os e Familiares de Presas/os); Cooperativa Libertas; Frente Estadual pelo Desencarceramento de SP; ONG Pacto Social e Carcerário; Rede de Proteção e Resistência ao Genocídio; Por Nós; Direção de Cena Brasil; Coletivo Kriadaki; Grupo teatral Fuga Coletiva; Rede Amalgamar; Casa da F.U.R.I.A; Casa Flores.</x:v>
      </x:c>
      <x:c r="J121" s="10" t="str">
        <x:v>111 baldes de vermelho sangue na bandeira: intervenção marca 30 anos do massacre do Carandiru</x:v>
      </x:c>
      <x:c r="K121" s="10" t="str">
        <x:v>Hemerográfico</x:v>
      </x:c>
      <x:c r="L121" s="10" t="str">
        <x:v>Texto (digital), Imagem (digital)</x:v>
      </x:c>
      <x:c r="M121" s="10" t="str">
        <x:v>Brasil de Fato</x:v>
      </x:c>
      <x:c r="N121" s="10" t="str">
        <x:v>Português, Brasil</x:v>
      </x:c>
      <x:c r="O121" s="10" t="str">
        <x:v>Hiperlink</x:v>
      </x:c>
      <x:c r="P121" s="10" t="str">
        <x:v>2025-07-15 00:00:00</x:v>
      </x:c>
      <x:c r="Q121" s="10" t="str">
        <x:v>Aberto</x:v>
      </x:c>
      <x:c r="R121" s="10" t="str">
        <x:v>Aqui</x:v>
      </x:c>
      <x:c r="S121" s="10" t="str">
        <x:v>MONCAU, Gabriela. 111 baldes de vermelho sangue na bandeira: intervenção marca 30 anos do massacre do Carandiru. Brasil de Fato, 6 nov. 2022. Disponível em: https://www.brasildefato.com.br/2022/11/06/111-baldes-de-vermelho-sangue-na-bandeira-intervencao-marca-30-anos-do-massacre-do-carandiru/. Acesso em: 17 jul. 2025.</x:v>
      </x:c>
      <x:c r="T121" s="10" t="str">
        <x:v>BR-SPCARANDIRU_MAPEAMENTOS-REMEMORA-CARANDIRU.xlsx</x:v>
      </x:c>
      <x:c r="U121" s="10" t="str">
        <x:v>Geral</x:v>
      </x:c>
      <x:c r="V121" s="11" t="n">
        <x:v>126</x:v>
      </x:c>
      <x:c r="W121" s="10" t="str">
        <x:v>BR-SPCARANDIRU_MAPEAMENTOS-REMEMORA-CARANDIRU.xlsx:Geral:126</x:v>
      </x:c>
      <x:c r="X121" s="11" t="n">
        <x:f>COLUMNS(A121:S121)-COUNTBLANK(A121:S121)</x:f>
        <x:v>18</x:v>
      </x:c>
    </x:row>
    <x:row r="122" ht="15" hidden="0" customHeight="1">
      <x:c r="A122" s="10" t="str">
        <x:v>Vídeo</x:v>
      </x:c>
      <x:c r="B122" s="10" t="str"/>
      <x:c r="C122" s="10" t="str">
        <x:v>Produção midiática</x:v>
      </x:c>
      <x:c r="D122" s="10" t="str">
        <x:v>Público Mediado</x:v>
      </x:c>
      <x:c r="E122" s="10" t="str">
        <x:v>Midiático</x:v>
      </x:c>
      <x:c r="F122" s="10" t="str">
        <x:v>2022-09-29 00:00:00</x:v>
      </x:c>
      <x:c r="G122" s="11" t="n">
        <x:v>2022</x:v>
      </x:c>
      <x:c r="H122" s="10" t="str">
        <x:v>Não especificado</x:v>
      </x:c>
      <x:c r="I122" s="10" t="str">
        <x:v>Canal "Vogalizando a História"</x:v>
      </x:c>
      <x:c r="J122" s="10" t="str">
        <x:v>O que aconteceu no Carandiru?</x:v>
      </x:c>
      <x:c r="K122" s="10" t="str">
        <x:v>Audiovisual</x:v>
      </x:c>
      <x:c r="L122" s="10" t="str">
        <x:v>Vídeo (digital)</x:v>
      </x:c>
      <x:c r="M122" s="10" t="str">
        <x:v>YouTube (Vogalizando A História)</x:v>
      </x:c>
      <x:c r="N122" s="10" t="str">
        <x:v>Português, Brasil</x:v>
      </x:c>
      <x:c r="O122" s="10" t="str">
        <x:v>"Massacre do Carandiru" no Youtube</x:v>
      </x:c>
      <x:c r="P122" s="10" t="str">
        <x:v>2025-10-15 00:00:00</x:v>
      </x:c>
      <x:c r="Q122" s="10" t="str">
        <x:v>Aberto</x:v>
      </x:c>
      <x:c r="R122" s="10" t="str">
        <x:v>Aqui</x:v>
      </x:c>
      <x:c r="S122" s="10" t="str">
        <x:v>VOGALIZANDO A HISTÓRIA. O que aconteceu no Carandiru? YouTube, 29 set. 2022. Disponível em: https://www.youtube.com/watch?v=C1YGYyEQip0. Acesso em: 15 out. 2025.</x:v>
      </x:c>
      <x:c r="T122" s="10" t="str">
        <x:v>BR-SPCARANDIRU_MAPEAMENTOS-REMEMORA-CARANDIRU.xlsx</x:v>
      </x:c>
      <x:c r="U122" s="10" t="str">
        <x:v>Geral</x:v>
      </x:c>
      <x:c r="V122" s="11" t="n">
        <x:v>127</x:v>
      </x:c>
      <x:c r="W122" s="10" t="str">
        <x:v>BR-SPCARANDIRU_MAPEAMENTOS-REMEMORA-CARANDIRU.xlsx:Geral:127</x:v>
      </x:c>
      <x:c r="X122" s="11" t="n">
        <x:f>COLUMNS(A122:S122)-COUNTBLANK(A122:S122)</x:f>
        <x:v>18</x:v>
      </x:c>
    </x:row>
    <x:row r="123" ht="15" hidden="0" customHeight="1">
      <x:c r="A123" s="10" t="str">
        <x:v>Vídeo</x:v>
      </x:c>
      <x:c r="B123" s="10" t="str"/>
      <x:c r="C123" s="10" t="str">
        <x:v>Produção midiática</x:v>
      </x:c>
      <x:c r="D123" s="10" t="str">
        <x:v>Público Mediado</x:v>
      </x:c>
      <x:c r="E123" s="10" t="str">
        <x:v>Midiático</x:v>
      </x:c>
      <x:c r="F123" s="10" t="str">
        <x:v>2022-12-12 00:00:00</x:v>
      </x:c>
      <x:c r="G123" s="11" t="n">
        <x:v>2022</x:v>
      </x:c>
      <x:c r="H123" s="10" t="str">
        <x:v>Não especificado</x:v>
      </x:c>
      <x:c r="I123" s="10" t="str">
        <x:v>Canal "Drauzio Varella"</x:v>
      </x:c>
      <x:c r="J123" s="10" t="str">
        <x:v>Massacre do Carandiru: o que aconteceu horas antes da rebelião.</x:v>
      </x:c>
      <x:c r="K123" s="10" t="str">
        <x:v>Audiovisual</x:v>
      </x:c>
      <x:c r="L123" s="10" t="str">
        <x:v>Vídeo (digital)</x:v>
      </x:c>
      <x:c r="M123" s="10" t="str">
        <x:v>YouTube (Drauzio Varella)</x:v>
      </x:c>
      <x:c r="N123" s="10" t="str">
        <x:v>Português, Brasil</x:v>
      </x:c>
      <x:c r="O123" s="10" t="str">
        <x:v>"Massacre do Carandiru" no Youtube</x:v>
      </x:c>
      <x:c r="P123" s="10" t="str">
        <x:v>2025-10-16 00:00:00</x:v>
      </x:c>
      <x:c r="Q123" s="10" t="str">
        <x:v>Aberto</x:v>
      </x:c>
      <x:c r="R123" s="10" t="str">
        <x:v>Aqui</x:v>
      </x:c>
      <x:c r="S123" s="10" t="str">
        <x:v>VARELLA, Drauzio. Massacre do Carandiru: o que aconteceu horas antes da rebelião. YouTube, 12 dez. 2022. Disponível em: https://www.youtube.com/watch?v=9E8BpLo1D7g. Acesso em: 15 out. 2025.</x:v>
      </x:c>
      <x:c r="T123" s="10" t="str">
        <x:v>BR-SPCARANDIRU_MAPEAMENTOS-REMEMORA-CARANDIRU.xlsx</x:v>
      </x:c>
      <x:c r="U123" s="10" t="str">
        <x:v>Geral</x:v>
      </x:c>
      <x:c r="V123" s="11" t="n">
        <x:v>128</x:v>
      </x:c>
      <x:c r="W123" s="10" t="str">
        <x:v>BR-SPCARANDIRU_MAPEAMENTOS-REMEMORA-CARANDIRU.xlsx:Geral:128</x:v>
      </x:c>
      <x:c r="X123" s="11" t="n">
        <x:f>COLUMNS(A123:S123)-COUNTBLANK(A123:S123)</x:f>
        <x:v>18</x:v>
      </x:c>
    </x:row>
    <x:row r="124" ht="15" hidden="0" customHeight="1">
      <x:c r="A124" s="10" t="str">
        <x:v>Reportagem</x:v>
      </x:c>
      <x:c r="B124" s="10" t="str"/>
      <x:c r="C124" s="10" t="str">
        <x:v>Produção midiática</x:v>
      </x:c>
      <x:c r="D124" s="10" t="str">
        <x:v>Público Mediado</x:v>
      </x:c>
      <x:c r="E124" s="10" t="str">
        <x:v>Midiático</x:v>
      </x:c>
      <x:c r="F124" s="10" t="str">
        <x:v>2022-10-01 00:00:00</x:v>
      </x:c>
      <x:c r="G124" s="11" t="n">
        <x:v>2022</x:v>
      </x:c>
      <x:c r="H124" s="10" t="str">
        <x:v>Não especificado</x:v>
      </x:c>
      <x:c r="I124" s="10" t="str">
        <x:v>Canal "Ponte Jornalismo"</x:v>
      </x:c>
      <x:c r="J124" s="10" t="str">
        <x:v>Massacre do Carandiru: 30 anos de impunidade.</x:v>
      </x:c>
      <x:c r="K124" s="10" t="str">
        <x:v>Audiovisual</x:v>
      </x:c>
      <x:c r="L124" s="10" t="str">
        <x:v>Vídeo (digital)</x:v>
      </x:c>
      <x:c r="M124" s="10" t="str">
        <x:v>YouTube (Ponte Jornalismo)</x:v>
      </x:c>
      <x:c r="N124" s="10" t="str">
        <x:v>Português, Brasil</x:v>
      </x:c>
      <x:c r="O124" s="10" t="str">
        <x:v>"Massacre do Carandiru" no Youtube</x:v>
      </x:c>
      <x:c r="P124" s="10" t="str">
        <x:v>2025-10-16 00:00:00</x:v>
      </x:c>
      <x:c r="Q124" s="10" t="str">
        <x:v>Aberto</x:v>
      </x:c>
      <x:c r="R124" s="10" t="str">
        <x:v>Aqui</x:v>
      </x:c>
      <x:c r="S124" s="10" t="str">
        <x:v>PONTE JORNALISMO. Massacre do Carandiru: 30 anos de impunidade. YouTube, 25 min 18 s, 1 out. 2022. Disponível em: https://www.youtube.com/watch?v=7XnmO3eFUrU. Acesso em: 19 jul. 2025.</x:v>
      </x:c>
      <x:c r="T124" s="10" t="str">
        <x:v>BR-SPCARANDIRU_MAPEAMENTOS-REMEMORA-CARANDIRU.xlsx</x:v>
      </x:c>
      <x:c r="U124" s="10" t="str">
        <x:v>Geral</x:v>
      </x:c>
      <x:c r="V124" s="11" t="n">
        <x:v>129</x:v>
      </x:c>
      <x:c r="W124" s="10" t="str">
        <x:v>BR-SPCARANDIRU_MAPEAMENTOS-REMEMORA-CARANDIRU.xlsx:Geral:129</x:v>
      </x:c>
      <x:c r="X124" s="11" t="n">
        <x:f>COLUMNS(A124:S124)-COUNTBLANK(A124:S124)</x:f>
        <x:v>18</x:v>
      </x:c>
    </x:row>
    <x:row r="125" ht="15" hidden="0" customHeight="1">
      <x:c r="A125" s="10" t="str">
        <x:v>Vídeo</x:v>
      </x:c>
      <x:c r="B125" s="10" t="str"/>
      <x:c r="C125" s="10" t="str">
        <x:v>Produção midiática</x:v>
      </x:c>
      <x:c r="D125" s="10" t="str">
        <x:v>Público Mediado</x:v>
      </x:c>
      <x:c r="E125" s="10" t="str">
        <x:v>Midiático</x:v>
      </x:c>
      <x:c r="F125" s="10" t="str">
        <x:v>2022-12-19 00:00:00</x:v>
      </x:c>
      <x:c r="G125" s="11" t="n">
        <x:v>2022</x:v>
      </x:c>
      <x:c r="H125" s="10" t="str">
        <x:v>Não especificado</x:v>
      </x:c>
      <x:c r="I125" s="10" t="str">
        <x:v>Canal "Drauzio Varella"</x:v>
      </x:c>
      <x:c r="J125" s="10" t="str">
        <x:v>As consequências do massacre do Carandiru.</x:v>
      </x:c>
      <x:c r="K125" s="10" t="str">
        <x:v>Audiovisual</x:v>
      </x:c>
      <x:c r="L125" s="10" t="str">
        <x:v>Vídeo (digital)</x:v>
      </x:c>
      <x:c r="M125" s="10" t="str">
        <x:v>YouTube (Drauzio Varella)</x:v>
      </x:c>
      <x:c r="N125" s="10" t="str">
        <x:v>Português, Brasil</x:v>
      </x:c>
      <x:c r="O125" s="10" t="str">
        <x:v>"Massacre do Carandiru" no Youtube</x:v>
      </x:c>
      <x:c r="P125" s="10" t="str">
        <x:v>2025-10-16 00:00:00</x:v>
      </x:c>
      <x:c r="Q125" s="10" t="str">
        <x:v>Aberto</x:v>
      </x:c>
      <x:c r="R125" s="10" t="str">
        <x:v>Aqui</x:v>
      </x:c>
      <x:c r="S125" s="10" t="str">
        <x:v>DRAUZIO VARELLA. As consequências do massacre do Carandiru. YouTube, 19 dez. 2022. Disponível em: https://www.youtube.com/watch?v=K5oJ3pfOG1Q. Acesso em: 19 jul. 2025.</x:v>
      </x:c>
      <x:c r="T125" s="10" t="str">
        <x:v>BR-SPCARANDIRU_MAPEAMENTOS-REMEMORA-CARANDIRU.xlsx</x:v>
      </x:c>
      <x:c r="U125" s="10" t="str">
        <x:v>Geral</x:v>
      </x:c>
      <x:c r="V125" s="11" t="n">
        <x:v>130</x:v>
      </x:c>
      <x:c r="W125" s="10" t="str">
        <x:v>BR-SPCARANDIRU_MAPEAMENTOS-REMEMORA-CARANDIRU.xlsx:Geral:130</x:v>
      </x:c>
      <x:c r="X125" s="11" t="n">
        <x:f>COLUMNS(A125:S125)-COUNTBLANK(A125:S125)</x:f>
        <x:v>18</x:v>
      </x:c>
    </x:row>
    <x:row r="126" ht="15" hidden="0" customHeight="1">
      <x:c r="A126" s="10" t="str">
        <x:v>Vídeo</x:v>
      </x:c>
      <x:c r="B126" s="10" t="str"/>
      <x:c r="C126" s="10" t="str">
        <x:v>Produção midiática</x:v>
      </x:c>
      <x:c r="D126" s="10" t="str">
        <x:v>Público Mediado</x:v>
      </x:c>
      <x:c r="E126" s="10" t="str">
        <x:v>Midiático</x:v>
      </x:c>
      <x:c r="F126" s="10" t="str">
        <x:v>2022-10-07 00:00:00</x:v>
      </x:c>
      <x:c r="G126" s="11" t="n">
        <x:v>2022</x:v>
      </x:c>
      <x:c r="H126" s="10" t="str">
        <x:v>Não especificado</x:v>
      </x:c>
      <x:c r="I126" s="10" t="str">
        <x:v>Canal "Jornal da Gazeta"</x:v>
      </x:c>
      <x:c r="J126" s="10" t="str">
        <x:v>Conteúdo exclusivo: 30 anos do massacre do Carandiru.</x:v>
      </x:c>
      <x:c r="K126" s="10" t="str">
        <x:v>Audiovisual</x:v>
      </x:c>
      <x:c r="L126" s="10" t="str">
        <x:v>Vídeo (digital)</x:v>
      </x:c>
      <x:c r="M126" s="10" t="str">
        <x:v>YouTube (Jornal Da Gazeta)</x:v>
      </x:c>
      <x:c r="N126" s="10" t="str">
        <x:v>Português, Brasil</x:v>
      </x:c>
      <x:c r="O126" s="10" t="str">
        <x:v>"Massacre do Carandiru" no Youtube</x:v>
      </x:c>
      <x:c r="P126" s="10" t="str">
        <x:v>2025-10-16 00:00:00</x:v>
      </x:c>
      <x:c r="Q126" s="10" t="str">
        <x:v>Aberto</x:v>
      </x:c>
      <x:c r="R126" s="10" t="str">
        <x:v>Aqui</x:v>
      </x:c>
      <x:c r="S126" s="10" t="str">
        <x:v>JORNAL DA GAZETA. Conteúdo exclusivo: 30 anos do massacre do Carandiru. YouTube, 11 min 16 s, 7 nov. 2022. Disponível em: https://www.youtube.com/watch?v=xcEQoFEKd0Y. Acesso em: 19 jul. 2025.</x:v>
      </x:c>
      <x:c r="T126" s="10" t="str">
        <x:v>BR-SPCARANDIRU_MAPEAMENTOS-REMEMORA-CARANDIRU.xlsx</x:v>
      </x:c>
      <x:c r="U126" s="10" t="str">
        <x:v>Geral</x:v>
      </x:c>
      <x:c r="V126" s="11" t="n">
        <x:v>131</x:v>
      </x:c>
      <x:c r="W126" s="10" t="str">
        <x:v>BR-SPCARANDIRU_MAPEAMENTOS-REMEMORA-CARANDIRU.xlsx:Geral:131</x:v>
      </x:c>
      <x:c r="X126" s="11" t="n">
        <x:f>COLUMNS(A126:S126)-COUNTBLANK(A126:S126)</x:f>
        <x:v>18</x:v>
      </x:c>
    </x:row>
    <x:row r="127" ht="24" hidden="0" customHeight="1">
      <x:c r="A127" s="10" t="str">
        <x:v>Reportagem</x:v>
      </x:c>
      <x:c r="B127" s="10" t="str"/>
      <x:c r="C127" s="10" t="str">
        <x:v>Produção midiática</x:v>
      </x:c>
      <x:c r="D127" s="10" t="str">
        <x:v>Público Mediado</x:v>
      </x:c>
      <x:c r="E127" s="10" t="str">
        <x:v>Midiático</x:v>
      </x:c>
      <x:c r="F127" s="10" t="str">
        <x:v>2022-09-29 00:00:00</x:v>
      </x:c>
      <x:c r="G127" s="11" t="n">
        <x:v>2022</x:v>
      </x:c>
      <x:c r="H127" s="10" t="str">
        <x:v>Não especificado</x:v>
      </x:c>
      <x:c r="I127" s="10" t="str">
        <x:v>Canal "RedeTV"</x:v>
      </x:c>
      <x:c r="J127" s="10" t="str">
        <x:v>‘Casos de polícia’: massacre do Carandiru completa trinta anos domingo (02).</x:v>
      </x:c>
      <x:c r="K127" s="10" t="str">
        <x:v>Audiovisual</x:v>
      </x:c>
      <x:c r="L127" s="10" t="str">
        <x:v>Vídeo (digital)</x:v>
      </x:c>
      <x:c r="M127" s="10" t="str">
        <x:v>YouTube (Redetv)</x:v>
      </x:c>
      <x:c r="N127" s="10" t="str">
        <x:v>Português, Brasil</x:v>
      </x:c>
      <x:c r="O127" s="10" t="str">
        <x:v>"Massacre do Carandiru" no Youtube</x:v>
      </x:c>
      <x:c r="P127" s="10" t="str">
        <x:v>2025-10-16 00:00:00</x:v>
      </x:c>
      <x:c r="Q127" s="10" t="str">
        <x:v>Aberto</x:v>
      </x:c>
      <x:c r="R127" s="10" t="str">
        <x:v>Aqui</x:v>
      </x:c>
      <x:c r="S127" s="10" t="str">
        <x:v>REDETV. ‘Casos de polícia’: massacre do Carandiru completa trinta anos domingo (02). YouTube, 6 min 47 s, 29 set. 2022. Disponível em: https://www.youtube.com/watch?v=7f5HsiRiSl0. Acesso em: 19 jul. 2025.</x:v>
      </x:c>
      <x:c r="T127" s="10" t="str">
        <x:v>BR-SPCARANDIRU_MAPEAMENTOS-REMEMORA-CARANDIRU.xlsx</x:v>
      </x:c>
      <x:c r="U127" s="10" t="str">
        <x:v>Geral</x:v>
      </x:c>
      <x:c r="V127" s="11" t="n">
        <x:v>132</x:v>
      </x:c>
      <x:c r="W127" s="10" t="str">
        <x:v>BR-SPCARANDIRU_MAPEAMENTOS-REMEMORA-CARANDIRU.xlsx:Geral:132</x:v>
      </x:c>
      <x:c r="X127" s="11" t="n">
        <x:f>COLUMNS(A127:S127)-COUNTBLANK(A127:S127)</x:f>
        <x:v>18</x:v>
      </x:c>
    </x:row>
    <x:row r="128" ht="15" hidden="0" customHeight="1">
      <x:c r="A128" s="10" t="str">
        <x:v>Vídeo</x:v>
      </x:c>
      <x:c r="B128" s="10" t="str"/>
      <x:c r="C128" s="10" t="str">
        <x:v>Produção midiática</x:v>
      </x:c>
      <x:c r="D128" s="10" t="str">
        <x:v>Público Mediado</x:v>
      </x:c>
      <x:c r="E128" s="10" t="str">
        <x:v>Midiático</x:v>
      </x:c>
      <x:c r="F128" s="10" t="str">
        <x:v>1/10/2022</x:v>
      </x:c>
      <x:c r="G128" s="11" t="n">
        <x:v>2022</x:v>
      </x:c>
      <x:c r="H128" s="10" t="str">
        <x:v>São Paulo</x:v>
      </x:c>
      <x:c r="I128" s="10" t="str">
        <x:v>Canal "Prisioneiro 84.901"</x:v>
      </x:c>
      <x:c r="J128" s="10" t="str">
        <x:v>Malandro: fake news no Pav. 9 (29 anos e 364 dias atrás).</x:v>
      </x:c>
      <x:c r="K128" s="10" t="str">
        <x:v>Audiovisual</x:v>
      </x:c>
      <x:c r="L128" s="10" t="str">
        <x:v>Vídeo (digital)</x:v>
      </x:c>
      <x:c r="M128" s="10" t="str">
        <x:v>YouTube (Prisioneiro 84.901)</x:v>
      </x:c>
      <x:c r="N128" s="10" t="str">
        <x:v>Português, Brasil</x:v>
      </x:c>
      <x:c r="O128" s="10" t="str">
        <x:v>"Prisioneiro 84.901" no Youtube</x:v>
      </x:c>
      <x:c r="P128" s="10" t="str">
        <x:v>2025-10-16 00:00:00</x:v>
      </x:c>
      <x:c r="Q128" s="10" t="str">
        <x:v>Aberto</x:v>
      </x:c>
      <x:c r="R128" s="10" t="str">
        <x:v>Aqui</x:v>
      </x:c>
      <x:c r="S128" s="10" t="str">
        <x:v>PRISIONEIRO 84.901. Malandro: fake news no Pav. 9 (29 anos e 364 dias atrás). YouTube, 1 out. 2022. Disponível em: https://www.youtube.com/watch?v=WqDvZKGj_nU. Acesso em: 19 jul. 2025.</x:v>
      </x:c>
      <x:c r="T128" s="10" t="str">
        <x:v>BR-SPCARANDIRU_MAPEAMENTOS-REMEMORA-CARANDIRU.xlsx</x:v>
      </x:c>
      <x:c r="U128" s="10" t="str">
        <x:v>Geral</x:v>
      </x:c>
      <x:c r="V128" s="11" t="n">
        <x:v>133</x:v>
      </x:c>
      <x:c r="W128" s="10" t="str">
        <x:v>BR-SPCARANDIRU_MAPEAMENTOS-REMEMORA-CARANDIRU.xlsx:Geral:133</x:v>
      </x:c>
      <x:c r="X128" s="11" t="n">
        <x:f>COLUMNS(A128:S128)-COUNTBLANK(A128:S128)</x:f>
        <x:v>18</x:v>
      </x:c>
    </x:row>
    <x:row r="129" ht="15" hidden="0" customHeight="1">
      <x:c r="A129" s="10" t="str">
        <x:v>Fabricação de cachaça artesanal</x:v>
      </x:c>
      <x:c r="B129" s="10" t="str"/>
      <x:c r="C129" s="10" t="str">
        <x:v>Manifestação artístico-cultural</x:v>
      </x:c>
      <x:c r="D129" s="10" t="str">
        <x:v>Público Imediato</x:v>
      </x:c>
      <x:c r="E129" s="10" t="str">
        <x:v>Presencial/Físico</x:v>
      </x:c>
      <x:c r="F129" s="10" t="str">
        <x:v>18/12/2022</x:v>
      </x:c>
      <x:c r="G129" s="11" t="n">
        <x:v>2022</x:v>
      </x:c>
      <x:c r="H129" s="10" t="str">
        <x:v>São Paulo</x:v>
      </x:c>
      <x:c r="I129" s="10" t="str">
        <x:v>Canal "Prisioneiro 84.901"</x:v>
      </x:c>
      <x:c r="J129" s="10" t="str">
        <x:v>Passo a passo da “Maria Loka” – Parte 1.</x:v>
      </x:c>
      <x:c r="K129" s="10" t="str">
        <x:v>Audiovisual</x:v>
      </x:c>
      <x:c r="L129" s="10" t="str">
        <x:v>Vídeo (digital)</x:v>
      </x:c>
      <x:c r="M129" s="10" t="str">
        <x:v>YouTube (Prisioneiro 84.901)</x:v>
      </x:c>
      <x:c r="N129" s="10" t="str">
        <x:v>Português, Brasil</x:v>
      </x:c>
      <x:c r="O129" s="10" t="str">
        <x:v>"Prisioneiro 84.901" no Youtube</x:v>
      </x:c>
      <x:c r="P129" s="10" t="str">
        <x:v>2025-10-16 00:00:00</x:v>
      </x:c>
      <x:c r="Q129" s="10" t="str">
        <x:v>Aberto</x:v>
      </x:c>
      <x:c r="R129" s="10" t="str">
        <x:v>Aqui</x:v>
      </x:c>
      <x:c r="S129" s="10" t="str">
        <x:v>PRISIONEIRO 84.901. Passo a passo da “Maria Loka” – Parte 1. YouTube, 18 dez. 2022. Disponível em: https://www.youtube.com/watch?v=c8NWVbb0jY0. Acesso em: 19 jul. 2025.</x:v>
      </x:c>
      <x:c r="T129" s="10" t="str">
        <x:v>BR-SPCARANDIRU_MAPEAMENTOS-REMEMORA-CARANDIRU.xlsx</x:v>
      </x:c>
      <x:c r="U129" s="10" t="str">
        <x:v>Geral</x:v>
      </x:c>
      <x:c r="V129" s="11" t="n">
        <x:v>134</x:v>
      </x:c>
      <x:c r="W129" s="10" t="str">
        <x:v>BR-SPCARANDIRU_MAPEAMENTOS-REMEMORA-CARANDIRU.xlsx:Geral:134</x:v>
      </x:c>
      <x:c r="X129" s="11" t="n">
        <x:f>COLUMNS(A129:S129)-COUNTBLANK(A129:S129)</x:f>
        <x:v>18</x:v>
      </x:c>
    </x:row>
    <x:row r="130" ht="15" hidden="0" customHeight="1">
      <x:c r="A130" s="10" t="str">
        <x:v>Fabricação de cachaça artesanal</x:v>
      </x:c>
      <x:c r="B130" s="10" t="str"/>
      <x:c r="C130" s="10" t="str">
        <x:v>Manifestação artístico-cultural</x:v>
      </x:c>
      <x:c r="D130" s="10" t="str">
        <x:v>Público Imediato</x:v>
      </x:c>
      <x:c r="E130" s="10" t="str">
        <x:v>Presencial/Físico</x:v>
      </x:c>
      <x:c r="F130" s="10" t="str">
        <x:v>18/12/2022</x:v>
      </x:c>
      <x:c r="G130" s="11" t="n">
        <x:v>2022</x:v>
      </x:c>
      <x:c r="H130" s="10" t="str">
        <x:v>São Paulo</x:v>
      </x:c>
      <x:c r="I130" s="10" t="str">
        <x:v>Canal "Prisioneiro 84.901"</x:v>
      </x:c>
      <x:c r="J130" s="10" t="str">
        <x:v>Cachaça na cadeia – Parte 2.</x:v>
      </x:c>
      <x:c r="K130" s="10" t="str">
        <x:v>Audiovisual</x:v>
      </x:c>
      <x:c r="L130" s="10" t="str">
        <x:v>Vídeo (digital)</x:v>
      </x:c>
      <x:c r="M130" s="10" t="str">
        <x:v>YouTube (Prisioneiro 84.901)</x:v>
      </x:c>
      <x:c r="N130" s="10" t="str">
        <x:v>Português, Brasil</x:v>
      </x:c>
      <x:c r="O130" s="10" t="str">
        <x:v>"Prisioneiro 84.901" no Youtube</x:v>
      </x:c>
      <x:c r="P130" s="10" t="str">
        <x:v>2025-10-16 00:00:00</x:v>
      </x:c>
      <x:c r="Q130" s="10" t="str">
        <x:v>Aberto</x:v>
      </x:c>
      <x:c r="R130" s="10" t="str">
        <x:v>Aqui</x:v>
      </x:c>
      <x:c r="S130" s="10" t="str">
        <x:v>PRISIONEIRO 84.901. Cachaça na cadeia – Parte 2. YouTube, 18 dez. 2022. Disponível em: https://www.youtube.com/watch?v=VGfHsHqa914. Acesso em: 19 jul. 2025.</x:v>
      </x:c>
      <x:c r="T130" s="10" t="str">
        <x:v>BR-SPCARANDIRU_MAPEAMENTOS-REMEMORA-CARANDIRU.xlsx</x:v>
      </x:c>
      <x:c r="U130" s="10" t="str">
        <x:v>Geral</x:v>
      </x:c>
      <x:c r="V130" s="11" t="n">
        <x:v>135</x:v>
      </x:c>
      <x:c r="W130" s="10" t="str">
        <x:v>BR-SPCARANDIRU_MAPEAMENTOS-REMEMORA-CARANDIRU.xlsx:Geral:135</x:v>
      </x:c>
      <x:c r="X130" s="11" t="n">
        <x:f>COLUMNS(A130:S130)-COUNTBLANK(A130:S130)</x:f>
        <x:v>18</x:v>
      </x:c>
    </x:row>
    <x:row r="131" ht="15" hidden="0" customHeight="1">
      <x:c r="A131" s="10" t="str">
        <x:v>Vídeo</x:v>
      </x:c>
      <x:c r="B131" s="10" t="str"/>
      <x:c r="C131" s="10" t="str">
        <x:v>Produção midiática</x:v>
      </x:c>
      <x:c r="D131" s="10" t="str">
        <x:v>Público Mediado</x:v>
      </x:c>
      <x:c r="E131" s="10" t="str">
        <x:v>Midiático</x:v>
      </x:c>
      <x:c r="F131" s="10" t="str">
        <x:v>7/04/2022</x:v>
      </x:c>
      <x:c r="G131" s="11" t="n">
        <x:v>2022</x:v>
      </x:c>
      <x:c r="H131" s="10" t="str">
        <x:v>São Paulo</x:v>
      </x:c>
      <x:c r="I131" s="10" t="str">
        <x:v>Canal "Prisioneiro 84.901"</x:v>
      </x:c>
      <x:c r="J131" s="10" t="str">
        <x:v>Denúncias contra esse Estado mentiroso.</x:v>
      </x:c>
      <x:c r="K131" s="10" t="str">
        <x:v>Audiovisual</x:v>
      </x:c>
      <x:c r="L131" s="10" t="str">
        <x:v>Vídeo (digital)</x:v>
      </x:c>
      <x:c r="M131" s="10" t="str">
        <x:v>YouTube (Prisioneiro 84.901)</x:v>
      </x:c>
      <x:c r="N131" s="10" t="str">
        <x:v>Português, Brasil</x:v>
      </x:c>
      <x:c r="O131" s="10" t="str">
        <x:v>"Prisioneiro 84.901" no Youtube</x:v>
      </x:c>
      <x:c r="P131" s="10" t="str">
        <x:v>2025-10-16 00:00:00</x:v>
      </x:c>
      <x:c r="Q131" s="10" t="str">
        <x:v>Aberto</x:v>
      </x:c>
      <x:c r="R131" s="10" t="str">
        <x:v>Aqui</x:v>
      </x:c>
      <x:c r="S131" s="10" t="str">
        <x:v>PRISIONEIRO 84.901. Denúncias contra esse Estado mentiroso. YouTube, 7 abr. 2022. Disponível em: https://www.youtube.com/watch?v=AIYXs2LrRy8. Acesso em: 19 jul. 2025.</x:v>
      </x:c>
      <x:c r="T131" s="10" t="str">
        <x:v>BR-SPCARANDIRU_MAPEAMENTOS-REMEMORA-CARANDIRU.xlsx</x:v>
      </x:c>
      <x:c r="U131" s="10" t="str">
        <x:v>Geral</x:v>
      </x:c>
      <x:c r="V131" s="11" t="n">
        <x:v>136</x:v>
      </x:c>
      <x:c r="W131" s="10" t="str">
        <x:v>BR-SPCARANDIRU_MAPEAMENTOS-REMEMORA-CARANDIRU.xlsx:Geral:136</x:v>
      </x:c>
      <x:c r="X131" s="11" t="n">
        <x:f>COLUMNS(A131:S131)-COUNTBLANK(A131:S131)</x:f>
        <x:v>18</x:v>
      </x:c>
    </x:row>
    <x:row r="132" ht="15" hidden="0" customHeight="1">
      <x:c r="A132" s="10" t="str">
        <x:v>Vídeo</x:v>
      </x:c>
      <x:c r="B132" s="10" t="str"/>
      <x:c r="C132" s="10" t="str">
        <x:v>Produção midiática</x:v>
      </x:c>
      <x:c r="D132" s="10" t="str">
        <x:v>Público Mediado</x:v>
      </x:c>
      <x:c r="E132" s="10" t="str">
        <x:v>Midiático</x:v>
      </x:c>
      <x:c r="F132" s="10" t="str">
        <x:v>2/06/2022</x:v>
      </x:c>
      <x:c r="G132" s="11" t="n">
        <x:v>2022</x:v>
      </x:c>
      <x:c r="H132" s="10" t="str">
        <x:v>São Paulo</x:v>
      </x:c>
      <x:c r="I132" s="10" t="str">
        <x:v>Canal "Prisioneiro 84.901"</x:v>
      </x:c>
      <x:c r="J132" s="10" t="str">
        <x:v>O dia depois: 03/10/92.</x:v>
      </x:c>
      <x:c r="K132" s="10" t="str">
        <x:v>Audiovisual</x:v>
      </x:c>
      <x:c r="L132" s="10" t="str">
        <x:v>Vídeo (digital)</x:v>
      </x:c>
      <x:c r="M132" s="10" t="str">
        <x:v>YouTube (Prisioneiro 84.901)</x:v>
      </x:c>
      <x:c r="N132" s="10" t="str">
        <x:v>Português, Brasil</x:v>
      </x:c>
      <x:c r="O132" s="10" t="str">
        <x:v>"Prisioneiro 84.901" no Youtube</x:v>
      </x:c>
      <x:c r="P132" s="10" t="str">
        <x:v>2025-10-16 00:00:00</x:v>
      </x:c>
      <x:c r="Q132" s="10" t="str">
        <x:v>Aberto</x:v>
      </x:c>
      <x:c r="R132" s="10" t="str">
        <x:v>Aqui</x:v>
      </x:c>
      <x:c r="S132" s="10" t="str">
        <x:v>PRISIONEIRO 84.901. O dia depois: 03/10/92. YouTube, 2 jun. 2022. Disponível em: https://www.youtube.com/watch?v=RBd41MfgtOY. Acesso em: 19 jul. 2025.</x:v>
      </x:c>
      <x:c r="T132" s="10" t="str">
        <x:v>BR-SPCARANDIRU_MAPEAMENTOS-REMEMORA-CARANDIRU.xlsx</x:v>
      </x:c>
      <x:c r="U132" s="10" t="str">
        <x:v>Geral</x:v>
      </x:c>
      <x:c r="V132" s="11" t="n">
        <x:v>137</x:v>
      </x:c>
      <x:c r="W132" s="10" t="str">
        <x:v>BR-SPCARANDIRU_MAPEAMENTOS-REMEMORA-CARANDIRU.xlsx:Geral:137</x:v>
      </x:c>
      <x:c r="X132" s="11" t="n">
        <x:f>COLUMNS(A132:S132)-COUNTBLANK(A132:S132)</x:f>
        <x:v>18</x:v>
      </x:c>
    </x:row>
    <x:row r="133" ht="15" hidden="0" customHeight="1">
      <x:c r="A133" s="10" t="str">
        <x:v>Vídeo</x:v>
      </x:c>
      <x:c r="B133" s="10" t="str"/>
      <x:c r="C133" s="10" t="str">
        <x:v>Produção midiática</x:v>
      </x:c>
      <x:c r="D133" s="10" t="str">
        <x:v>Público Mediado</x:v>
      </x:c>
      <x:c r="E133" s="10" t="str">
        <x:v>Midiático</x:v>
      </x:c>
      <x:c r="F133" s="10" t="str">
        <x:v>8/08/2022</x:v>
      </x:c>
      <x:c r="G133" s="11" t="n">
        <x:v>2022</x:v>
      </x:c>
      <x:c r="H133" s="10" t="str">
        <x:v>São Paulo</x:v>
      </x:c>
      <x:c r="I133" s="10" t="str">
        <x:v>Canal "Prisioneiro 84.901"</x:v>
      </x:c>
      <x:c r="J133" s="10" t="str">
        <x:v>Vários sobreviventes.</x:v>
      </x:c>
      <x:c r="K133" s="10" t="str">
        <x:v>Audiovisual</x:v>
      </x:c>
      <x:c r="L133" s="10" t="str">
        <x:v>Vídeo (digital)</x:v>
      </x:c>
      <x:c r="M133" s="10" t="str">
        <x:v>YouTube (Prisioneiro 84.901)</x:v>
      </x:c>
      <x:c r="N133" s="10" t="str">
        <x:v>Português, Brasil</x:v>
      </x:c>
      <x:c r="O133" s="10" t="str">
        <x:v>"Prisioneiro 84.901" no Youtube</x:v>
      </x:c>
      <x:c r="P133" s="10" t="str">
        <x:v>2025-10-16 00:00:00</x:v>
      </x:c>
      <x:c r="Q133" s="10" t="str">
        <x:v>Aberto</x:v>
      </x:c>
      <x:c r="R133" s="10" t="str">
        <x:v>Aqui</x:v>
      </x:c>
      <x:c r="S133" s="10" t="str">
        <x:v>PRISIONEIRO 84.901. Vários sobreviventes. YouTube, 8 ago. 2022. Disponível em: https://www.youtube.com/watch?v=MAgXUoFE3Os. Acesso em: 19 jul. 2025.</x:v>
      </x:c>
      <x:c r="T133" s="10" t="str">
        <x:v>BR-SPCARANDIRU_MAPEAMENTOS-REMEMORA-CARANDIRU.xlsx</x:v>
      </x:c>
      <x:c r="U133" s="10" t="str">
        <x:v>Geral</x:v>
      </x:c>
      <x:c r="V133" s="11" t="n">
        <x:v>138</x:v>
      </x:c>
      <x:c r="W133" s="10" t="str">
        <x:v>BR-SPCARANDIRU_MAPEAMENTOS-REMEMORA-CARANDIRU.xlsx:Geral:138</x:v>
      </x:c>
      <x:c r="X133" s="11" t="n">
        <x:f>COLUMNS(A133:S133)-COUNTBLANK(A133:S133)</x:f>
        <x:v>18</x:v>
      </x:c>
    </x:row>
    <x:row r="134" ht="15" hidden="0" customHeight="1">
      <x:c r="A134" s="10" t="str">
        <x:v>Vídeo</x:v>
      </x:c>
      <x:c r="B134" s="10" t="str"/>
      <x:c r="C134" s="10" t="str">
        <x:v>Produção midiática</x:v>
      </x:c>
      <x:c r="D134" s="10" t="str">
        <x:v>Público Mediado</x:v>
      </x:c>
      <x:c r="E134" s="10" t="str">
        <x:v>Midiático</x:v>
      </x:c>
      <x:c r="F134" s="10" t="str">
        <x:v>17/09/2022</x:v>
      </x:c>
      <x:c r="G134" s="11" t="n">
        <x:v>2022</x:v>
      </x:c>
      <x:c r="H134" s="10" t="str">
        <x:v>São Paulo</x:v>
      </x:c>
      <x:c r="I134" s="10" t="str">
        <x:v>Canal "Prisioneiro 84.901"</x:v>
      </x:c>
      <x:c r="J134" s="10" t="str">
        <x:v>30 anos.</x:v>
      </x:c>
      <x:c r="K134" s="10" t="str">
        <x:v>Audiovisual</x:v>
      </x:c>
      <x:c r="L134" s="10" t="str">
        <x:v>Vídeo (digital)</x:v>
      </x:c>
      <x:c r="M134" s="10" t="str">
        <x:v>YouTube (Prisioneiro 84.901)</x:v>
      </x:c>
      <x:c r="N134" s="10" t="str">
        <x:v>Português, Brasil</x:v>
      </x:c>
      <x:c r="O134" s="10" t="str">
        <x:v>"Prisioneiro 84.901" no Youtube</x:v>
      </x:c>
      <x:c r="P134" s="10" t="str">
        <x:v>2025-10-16 00:00:00</x:v>
      </x:c>
      <x:c r="Q134" s="10" t="str">
        <x:v>Aberto</x:v>
      </x:c>
      <x:c r="R134" s="10" t="str">
        <x:v>Aqui</x:v>
      </x:c>
      <x:c r="S134" s="10" t="str">
        <x:v>PRISIONEIRO 84.901. 30 anos. YouTube, 17 set. 2022. Disponível em: https://www.youtube.com/watch?v=dqzjo1GUSyA. Acesso em: 19 jul. 2025.</x:v>
      </x:c>
      <x:c r="T134" s="10" t="str">
        <x:v>BR-SPCARANDIRU_MAPEAMENTOS-REMEMORA-CARANDIRU.xlsx</x:v>
      </x:c>
      <x:c r="U134" s="10" t="str">
        <x:v>Geral</x:v>
      </x:c>
      <x:c r="V134" s="11" t="n">
        <x:v>139</x:v>
      </x:c>
      <x:c r="W134" s="10" t="str">
        <x:v>BR-SPCARANDIRU_MAPEAMENTOS-REMEMORA-CARANDIRU.xlsx:Geral:139</x:v>
      </x:c>
      <x:c r="X134" s="11" t="n">
        <x:f>COLUMNS(A134:S134)-COUNTBLANK(A134:S134)</x:f>
        <x:v>18</x:v>
      </x:c>
    </x:row>
    <x:row r="135" ht="48" hidden="0" customHeight="1">
      <x:c r="A135" s="10" t="str">
        <x:v>Roda de conversa</x:v>
      </x:c>
      <x:c r="B135" s="10" t="str"/>
      <x:c r="C135" s="10" t="str"/>
      <x:c r="D135" s="10" t="str">
        <x:v>Público Imediato</x:v>
      </x:c>
      <x:c r="E135" s="10" t="str">
        <x:v>Presencial/Físico</x:v>
      </x:c>
      <x:c r="F135" s="10" t="str">
        <x:v>2023-04-13 00:00:00</x:v>
      </x:c>
      <x:c r="G135" s="11" t="n">
        <x:v>2023</x:v>
      </x:c>
      <x:c r="H135" s="10" t="str">
        <x:v>Av. Cruzeiro do Sul, 2630 - Carandiru</x:v>
      </x:c>
      <x:c r="I135" s="10" t="str">
        <x:v>1ª Frente de Sobreviventes do Cárcere, Memórias Carandiru, Secretaria Municipal de Direitos Humanos e Instituto Resgata Cidadão</x:v>
      </x:c>
      <x:c r="J135" s="10" t="str">
        <x:v>As deficiências no cárcere</x:v>
      </x:c>
      <x:c r="K135" s="10" t="str">
        <x:v>Iconográfico, Textual</x:v>
      </x:c>
      <x:c r="L135" s="10" t="str">
        <x:v>Texto (digital), Imagem (digital)</x:v>
      </x:c>
      <x:c r="M135" s="10" t="str">
        <x:v>Instagram (Memórias Carandiru)</x:v>
      </x:c>
      <x:c r="N135" s="10" t="str">
        <x:v>Português, Brasil</x:v>
      </x:c>
      <x:c r="O135" s="10" t="str">
        <x:v>Hiperlink</x:v>
      </x:c>
      <x:c r="P135" s="10" t="str">
        <x:v>2025-07-19 00:00:00</x:v>
      </x:c>
      <x:c r="Q135" s="10" t="str">
        <x:v>Aberto</x:v>
      </x:c>
      <x:c r="R135" s="10" t="str">
        <x:v>Aqui</x:v>
      </x:c>
      <x:c r="S135" s="10" t="str">
        <x:v>MEMÓRIAS CARANDIRU. As deficiências no cárcere. Instagram, 13 abr. 2023. Disponível em: https://www.instagram.com/p/Cqq40KAP83x/?utm_source=ig_web_copy_link&amp;igsh=MzRlODBiNWFlZA==. Acesso em: 19 jul. 2025.</x:v>
      </x:c>
      <x:c r="T135" s="10" t="str">
        <x:v>BR-SPCARANDIRU_MAPEAMENTOS-REMEMORA-CARANDIRU.xlsx</x:v>
      </x:c>
      <x:c r="U135" s="10" t="str">
        <x:v>Geral</x:v>
      </x:c>
      <x:c r="V135" s="11" t="n">
        <x:v>140</x:v>
      </x:c>
      <x:c r="W135" s="10" t="str">
        <x:v>BR-SPCARANDIRU_MAPEAMENTOS-REMEMORA-CARANDIRU.xlsx:Geral:140</x:v>
      </x:c>
      <x:c r="X135" s="11" t="n">
        <x:f>COLUMNS(A135:S135)-COUNTBLANK(A135:S135)</x:f>
        <x:v>17</x:v>
      </x:c>
    </x:row>
    <x:row r="136" ht="48" hidden="0" customHeight="1">
      <x:c r="A136" s="10" t="str">
        <x:v>Roteiro de memória</x:v>
      </x:c>
      <x:c r="B136" s="10" t="str"/>
      <x:c r="C136" s="10" t="str"/>
      <x:c r="D136" s="10" t="str">
        <x:v>Público Imediato</x:v>
      </x:c>
      <x:c r="E136" s="10" t="str">
        <x:v>Presencial/Físico</x:v>
      </x:c>
      <x:c r="F136" s="10" t="str">
        <x:v>2023-04-22 00:00:00</x:v>
      </x:c>
      <x:c r="G136" s="11" t="n">
        <x:v>2023</x:v>
      </x:c>
      <x:c r="H136" s="10" t="str">
        <x:v>Av. Cruzeiro do Sul, 2630 - Carandiru</x:v>
      </x:c>
      <x:c r="I136" s="10" t="str">
        <x:v>1ª Frente de Sobreviventes do Cárcere, Memórias Carandiru, Secretaria Municipal de Direitos Humanos e Instituto Resgata Cidadão</x:v>
      </x:c>
      <x:c r="J136" s="10" t="str">
        <x:v>Pessoas com deficiência no sistema Carcerário e Arquitetura Excludente</x:v>
      </x:c>
      <x:c r="K136" s="10" t="str">
        <x:v>Iconográfico, Textual</x:v>
      </x:c>
      <x:c r="L136" s="10" t="str">
        <x:v>Texto (digital), Imagem (digital)</x:v>
      </x:c>
      <x:c r="M136" s="10" t="str">
        <x:v>Instagram (Memórias Carandiru)</x:v>
      </x:c>
      <x:c r="N136" s="10" t="str">
        <x:v>Português, Brasil</x:v>
      </x:c>
      <x:c r="O136" s="10" t="str">
        <x:v>Hiperlink</x:v>
      </x:c>
      <x:c r="P136" s="10" t="str">
        <x:v>2025-07-19 00:00:00</x:v>
      </x:c>
      <x:c r="Q136" s="10" t="str">
        <x:v>Aberto</x:v>
      </x:c>
      <x:c r="R136" s="10" t="str">
        <x:v>Aqui</x:v>
      </x:c>
      <x:c r="S136" s="10" t="str">
        <x:v>MEMÓRIAS CARANDIRU. Pessoas com deficiência no sistema carcerário e arquitetura excludente. Instagram, 22 abr. 2023. Disponível em: https://www.instagram.com/p/CrBVg8JrgRs/?utm_source=ig_web_copy_link&amp;igsh=MzRlODBiNWFlZA==. Acesso em: 19 jul. 2025.</x:v>
      </x:c>
      <x:c r="T136" s="10" t="str">
        <x:v>BR-SPCARANDIRU_MAPEAMENTOS-REMEMORA-CARANDIRU.xlsx</x:v>
      </x:c>
      <x:c r="U136" s="10" t="str">
        <x:v>Geral</x:v>
      </x:c>
      <x:c r="V136" s="11" t="n">
        <x:v>141</x:v>
      </x:c>
      <x:c r="W136" s="10" t="str">
        <x:v>BR-SPCARANDIRU_MAPEAMENTOS-REMEMORA-CARANDIRU.xlsx:Geral:141</x:v>
      </x:c>
      <x:c r="X136" s="11" t="n">
        <x:f>COLUMNS(A136:S136)-COUNTBLANK(A136:S136)</x:f>
        <x:v>17</x:v>
      </x:c>
    </x:row>
    <x:row r="137" ht="48" hidden="0" customHeight="1">
      <x:c r="A137" s="10" t="str">
        <x:v>Roda de conversa</x:v>
      </x:c>
      <x:c r="B137" s="10" t="str"/>
      <x:c r="C137" s="10" t="str"/>
      <x:c r="D137" s="10" t="str">
        <x:v>Público Imediato</x:v>
      </x:c>
      <x:c r="E137" s="10" t="str">
        <x:v>Presencial/Físico</x:v>
      </x:c>
      <x:c r="F137" s="10" t="str">
        <x:v>2023-05-13 00:00:00</x:v>
      </x:c>
      <x:c r="G137" s="11" t="n">
        <x:v>2023</x:v>
      </x:c>
      <x:c r="H137" s="10" t="str">
        <x:v>Av. Cruzeiro do Sul, 2630 - Carandiru</x:v>
      </x:c>
      <x:c r="I137" s="10" t="str">
        <x:v>1ª Frente de Sobreviventes do Cárcere, Memórias Carandiru, Secretaria Municipal de Direitos Humanos e Instituto Resgata Cidadão</x:v>
      </x:c>
      <x:c r="J137" s="10" t="str">
        <x:v>Sobrevivendo depois do cárcere</x:v>
      </x:c>
      <x:c r="K137" s="10" t="str">
        <x:v>Iconográfico, Textual</x:v>
      </x:c>
      <x:c r="L137" s="10" t="str">
        <x:v>Texto (digital), Imagem (digital)</x:v>
      </x:c>
      <x:c r="M137" s="10" t="str">
        <x:v>Instagram (Memórias Carandiru)</x:v>
      </x:c>
      <x:c r="N137" s="10" t="str">
        <x:v>Português, Brasil</x:v>
      </x:c>
      <x:c r="O137" s="10" t="str">
        <x:v>Hiperlink</x:v>
      </x:c>
      <x:c r="P137" s="10" t="str">
        <x:v>2025-07-19 00:00:00</x:v>
      </x:c>
      <x:c r="Q137" s="10" t="str">
        <x:v>Aberto</x:v>
      </x:c>
      <x:c r="R137" s="10" t="str">
        <x:v>Aqui</x:v>
      </x:c>
      <x:c r="S137" s="10" t="str">
        <x:v>MEMÓRIAS CARANDIRU. Sobrevivendo depois do cárcere. Instagram, 13 mai. 2023. Disponível em: https://www.instagram.com/tv/CsMeOi5hhiw/?utm_source=ig_web_copy_link&amp;igsh=MzRlODBiNWFlZA==. Acesso em: 19 jul. 2025.</x:v>
      </x:c>
      <x:c r="T137" s="10" t="str">
        <x:v>BR-SPCARANDIRU_MAPEAMENTOS-REMEMORA-CARANDIRU.xlsx</x:v>
      </x:c>
      <x:c r="U137" s="10" t="str">
        <x:v>Geral</x:v>
      </x:c>
      <x:c r="V137" s="11" t="n">
        <x:v>142</x:v>
      </x:c>
      <x:c r="W137" s="10" t="str">
        <x:v>BR-SPCARANDIRU_MAPEAMENTOS-REMEMORA-CARANDIRU.xlsx:Geral:142</x:v>
      </x:c>
      <x:c r="X137" s="11" t="n">
        <x:f>COLUMNS(A137:S137)-COUNTBLANK(A137:S137)</x:f>
        <x:v>17</x:v>
      </x:c>
    </x:row>
    <x:row r="138" ht="48" hidden="0" customHeight="1">
      <x:c r="A138" s="10" t="str">
        <x:v>Roteiro de memória</x:v>
      </x:c>
      <x:c r="B138" s="10" t="str"/>
      <x:c r="C138" s="10" t="str"/>
      <x:c r="D138" s="10" t="str">
        <x:v>Público Imediato</x:v>
      </x:c>
      <x:c r="E138" s="10" t="str">
        <x:v>Presencial/Físico</x:v>
      </x:c>
      <x:c r="F138" s="10" t="str">
        <x:v>2023-05-27 00:00:00</x:v>
      </x:c>
      <x:c r="G138" s="11" t="n">
        <x:v>2023</x:v>
      </x:c>
      <x:c r="H138" s="10" t="str">
        <x:v>Av. Cruzeiro do Sul, 2630 - Carandiru</x:v>
      </x:c>
      <x:c r="I138" s="10" t="str">
        <x:v>1ª Frente de Sobreviventes do Cárcere, Memórias Carandiru, Secretaria Municipal de Direitos Humanos e Instituto Resgata Cidadão</x:v>
      </x:c>
      <x:c r="J138" s="10" t="str">
        <x:v>O complexo prisional e a relação com a saúde</x:v>
      </x:c>
      <x:c r="K138" s="10" t="str">
        <x:v>Iconográfico, Textual</x:v>
      </x:c>
      <x:c r="L138" s="10" t="str">
        <x:v>Texto (digital), Imagem (digital)</x:v>
      </x:c>
      <x:c r="M138" s="10" t="str">
        <x:v>Instagram (Memórias Carandiru)</x:v>
      </x:c>
      <x:c r="N138" s="10" t="str">
        <x:v>Português, Brasil</x:v>
      </x:c>
      <x:c r="O138" s="10" t="str">
        <x:v>Hiperlink</x:v>
      </x:c>
      <x:c r="P138" s="10" t="str">
        <x:v>2025-07-19 00:00:00</x:v>
      </x:c>
      <x:c r="Q138" s="10" t="str">
        <x:v>Aberto</x:v>
      </x:c>
      <x:c r="R138" s="10" t="str">
        <x:v>Aqui</x:v>
      </x:c>
      <x:c r="S138" s="10" t="str">
        <x:v>MEMÓRIAS CARANDIRU. O complexo prisional e a relação com a saúde. Instagram, 27 mai. 2023. Disponível em: https://www.instagram.com/p/CsrjhUuvTX1/?utm_source=ig_web_copy_link&amp;igsh=MzRlODBiNWFlZA==. Acesso em: 19 jul. 2025.</x:v>
      </x:c>
      <x:c r="T138" s="10" t="str">
        <x:v>BR-SPCARANDIRU_MAPEAMENTOS-REMEMORA-CARANDIRU.xlsx</x:v>
      </x:c>
      <x:c r="U138" s="10" t="str">
        <x:v>Geral</x:v>
      </x:c>
      <x:c r="V138" s="11" t="n">
        <x:v>143</x:v>
      </x:c>
      <x:c r="W138" s="10" t="str">
        <x:v>BR-SPCARANDIRU_MAPEAMENTOS-REMEMORA-CARANDIRU.xlsx:Geral:143</x:v>
      </x:c>
      <x:c r="X138" s="11" t="n">
        <x:f>COLUMNS(A138:S138)-COUNTBLANK(A138:S138)</x:f>
        <x:v>17</x:v>
      </x:c>
    </x:row>
    <x:row r="139" ht="48" hidden="0" customHeight="1">
      <x:c r="A139" s="10" t="str">
        <x:v>Roda de conversa</x:v>
      </x:c>
      <x:c r="B139" s="10" t="str"/>
      <x:c r="C139" s="10" t="str"/>
      <x:c r="D139" s="10" t="str">
        <x:v>Público Imediato</x:v>
      </x:c>
      <x:c r="E139" s="10" t="str">
        <x:v>Presencial/Físico</x:v>
      </x:c>
      <x:c r="F139" s="10" t="str">
        <x:v>2023-06-08 00:00:00</x:v>
      </x:c>
      <x:c r="G139" s="11" t="n">
        <x:v>2023</x:v>
      </x:c>
      <x:c r="H139" s="10" t="str">
        <x:v>Av. Cruzeiro do Sul, 2630 - Carandiru</x:v>
      </x:c>
      <x:c r="I139" s="10" t="str">
        <x:v>1ª Frente de Sobreviventes do Cárcere, Memórias Carandiru, Secretaria Municipal de Direitos Humanos e Instituto Resgata Cidadão</x:v>
      </x:c>
      <x:c r="J139" s="10" t="str">
        <x:v>Arte dentro e fora do Carandiru</x:v>
      </x:c>
      <x:c r="K139" s="10" t="str">
        <x:v>Iconográfico, Textual</x:v>
      </x:c>
      <x:c r="L139" s="10" t="str">
        <x:v>Texto (digital), Imagem (digital)</x:v>
      </x:c>
      <x:c r="M139" s="10" t="str">
        <x:v>Instagram (Memórias Carandiru)</x:v>
      </x:c>
      <x:c r="N139" s="10" t="str">
        <x:v>Português, Brasil</x:v>
      </x:c>
      <x:c r="O139" s="10" t="str">
        <x:v>Hiperlink</x:v>
      </x:c>
      <x:c r="P139" s="10" t="str">
        <x:v>2025-07-19 00:00:00</x:v>
      </x:c>
      <x:c r="Q139" s="10" t="str">
        <x:v>Aberto</x:v>
      </x:c>
      <x:c r="R139" s="10" t="str">
        <x:v>Aqui</x:v>
      </x:c>
      <x:c r="S139" s="10" t="str">
        <x:v>MEMÓRIAS CARANDIRU. Arte dentro e fora do Carandiru. Instagram, 8 jun. 2023. Disponível em: https://www.instagram.com/reel/CuPtKK3N35y/?utm_source=ig_web_copy_link&amp;igsh=MzRlODBiNWFlZA==. Acesso em: 19 jul. 2025.</x:v>
      </x:c>
      <x:c r="T139" s="10" t="str">
        <x:v>BR-SPCARANDIRU_MAPEAMENTOS-REMEMORA-CARANDIRU.xlsx</x:v>
      </x:c>
      <x:c r="U139" s="10" t="str">
        <x:v>Geral</x:v>
      </x:c>
      <x:c r="V139" s="11" t="n">
        <x:v>144</x:v>
      </x:c>
      <x:c r="W139" s="10" t="str">
        <x:v>BR-SPCARANDIRU_MAPEAMENTOS-REMEMORA-CARANDIRU.xlsx:Geral:144</x:v>
      </x:c>
      <x:c r="X139" s="11" t="n">
        <x:f>COLUMNS(A139:S139)-COUNTBLANK(A139:S139)</x:f>
        <x:v>17</x:v>
      </x:c>
    </x:row>
    <x:row r="140" ht="48" hidden="0" customHeight="1">
      <x:c r="A140" s="10" t="str">
        <x:v>Roda de conversa</x:v>
      </x:c>
      <x:c r="B140" s="10" t="str"/>
      <x:c r="C140" s="10" t="str"/>
      <x:c r="D140" s="10" t="str">
        <x:v>Público Imediato</x:v>
      </x:c>
      <x:c r="E140" s="10" t="str">
        <x:v>Presencial/Físico</x:v>
      </x:c>
      <x:c r="F140" s="10" t="str">
        <x:v>2023-06-10 00:00:00</x:v>
      </x:c>
      <x:c r="G140" s="11" t="n">
        <x:v>2023</x:v>
      </x:c>
      <x:c r="H140" s="10" t="str">
        <x:v>Av. Cruzeiro do Sul, 2630 - Carandiru</x:v>
      </x:c>
      <x:c r="I140" s="10" t="str">
        <x:v>1ª Frente de Sobreviventes do Cárcere, Memórias Carandiru, Secretaria Municipal de Direitos Humanos e Instituto Resgata Cidadão</x:v>
      </x:c>
      <x:c r="J140" s="10" t="str">
        <x:v>Identidade de gênero dentro do cárcere</x:v>
      </x:c>
      <x:c r="K140" s="10" t="str">
        <x:v>Iconográfico, Textual</x:v>
      </x:c>
      <x:c r="L140" s="10" t="str">
        <x:v>Texto (digital), Imagem (digital)</x:v>
      </x:c>
      <x:c r="M140" s="10" t="str">
        <x:v>Instagram (Memórias Carandiru)</x:v>
      </x:c>
      <x:c r="N140" s="10" t="str">
        <x:v>Português, Brasil</x:v>
      </x:c>
      <x:c r="O140" s="10" t="str">
        <x:v>Hiperlink</x:v>
      </x:c>
      <x:c r="P140" s="10" t="str">
        <x:v>2025-07-19 00:00:00</x:v>
      </x:c>
      <x:c r="Q140" s="10" t="str">
        <x:v>Aberto</x:v>
      </x:c>
      <x:c r="R140" s="10" t="str">
        <x:v>Aqui</x:v>
      </x:c>
      <x:c r="S140" s="10" t="str">
        <x:v>MEMÓRIAS CARANDIRU. Identidade de gênero dentro do cárcere. Instagram, 10 jun. 2023. Disponível em: https://www.instagram.com/tv/CtUl0ymBYD7/?utm_source=ig_web_copy_link&amp;igsh=MzRlODBiNWFlZA==. Acesso em: 19 jul. 2025.</x:v>
      </x:c>
      <x:c r="T140" s="10" t="str">
        <x:v>BR-SPCARANDIRU_MAPEAMENTOS-REMEMORA-CARANDIRU.xlsx</x:v>
      </x:c>
      <x:c r="U140" s="10" t="str">
        <x:v>Geral</x:v>
      </x:c>
      <x:c r="V140" s="11" t="n">
        <x:v>145</x:v>
      </x:c>
      <x:c r="W140" s="10" t="str">
        <x:v>BR-SPCARANDIRU_MAPEAMENTOS-REMEMORA-CARANDIRU.xlsx:Geral:145</x:v>
      </x:c>
      <x:c r="X140" s="11" t="n">
        <x:f>COLUMNS(A140:S140)-COUNTBLANK(A140:S140)</x:f>
        <x:v>17</x:v>
      </x:c>
    </x:row>
    <x:row r="141" ht="48" hidden="0" customHeight="1">
      <x:c r="A141" s="10" t="str">
        <x:v>Roteiro de memória</x:v>
      </x:c>
      <x:c r="B141" s="10" t="str"/>
      <x:c r="C141" s="10" t="str"/>
      <x:c r="D141" s="10" t="str">
        <x:v>Público Imediato</x:v>
      </x:c>
      <x:c r="E141" s="10" t="str">
        <x:v>Presencial/Físico</x:v>
      </x:c>
      <x:c r="F141" s="10" t="str">
        <x:v>2023-06-24 00:00:00</x:v>
      </x:c>
      <x:c r="G141" s="11" t="n">
        <x:v>2023</x:v>
      </x:c>
      <x:c r="H141" s="10" t="str">
        <x:v>Av. Cruzeiro do Sul, 2630 - Carandiru</x:v>
      </x:c>
      <x:c r="I141" s="10" t="str">
        <x:v>1ª Frente de Sobreviventes do Cárcere, Memórias Carandiru, Secretaria Municipal de Direitos Humanos e Instituto Resgata Cidadão</x:v>
      </x:c>
      <x:c r="J141" s="10" t="str">
        <x:v>Direito à memória: O território e os processos de apagamento</x:v>
      </x:c>
      <x:c r="K141" s="10" t="str">
        <x:v>Iconográfico, Textual</x:v>
      </x:c>
      <x:c r="L141" s="10" t="str">
        <x:v>Texto (digital), Imagem (digital)</x:v>
      </x:c>
      <x:c r="M141" s="10" t="str">
        <x:v>Instagram (Memórias Carandiru)</x:v>
      </x:c>
      <x:c r="N141" s="10" t="str">
        <x:v>Português, Brasil</x:v>
      </x:c>
      <x:c r="O141" s="10" t="str">
        <x:v>Hiperlink</x:v>
      </x:c>
      <x:c r="P141" s="10" t="str">
        <x:v>2025-07-19 00:00:00</x:v>
      </x:c>
      <x:c r="Q141" s="10" t="str">
        <x:v>Aberto</x:v>
      </x:c>
      <x:c r="R141" s="10" t="str">
        <x:v>Aqui</x:v>
      </x:c>
      <x:c r="S141" s="10" t="str">
        <x:v>MEMÓRIAS CARANDIRU. Direito à memória: o território e os processos de apagamento. Instagram, 24 jun. 2023. Disponível em: https://www.instagram.com/reel/CtzR8rQtxqi/?utm_source=ig_web_copy_link&amp;igsh=MzRlODBiNWFlZA==. Acesso em: 19 jul. 2025.</x:v>
      </x:c>
      <x:c r="T141" s="10" t="str">
        <x:v>BR-SPCARANDIRU_MAPEAMENTOS-REMEMORA-CARANDIRU.xlsx</x:v>
      </x:c>
      <x:c r="U141" s="10" t="str">
        <x:v>Geral</x:v>
      </x:c>
      <x:c r="V141" s="11" t="n">
        <x:v>146</x:v>
      </x:c>
      <x:c r="W141" s="10" t="str">
        <x:v>BR-SPCARANDIRU_MAPEAMENTOS-REMEMORA-CARANDIRU.xlsx:Geral:146</x:v>
      </x:c>
      <x:c r="X141" s="11" t="n">
        <x:f>COLUMNS(A141:S141)-COUNTBLANK(A141:S141)</x:f>
        <x:v>17</x:v>
      </x:c>
    </x:row>
    <x:row r="142" ht="48" hidden="0" customHeight="1">
      <x:c r="A142" s="10" t="str">
        <x:v>Palestra</x:v>
      </x:c>
      <x:c r="B142" s="10" t="str"/>
      <x:c r="C142" s="10" t="str"/>
      <x:c r="D142" s="10" t="str">
        <x:v>Público Imediato</x:v>
      </x:c>
      <x:c r="E142" s="10" t="str">
        <x:v>Presencial/Físico</x:v>
      </x:c>
      <x:c r="F142" s="10" t="str">
        <x:v>2023-07-15 00:00:00</x:v>
      </x:c>
      <x:c r="G142" s="11" t="n">
        <x:v>2023</x:v>
      </x:c>
      <x:c r="H142" s="10" t="str">
        <x:v>Av. Cruzeiro do Sul, 2630 - Carandiru</x:v>
      </x:c>
      <x:c r="I142" s="10" t="str">
        <x:v>1ª Frente de Sobreviventes do Cárcere, Memórias Carandiru, Secretaria Municipal de Direitos Humanos e Instituto Resgata Cidadão</x:v>
      </x:c>
      <x:c r="J142" s="10" t="str">
        <x:v>Mercado trabalho após o cárcere</x:v>
      </x:c>
      <x:c r="K142" s="10" t="str">
        <x:v>Iconográfico, Textual</x:v>
      </x:c>
      <x:c r="L142" s="10" t="str">
        <x:v>Texto (digital), Imagem (digital)</x:v>
      </x:c>
      <x:c r="M142" s="10" t="str">
        <x:v>Instagram (Memórias Carandiru)</x:v>
      </x:c>
      <x:c r="N142" s="10" t="str">
        <x:v>Português, Brasil</x:v>
      </x:c>
      <x:c r="O142" s="10" t="str">
        <x:v>Hiperlink</x:v>
      </x:c>
      <x:c r="P142" s="10" t="str">
        <x:v>2025-07-19 00:00:00</x:v>
      </x:c>
      <x:c r="Q142" s="10" t="str">
        <x:v>Aberto</x:v>
      </x:c>
      <x:c r="R142" s="10" t="str">
        <x:v>Aqui</x:v>
      </x:c>
      <x:c r="S142" s="10" t="str">
        <x:v>MEMÓRIAS CARANDIRU. Mercado de trabalho após o cárcere. Instagram, 15 jul. 2023. Disponível em: https://www.instagram.com/p/CuFGUCPL3cG/?utm_source=ig_web_copy_link&amp;igsh=MzRlODBiNWFlZA==. Acesso em: 19 jul. 2025.</x:v>
      </x:c>
      <x:c r="T142" s="10" t="str">
        <x:v>BR-SPCARANDIRU_MAPEAMENTOS-REMEMORA-CARANDIRU.xlsx</x:v>
      </x:c>
      <x:c r="U142" s="10" t="str">
        <x:v>Geral</x:v>
      </x:c>
      <x:c r="V142" s="11" t="n">
        <x:v>147</x:v>
      </x:c>
      <x:c r="W142" s="10" t="str">
        <x:v>BR-SPCARANDIRU_MAPEAMENTOS-REMEMORA-CARANDIRU.xlsx:Geral:147</x:v>
      </x:c>
      <x:c r="X142" s="11" t="n">
        <x:f>COLUMNS(A142:S142)-COUNTBLANK(A142:S142)</x:f>
        <x:v>17</x:v>
      </x:c>
    </x:row>
    <x:row r="143" ht="48" hidden="0" customHeight="1">
      <x:c r="A143" s="10" t="str">
        <x:v>Roteiro de memória</x:v>
      </x:c>
      <x:c r="B143" s="10" t="str"/>
      <x:c r="C143" s="10" t="str"/>
      <x:c r="D143" s="10" t="str">
        <x:v>Público Imediato</x:v>
      </x:c>
      <x:c r="E143" s="10" t="str">
        <x:v>Presencial/Físico</x:v>
      </x:c>
      <x:c r="F143" s="10" t="str">
        <x:v>2023-07-22 00:00:00</x:v>
      </x:c>
      <x:c r="G143" s="11" t="n">
        <x:v>2023</x:v>
      </x:c>
      <x:c r="H143" s="10" t="str">
        <x:v>Av. Cruzeiro do Sul, 2630 - Carandiru</x:v>
      </x:c>
      <x:c r="I143" s="10" t="str">
        <x:v>1ª Frente de Sobreviventes do Cárcere, Memórias Carandiru, Secretaria Municipal de Direitos Humanos e Instituto Resgata Cidadão</x:v>
      </x:c>
      <x:c r="J143" s="10" t="str">
        <x:v>As manifestações artísticas no território</x:v>
      </x:c>
      <x:c r="K143" s="10" t="str">
        <x:v>Iconográfico, Textual</x:v>
      </x:c>
      <x:c r="L143" s="10" t="str">
        <x:v>Texto (digital), Imagem (digital)</x:v>
      </x:c>
      <x:c r="M143" s="10" t="str">
        <x:v>Instagram (Memórias Carandiru)</x:v>
      </x:c>
      <x:c r="N143" s="10" t="str">
        <x:v>Português, Brasil</x:v>
      </x:c>
      <x:c r="O143" s="10" t="str">
        <x:v>Hiperlink</x:v>
      </x:c>
      <x:c r="P143" s="10" t="str">
        <x:v>2025-07-19 00:00:00</x:v>
      </x:c>
      <x:c r="Q143" s="10" t="str">
        <x:v>Aberto</x:v>
      </x:c>
      <x:c r="R143" s="10" t="str">
        <x:v>Aqui</x:v>
      </x:c>
      <x:c r="S143" s="10" t="str">
        <x:v>MEMÓRIAS CARANDIRU. As manifestações artísticas no território. Instagram, 22 jul. 2023. Disponível em: https://www.instagram.com/reel/Cu2IyTRLQZw/?utm_source=ig_web_copy_link&amp;igsh=MzRlODBiNWFlZA==. Acesso em: 19 jul. 2025.</x:v>
      </x:c>
      <x:c r="T143" s="10" t="str">
        <x:v>BR-SPCARANDIRU_MAPEAMENTOS-REMEMORA-CARANDIRU.xlsx</x:v>
      </x:c>
      <x:c r="U143" s="10" t="str">
        <x:v>Geral</x:v>
      </x:c>
      <x:c r="V143" s="11" t="n">
        <x:v>148</x:v>
      </x:c>
      <x:c r="W143" s="10" t="str">
        <x:v>BR-SPCARANDIRU_MAPEAMENTOS-REMEMORA-CARANDIRU.xlsx:Geral:148</x:v>
      </x:c>
      <x:c r="X143" s="11" t="n">
        <x:f>COLUMNS(A143:S143)-COUNTBLANK(A143:S143)</x:f>
        <x:v>17</x:v>
      </x:c>
    </x:row>
    <x:row r="144" ht="48" hidden="0" customHeight="1">
      <x:c r="A144" s="10" t="str">
        <x:v>Live</x:v>
      </x:c>
      <x:c r="B144" s="10" t="str"/>
      <x:c r="C144" s="10" t="str"/>
      <x:c r="D144" s="10" t="str">
        <x:v>Público Mediado</x:v>
      </x:c>
      <x:c r="E144" s="10" t="str">
        <x:v>Virtual</x:v>
      </x:c>
      <x:c r="F144" s="10" t="str">
        <x:v>2023-08-17 00:00:00</x:v>
      </x:c>
      <x:c r="G144" s="11" t="n">
        <x:v>2023</x:v>
      </x:c>
      <x:c r="H144" s="10" t="str">
        <x:v>Não especificado</x:v>
      </x:c>
      <x:c r="I144" s="10" t="str">
        <x:v>1ª Frente de Sobreviventes do Cárcere, Memórias Carandiru, Secretaria Municipal de Direitos Humanos e Instituto Resgata Cidadão</x:v>
      </x:c>
      <x:c r="J144" s="10" t="str">
        <x:v>Relatos de um familiar</x:v>
      </x:c>
      <x:c r="K144" s="10" t="str">
        <x:v>Iconográfico, Textual</x:v>
      </x:c>
      <x:c r="L144" s="10" t="str">
        <x:v>Texto (digital), Imagem (digital)</x:v>
      </x:c>
      <x:c r="M144" s="10" t="str">
        <x:v>Instagram (Memórias Carandiru)</x:v>
      </x:c>
      <x:c r="N144" s="10" t="str">
        <x:v>Português, Brasil</x:v>
      </x:c>
      <x:c r="O144" s="10" t="str">
        <x:v>Hiperlink</x:v>
      </x:c>
      <x:c r="P144" s="10" t="str">
        <x:v>2025-07-19 00:00:00</x:v>
      </x:c>
      <x:c r="Q144" s="10" t="str">
        <x:v>Aberto</x:v>
      </x:c>
      <x:c r="R144" s="10" t="str">
        <x:v>Aqui</x:v>
      </x:c>
      <x:c r="S144" s="10" t="str">
        <x:v>MEMÓRIAS CARANDIRU. Relatos de um familiar. Instagram, 17 ago. 2023. Disponível em: https://www.instagram.com/p/CvzzsDbu-v_/?utm_source=ig_web_copy_link&amp;igsh=MzRlODBiNWFlZA==. Acesso em: 19 jul. 2025.</x:v>
      </x:c>
      <x:c r="T144" s="10" t="str">
        <x:v>BR-SPCARANDIRU_MAPEAMENTOS-REMEMORA-CARANDIRU.xlsx</x:v>
      </x:c>
      <x:c r="U144" s="10" t="str">
        <x:v>Geral</x:v>
      </x:c>
      <x:c r="V144" s="11" t="n">
        <x:v>149</x:v>
      </x:c>
      <x:c r="W144" s="10" t="str">
        <x:v>BR-SPCARANDIRU_MAPEAMENTOS-REMEMORA-CARANDIRU.xlsx:Geral:149</x:v>
      </x:c>
      <x:c r="X144" s="11" t="n">
        <x:f>COLUMNS(A144:S144)-COUNTBLANK(A144:S144)</x:f>
        <x:v>17</x:v>
      </x:c>
    </x:row>
    <x:row r="145" ht="48" hidden="0" customHeight="1">
      <x:c r="A145" s="10" t="str">
        <x:v>Roteiro de memória</x:v>
      </x:c>
      <x:c r="B145" s="10" t="str"/>
      <x:c r="C145" s="10" t="str"/>
      <x:c r="D145" s="10" t="str">
        <x:v>Público Imediato</x:v>
      </x:c>
      <x:c r="E145" s="10" t="str">
        <x:v>Presencial/Físico</x:v>
      </x:c>
      <x:c r="F145" s="10" t="str">
        <x:v>2023-08-19 00:00:00</x:v>
      </x:c>
      <x:c r="G145" s="11" t="n">
        <x:v>2023</x:v>
      </x:c>
      <x:c r="H145" s="10" t="str">
        <x:v>Espaço Memória Carandiru. - Avenida Cruzeiro do Sul, 2630 Prédio I - Santana, São Paulo</x:v>
      </x:c>
      <x:c r="I145" s="10" t="str">
        <x:v>1ª Frente de Sobreviventes do Cárcere, Memórias Carandiru, Secretaria Municipal de Direitos Humanos e Instituto Resgata Cidadão</x:v>
      </x:c>
      <x:c r="J145" s="10" t="str">
        <x:v>Se a cidade fosse um sobrevivente do Carandiru?</x:v>
      </x:c>
      <x:c r="K145" s="10" t="str">
        <x:v>Iconográfico, Textual</x:v>
      </x:c>
      <x:c r="L145" s="10" t="str">
        <x:v>Texto (digital), Imagem (digital)</x:v>
      </x:c>
      <x:c r="M145" s="10" t="str">
        <x:v>Instagram (Memórias Carandiru)</x:v>
      </x:c>
      <x:c r="N145" s="10" t="str">
        <x:v>Português, Brasil</x:v>
      </x:c>
      <x:c r="O145" s="10" t="str">
        <x:v>Hiperlink</x:v>
      </x:c>
      <x:c r="P145" s="10" t="str">
        <x:v>2025-07-19 00:00:00</x:v>
      </x:c>
      <x:c r="Q145" s="10" t="str">
        <x:v>Aberto</x:v>
      </x:c>
      <x:c r="R145" s="10" t="str">
        <x:v>Aqui</x:v>
      </x:c>
      <x:c r="S145" s="10" t="str">
        <x:v>MEMÓRIAS CARANDIRU. Se a cidade fosse um sobrevivente do Carandiru?. Instagram, 19 ago. 2023. Disponível em: https://www.instagram.com/reel/CwF_PgDBBrX/?utm_source=ig_web_copy_link&amp;igsh=MzRlODBiNWFlZA==. Acesso em: 19 jul. 2025.</x:v>
      </x:c>
      <x:c r="T145" s="10" t="str">
        <x:v>BR-SPCARANDIRU_MAPEAMENTOS-REMEMORA-CARANDIRU.xlsx</x:v>
      </x:c>
      <x:c r="U145" s="10" t="str">
        <x:v>Geral</x:v>
      </x:c>
      <x:c r="V145" s="11" t="n">
        <x:v>150</x:v>
      </x:c>
      <x:c r="W145" s="10" t="str">
        <x:v>BR-SPCARANDIRU_MAPEAMENTOS-REMEMORA-CARANDIRU.xlsx:Geral:150</x:v>
      </x:c>
      <x:c r="X145" s="11" t="n">
        <x:f>COLUMNS(A145:S145)-COUNTBLANK(A145:S145)</x:f>
        <x:v>17</x:v>
      </x:c>
    </x:row>
    <x:row r="146" ht="48" hidden="0" customHeight="1">
      <x:c r="A146" s="10" t="str">
        <x:v>Jornada</x:v>
      </x:c>
      <x:c r="B146" s="10" t="str"/>
      <x:c r="C146" s="10" t="str"/>
      <x:c r="D146" s="10" t="str">
        <x:v>Público Imediato</x:v>
      </x:c>
      <x:c r="E146" s="10" t="str">
        <x:v>Presencial/Físico</x:v>
      </x:c>
      <x:c r="F146" s="10" t="str">
        <x:v>2023-08-20 00:00:00</x:v>
      </x:c>
      <x:c r="G146" s="11" t="n">
        <x:v>2023</x:v>
      </x:c>
      <x:c r="H146" s="10" t="str">
        <x:v>Av. Cruzeiro do Sul, 2630 - Carandiru</x:v>
      </x:c>
      <x:c r="I146" s="10" t="str">
        <x:v>1ª Frente de Sobreviventes do Cárcere, Memórias Carandiru, Secretaria Municipal de Direitos Humanos e Instituto Resgata Cidadão</x:v>
      </x:c>
      <x:c r="J146" s="10" t="str">
        <x:v>Jornada do Patrimônio 2023</x:v>
      </x:c>
      <x:c r="K146" s="10" t="str">
        <x:v>Iconográfico, Textual</x:v>
      </x:c>
      <x:c r="L146" s="10" t="str">
        <x:v>Texto (digital), Imagem (digital)</x:v>
      </x:c>
      <x:c r="M146" s="10" t="str">
        <x:v>Instagram (Memórias Carandiru)</x:v>
      </x:c>
      <x:c r="N146" s="10" t="str">
        <x:v>Português, Brasil</x:v>
      </x:c>
      <x:c r="O146" s="10" t="str">
        <x:v>Hiperlink</x:v>
      </x:c>
      <x:c r="P146" s="10" t="str">
        <x:v>2025-07-19 00:00:00</x:v>
      </x:c>
      <x:c r="Q146" s="10" t="str">
        <x:v>Aberto</x:v>
      </x:c>
      <x:c r="R146" s="10" t="str">
        <x:v>Aqui</x:v>
      </x:c>
      <x:c r="S146" s="10" t="str">
        <x:v>MEMÓRIAS CARANDIRU. Jornada do Patrimônio 2023. Instagram, 20 ago. 2023. Disponível em: https://www.instagram.com/p/Cv76EbLvXLA/?utm_source=ig_web_copy_link&amp;igsh=MzRlODBiNWFlZA==. Acesso em: 19 jul. 2025.</x:v>
      </x:c>
      <x:c r="T146" s="10" t="str">
        <x:v>BR-SPCARANDIRU_MAPEAMENTOS-REMEMORA-CARANDIRU.xlsx</x:v>
      </x:c>
      <x:c r="U146" s="10" t="str">
        <x:v>Geral</x:v>
      </x:c>
      <x:c r="V146" s="11" t="n">
        <x:v>151</x:v>
      </x:c>
      <x:c r="W146" s="10" t="str">
        <x:v>BR-SPCARANDIRU_MAPEAMENTOS-REMEMORA-CARANDIRU.xlsx:Geral:151</x:v>
      </x:c>
      <x:c r="X146" s="11" t="n">
        <x:f>COLUMNS(A146:S146)-COUNTBLANK(A146:S146)</x:f>
        <x:v>17</x:v>
      </x:c>
    </x:row>
    <x:row r="147" ht="48" hidden="0" customHeight="1">
      <x:c r="A147" s="10" t="str">
        <x:v>Roteiro de memória</x:v>
      </x:c>
      <x:c r="B147" s="10" t="str"/>
      <x:c r="C147" s="10" t="str"/>
      <x:c r="D147" s="10" t="str">
        <x:v>Público Imediato</x:v>
      </x:c>
      <x:c r="E147" s="10" t="str">
        <x:v>Presencial/Físico</x:v>
      </x:c>
      <x:c r="F147" s="10" t="str">
        <x:v>2023-08-23 00:00:00</x:v>
      </x:c>
      <x:c r="G147" s="11" t="n">
        <x:v>2023</x:v>
      </x:c>
      <x:c r="H147" s="10" t="str">
        <x:v>Av. Cruzeiro do Sul, 2630 - Carandiru</x:v>
      </x:c>
      <x:c r="I147" s="10" t="str">
        <x:v>1ª Frente de Sobreviventes do Cárcere, Memórias Carandiru, Secretaria Municipal de Direitos Humanos e Instituto Resgata Cidadão</x:v>
      </x:c>
      <x:c r="J147" s="10" t="str">
        <x:v>O dia a dia na Casa de Detenção</x:v>
      </x:c>
      <x:c r="K147" s="10" t="str">
        <x:v>Iconográfico, Textual</x:v>
      </x:c>
      <x:c r="L147" s="10" t="str">
        <x:v>Texto (digital), Imagem (digital)</x:v>
      </x:c>
      <x:c r="M147" s="10" t="str">
        <x:v>Instagram (Memórias Carandiru)</x:v>
      </x:c>
      <x:c r="N147" s="10" t="str">
        <x:v>Português, Brasil</x:v>
      </x:c>
      <x:c r="O147" s="10" t="str">
        <x:v>Hiperlink</x:v>
      </x:c>
      <x:c r="P147" s="10" t="str">
        <x:v>2025-07-19 00:00:00</x:v>
      </x:c>
      <x:c r="Q147" s="10" t="str">
        <x:v>Aberto</x:v>
      </x:c>
      <x:c r="R147" s="10" t="str">
        <x:v>Aqui</x:v>
      </x:c>
      <x:c r="S147" s="10" t="str">
        <x:v>MEMÓRIAS CARANDIRU. O dia a dia na Casa de Detenção. Instagram, 23 ago. 2023. Disponível em: https://www.instagram.com/reel/CxdHvQurTFp/?utm_source=ig_web_copy_link&amp;igsh=MzRlODBiNWFlZA==. Acesso em: 19 jul. 2025.</x:v>
      </x:c>
      <x:c r="T147" s="10" t="str">
        <x:v>BR-SPCARANDIRU_MAPEAMENTOS-REMEMORA-CARANDIRU.xlsx</x:v>
      </x:c>
      <x:c r="U147" s="10" t="str">
        <x:v>Geral</x:v>
      </x:c>
      <x:c r="V147" s="11" t="n">
        <x:v>152</x:v>
      </x:c>
      <x:c r="W147" s="10" t="str">
        <x:v>BR-SPCARANDIRU_MAPEAMENTOS-REMEMORA-CARANDIRU.xlsx:Geral:152</x:v>
      </x:c>
      <x:c r="X147" s="11" t="n">
        <x:f>COLUMNS(A147:S147)-COUNTBLANK(A147:S147)</x:f>
        <x:v>17</x:v>
      </x:c>
    </x:row>
    <x:row r="148" ht="48" hidden="0" customHeight="1">
      <x:c r="A148" s="10" t="str">
        <x:v>Roteiro de memória</x:v>
      </x:c>
      <x:c r="B148" s="10" t="str"/>
      <x:c r="C148" s="10" t="str"/>
      <x:c r="D148" s="10" t="str">
        <x:v>Público Imediato</x:v>
      </x:c>
      <x:c r="E148" s="10" t="str">
        <x:v>Presencial/Físico</x:v>
      </x:c>
      <x:c r="F148" s="10" t="str">
        <x:v>2023-08-26 00:00:00</x:v>
      </x:c>
      <x:c r="G148" s="11" t="n">
        <x:v>2023</x:v>
      </x:c>
      <x:c r="H148" s="10" t="str">
        <x:v>Av. Cruzeiro do Sul, 2630 - Carandiru</x:v>
      </x:c>
      <x:c r="I148" s="10" t="str">
        <x:v>1ª Frente de Sobreviventes do Cárcere, Memórias Carandiru, Secretaria Municipal de Direitos Humanos e Instituto Resgata Cidadão</x:v>
      </x:c>
      <x:c r="J148" s="10" t="str">
        <x:v>Dia de Visita: A Perspectiva do Familiar</x:v>
      </x:c>
      <x:c r="K148" s="10" t="str">
        <x:v>Iconográfico, Textual</x:v>
      </x:c>
      <x:c r="L148" s="10" t="str">
        <x:v>Texto (digital), Imagem (digital)</x:v>
      </x:c>
      <x:c r="M148" s="10" t="str">
        <x:v>Instagram (Memórias Carandiru)</x:v>
      </x:c>
      <x:c r="N148" s="10" t="str">
        <x:v>Português, Brasil</x:v>
      </x:c>
      <x:c r="O148" s="10" t="str">
        <x:v>Hiperlink</x:v>
      </x:c>
      <x:c r="P148" s="10" t="str">
        <x:v>2025-07-19 00:00:00</x:v>
      </x:c>
      <x:c r="Q148" s="10" t="str">
        <x:v>Aberto</x:v>
      </x:c>
      <x:c r="R148" s="10" t="str">
        <x:v>Aqui</x:v>
      </x:c>
      <x:c r="S148" s="10" t="str">
        <x:v>MEMÓRIAS CARANDIRU. Dia de Visita: a perspectiva do familiar. Instagram, 26 ago. 2023. Disponível em: https://www.instagram.com/reel/CwS78LUBl6o/?utm_source=ig_web_copy_link&amp;igsh=MzRlODBiNWFlZA==. Acesso em: 19 jul. 2025.</x:v>
      </x:c>
      <x:c r="T148" s="10" t="str">
        <x:v>BR-SPCARANDIRU_MAPEAMENTOS-REMEMORA-CARANDIRU.xlsx</x:v>
      </x:c>
      <x:c r="U148" s="10" t="str">
        <x:v>Geral</x:v>
      </x:c>
      <x:c r="V148" s="11" t="n">
        <x:v>153</x:v>
      </x:c>
      <x:c r="W148" s="10" t="str">
        <x:v>BR-SPCARANDIRU_MAPEAMENTOS-REMEMORA-CARANDIRU.xlsx:Geral:153</x:v>
      </x:c>
      <x:c r="X148" s="11" t="n">
        <x:f>COLUMNS(A148:S148)-COUNTBLANK(A148:S148)</x:f>
        <x:v>17</x:v>
      </x:c>
    </x:row>
    <x:row r="149" ht="48" hidden="0" customHeight="1">
      <x:c r="A149" s="10" t="str">
        <x:v>Palestra</x:v>
      </x:c>
      <x:c r="B149" s="10" t="str"/>
      <x:c r="C149" s="10" t="str"/>
      <x:c r="D149" s="10" t="str">
        <x:v>Público Imediato</x:v>
      </x:c>
      <x:c r="E149" s="10" t="str">
        <x:v>Presencial/Físico</x:v>
      </x:c>
      <x:c r="F149" s="10" t="str">
        <x:v>2023-09-25 00:00:00</x:v>
      </x:c>
      <x:c r="G149" s="11" t="n">
        <x:v>2023</x:v>
      </x:c>
      <x:c r="H149" s="10" t="str">
        <x:v>Espaço Memória Carandiru. - Avenida Cruzeiro do Sul, 2630 Prédio I - Santana, São Paulo</x:v>
      </x:c>
      <x:c r="I149" s="10" t="str">
        <x:v>1ª Frente de Sobreviventes do Cárcere, Memórias Carandiru, Secretaria Municipal de Direitos Humanos e Instituto Resgata Cidadão</x:v>
      </x:c>
      <x:c r="J149" s="10" t="str">
        <x:v>31 Anos de impunidade</x:v>
      </x:c>
      <x:c r="K149" s="10" t="str">
        <x:v>Iconográfico, Textual</x:v>
      </x:c>
      <x:c r="L149" s="10" t="str">
        <x:v>Texto (digital), Imagem (digital)</x:v>
      </x:c>
      <x:c r="M149" s="10" t="str">
        <x:v>Instagram (Memórias Carandiru)</x:v>
      </x:c>
      <x:c r="N149" s="10" t="str">
        <x:v>Português, Brasil</x:v>
      </x:c>
      <x:c r="O149" s="10" t="str">
        <x:v>Hiperlink</x:v>
      </x:c>
      <x:c r="P149" s="10" t="str">
        <x:v>2025-07-19 00:00:00</x:v>
      </x:c>
      <x:c r="Q149" s="10" t="str">
        <x:v>Aberto</x:v>
      </x:c>
      <x:c r="R149" s="10" t="str">
        <x:v>Aqui</x:v>
      </x:c>
      <x:c r="S149" s="10" t="str">
        <x:v>MEMÓRIAS CARANDIRU. 31 anos de impunidade. Instagram, 25 set. 2023. Disponível em: https://www.instagram.com/p/Cxn7kl2u2ky/?utm_source=ig_web_copy_link&amp;igsh=MzRlODBiNWFlZA==. Acesso em: 19 jul. 2025.</x:v>
      </x:c>
      <x:c r="T149" s="10" t="str">
        <x:v>BR-SPCARANDIRU_MAPEAMENTOS-REMEMORA-CARANDIRU.xlsx</x:v>
      </x:c>
      <x:c r="U149" s="10" t="str">
        <x:v>Geral</x:v>
      </x:c>
      <x:c r="V149" s="11" t="n">
        <x:v>154</x:v>
      </x:c>
      <x:c r="W149" s="10" t="str">
        <x:v>BR-SPCARANDIRU_MAPEAMENTOS-REMEMORA-CARANDIRU.xlsx:Geral:154</x:v>
      </x:c>
      <x:c r="X149" s="11" t="n">
        <x:f>COLUMNS(A149:S149)-COUNTBLANK(A149:S149)</x:f>
        <x:v>17</x:v>
      </x:c>
    </x:row>
    <x:row r="150" ht="72" hidden="0" customHeight="1">
      <x:c r="A150" s="10" t="str">
        <x:v>Live</x:v>
      </x:c>
      <x:c r="B150" s="10" t="str"/>
      <x:c r="C150" s="10" t="str"/>
      <x:c r="D150" s="10" t="str">
        <x:v>Público Mediado</x:v>
      </x:c>
      <x:c r="E150" s="10" t="str">
        <x:v>Virtual</x:v>
      </x:c>
      <x:c r="F150" s="10" t="str">
        <x:v>2023-09-25 00:00:00</x:v>
      </x:c>
      <x:c r="G150" s="11" t="n">
        <x:v>2023</x:v>
      </x:c>
      <x:c r="H150" s="10" t="str">
        <x:v>Não especificado</x:v>
      </x:c>
      <x:c r="I150" s="10" t="str">
        <x:v>Sobreviventes do cárcere: Maurício Monteiro (Prisioneiro 84.901); Professor Cristiano; Dr. Paulo Rogério; Pastor Zé Roberto; Bizil (Artista plástico); Professor Emerson; Walter (Luiz Diretor do IREC). Mediação de: Helen Baum e Nádia Lima.</x:v>
      </x:c>
      <x:c r="J150" s="10" t="str">
        <x:v>Bate-papo oline: a negritude dentro da cadeia</x:v>
      </x:c>
      <x:c r="K150" s="10" t="str">
        <x:v>Iconográfico, Textual</x:v>
      </x:c>
      <x:c r="L150" s="10" t="str">
        <x:v>Texto (digital), Imagem (digital)</x:v>
      </x:c>
      <x:c r="M150" s="10" t="str">
        <x:v>Instagram (Memórias Carandiru)</x:v>
      </x:c>
      <x:c r="N150" s="10" t="str">
        <x:v>Português, Brasil</x:v>
      </x:c>
      <x:c r="O150" s="10" t="str">
        <x:v>Hiperlink</x:v>
      </x:c>
      <x:c r="P150" s="10" t="str">
        <x:v>2025-07-19 00:00:00</x:v>
      </x:c>
      <x:c r="Q150" s="10" t="str">
        <x:v>Aberto</x:v>
      </x:c>
      <x:c r="R150" s="10" t="str">
        <x:v>Aqui</x:v>
      </x:c>
      <x:c r="S150" s="10" t="str">
        <x:v>MEMÓRIAS CARANDIRU. Bate-papo online: a negritude dentro da cadeia. Instagram, 25 set. 2023. Disponível em: https://www.instagram.com/p/CxbSPsEva2m/?utm_source=ig_web_copy_link&amp;igsh=MzRlODBiNWFlZA==. Acesso em: 19 jul. 2025.</x:v>
      </x:c>
      <x:c r="T150" s="10" t="str">
        <x:v>BR-SPCARANDIRU_MAPEAMENTOS-REMEMORA-CARANDIRU.xlsx</x:v>
      </x:c>
      <x:c r="U150" s="10" t="str">
        <x:v>Geral</x:v>
      </x:c>
      <x:c r="V150" s="11" t="n">
        <x:v>155</x:v>
      </x:c>
      <x:c r="W150" s="10" t="str">
        <x:v>BR-SPCARANDIRU_MAPEAMENTOS-REMEMORA-CARANDIRU.xlsx:Geral:155</x:v>
      </x:c>
      <x:c r="X150" s="11" t="n">
        <x:f>COLUMNS(A150:S150)-COUNTBLANK(A150:S150)</x:f>
        <x:v>17</x:v>
      </x:c>
    </x:row>
    <x:row r="151" ht="48" hidden="0" customHeight="1">
      <x:c r="A151" s="10" t="str">
        <x:v>Roteiro de memória</x:v>
      </x:c>
      <x:c r="B151" s="10" t="str"/>
      <x:c r="C151" s="10" t="str"/>
      <x:c r="D151" s="10" t="str">
        <x:v>Público Imediato</x:v>
      </x:c>
      <x:c r="E151" s="10" t="str">
        <x:v>Presencial/Físico</x:v>
      </x:c>
      <x:c r="F151" s="10" t="str">
        <x:v>2023-10-19 00:00:00</x:v>
      </x:c>
      <x:c r="G151" s="11" t="n">
        <x:v>2023</x:v>
      </x:c>
      <x:c r="H151" s="10" t="str">
        <x:v>Av. Cruzeiro do Sul, 2630 - Carandiru</x:v>
      </x:c>
      <x:c r="I151" s="10" t="str">
        <x:v>1ª Frente de Sobreviventes do Cárcere, Memórias Carandiru, Secretaria Municipal de Direitos Humanos e Instituto Resgata Cidadão</x:v>
      </x:c>
      <x:c r="J151" s="10" t="str">
        <x:v>1º roteiro de memória independente no território</x:v>
      </x:c>
      <x:c r="K151" s="10" t="str">
        <x:v>Iconográfico, Textual</x:v>
      </x:c>
      <x:c r="L151" s="10" t="str">
        <x:v>Texto (digital), Imagem (digital)</x:v>
      </x:c>
      <x:c r="M151" s="10" t="str">
        <x:v>Instagram (Memórias Carandiru)</x:v>
      </x:c>
      <x:c r="N151" s="10" t="str">
        <x:v>Português, Brasil</x:v>
      </x:c>
      <x:c r="O151" s="10" t="str">
        <x:v>Hiperlink</x:v>
      </x:c>
      <x:c r="P151" s="10" t="str">
        <x:v>2025-07-19 00:00:00</x:v>
      </x:c>
      <x:c r="Q151" s="10" t="str">
        <x:v>Aberto</x:v>
      </x:c>
      <x:c r="R151" s="10" t="str">
        <x:v>Aqui</x:v>
      </x:c>
      <x:c r="S151" s="10" t="str">
        <x:v>MEMÓRIAS CARANDIRU. 1º roteiro de memória independente no território. Instagram, 19 out. 2023. Disponível em: https://www.instagram.com/p/CymV1yHt8_o/?utm_source=ig_web_copy_link&amp;igsh=MzRlODBiNWFlZA==. Acesso em: 19 jul. 2025.</x:v>
      </x:c>
      <x:c r="T151" s="10" t="str">
        <x:v>BR-SPCARANDIRU_MAPEAMENTOS-REMEMORA-CARANDIRU.xlsx</x:v>
      </x:c>
      <x:c r="U151" s="10" t="str">
        <x:v>Geral</x:v>
      </x:c>
      <x:c r="V151" s="11" t="n">
        <x:v>156</x:v>
      </x:c>
      <x:c r="W151" s="10" t="str">
        <x:v>BR-SPCARANDIRU_MAPEAMENTOS-REMEMORA-CARANDIRU.xlsx:Geral:156</x:v>
      </x:c>
      <x:c r="X151" s="11" t="n">
        <x:f>COLUMNS(A151:S151)-COUNTBLANK(A151:S151)</x:f>
        <x:v>17</x:v>
      </x:c>
    </x:row>
    <x:row r="152" ht="72" hidden="0" customHeight="1">
      <x:c r="A152" s="10" t="str">
        <x:v>Ato parlamentar</x:v>
      </x:c>
      <x:c r="B152" s="10" t="str"/>
      <x:c r="C152" s="10" t="str"/>
      <x:c r="D152" s="10" t="str">
        <x:v>Público Imediato</x:v>
      </x:c>
      <x:c r="E152" s="10" t="str">
        <x:v>Presencial/Físico</x:v>
      </x:c>
      <x:c r="F152" s="10" t="str">
        <x:v>2023-10-24 00:00:00</x:v>
      </x:c>
      <x:c r="G152" s="11" t="n">
        <x:v>2023</x:v>
      </x:c>
      <x:c r="H152" s="10" t="str">
        <x:v>Assembleia Legislativa do Estado de São Paulo</x:v>
      </x:c>
      <x:c r="I152" s="10" t="str">
        <x:v>Parlamentares, 1ª Frente de Sobreviventes do Cárcere, Coletivo Por nós, Coletivo Juntas SP, Paula Santos da Secretaria Municipal de Direitos Humanos e Cidadania (SMDHC), Rede Nacional de Feministas Antiproibicionistas e outras.</x:v>
      </x:c>
      <x:c r="J152" s="10" t="str">
        <x:v>"Haverá justiça": sobreviventes do massacre ao Carandiru preservam memórias 31 anos depois</x:v>
      </x:c>
      <x:c r="K152" s="10" t="str">
        <x:v>Textual, Iconográfico</x:v>
      </x:c>
      <x:c r="L152" s="10" t="str">
        <x:v>Texto (digital), Imagem (digital)</x:v>
      </x:c>
      <x:c r="M152" s="10" t="str">
        <x:v>ALESP</x:v>
      </x:c>
      <x:c r="N152" s="10" t="str">
        <x:v>Português, Brasil</x:v>
      </x:c>
      <x:c r="O152" s="10" t="str">
        <x:v>Hiperlink</x:v>
      </x:c>
      <x:c r="P152" s="10" t="str">
        <x:v>2025-07-17 00:00:00</x:v>
      </x:c>
      <x:c r="Q152" s="10" t="str">
        <x:v>Aberto</x:v>
      </x:c>
      <x:c r="R152" s="10" t="str">
        <x:v>Aqui</x:v>
      </x:c>
      <x:c r="S152" s="10" t="str">
        <x:v>OREB, Gustavo. "Haverá justiça": sobreviventes do massacre ao Carandiru preservam memórias 31 anos depois. Assembleia Legislativa do Estado de São Paulo, 25 out. 2023. Disponível em: https://www.al.sp.gov.br/noticia/?id=463223. Acesso em: 17 jul. 2025.</x:v>
      </x:c>
      <x:c r="T152" s="10" t="str">
        <x:v>BR-SPCARANDIRU_MAPEAMENTOS-REMEMORA-CARANDIRU.xlsx</x:v>
      </x:c>
      <x:c r="U152" s="10" t="str">
        <x:v>Geral</x:v>
      </x:c>
      <x:c r="V152" s="11" t="n">
        <x:v>157</x:v>
      </x:c>
      <x:c r="W152" s="10" t="str">
        <x:v>BR-SPCARANDIRU_MAPEAMENTOS-REMEMORA-CARANDIRU.xlsx:Geral:157</x:v>
      </x:c>
      <x:c r="X152" s="11" t="n">
        <x:f>COLUMNS(A152:S152)-COUNTBLANK(A152:S152)</x:f>
        <x:v>17</x:v>
      </x:c>
    </x:row>
    <x:row r="153" ht="48" hidden="0" customHeight="1">
      <x:c r="A153" s="10" t="str">
        <x:v>Festival</x:v>
      </x:c>
      <x:c r="B153" s="10" t="str"/>
      <x:c r="C153" s="10" t="str"/>
      <x:c r="D153" s="10" t="str">
        <x:v>Público Imediato</x:v>
      </x:c>
      <x:c r="E153" s="10" t="str">
        <x:v>Presencial/Físico</x:v>
      </x:c>
      <x:c r="F153" s="10" t="str">
        <x:v>2023-12-05 00:00:00</x:v>
      </x:c>
      <x:c r="G153" s="11" t="n">
        <x:v>2023</x:v>
      </x:c>
      <x:c r="H153" s="10" t="str">
        <x:v>Auditório da Biblioteca de São Paulo</x:v>
      </x:c>
      <x:c r="I153" s="10" t="str">
        <x:v>1ª Frente de Sobreviventes do Cárcere, Memórias Carandiru, Secretaria Municipal de Direitos Humanos e Instituto Resgata Cidadão</x:v>
      </x:c>
      <x:c r="J153" s="10" t="str">
        <x:v>11º Festival de Direitos Humanos - Carandiru gênero, aprisionamento e apagamento histórico</x:v>
      </x:c>
      <x:c r="K153" s="10" t="str">
        <x:v>Iconográfico, Textual</x:v>
      </x:c>
      <x:c r="L153" s="10" t="str">
        <x:v>Texto (digital), Imagem (digital)</x:v>
      </x:c>
      <x:c r="M153" s="10" t="str">
        <x:v>Instagram (Memórias Carandiru)</x:v>
      </x:c>
      <x:c r="N153" s="10" t="str">
        <x:v>Português, Brasil</x:v>
      </x:c>
      <x:c r="O153" s="10" t="str">
        <x:v>Hiperlink</x:v>
      </x:c>
      <x:c r="P153" s="10" t="str">
        <x:v>2025-07-19 00:00:00</x:v>
      </x:c>
      <x:c r="Q153" s="10" t="str">
        <x:v>Aberto</x:v>
      </x:c>
      <x:c r="R153" s="10" t="str">
        <x:v>Aqui</x:v>
      </x:c>
      <x:c r="S153" s="10" t="str">
        <x:v>MEMÓRIAS CARANDIRU. 11º Festival de Direitos Humanos – Carandiru: gênero, aprisionamento e apagamento histórico. Instagram, 5 dez. 2023. Disponível em: https://www.instagram.com/p/C0aFc9ovkk9/?utm_source=ig_web_copy_link&amp;igsh=MzRlODBiNWFlZA==. Acesso em: 19 jul. 2025.</x:v>
      </x:c>
      <x:c r="T153" s="10" t="str">
        <x:v>BR-SPCARANDIRU_MAPEAMENTOS-REMEMORA-CARANDIRU.xlsx</x:v>
      </x:c>
      <x:c r="U153" s="10" t="str">
        <x:v>Geral</x:v>
      </x:c>
      <x:c r="V153" s="11" t="n">
        <x:v>158</x:v>
      </x:c>
      <x:c r="W153" s="10" t="str">
        <x:v>BR-SPCARANDIRU_MAPEAMENTOS-REMEMORA-CARANDIRU.xlsx:Geral:158</x:v>
      </x:c>
      <x:c r="X153" s="11" t="n">
        <x:f>COLUMNS(A153:S153)-COUNTBLANK(A153:S153)</x:f>
        <x:v>17</x:v>
      </x:c>
    </x:row>
    <x:row r="154" ht="36" hidden="0" customHeight="1">
      <x:c r="A154" s="10" t="str">
        <x:v>Roda de conversa</x:v>
      </x:c>
      <x:c r="B154" s="10" t="str"/>
      <x:c r="C154" s="10" t="str"/>
      <x:c r="D154" s="10" t="str">
        <x:v>Público Imediato</x:v>
      </x:c>
      <x:c r="E154" s="10" t="str">
        <x:v>Presencial/Físico</x:v>
      </x:c>
      <x:c r="F154" s="10" t="str">
        <x:v>2023-12-22 00:00:00</x:v>
      </x:c>
      <x:c r="G154" s="11" t="n">
        <x:v>2023</x:v>
      </x:c>
      <x:c r="H154" s="10" t="str">
        <x:v>Unidade Feminina da Fundação Casa Chiquinha Gonzaga</x:v>
      </x:c>
      <x:c r="I154" s="10" t="str">
        <x:v>1ª Frente de Sobreviventes do Cárcere, Instituto Resgata Cidadão e Papel de Menino &amp; Menina</x:v>
      </x:c>
      <x:c r="J154" s="10" t="str">
        <x:v>Duas rodas de conversa junto com o Projeto Papel de Menino &amp; Menina e com as crianças e adolescentes que lá estavam.</x:v>
      </x:c>
      <x:c r="K154" s="10" t="str">
        <x:v>Iconográfico, Textual</x:v>
      </x:c>
      <x:c r="L154" s="10" t="str">
        <x:v>Texto (digital), Imagem (digital)</x:v>
      </x:c>
      <x:c r="M154" s="10" t="str">
        <x:v>Instagram (Memórias Carandiru)</x:v>
      </x:c>
      <x:c r="N154" s="10" t="str">
        <x:v>Português, Brasil</x:v>
      </x:c>
      <x:c r="O154" s="10" t="str">
        <x:v>Hiperlink</x:v>
      </x:c>
      <x:c r="P154" s="10" t="str">
        <x:v>2025-07-19 00:00:00</x:v>
      </x:c>
      <x:c r="Q154" s="10" t="str">
        <x:v>Aberto</x:v>
      </x:c>
      <x:c r="R154" s="10" t="str">
        <x:v>Aqui</x:v>
      </x:c>
      <x:c r="S154" s="10" t="str">
        <x:v>MEMÓRIAS CARANDIRU. Duas rodas de conversa junto com o Projeto Papel de Menino &amp; Menina e com as crianças e adolescentes que lá estavam. Instagram, 22 dez. 2023. Disponível em: https://www.instagram.com/p/C1aAFA2um2t/?utm_source=ig_web_copy_link&amp;igsh=MzRlODBiNWFlZA==. Acesso em: 19 jul. 2025.</x:v>
      </x:c>
      <x:c r="T154" s="10" t="str">
        <x:v>BR-SPCARANDIRU_MAPEAMENTOS-REMEMORA-CARANDIRU.xlsx</x:v>
      </x:c>
      <x:c r="U154" s="10" t="str">
        <x:v>Geral</x:v>
      </x:c>
      <x:c r="V154" s="11" t="n">
        <x:v>159</x:v>
      </x:c>
      <x:c r="W154" s="10" t="str">
        <x:v>BR-SPCARANDIRU_MAPEAMENTOS-REMEMORA-CARANDIRU.xlsx:Geral:159</x:v>
      </x:c>
      <x:c r="X154" s="11" t="n">
        <x:f>COLUMNS(A154:S154)-COUNTBLANK(A154:S154)</x:f>
        <x:v>17</x:v>
      </x:c>
    </x:row>
    <x:row r="155" ht="15" hidden="0" customHeight="1">
      <x:c r="A155" s="10" t="str">
        <x:v>Vídeo</x:v>
      </x:c>
      <x:c r="B155" s="10" t="str"/>
      <x:c r="C155" s="10" t="str">
        <x:v>Produção midiática</x:v>
      </x:c>
      <x:c r="D155" s="10" t="str">
        <x:v>Público Mediado</x:v>
      </x:c>
      <x:c r="E155" s="10" t="str">
        <x:v>Midiático</x:v>
      </x:c>
      <x:c r="F155" s="10" t="str">
        <x:v>2023-09-25 00:00:00</x:v>
      </x:c>
      <x:c r="G155" s="11" t="n">
        <x:v>2023</x:v>
      </x:c>
      <x:c r="H155" s="10" t="str">
        <x:v>Não especificado</x:v>
      </x:c>
      <x:c r="I155" s="10" t="str">
        <x:v>Canal "Planeta Novo"</x:v>
      </x:c>
      <x:c r="J155" s="10" t="str">
        <x:v>Sobreviventes do Carandiru.</x:v>
      </x:c>
      <x:c r="K155" s="10" t="str">
        <x:v>Audiovisual</x:v>
      </x:c>
      <x:c r="L155" s="10" t="str">
        <x:v>Vídeo (digital)</x:v>
      </x:c>
      <x:c r="M155" s="10" t="str">
        <x:v>YouTube (Planeta Novo)</x:v>
      </x:c>
      <x:c r="N155" s="10" t="str">
        <x:v>Português, Brasil</x:v>
      </x:c>
      <x:c r="O155" s="10" t="str">
        <x:v>"Massacre do Carandiru" no Youtube</x:v>
      </x:c>
      <x:c r="P155" s="10" t="str">
        <x:v>2025-10-16 00:00:00</x:v>
      </x:c>
      <x:c r="Q155" s="10" t="str">
        <x:v>Aberto</x:v>
      </x:c>
      <x:c r="R155" s="10" t="str">
        <x:v>Aqui</x:v>
      </x:c>
      <x:c r="S155" s="10" t="str">
        <x:v>PLANETA NOVO. Sobreviventes do Carandiru. YouTube, 19 min 13 s, 2023. Disponível em: https://www.youtube.com/watch?v=-j9G8aB3nic. Acesso em: 19 jul. 2025.</x:v>
      </x:c>
      <x:c r="T155" s="10" t="str">
        <x:v>BR-SPCARANDIRU_MAPEAMENTOS-REMEMORA-CARANDIRU.xlsx</x:v>
      </x:c>
      <x:c r="U155" s="10" t="str">
        <x:v>Geral</x:v>
      </x:c>
      <x:c r="V155" s="11" t="n">
        <x:v>160</x:v>
      </x:c>
      <x:c r="W155" s="10" t="str">
        <x:v>BR-SPCARANDIRU_MAPEAMENTOS-REMEMORA-CARANDIRU.xlsx:Geral:160</x:v>
      </x:c>
      <x:c r="X155" s="11" t="n">
        <x:f>COLUMNS(A155:S155)-COUNTBLANK(A155:S155)</x:f>
        <x:v>18</x:v>
      </x:c>
    </x:row>
    <x:row r="156" ht="15" hidden="0" customHeight="1">
      <x:c r="A156" s="10" t="str">
        <x:v>Entrevista</x:v>
      </x:c>
      <x:c r="B156" s="10" t="str"/>
      <x:c r="C156" s="10" t="str">
        <x:v>Produção midiática</x:v>
      </x:c>
      <x:c r="D156" s="10" t="str">
        <x:v>Público Mediado</x:v>
      </x:c>
      <x:c r="E156" s="10" t="str">
        <x:v>Midiático</x:v>
      </x:c>
      <x:c r="F156" s="10" t="str">
        <x:v>2023-07-20 00:00:00</x:v>
      </x:c>
      <x:c r="G156" s="11" t="n">
        <x:v>2023</x:v>
      </x:c>
      <x:c r="H156" s="10" t="str">
        <x:v>Não especificado</x:v>
      </x:c>
      <x:c r="I156" s="10" t="str">
        <x:v>Canal "AchismosTV"</x:v>
      </x:c>
      <x:c r="J156" s="10" t="str">
        <x:v>Qual a verdade sobre o Carandiru? | #Achismos Podcast #243.</x:v>
      </x:c>
      <x:c r="K156" s="10" t="str">
        <x:v>Audiovisual</x:v>
      </x:c>
      <x:c r="L156" s="10" t="str">
        <x:v>Vídeo (digital)</x:v>
      </x:c>
      <x:c r="M156" s="10" t="str">
        <x:v>YouTube (Achismostv)</x:v>
      </x:c>
      <x:c r="N156" s="10" t="str">
        <x:v>Português, Brasil</x:v>
      </x:c>
      <x:c r="O156" s="10" t="str">
        <x:v>"Massacre do Carandiru" no Youtube</x:v>
      </x:c>
      <x:c r="P156" s="10" t="str">
        <x:v>2025-10-16 00:00:00</x:v>
      </x:c>
      <x:c r="Q156" s="10" t="str">
        <x:v>Aberto</x:v>
      </x:c>
      <x:c r="R156" s="10" t="str">
        <x:v>Aqui</x:v>
      </x:c>
      <x:c r="S156" s="10" t="str">
        <x:v>ACHISMOSTV. Qual a verdade sobre o Carandiru? | #Achismos Podcast #243. YouTube, 78 min 5 s, 20 jul. 2023. Disponível em: https://www.youtube.com/watch?v=eQkkq4fLNGE. Acesso em: 19 jul. 2025.</x:v>
      </x:c>
      <x:c r="T156" s="10" t="str">
        <x:v>BR-SPCARANDIRU_MAPEAMENTOS-REMEMORA-CARANDIRU.xlsx</x:v>
      </x:c>
      <x:c r="U156" s="10" t="str">
        <x:v>Geral</x:v>
      </x:c>
      <x:c r="V156" s="11" t="n">
        <x:v>161</x:v>
      </x:c>
      <x:c r="W156" s="10" t="str">
        <x:v>BR-SPCARANDIRU_MAPEAMENTOS-REMEMORA-CARANDIRU.xlsx:Geral:161</x:v>
      </x:c>
      <x:c r="X156" s="11" t="n">
        <x:f>COLUMNS(A156:S156)-COUNTBLANK(A156:S156)</x:f>
        <x:v>18</x:v>
      </x:c>
    </x:row>
    <x:row r="157" ht="15" hidden="0" customHeight="1">
      <x:c r="A157" s="10" t="str">
        <x:v>Vídeo</x:v>
      </x:c>
      <x:c r="B157" s="10" t="str"/>
      <x:c r="C157" s="10" t="str">
        <x:v>Produção midiática</x:v>
      </x:c>
      <x:c r="D157" s="10" t="str">
        <x:v>Público Mediado</x:v>
      </x:c>
      <x:c r="E157" s="10" t="str">
        <x:v>Midiático</x:v>
      </x:c>
      <x:c r="F157" s="10" t="str">
        <x:v>3/10/2023</x:v>
      </x:c>
      <x:c r="G157" s="11" t="n">
        <x:v>2023</x:v>
      </x:c>
      <x:c r="H157" s="10" t="str">
        <x:v>São Paulo</x:v>
      </x:c>
      <x:c r="I157" s="10" t="str">
        <x:v>Canal "Prisioneiro 84.901"</x:v>
      </x:c>
      <x:c r="J157" s="10" t="str">
        <x:v>Dia 03 de outubro de 1992.</x:v>
      </x:c>
      <x:c r="K157" s="10" t="str">
        <x:v>Audiovisual</x:v>
      </x:c>
      <x:c r="L157" s="10" t="str">
        <x:v>Vídeo (digital)</x:v>
      </x:c>
      <x:c r="M157" s="10" t="str">
        <x:v>YouTube (Prisioneiro 84.901)</x:v>
      </x:c>
      <x:c r="N157" s="10" t="str">
        <x:v>Português, Brasil</x:v>
      </x:c>
      <x:c r="O157" s="10" t="str">
        <x:v>"Prisioneiro 84.901" no Youtube</x:v>
      </x:c>
      <x:c r="P157" s="10" t="str">
        <x:v>2025-10-16 00:00:00</x:v>
      </x:c>
      <x:c r="Q157" s="10" t="str">
        <x:v>Aberto</x:v>
      </x:c>
      <x:c r="R157" s="10" t="str">
        <x:v>Aqui</x:v>
      </x:c>
      <x:c r="S157" s="10" t="str">
        <x:v>PRISIONEIRO 84.901. Dia 03 de outubro de 1992. YouTube, 3 out. 2023. Disponível em: https://www.youtube.com/watch?v=X3Ema3FmIBs. Acesso em: 19 jul. 2025.</x:v>
      </x:c>
      <x:c r="T157" s="10" t="str">
        <x:v>BR-SPCARANDIRU_MAPEAMENTOS-REMEMORA-CARANDIRU.xlsx</x:v>
      </x:c>
      <x:c r="U157" s="10" t="str">
        <x:v>Geral</x:v>
      </x:c>
      <x:c r="V157" s="11" t="n">
        <x:v>162</x:v>
      </x:c>
      <x:c r="W157" s="10" t="str">
        <x:v>BR-SPCARANDIRU_MAPEAMENTOS-REMEMORA-CARANDIRU.xlsx:Geral:162</x:v>
      </x:c>
      <x:c r="X157" s="11" t="n">
        <x:f>COLUMNS(A157:S157)-COUNTBLANK(A157:S157)</x:f>
        <x:v>18</x:v>
      </x:c>
    </x:row>
    <x:row r="158" ht="15" hidden="0" customHeight="1">
      <x:c r="A158" s="10" t="str">
        <x:v>Vídeo</x:v>
      </x:c>
      <x:c r="B158" s="10" t="str"/>
      <x:c r="C158" s="10" t="str">
        <x:v>Produção midiática</x:v>
      </x:c>
      <x:c r="D158" s="10" t="str">
        <x:v>Público Mediado</x:v>
      </x:c>
      <x:c r="E158" s="10" t="str">
        <x:v>Midiático</x:v>
      </x:c>
      <x:c r="F158" s="10" t="str">
        <x:v>15/10/2023</x:v>
      </x:c>
      <x:c r="G158" s="11" t="n">
        <x:v>2023</x:v>
      </x:c>
      <x:c r="H158" s="10" t="str">
        <x:v>São Paulo</x:v>
      </x:c>
      <x:c r="I158" s="10" t="str">
        <x:v>Canal "Prisioneiro 84.901"</x:v>
      </x:c>
      <x:c r="J158" s="10" t="str">
        <x:v>Após morte dos 111, agora morte da memória.</x:v>
      </x:c>
      <x:c r="K158" s="10" t="str">
        <x:v>Audiovisual</x:v>
      </x:c>
      <x:c r="L158" s="10" t="str">
        <x:v>Vídeo (digital)</x:v>
      </x:c>
      <x:c r="M158" s="10" t="str">
        <x:v>YouTube (Prisioneiro 84.901)</x:v>
      </x:c>
      <x:c r="N158" s="10" t="str">
        <x:v>Português, Brasil</x:v>
      </x:c>
      <x:c r="O158" s="10" t="str">
        <x:v>"Prisioneiro 84.901" no Youtube</x:v>
      </x:c>
      <x:c r="P158" s="10" t="str">
        <x:v>2025-10-16 00:00:00</x:v>
      </x:c>
      <x:c r="Q158" s="10" t="str">
        <x:v>Aberto</x:v>
      </x:c>
      <x:c r="R158" s="10" t="str">
        <x:v>Aqui</x:v>
      </x:c>
      <x:c r="S158" s="10" t="str">
        <x:v>PRISIONEIRO 84.901. Após morte dos 111, agora morte da memória. YouTube, 15 out. 2023. Disponível em: https://www.youtube.com/watch?v=18GUsA2izoA. Acesso em: 19 jul. 2025.</x:v>
      </x:c>
      <x:c r="T158" s="10" t="str">
        <x:v>BR-SPCARANDIRU_MAPEAMENTOS-REMEMORA-CARANDIRU.xlsx</x:v>
      </x:c>
      <x:c r="U158" s="10" t="str">
        <x:v>Geral</x:v>
      </x:c>
      <x:c r="V158" s="11" t="n">
        <x:v>163</x:v>
      </x:c>
      <x:c r="W158" s="10" t="str">
        <x:v>BR-SPCARANDIRU_MAPEAMENTOS-REMEMORA-CARANDIRU.xlsx:Geral:163</x:v>
      </x:c>
      <x:c r="X158" s="11" t="n">
        <x:f>COLUMNS(A158:S158)-COUNTBLANK(A158:S158)</x:f>
        <x:v>18</x:v>
      </x:c>
    </x:row>
    <x:row r="159" ht="15" hidden="0" customHeight="1">
      <x:c r="A159" s="10" t="str">
        <x:v>Vídeo</x:v>
      </x:c>
      <x:c r="B159" s="10" t="str"/>
      <x:c r="C159" s="10" t="str">
        <x:v>Produção midiática</x:v>
      </x:c>
      <x:c r="D159" s="10" t="str">
        <x:v>Público Mediado</x:v>
      </x:c>
      <x:c r="E159" s="10" t="str">
        <x:v>Midiático</x:v>
      </x:c>
      <x:c r="F159" s="10" t="str">
        <x:v>23/11/2023</x:v>
      </x:c>
      <x:c r="G159" s="11" t="n">
        <x:v>2023</x:v>
      </x:c>
      <x:c r="H159" s="10" t="str">
        <x:v>São Paulo</x:v>
      </x:c>
      <x:c r="I159" s="10" t="str">
        <x:v>Canal "Prisioneiro 84.901"</x:v>
      </x:c>
      <x:c r="J159" s="10" t="str">
        <x:v>Torturado e torturador.</x:v>
      </x:c>
      <x:c r="K159" s="10" t="str">
        <x:v>Audiovisual</x:v>
      </x:c>
      <x:c r="L159" s="10" t="str">
        <x:v>Vídeo (digital)</x:v>
      </x:c>
      <x:c r="M159" s="10" t="str">
        <x:v>YouTube (Prisioneiro 84.901)</x:v>
      </x:c>
      <x:c r="N159" s="10" t="str">
        <x:v>Português, Brasil</x:v>
      </x:c>
      <x:c r="O159" s="10" t="str">
        <x:v>"Prisioneiro 84.901" no Youtube</x:v>
      </x:c>
      <x:c r="P159" s="10" t="str">
        <x:v>2025-10-16 00:00:00</x:v>
      </x:c>
      <x:c r="Q159" s="10" t="str">
        <x:v>Aberto</x:v>
      </x:c>
      <x:c r="R159" s="10" t="str">
        <x:v>Aqui</x:v>
      </x:c>
      <x:c r="S159" s="10" t="str">
        <x:v>PRISIONEIRO 84.901. Torturado e torturador. YouTube, 23 nov. 2023. Disponível em: https://www.youtube.com/watch?v=m_CEv3w4B4s. Acesso em: 19 jul. 2025.</x:v>
      </x:c>
      <x:c r="T159" s="10" t="str">
        <x:v>BR-SPCARANDIRU_MAPEAMENTOS-REMEMORA-CARANDIRU.xlsx</x:v>
      </x:c>
      <x:c r="U159" s="10" t="str">
        <x:v>Geral</x:v>
      </x:c>
      <x:c r="V159" s="11" t="n">
        <x:v>164</x:v>
      </x:c>
      <x:c r="W159" s="10" t="str">
        <x:v>BR-SPCARANDIRU_MAPEAMENTOS-REMEMORA-CARANDIRU.xlsx:Geral:164</x:v>
      </x:c>
      <x:c r="X159" s="11" t="n">
        <x:f>COLUMNS(A159:S159)-COUNTBLANK(A159:S159)</x:f>
        <x:v>18</x:v>
      </x:c>
    </x:row>
    <x:row r="160" ht="15" hidden="0" customHeight="1">
      <x:c r="A160" s="10" t="str">
        <x:v>Vídeo</x:v>
      </x:c>
      <x:c r="B160" s="10" t="str"/>
      <x:c r="C160" s="10" t="str">
        <x:v>Produção midiática</x:v>
      </x:c>
      <x:c r="D160" s="10" t="str">
        <x:v>Público Mediado</x:v>
      </x:c>
      <x:c r="E160" s="10" t="str">
        <x:v>Midiático</x:v>
      </x:c>
      <x:c r="F160" s="10" t="str">
        <x:v>26/11/2023</x:v>
      </x:c>
      <x:c r="G160" s="11" t="n">
        <x:v>2023</x:v>
      </x:c>
      <x:c r="H160" s="10" t="str">
        <x:v>São Paulo</x:v>
      </x:c>
      <x:c r="I160" s="10" t="str">
        <x:v>Canal "Prisioneiro 84.901"</x:v>
      </x:c>
      <x:c r="J160" s="10" t="str">
        <x:v>Torturados, torturadores e coniventes.</x:v>
      </x:c>
      <x:c r="K160" s="10" t="str">
        <x:v>Audiovisual</x:v>
      </x:c>
      <x:c r="L160" s="10" t="str">
        <x:v>Vídeo (digital)</x:v>
      </x:c>
      <x:c r="M160" s="10" t="str">
        <x:v>YouTube (Prisioneiro 84.901)</x:v>
      </x:c>
      <x:c r="N160" s="10" t="str">
        <x:v>Português, Brasil</x:v>
      </x:c>
      <x:c r="O160" s="10" t="str">
        <x:v>"Prisioneiro 84.901" no Youtube</x:v>
      </x:c>
      <x:c r="P160" s="10" t="str">
        <x:v>2025-10-16 00:00:00</x:v>
      </x:c>
      <x:c r="Q160" s="10" t="str">
        <x:v>Aberto</x:v>
      </x:c>
      <x:c r="R160" s="10" t="str">
        <x:v>Aqui</x:v>
      </x:c>
      <x:c r="S160" s="10" t="str">
        <x:v>PRISIONEIRO 84.901. Torturados, torturadores e coniventes. YouTube, 26 nov. 2023. Disponível em: https://www.youtube.com/watch?v=PEg3V-c3hGw. Acesso em: 19 jul. 2025.</x:v>
      </x:c>
      <x:c r="T160" s="10" t="str">
        <x:v>BR-SPCARANDIRU_MAPEAMENTOS-REMEMORA-CARANDIRU.xlsx</x:v>
      </x:c>
      <x:c r="U160" s="10" t="str">
        <x:v>Geral</x:v>
      </x:c>
      <x:c r="V160" s="11" t="n">
        <x:v>165</x:v>
      </x:c>
      <x:c r="W160" s="10" t="str">
        <x:v>BR-SPCARANDIRU_MAPEAMENTOS-REMEMORA-CARANDIRU.xlsx:Geral:165</x:v>
      </x:c>
      <x:c r="X160" s="11" t="n">
        <x:f>COLUMNS(A160:S160)-COUNTBLANK(A160:S160)</x:f>
        <x:v>18</x:v>
      </x:c>
    </x:row>
    <x:row r="161" ht="15" hidden="0" customHeight="1">
      <x:c r="A161" s="10" t="str">
        <x:v>Vídeo</x:v>
      </x:c>
      <x:c r="B161" s="10" t="str"/>
      <x:c r="C161" s="10" t="str">
        <x:v>Produção midiática</x:v>
      </x:c>
      <x:c r="D161" s="10" t="str">
        <x:v>Público Mediado</x:v>
      </x:c>
      <x:c r="E161" s="10" t="str">
        <x:v>Midiático</x:v>
      </x:c>
      <x:c r="F161" s="10" t="str">
        <x:v>14/12/2023</x:v>
      </x:c>
      <x:c r="G161" s="11" t="n">
        <x:v>2023</x:v>
      </x:c>
      <x:c r="H161" s="10" t="str">
        <x:v>São Paulo</x:v>
      </x:c>
      <x:c r="I161" s="10" t="str">
        <x:v>Canal "Prisioneiro 84.901"</x:v>
      </x:c>
      <x:c r="J161" s="10" t="str">
        <x:v>02 de outubro de 1992 (outra versão).</x:v>
      </x:c>
      <x:c r="K161" s="10" t="str">
        <x:v>Audiovisual</x:v>
      </x:c>
      <x:c r="L161" s="10" t="str">
        <x:v>Vídeo (digital)</x:v>
      </x:c>
      <x:c r="M161" s="10" t="str">
        <x:v>YouTube (Prisioneiro 84.901)</x:v>
      </x:c>
      <x:c r="N161" s="10" t="str">
        <x:v>Português, Brasil</x:v>
      </x:c>
      <x:c r="O161" s="10" t="str">
        <x:v>"Prisioneiro 84.901" no Youtube</x:v>
      </x:c>
      <x:c r="P161" s="10" t="str">
        <x:v>2025-10-16 00:00:00</x:v>
      </x:c>
      <x:c r="Q161" s="10" t="str">
        <x:v>Aberto</x:v>
      </x:c>
      <x:c r="R161" s="10" t="str">
        <x:v>Aqui</x:v>
      </x:c>
      <x:c r="S161" s="10" t="str">
        <x:v>PRISIONEIRO 84.901. 02 de outubro de 1992 (outra versão). YouTube, 14 dez. 2023. Disponível em: https://www.youtube.com/watch?v=7RHqg6kvEr0. Acesso em: 19 jul. 2025.</x:v>
      </x:c>
      <x:c r="T161" s="10" t="str">
        <x:v>BR-SPCARANDIRU_MAPEAMENTOS-REMEMORA-CARANDIRU.xlsx</x:v>
      </x:c>
      <x:c r="U161" s="10" t="str">
        <x:v>Geral</x:v>
      </x:c>
      <x:c r="V161" s="11" t="n">
        <x:v>166</x:v>
      </x:c>
      <x:c r="W161" s="10" t="str">
        <x:v>BR-SPCARANDIRU_MAPEAMENTOS-REMEMORA-CARANDIRU.xlsx:Geral:166</x:v>
      </x:c>
      <x:c r="X161" s="11" t="n">
        <x:f>COLUMNS(A161:S161)-COUNTBLANK(A161:S161)</x:f>
        <x:v>18</x:v>
      </x:c>
    </x:row>
    <x:row r="162" ht="15" hidden="0" customHeight="1">
      <x:c r="A162" s="10" t="str">
        <x:v>Fabricação de cachaça artesanal</x:v>
      </x:c>
      <x:c r="B162" s="10" t="str"/>
      <x:c r="C162" s="10" t="str">
        <x:v>Manifestação artístico-cultural</x:v>
      </x:c>
      <x:c r="D162" s="10" t="str">
        <x:v>Público Imediato</x:v>
      </x:c>
      <x:c r="E162" s="10" t="str">
        <x:v>Presencial/Físico</x:v>
      </x:c>
      <x:c r="F162" s="10" t="str">
        <x:v>4/01/2023</x:v>
      </x:c>
      <x:c r="G162" s="11" t="n">
        <x:v>2023</x:v>
      </x:c>
      <x:c r="H162" s="10" t="str">
        <x:v>São Paulo</x:v>
      </x:c>
      <x:c r="I162" s="10" t="str">
        <x:v>Canal "Prisioneiro 84.901"</x:v>
      </x:c>
      <x:c r="J162" s="10" t="str">
        <x:v>Como é a “Maria Loka”.</x:v>
      </x:c>
      <x:c r="K162" s="10" t="str">
        <x:v>Audiovisual</x:v>
      </x:c>
      <x:c r="L162" s="10" t="str">
        <x:v>Vídeo (digital)</x:v>
      </x:c>
      <x:c r="M162" s="10" t="str">
        <x:v>YouTube (Prisioneiro 84.901)</x:v>
      </x:c>
      <x:c r="N162" s="10" t="str">
        <x:v>Português, Brasil</x:v>
      </x:c>
      <x:c r="O162" s="10" t="str">
        <x:v>"Prisioneiro 84.901" no Youtube</x:v>
      </x:c>
      <x:c r="P162" s="10" t="str">
        <x:v>2025-10-16 00:00:00</x:v>
      </x:c>
      <x:c r="Q162" s="10" t="str">
        <x:v>Aberto</x:v>
      </x:c>
      <x:c r="R162" s="10" t="str">
        <x:v>Aqui</x:v>
      </x:c>
      <x:c r="S162" s="10" t="str">
        <x:v>PRISIONEIRO 84.901. Como é a “Maria Loka”. YouTube, 4 jan. 2023. Disponível em: https://www.youtube.com/watch?v=5v2ZjZERJVk. Acesso em: 19 jul. 2025.</x:v>
      </x:c>
      <x:c r="T162" s="10" t="str">
        <x:v>BR-SPCARANDIRU_MAPEAMENTOS-REMEMORA-CARANDIRU.xlsx</x:v>
      </x:c>
      <x:c r="U162" s="10" t="str">
        <x:v>Geral</x:v>
      </x:c>
      <x:c r="V162" s="11" t="n">
        <x:v>167</x:v>
      </x:c>
      <x:c r="W162" s="10" t="str">
        <x:v>BR-SPCARANDIRU_MAPEAMENTOS-REMEMORA-CARANDIRU.xlsx:Geral:167</x:v>
      </x:c>
      <x:c r="X162" s="11" t="n">
        <x:f>COLUMNS(A162:S162)-COUNTBLANK(A162:S162)</x:f>
        <x:v>18</x:v>
      </x:c>
    </x:row>
    <x:row r="163" ht="15" hidden="0" customHeight="1">
      <x:c r="A163" s="10" t="str">
        <x:v>Vídeo</x:v>
      </x:c>
      <x:c r="B163" s="10" t="str"/>
      <x:c r="C163" s="10" t="str">
        <x:v>Produção midiática</x:v>
      </x:c>
      <x:c r="D163" s="10" t="str">
        <x:v>Público Mediado</x:v>
      </x:c>
      <x:c r="E163" s="10" t="str">
        <x:v>Midiático</x:v>
      </x:c>
      <x:c r="F163" s="10" t="str">
        <x:v>2023-05-16 00:00:00</x:v>
      </x:c>
      <x:c r="G163" s="11" t="n">
        <x:v>2023</x:v>
      </x:c>
      <x:c r="H163" s="10" t="str">
        <x:v>São Paulo</x:v>
      </x:c>
      <x:c r="I163" s="10" t="str">
        <x:v>Canal "Prisioneiro 84.901"</x:v>
      </x:c>
      <x:c r="J163" s="10" t="str">
        <x:v>Massacre no Pav. 9.</x:v>
      </x:c>
      <x:c r="K163" s="10" t="str">
        <x:v>Audiovisual</x:v>
      </x:c>
      <x:c r="L163" s="10" t="str">
        <x:v>Vídeo (digital)</x:v>
      </x:c>
      <x:c r="M163" s="10" t="str">
        <x:v>YouTube (Prisioneiro 84.901)</x:v>
      </x:c>
      <x:c r="N163" s="10" t="str">
        <x:v>Português, Brasil</x:v>
      </x:c>
      <x:c r="O163" s="10" t="str">
        <x:v>"Prisioneiro 84.901" no Youtube</x:v>
      </x:c>
      <x:c r="P163" s="10" t="str">
        <x:v>2025-10-16 00:00:00</x:v>
      </x:c>
      <x:c r="Q163" s="10" t="str">
        <x:v>Aberto</x:v>
      </x:c>
      <x:c r="R163" s="10" t="str">
        <x:v>Aqui</x:v>
      </x:c>
      <x:c r="S163" s="10" t="str">
        <x:v>PRISIONEIRO 84.901. Massacre no Pav. 9. YouTube, 16 maio 2021. Disponível em: https://www.youtube.com/watch?v=zA61atJ0-3E. Acesso em: 19 jul. 2025.</x:v>
      </x:c>
      <x:c r="T163" s="10" t="str">
        <x:v>BR-SPCARANDIRU_MAPEAMENTOS-REMEMORA-CARANDIRU.xlsx</x:v>
      </x:c>
      <x:c r="U163" s="10" t="str">
        <x:v>Geral</x:v>
      </x:c>
      <x:c r="V163" s="11" t="n">
        <x:v>168</x:v>
      </x:c>
      <x:c r="W163" s="10" t="str">
        <x:v>BR-SPCARANDIRU_MAPEAMENTOS-REMEMORA-CARANDIRU.xlsx:Geral:168</x:v>
      </x:c>
      <x:c r="X163" s="11" t="n">
        <x:f>COLUMNS(A163:S163)-COUNTBLANK(A163:S163)</x:f>
        <x:v>18</x:v>
      </x:c>
    </x:row>
    <x:row r="164" ht="48" hidden="0" customHeight="1">
      <x:c r="A164" s="10" t="str">
        <x:v>Roteiro de memória</x:v>
      </x:c>
      <x:c r="B164" s="10" t="str"/>
      <x:c r="C164" s="10" t="str"/>
      <x:c r="D164" s="10" t="str">
        <x:v>Público Imediato</x:v>
      </x:c>
      <x:c r="E164" s="10" t="str">
        <x:v>Presencial/Físico</x:v>
      </x:c>
      <x:c r="F164" s="10" t="str">
        <x:v>2024-01-05 00:00:00</x:v>
      </x:c>
      <x:c r="G164" s="11" t="n">
        <x:v>2024</x:v>
      </x:c>
      <x:c r="H164" s="10" t="str">
        <x:v>Av. Cruzeiro do Sul, 2630 - Carandiru</x:v>
      </x:c>
      <x:c r="I164" s="10" t="str">
        <x:v>1ª Frente de Sobreviventes do Cárcere, Memórias Carandiru, Secretaria Municipal de Direitos Humanos e Instituto Resgata Cidadão</x:v>
      </x:c>
      <x:c r="J164" s="10" t="str">
        <x:v>1º Roteiro de Memória de 2024</x:v>
      </x:c>
      <x:c r="K164" s="10" t="str">
        <x:v>Iconográfico, Textual</x:v>
      </x:c>
      <x:c r="L164" s="10" t="str">
        <x:v>Texto (digital), Imagem (digital)</x:v>
      </x:c>
      <x:c r="M164" s="10" t="str">
        <x:v>Instagram (Memórias Carandiru)</x:v>
      </x:c>
      <x:c r="N164" s="10" t="str">
        <x:v>Português, Brasil</x:v>
      </x:c>
      <x:c r="O164" s="10" t="str">
        <x:v>Hiperlink</x:v>
      </x:c>
      <x:c r="P164" s="10" t="str">
        <x:v>2025-07-19 00:00:00</x:v>
      </x:c>
      <x:c r="Q164" s="10" t="str">
        <x:v>Aberto</x:v>
      </x:c>
      <x:c r="R164" s="10" t="str">
        <x:v>Aqui</x:v>
      </x:c>
      <x:c r="S164" s="10" t="str">
        <x:v>MEMÓRIAS CARANDIRU. 1º Roteiro de Memória de 2024. Instagram, 5 jan. 2024. Disponível em: https://www.instagram.com/p/C1nVpk2PMDo/?utm_source=ig_web_copy_link&amp;igsh=MzRlODBiNWFlZA==. Acesso em: 19 jul. 2025.</x:v>
      </x:c>
      <x:c r="T164" s="10" t="str">
        <x:v>BR-SPCARANDIRU_MAPEAMENTOS-REMEMORA-CARANDIRU.xlsx</x:v>
      </x:c>
      <x:c r="U164" s="10" t="str">
        <x:v>Geral</x:v>
      </x:c>
      <x:c r="V164" s="11" t="n">
        <x:v>169</x:v>
      </x:c>
      <x:c r="W164" s="10" t="str">
        <x:v>BR-SPCARANDIRU_MAPEAMENTOS-REMEMORA-CARANDIRU.xlsx:Geral:169</x:v>
      </x:c>
      <x:c r="X164" s="11" t="n">
        <x:f>COLUMNS(A164:S164)-COUNTBLANK(A164:S164)</x:f>
        <x:v>17</x:v>
      </x:c>
    </x:row>
    <x:row r="165" ht="48" hidden="0" customHeight="1">
      <x:c r="A165" s="10" t="str">
        <x:v>Roda de conversa</x:v>
      </x:c>
      <x:c r="B165" s="10" t="str"/>
      <x:c r="C165" s="10" t="str"/>
      <x:c r="D165" s="10" t="str">
        <x:v>Público Imediato</x:v>
      </x:c>
      <x:c r="E165" s="10" t="str">
        <x:v>Presencial/Físico</x:v>
      </x:c>
      <x:c r="F165" s="10" t="str">
        <x:v>2024-01-14 00:00:00</x:v>
      </x:c>
      <x:c r="G165" s="11" t="n">
        <x:v>2024</x:v>
      </x:c>
      <x:c r="H165" s="10" t="str">
        <x:v>Na sede o IREC</x:v>
      </x:c>
      <x:c r="I165" s="10" t="str">
        <x:v>1ª Frente de Sobreviventes do Cárcere, Memórias Carandiru, Secretaria Municipal de Direitos Humanos e Instituto Resgata Cidadão</x:v>
      </x:c>
      <x:c r="J165" s="10" t="str">
        <x:v>Discussão sobre os 10 pontos da Agenda Nacional pelo Desencarceramento</x:v>
      </x:c>
      <x:c r="K165" s="10" t="str">
        <x:v>Iconográfico, Textual</x:v>
      </x:c>
      <x:c r="L165" s="10" t="str">
        <x:v>Texto (digital), Imagem (digital)</x:v>
      </x:c>
      <x:c r="M165" s="10" t="str">
        <x:v>Instagram (Memórias Carandiru)</x:v>
      </x:c>
      <x:c r="N165" s="10" t="str">
        <x:v>Português, Brasil</x:v>
      </x:c>
      <x:c r="O165" s="10" t="str">
        <x:v>Hiperlink</x:v>
      </x:c>
      <x:c r="P165" s="10" t="str">
        <x:v>2025-07-19 00:00:00</x:v>
      </x:c>
      <x:c r="Q165" s="10" t="str">
        <x:v>Aberto</x:v>
      </x:c>
      <x:c r="R165" s="10" t="str">
        <x:v>Aqui</x:v>
      </x:c>
      <x:c r="S165" s="10" t="str">
        <x:v>MEMÓRIAS CARANDIRU. Discussão sobre os 10 pontos da Agenda Nacional pelo Desencarceramento. Instagram, 14 jan. 2024. Disponível em: https://www.instagram.com/p/C2Z2qc9rb-6/?utm_source=ig_web_copy_link&amp;igsh=MzRlODBiNWFlZA==. Acesso em: 19 jul. 2025.</x:v>
      </x:c>
      <x:c r="T165" s="10" t="str">
        <x:v>BR-SPCARANDIRU_MAPEAMENTOS-REMEMORA-CARANDIRU.xlsx</x:v>
      </x:c>
      <x:c r="U165" s="10" t="str">
        <x:v>Geral</x:v>
      </x:c>
      <x:c r="V165" s="11" t="n">
        <x:v>170</x:v>
      </x:c>
      <x:c r="W165" s="10" t="str">
        <x:v>BR-SPCARANDIRU_MAPEAMENTOS-REMEMORA-CARANDIRU.xlsx:Geral:170</x:v>
      </x:c>
      <x:c r="X165" s="11" t="n">
        <x:f>COLUMNS(A165:S165)-COUNTBLANK(A165:S165)</x:f>
        <x:v>17</x:v>
      </x:c>
    </x:row>
    <x:row r="166" ht="36" hidden="0" customHeight="1">
      <x:c r="A166" s="10" t="str">
        <x:v>Exposição</x:v>
      </x:c>
      <x:c r="B166" s="10" t="str"/>
      <x:c r="C166" s="10" t="str">
        <x:v>Manifestação artístico-cultural</x:v>
      </x:c>
      <x:c r="D166" s="10" t="str">
        <x:v>Público Imediato</x:v>
      </x:c>
      <x:c r="E166" s="10" t="str">
        <x:v>Presencial/Físico</x:v>
      </x:c>
      <x:c r="F166" s="10" t="str">
        <x:v>2024-01-16 00:00:00</x:v>
      </x:c>
      <x:c r="G166" s="11" t="n">
        <x:v>2024</x:v>
      </x:c>
      <x:c r="H166" s="10" t="str">
        <x:v>Av. Cruzeiro do Sul, 2630 - Carandiru</x:v>
      </x:c>
      <x:c r="I166" s="10" t="str">
        <x:v>Artista plástico e integrante da 1° Frente, Luiz Paulino, com curadoria de Natalia Negretti.</x:v>
      </x:c>
      <x:c r="J166" s="10" t="str">
        <x:v>INVENTÁRIO: O massacre do Carandiru numa pintura múltipla de Memória</x:v>
      </x:c>
      <x:c r="K166" s="10" t="str">
        <x:v>Iconográfico, Textual</x:v>
      </x:c>
      <x:c r="L166" s="10" t="str">
        <x:v>Texto (digital), Imagem (digital)</x:v>
      </x:c>
      <x:c r="M166" s="10" t="str">
        <x:v>Instagram (Memórias Carandiru)</x:v>
      </x:c>
      <x:c r="N166" s="10" t="str">
        <x:v>Português, Brasil</x:v>
      </x:c>
      <x:c r="O166" s="10" t="str">
        <x:v>Hiperlink</x:v>
      </x:c>
      <x:c r="P166" s="10" t="str">
        <x:v>2025-07-19 00:00:00</x:v>
      </x:c>
      <x:c r="Q166" s="10" t="str">
        <x:v>Aberto</x:v>
      </x:c>
      <x:c r="R166" s="10" t="str">
        <x:v>Aqui</x:v>
      </x:c>
      <x:c r="S166" s="10" t="str">
        <x:v>MEMÓRIAS CARANDIRU. INVENTÁRIO: o massacre do Carandiru numa pintura múltipla de memória. Instagram, 16 jan. 2024. Disponível em: https://www.instagram.com/p/C2Z2qc9rb-6/?utm_source=ig_web_copy_link&amp;igsh=MzRlODBiNWFlZA==. Acesso em: 19 jul. 2025.</x:v>
      </x:c>
      <x:c r="T166" s="10" t="str">
        <x:v>BR-SPCARANDIRU_MAPEAMENTOS-REMEMORA-CARANDIRU.xlsx</x:v>
      </x:c>
      <x:c r="U166" s="10" t="str">
        <x:v>Geral</x:v>
      </x:c>
      <x:c r="V166" s="11" t="n">
        <x:v>171</x:v>
      </x:c>
      <x:c r="W166" s="10" t="str">
        <x:v>BR-SPCARANDIRU_MAPEAMENTOS-REMEMORA-CARANDIRU.xlsx:Geral:171</x:v>
      </x:c>
      <x:c r="X166" s="11" t="n">
        <x:f>COLUMNS(A166:S166)-COUNTBLANK(A166:S166)</x:f>
        <x:v>18</x:v>
      </x:c>
    </x:row>
    <x:row r="167" ht="48" hidden="0" customHeight="1">
      <x:c r="A167" s="10" t="str">
        <x:v>Roda de conversa</x:v>
      </x:c>
      <x:c r="B167" s="10" t="str"/>
      <x:c r="C167" s="10" t="str"/>
      <x:c r="D167" s="10" t="str">
        <x:v>Público Imediato</x:v>
      </x:c>
      <x:c r="E167" s="10" t="str">
        <x:v>Presencial/Físico</x:v>
      </x:c>
      <x:c r="F167" s="10" t="str">
        <x:v>2024-01-17 00:00:00</x:v>
      </x:c>
      <x:c r="G167" s="11" t="n">
        <x:v>2024</x:v>
      </x:c>
      <x:c r="H167" s="10" t="str">
        <x:v>Fundação Casa do Brás</x:v>
      </x:c>
      <x:c r="I167" s="10" t="str">
        <x:v>1ª Frente de Sobreviventes do Cárcere, Memórias Carandiru, Secretaria Municipal de Direitos Humanos e Instituto Resgata Cidadão</x:v>
      </x:c>
      <x:c r="J167" s="10" t="str">
        <x:v>Arte, liberdade, desafios e aspirações, criando com jovens um espaço onde as vozes ecoam e são ouvidas</x:v>
      </x:c>
      <x:c r="K167" s="10" t="str">
        <x:v>Iconográfico, Textual</x:v>
      </x:c>
      <x:c r="L167" s="10" t="str">
        <x:v>Texto (digital), Imagem (digital)</x:v>
      </x:c>
      <x:c r="M167" s="10" t="str">
        <x:v>Instagram (Memórias Carandiru)</x:v>
      </x:c>
      <x:c r="N167" s="10" t="str">
        <x:v>Português, Brasil</x:v>
      </x:c>
      <x:c r="O167" s="10" t="str">
        <x:v>Hiperlink</x:v>
      </x:c>
      <x:c r="P167" s="10" t="str">
        <x:v>2025-07-19 00:00:00</x:v>
      </x:c>
      <x:c r="Q167" s="10" t="str">
        <x:v>Aberto</x:v>
      </x:c>
      <x:c r="R167" s="10" t="str">
        <x:v>Aqui</x:v>
      </x:c>
      <x:c r="S167" s="10" t="str">
        <x:v>MEMÓRIAS CARANDIRU. Arte, liberdade, desafios e aspirações, criando com jovens um espaço onde as vozes ecoam e são ouvidas. Instagram, 17 jan. 2024. Disponível em: https://www.instagram.com/p/C2Z2qc9rb-6/?utm_source=ig_web_copy_link&amp;igsh=MzRlODBiNWFlZA==. Acesso em: 19 jul. 2025.</x:v>
      </x:c>
      <x:c r="T167" s="10" t="str">
        <x:v>BR-SPCARANDIRU_MAPEAMENTOS-REMEMORA-CARANDIRU.xlsx</x:v>
      </x:c>
      <x:c r="U167" s="10" t="str">
        <x:v>Geral</x:v>
      </x:c>
      <x:c r="V167" s="11" t="n">
        <x:v>172</x:v>
      </x:c>
      <x:c r="W167" s="10" t="str">
        <x:v>BR-SPCARANDIRU_MAPEAMENTOS-REMEMORA-CARANDIRU.xlsx:Geral:172</x:v>
      </x:c>
      <x:c r="X167" s="11" t="n">
        <x:f>COLUMNS(A167:S167)-COUNTBLANK(A167:S167)</x:f>
        <x:v>17</x:v>
      </x:c>
    </x:row>
    <x:row r="168" ht="48" hidden="0" customHeight="1">
      <x:c r="A168" s="10" t="str">
        <x:v>Palestra</x:v>
      </x:c>
      <x:c r="B168" s="10" t="str"/>
      <x:c r="C168" s="10" t="str"/>
      <x:c r="D168" s="10" t="str">
        <x:v>Público Imediato</x:v>
      </x:c>
      <x:c r="E168" s="10" t="str">
        <x:v>Presencial/Físico</x:v>
      </x:c>
      <x:c r="F168" s="10" t="str">
        <x:v>2024-01-20 00:00:00</x:v>
      </x:c>
      <x:c r="G168" s="11" t="n">
        <x:v>2024</x:v>
      </x:c>
      <x:c r="H168" s="10" t="str">
        <x:v>Estação Cidadania - Sé</x:v>
      </x:c>
      <x:c r="I168" s="10" t="str">
        <x:v>1ª Frente de Sobreviventes do Cárcere, Memórias Carandiru, Secretaria Municipal de Direitos Humanos e Instituto Resgata Cidadão</x:v>
      </x:c>
      <x:c r="J168" s="10" t="str">
        <x:v>Carandiru e processos de apagamento</x:v>
      </x:c>
      <x:c r="K168" s="10" t="str">
        <x:v>Iconográfico, Textual</x:v>
      </x:c>
      <x:c r="L168" s="10" t="str">
        <x:v>Texto (digital), Imagem (digital)</x:v>
      </x:c>
      <x:c r="M168" s="10" t="str">
        <x:v>Instagram (Memórias Carandiru)</x:v>
      </x:c>
      <x:c r="N168" s="10" t="str">
        <x:v>Português, Brasil</x:v>
      </x:c>
      <x:c r="O168" s="10" t="str">
        <x:v>Hiperlink</x:v>
      </x:c>
      <x:c r="P168" s="10" t="str">
        <x:v>2025-07-19 00:00:00</x:v>
      </x:c>
      <x:c r="Q168" s="10" t="str">
        <x:v>Aberto</x:v>
      </x:c>
      <x:c r="R168" s="10" t="str">
        <x:v>Aqui</x:v>
      </x:c>
      <x:c r="S168" s="10" t="str">
        <x:v>MEMÓRIAS CARANDIRU. Carandiru e processos de apagamento. Instagram, 20 jan. 2024. Disponível em: https://www.instagram.com/p/C2Z2qc9rb-6/?utm_source=ig_web_copy_link&amp;igsh=MzRlODBiNWFlZA==. Acesso em: 19 jul. 2025.</x:v>
      </x:c>
      <x:c r="T168" s="10" t="str">
        <x:v>BR-SPCARANDIRU_MAPEAMENTOS-REMEMORA-CARANDIRU.xlsx</x:v>
      </x:c>
      <x:c r="U168" s="10" t="str">
        <x:v>Geral</x:v>
      </x:c>
      <x:c r="V168" s="11" t="n">
        <x:v>173</x:v>
      </x:c>
      <x:c r="W168" s="10" t="str">
        <x:v>BR-SPCARANDIRU_MAPEAMENTOS-REMEMORA-CARANDIRU.xlsx:Geral:173</x:v>
      </x:c>
      <x:c r="X168" s="11" t="n">
        <x:f>COLUMNS(A168:S168)-COUNTBLANK(A168:S168)</x:f>
        <x:v>17</x:v>
      </x:c>
    </x:row>
    <x:row r="169" ht="48" hidden="0" customHeight="1">
      <x:c r="A169" s="10" t="str">
        <x:v>Roteiro de memória</x:v>
      </x:c>
      <x:c r="B169" s="10" t="str"/>
      <x:c r="C169" s="10" t="str"/>
      <x:c r="D169" s="10" t="str">
        <x:v>Público Imediato</x:v>
      </x:c>
      <x:c r="E169" s="10" t="str">
        <x:v>Presencial/Físico</x:v>
      </x:c>
      <x:c r="F169" s="10" t="str">
        <x:v>2024-02-03 00:00:00</x:v>
      </x:c>
      <x:c r="G169" s="11" t="n">
        <x:v>2024</x:v>
      </x:c>
      <x:c r="H169" s="10" t="str">
        <x:v>Av. Cruzeiro do Sul, 2630 - Carandiru</x:v>
      </x:c>
      <x:c r="I169" s="10" t="str">
        <x:v>1ª Frente de Sobreviventes do Cárcere, Memórias Carandiru, Secretaria Municipal de Direitos Humanos e Instituto Resgata Cidadão</x:v>
      </x:c>
      <x:c r="J169" s="10" t="str">
        <x:v>Carandiru e o encarceramento em massa</x:v>
      </x:c>
      <x:c r="K169" s="10" t="str">
        <x:v>Iconográfico, Textual</x:v>
      </x:c>
      <x:c r="L169" s="10" t="str">
        <x:v>Texto (digital), Imagem (digital)</x:v>
      </x:c>
      <x:c r="M169" s="10" t="str">
        <x:v>Instagram (Memórias Carandiru)</x:v>
      </x:c>
      <x:c r="N169" s="10" t="str">
        <x:v>Português, Brasil</x:v>
      </x:c>
      <x:c r="O169" s="10" t="str">
        <x:v>Hiperlink</x:v>
      </x:c>
      <x:c r="P169" s="10" t="str">
        <x:v>2025-07-19 00:00:00</x:v>
      </x:c>
      <x:c r="Q169" s="10" t="str">
        <x:v>Aberto</x:v>
      </x:c>
      <x:c r="R169" s="10" t="str">
        <x:v>Aqui</x:v>
      </x:c>
      <x:c r="S169" s="10" t="str">
        <x:v>MEMÓRIAS CARANDIRU. Carandiru e o encarceramento em massa. Instagram, 3 fev. 2024. Disponivel em: https://www.instagram.com/p/C2hlF7CrFtX/?utm_source=ig_web_copy_link&amp;igsh=MzRlODBiNWFlZA%3D%3D. Acesso em: 19 jul. 2025.</x:v>
      </x:c>
      <x:c r="T169" s="10" t="str">
        <x:v>BR-SPCARANDIRU_MAPEAMENTOS-REMEMORA-CARANDIRU.xlsx</x:v>
      </x:c>
      <x:c r="U169" s="10" t="str">
        <x:v>Geral</x:v>
      </x:c>
      <x:c r="V169" s="11" t="n">
        <x:v>174</x:v>
      </x:c>
      <x:c r="W169" s="10" t="str">
        <x:v>BR-SPCARANDIRU_MAPEAMENTOS-REMEMORA-CARANDIRU.xlsx:Geral:174</x:v>
      </x:c>
      <x:c r="X169" s="11" t="n">
        <x:f>COLUMNS(A169:S169)-COUNTBLANK(A169:S169)</x:f>
        <x:v>17</x:v>
      </x:c>
    </x:row>
    <x:row r="170" ht="24" hidden="0" customHeight="1">
      <x:c r="A170" s="10" t="str">
        <x:v>Desfile de samba</x:v>
      </x:c>
      <x:c r="B170" s="10" t="str"/>
      <x:c r="C170" s="10" t="str">
        <x:v>Manifestação artístico-cultural</x:v>
      </x:c>
      <x:c r="D170" s="10" t="str">
        <x:v>Público Imediato</x:v>
      </x:c>
      <x:c r="E170" s="10" t="str">
        <x:v>Presencial/Físico</x:v>
      </x:c>
      <x:c r="F170" s="10" t="str">
        <x:v>2024-02-11 00:00:00</x:v>
      </x:c>
      <x:c r="G170" s="11" t="n">
        <x:v>2024</x:v>
      </x:c>
      <x:c r="H170" s="10" t="str">
        <x:v>São Paulo</x:v>
      </x:c>
      <x:c r="I170" s="10" t="str">
        <x:v>Vai-Vai (escola de samba)</x:v>
      </x:c>
      <x:c r="J170" s="10" t="str">
        <x:v>Quem faz escárnio da lei é policial que massacra no Carandiru, não Vai-Vai no Anhembi</x:v>
      </x:c>
      <x:c r="K170" s="10" t="str">
        <x:v>Hemerográfico</x:v>
      </x:c>
      <x:c r="L170" s="10" t="str">
        <x:v>Texto (digital), Imagem (digital), Vídeo (digital)</x:v>
      </x:c>
      <x:c r="M170" s="10" t="str">
        <x:v>Revista Opera</x:v>
      </x:c>
      <x:c r="N170" s="10" t="str">
        <x:v>Português, Brasil</x:v>
      </x:c>
      <x:c r="O170" s="10" t="str">
        <x:v>"manifestação solidariedade ao Massacre do Carandiru" no Google</x:v>
      </x:c>
      <x:c r="P170" s="10" t="str">
        <x:v>2025-07-16 00:00:00</x:v>
      </x:c>
      <x:c r="Q170" s="10" t="str">
        <x:v>Aberto</x:v>
      </x:c>
      <x:c r="R170" s="10" t="str">
        <x:v>Aqui</x:v>
      </x:c>
      <x:c r="S170" s="10" t="str">
        <x:v>MARIN, Pedro. Quem faz escárnio da lei é policial que massacra no Carandiru, não Vai-Vai no Anhembi. Revista Opera, São Paulo, 13 fev. 2024. Disponível em: https://operamundi.uol.com.br/opiniao/quem-faz-escarnio-da-lei-e-policial-que-massacra-no-carandiru-nao-vai-vai-no-anhembi/. Acesso em: 16 jul. 2025.</x:v>
      </x:c>
      <x:c r="T170" s="10" t="str">
        <x:v>BR-SPCARANDIRU_MAPEAMENTOS-REMEMORA-CARANDIRU.xlsx</x:v>
      </x:c>
      <x:c r="U170" s="10" t="str">
        <x:v>Geral</x:v>
      </x:c>
      <x:c r="V170" s="11" t="n">
        <x:v>175</x:v>
      </x:c>
      <x:c r="W170" s="10" t="str">
        <x:v>BR-SPCARANDIRU_MAPEAMENTOS-REMEMORA-CARANDIRU.xlsx:Geral:175</x:v>
      </x:c>
      <x:c r="X170" s="11" t="n">
        <x:f>COLUMNS(A170:S170)-COUNTBLANK(A170:S170)</x:f>
        <x:v>18</x:v>
      </x:c>
    </x:row>
    <x:row r="171" ht="48" hidden="0" customHeight="1">
      <x:c r="A171" s="10" t="str">
        <x:v>Roda de conversa</x:v>
      </x:c>
      <x:c r="B171" s="10" t="str"/>
      <x:c r="C171" s="10" t="str"/>
      <x:c r="D171" s="10" t="str">
        <x:v>Público Imediato</x:v>
      </x:c>
      <x:c r="E171" s="10" t="str">
        <x:v>Presencial/Físico</x:v>
      </x:c>
      <x:c r="F171" s="10" t="str">
        <x:v>2024-02-17 00:00:00</x:v>
      </x:c>
      <x:c r="G171" s="11" t="n">
        <x:v>2024</x:v>
      </x:c>
      <x:c r="H171" s="10" t="str">
        <x:v>Auditório da Biblioteca São Paulo</x:v>
      </x:c>
      <x:c r="I171" s="10" t="str">
        <x:v>1ª Frente de Sobreviventes do Cárcere, Memórias Carandiru, Secretaria Municipal de Direitos Humanos e Instituto Resgata Cidadão</x:v>
      </x:c>
      <x:c r="J171" s="10" t="str">
        <x:v>Roda de conversa: aprisionamento e o encarceramento em massa</x:v>
      </x:c>
      <x:c r="K171" s="10" t="str">
        <x:v>Iconográfico, Textual</x:v>
      </x:c>
      <x:c r="L171" s="10" t="str">
        <x:v>Texto (digital), Imagem (digital)</x:v>
      </x:c>
      <x:c r="M171" s="10" t="str">
        <x:v>Instagram (Memórias Carandiru)</x:v>
      </x:c>
      <x:c r="N171" s="10" t="str">
        <x:v>Português, Brasil</x:v>
      </x:c>
      <x:c r="O171" s="10" t="str">
        <x:v>Hiperlink</x:v>
      </x:c>
      <x:c r="P171" s="10" t="str">
        <x:v>2025-07-19 00:00:00</x:v>
      </x:c>
      <x:c r="Q171" s="10" t="str">
        <x:v>Aberto</x:v>
      </x:c>
      <x:c r="R171" s="10" t="str">
        <x:v>Aqui</x:v>
      </x:c>
      <x:c r="S171" s="10" t="str">
        <x:v>MEMÓRIAS CARANDIRU. Roda de conversa: aprisionamento e o encarceramento em massa. Instagram, 17 fev. 2024. Disponível em: https://www.instagram.com/p/C3Bi_NrPK2v/?utm_source=ig_web_copy_link&amp;igsh=MzRlODBiNWFlZA%3D%3D. Acesso em: 19 jul. 2025.</x:v>
      </x:c>
      <x:c r="T171" s="10" t="str">
        <x:v>BR-SPCARANDIRU_MAPEAMENTOS-REMEMORA-CARANDIRU.xlsx</x:v>
      </x:c>
      <x:c r="U171" s="10" t="str">
        <x:v>Geral</x:v>
      </x:c>
      <x:c r="V171" s="11" t="n">
        <x:v>176</x:v>
      </x:c>
      <x:c r="W171" s="10" t="str">
        <x:v>BR-SPCARANDIRU_MAPEAMENTOS-REMEMORA-CARANDIRU.xlsx:Geral:176</x:v>
      </x:c>
      <x:c r="X171" s="11" t="n">
        <x:f>COLUMNS(A171:S171)-COUNTBLANK(A171:S171)</x:f>
        <x:v>17</x:v>
      </x:c>
    </x:row>
    <x:row r="172" ht="48" hidden="0" customHeight="1">
      <x:c r="A172" s="10" t="str">
        <x:v>Roda de conversa</x:v>
      </x:c>
      <x:c r="B172" s="10" t="str"/>
      <x:c r="C172" s="10" t="str"/>
      <x:c r="D172" s="10" t="str">
        <x:v>Público Imediato</x:v>
      </x:c>
      <x:c r="E172" s="10" t="str">
        <x:v>Presencial/Físico</x:v>
      </x:c>
      <x:c r="F172" s="10" t="str">
        <x:v>2024-02-22 00:00:00</x:v>
      </x:c>
      <x:c r="G172" s="11" t="n">
        <x:v>2024</x:v>
      </x:c>
      <x:c r="H172" s="10" t="str">
        <x:v>Baixada do Glicério</x:v>
      </x:c>
      <x:c r="I172" s="10" t="str">
        <x:v>1ª Frente de Sobreviventes do Cárcere, Memórias Carandiru, Secretaria Municipal de Direitos Humanos e Instituto Resgata Cidadão</x:v>
      </x:c>
      <x:c r="J172" s="10" t="str">
        <x:v>Liberdade e Carandiru: apagamento e resistência</x:v>
      </x:c>
      <x:c r="K172" s="10" t="str">
        <x:v>Iconográfico, Textual</x:v>
      </x:c>
      <x:c r="L172" s="10" t="str">
        <x:v>Texto (digital), Imagem (digital)</x:v>
      </x:c>
      <x:c r="M172" s="10" t="str">
        <x:v>Instagram (Memórias Carandiru)</x:v>
      </x:c>
      <x:c r="N172" s="10" t="str">
        <x:v>Português, Brasil</x:v>
      </x:c>
      <x:c r="O172" s="10" t="str">
        <x:v>Hiperlink</x:v>
      </x:c>
      <x:c r="P172" s="10" t="str">
        <x:v>2025-07-19 00:00:00</x:v>
      </x:c>
      <x:c r="Q172" s="10" t="str">
        <x:v>Aberto</x:v>
      </x:c>
      <x:c r="R172" s="10" t="str">
        <x:v>Aqui</x:v>
      </x:c>
      <x:c r="S172" s="10" t="str">
        <x:v>MEMÓRIAS CARANDIRU. Liberdade e Carandiru: apagamento e resistência. Instagram, 22 fev. 2024. Disponível em: https://www.instagram.com/p/C3foJgaLwc5/?utm_source=ig_web_copy_link&amp;igsh=MzRlODBiNWFlZA==. Acesso em: 19 jul. 2025.</x:v>
      </x:c>
      <x:c r="T172" s="10" t="str">
        <x:v>BR-SPCARANDIRU_MAPEAMENTOS-REMEMORA-CARANDIRU.xlsx</x:v>
      </x:c>
      <x:c r="U172" s="10" t="str">
        <x:v>Geral</x:v>
      </x:c>
      <x:c r="V172" s="11" t="n">
        <x:v>177</x:v>
      </x:c>
      <x:c r="W172" s="10" t="str">
        <x:v>BR-SPCARANDIRU_MAPEAMENTOS-REMEMORA-CARANDIRU.xlsx:Geral:177</x:v>
      </x:c>
      <x:c r="X172" s="11" t="n">
        <x:f>COLUMNS(A172:S172)-COUNTBLANK(A172:S172)</x:f>
        <x:v>17</x:v>
      </x:c>
    </x:row>
    <x:row r="173" ht="48" hidden="0" customHeight="1">
      <x:c r="A173" s="10" t="str">
        <x:v>Palestra</x:v>
      </x:c>
      <x:c r="B173" s="10" t="str"/>
      <x:c r="C173" s="10" t="str"/>
      <x:c r="D173" s="10" t="str">
        <x:v>Público Imediato</x:v>
      </x:c>
      <x:c r="E173" s="10" t="str">
        <x:v>Presencial/Físico</x:v>
      </x:c>
      <x:c r="F173" s="10" t="str">
        <x:v>2024-02-25 00:00:00</x:v>
      </x:c>
      <x:c r="G173" s="11" t="n">
        <x:v>2024</x:v>
      </x:c>
      <x:c r="H173" s="10" t="str">
        <x:v>Auditório da Biblioteca São Paulo</x:v>
      </x:c>
      <x:c r="I173" s="10" t="str">
        <x:v>1ª Frente de Sobreviventes do Cárcere, Memórias Carandiru, Secretaria Municipal de Direitos Humanos e Instituto Resgata Cidadão</x:v>
      </x:c>
      <x:c r="J173" s="10" t="str">
        <x:v>Pelo direito à memória, a verdade e a justiça</x:v>
      </x:c>
      <x:c r="K173" s="10" t="str">
        <x:v>Iconográfico, Textual</x:v>
      </x:c>
      <x:c r="L173" s="10" t="str">
        <x:v>Texto (digital), Imagem (digital)</x:v>
      </x:c>
      <x:c r="M173" s="10" t="str">
        <x:v>Instagram (Memórias Carandiru)</x:v>
      </x:c>
      <x:c r="N173" s="10" t="str">
        <x:v>Português, Brasil</x:v>
      </x:c>
      <x:c r="O173" s="10" t="str">
        <x:v>Hiperlink</x:v>
      </x:c>
      <x:c r="P173" s="10" t="str">
        <x:v>2025-07-19 00:00:00</x:v>
      </x:c>
      <x:c r="Q173" s="10" t="str">
        <x:v>Aberto</x:v>
      </x:c>
      <x:c r="R173" s="10" t="str">
        <x:v>Aqui</x:v>
      </x:c>
      <x:c r="S173" s="10" t="str">
        <x:v>MEMÓRIAS CARANDIRU. Pelo direito à memória, a verdade e a justiça. Instagram, 25 fev. 2024. Disponível em: https://www.instagram.com/p/C3nNNzeuqqT/?utm_source=ig_web_copy_link&amp;igsh=MzRlODBiNWFlZA==. Acesso em: 19 jul. 2025.</x:v>
      </x:c>
      <x:c r="T173" s="10" t="str">
        <x:v>BR-SPCARANDIRU_MAPEAMENTOS-REMEMORA-CARANDIRU.xlsx</x:v>
      </x:c>
      <x:c r="U173" s="10" t="str">
        <x:v>Geral</x:v>
      </x:c>
      <x:c r="V173" s="11" t="n">
        <x:v>178</x:v>
      </x:c>
      <x:c r="W173" s="10" t="str">
        <x:v>BR-SPCARANDIRU_MAPEAMENTOS-REMEMORA-CARANDIRU.xlsx:Geral:178</x:v>
      </x:c>
      <x:c r="X173" s="11" t="n">
        <x:f>COLUMNS(A173:S173)-COUNTBLANK(A173:S173)</x:f>
        <x:v>17</x:v>
      </x:c>
    </x:row>
    <x:row r="174" ht="48" hidden="0" customHeight="1">
      <x:c r="A174" s="10" t="str">
        <x:v>Roda de conversa</x:v>
      </x:c>
      <x:c r="B174" s="10" t="str"/>
      <x:c r="C174" s="10" t="str"/>
      <x:c r="D174" s="10" t="str">
        <x:v>Público Imediato</x:v>
      </x:c>
      <x:c r="E174" s="10" t="str">
        <x:v>Presencial/Físico</x:v>
      </x:c>
      <x:c r="F174" s="10" t="str">
        <x:v>2024-03-09 00:00:00</x:v>
      </x:c>
      <x:c r="G174" s="11" t="n">
        <x:v>2024</x:v>
      </x:c>
      <x:c r="H174" s="10" t="str">
        <x:v>Av. Cruzeiro do Sul, 2630 - Carandiru</x:v>
      </x:c>
      <x:c r="I174" s="10" t="str">
        <x:v>1ª Frente de Sobreviventes do Cárcere, Memórias Carandiru, Secretaria Municipal de Direitos Humanos e Instituto Resgata Cidadão</x:v>
      </x:c>
      <x:c r="J174" s="10" t="str">
        <x:v>Carandiru: Lembrar para que nunca mais aconteça</x:v>
      </x:c>
      <x:c r="K174" s="10" t="str">
        <x:v>Iconográfico, Textual</x:v>
      </x:c>
      <x:c r="L174" s="10" t="str">
        <x:v>Texto (digital), Imagem (digital)</x:v>
      </x:c>
      <x:c r="M174" s="10" t="str">
        <x:v>Instagram (Memórias Carandiru)</x:v>
      </x:c>
      <x:c r="N174" s="10" t="str">
        <x:v>Português, Brasil</x:v>
      </x:c>
      <x:c r="O174" s="10" t="str">
        <x:v>Hiperlink</x:v>
      </x:c>
      <x:c r="P174" s="10" t="str">
        <x:v>2025-07-19 00:00:00</x:v>
      </x:c>
      <x:c r="Q174" s="10" t="str">
        <x:v>Aberto</x:v>
      </x:c>
      <x:c r="R174" s="10" t="str">
        <x:v>Aqui</x:v>
      </x:c>
      <x:c r="S174" s="10" t="str">
        <x:v>MEMÓRIAS CARANDIRU. Carandiru: lembrar para que nunca mais aconteça. Instagram, 9 mar. 2024. Disponível em: https://www.instagram.com/p/C4LTE7FrOsJ/?utm_source=ig_web_copy_link&amp;igsh=MzRlODBiNWFlZA==. Acesso em: 19 jul. 2025.</x:v>
      </x:c>
      <x:c r="T174" s="10" t="str">
        <x:v>BR-SPCARANDIRU_MAPEAMENTOS-REMEMORA-CARANDIRU.xlsx</x:v>
      </x:c>
      <x:c r="U174" s="10" t="str">
        <x:v>Geral</x:v>
      </x:c>
      <x:c r="V174" s="11" t="n">
        <x:v>179</x:v>
      </x:c>
      <x:c r="W174" s="10" t="str">
        <x:v>BR-SPCARANDIRU_MAPEAMENTOS-REMEMORA-CARANDIRU.xlsx:Geral:179</x:v>
      </x:c>
      <x:c r="X174" s="11" t="n">
        <x:f>COLUMNS(A174:S174)-COUNTBLANK(A174:S174)</x:f>
        <x:v>17</x:v>
      </x:c>
    </x:row>
    <x:row r="175" ht="48" hidden="0" customHeight="1">
      <x:c r="A175" s="10" t="str">
        <x:v>Palestra</x:v>
      </x:c>
      <x:c r="B175" s="10" t="str"/>
      <x:c r="C175" s="10" t="str"/>
      <x:c r="D175" s="10" t="str">
        <x:v>Público Imediato</x:v>
      </x:c>
      <x:c r="E175" s="10" t="str">
        <x:v>Presencial/Físico</x:v>
      </x:c>
      <x:c r="F175" s="10" t="str">
        <x:v>2024-03-15 00:00:00</x:v>
      </x:c>
      <x:c r="G175" s="11" t="n">
        <x:v>2024</x:v>
      </x:c>
      <x:c r="H175" s="10" t="str">
        <x:v>Auditório da Biblioteca de São Paulo</x:v>
      </x:c>
      <x:c r="I175" s="10" t="str">
        <x:v>1ª Frente de Sobreviventes do Cárcere, Memórias Carandiru, Secretaria Municipal de Direitos Humanos e Instituto Resgata Cidadão</x:v>
      </x:c>
      <x:c r="J175" s="10" t="str">
        <x:v>Letalidade policial e impunidade</x:v>
      </x:c>
      <x:c r="K175" s="10" t="str">
        <x:v>Iconográfico, Textual</x:v>
      </x:c>
      <x:c r="L175" s="10" t="str">
        <x:v>Texto (digital), Imagem (digital)</x:v>
      </x:c>
      <x:c r="M175" s="10" t="str">
        <x:v>Instagram (Memórias Carandiru)</x:v>
      </x:c>
      <x:c r="N175" s="10" t="str">
        <x:v>Português, Brasil</x:v>
      </x:c>
      <x:c r="O175" s="10" t="str">
        <x:v>Hiperlink</x:v>
      </x:c>
      <x:c r="P175" s="10" t="str">
        <x:v>2025-07-19 00:00:00</x:v>
      </x:c>
      <x:c r="Q175" s="10" t="str">
        <x:v>Aberto</x:v>
      </x:c>
      <x:c r="R175" s="10" t="str">
        <x:v>Aqui</x:v>
      </x:c>
      <x:c r="S175" s="10" t="str">
        <x:v>MEMÓRIAS CARANDIRU. Letalidade policial e impunidade. Instagram, 15 mar. 2024. Disponível em: https://www.instagram.com/p/C4YfouLv4Fn/?utm_source=ig_web_copy_link&amp;igsh=MzRlODBiNWFlZA==. Acesso em: 19 jul. 2025.</x:v>
      </x:c>
      <x:c r="T175" s="10" t="str">
        <x:v>BR-SPCARANDIRU_MAPEAMENTOS-REMEMORA-CARANDIRU.xlsx</x:v>
      </x:c>
      <x:c r="U175" s="10" t="str">
        <x:v>Geral</x:v>
      </x:c>
      <x:c r="V175" s="11" t="n">
        <x:v>180</x:v>
      </x:c>
      <x:c r="W175" s="10" t="str">
        <x:v>BR-SPCARANDIRU_MAPEAMENTOS-REMEMORA-CARANDIRU.xlsx:Geral:180</x:v>
      </x:c>
      <x:c r="X175" s="11" t="n">
        <x:f>COLUMNS(A175:S175)-COUNTBLANK(A175:S175)</x:f>
        <x:v>17</x:v>
      </x:c>
    </x:row>
    <x:row r="176" ht="48" hidden="0" customHeight="1">
      <x:c r="A176" s="10" t="str">
        <x:v>Roteiro de memória</x:v>
      </x:c>
      <x:c r="B176" s="10" t="str"/>
      <x:c r="C176" s="10" t="str"/>
      <x:c r="D176" s="10" t="str">
        <x:v>Público Imediato</x:v>
      </x:c>
      <x:c r="E176" s="10" t="str">
        <x:v>Presencial/Físico</x:v>
      </x:c>
      <x:c r="F176" s="10" t="str">
        <x:v>2024-03-23 00:00:00</x:v>
      </x:c>
      <x:c r="G176" s="11" t="n">
        <x:v>2024</x:v>
      </x:c>
      <x:c r="H176" s="10" t="str">
        <x:v>Av. Cruzeiro do Sul, 2630 - Carandiru</x:v>
      </x:c>
      <x:c r="I176" s="10" t="str">
        <x:v>1ª Frente de Sobreviventes do Cárcere, Memórias Carandiru, Secretaria Municipal de Direitos Humanos e Instituto Resgata Cidadão</x:v>
      </x:c>
      <x:c r="J176" s="10" t="str">
        <x:v>Justiça pra quem?</x:v>
      </x:c>
      <x:c r="K176" s="10" t="str">
        <x:v>Iconográfico, Textual</x:v>
      </x:c>
      <x:c r="L176" s="10" t="str">
        <x:v>Texto (digital), Imagem (digital)</x:v>
      </x:c>
      <x:c r="M176" s="10" t="str">
        <x:v>Instagram (Memórias Carandiru)</x:v>
      </x:c>
      <x:c r="N176" s="10" t="str">
        <x:v>Português, Brasil</x:v>
      </x:c>
      <x:c r="O176" s="10" t="str">
        <x:v>Hiperlink</x:v>
      </x:c>
      <x:c r="P176" s="10" t="str">
        <x:v>2025-07-19 00:00:00</x:v>
      </x:c>
      <x:c r="Q176" s="10" t="str">
        <x:v>Aberto</x:v>
      </x:c>
      <x:c r="R176" s="10" t="str">
        <x:v>Aqui</x:v>
      </x:c>
      <x:c r="S176" s="10" t="str">
        <x:v>MEMÓRIAS CARANDIRU. Justiça pra quem?. Instagram, 23 mar. 2024. Disponível em: https://www.instagram.com/p/C486qk8vqzJ/?utm_source=ig_web_copy_link&amp;igsh=MzRlODBiNWFlZA==. Acesso em: 19 jul. 2025.</x:v>
      </x:c>
      <x:c r="T176" s="10" t="str">
        <x:v>BR-SPCARANDIRU_MAPEAMENTOS-REMEMORA-CARANDIRU.xlsx</x:v>
      </x:c>
      <x:c r="U176" s="10" t="str">
        <x:v>Geral</x:v>
      </x:c>
      <x:c r="V176" s="11" t="n">
        <x:v>181</x:v>
      </x:c>
      <x:c r="W176" s="10" t="str">
        <x:v>BR-SPCARANDIRU_MAPEAMENTOS-REMEMORA-CARANDIRU.xlsx:Geral:181</x:v>
      </x:c>
      <x:c r="X176" s="11" t="n">
        <x:f>COLUMNS(A176:S176)-COUNTBLANK(A176:S176)</x:f>
        <x:v>17</x:v>
      </x:c>
    </x:row>
    <x:row r="177" ht="60" hidden="0" customHeight="1">
      <x:c r="A177" s="10" t="str">
        <x:v>Roda de conversa</x:v>
      </x:c>
      <x:c r="B177" s="10" t="str"/>
      <x:c r="C177" s="10" t="str"/>
      <x:c r="D177" s="10" t="str">
        <x:v>Público Imediato</x:v>
      </x:c>
      <x:c r="E177" s="10" t="str">
        <x:v>Presencial/Físico</x:v>
      </x:c>
      <x:c r="F177" s="10" t="str">
        <x:v>2024-04-18 00:00:00</x:v>
      </x:c>
      <x:c r="G177" s="11" t="n">
        <x:v>2024</x:v>
      </x:c>
      <x:c r="H177" s="10" t="str">
        <x:v>Av. Cruzeiro do Sul, 2630 - Carandiru</x:v>
      </x:c>
      <x:c r="I177" s="10" t="str">
        <x:v>1ª Frente de Sobrevivenetes do Cárcere e Instituto Resgata Cidadão. Mediação: Maurício Monteiro e Nádia Lima. Participação: Léo Monteiro. Intérprete de libras: Mirella Ferreira</x:v>
      </x:c>
      <x:c r="J177" s="10" t="str">
        <x:v>Carandiru: Cicatrizes de um massacre</x:v>
      </x:c>
      <x:c r="K177" s="10" t="str">
        <x:v>Iconográfico, Textual</x:v>
      </x:c>
      <x:c r="L177" s="10" t="str">
        <x:v>Texto (digital), Imagem (digital)</x:v>
      </x:c>
      <x:c r="M177" s="10" t="str">
        <x:v>Instagram (Memórias Carandiru)</x:v>
      </x:c>
      <x:c r="N177" s="10" t="str">
        <x:v>Português, Brasil</x:v>
      </x:c>
      <x:c r="O177" s="10" t="str">
        <x:v>Hiperlink</x:v>
      </x:c>
      <x:c r="P177" s="10" t="str">
        <x:v>2025-07-19 00:00:00</x:v>
      </x:c>
      <x:c r="Q177" s="10" t="str">
        <x:v>Aberto</x:v>
      </x:c>
      <x:c r="R177" s="10" t="str">
        <x:v>Aqui</x:v>
      </x:c>
      <x:c r="S177" s="10" t="str">
        <x:v>MEMÓRIAS CARANDIRU. Carandiru: cicatrizes de um massacre. Instagram, 18 abr. 2024. Disponível em: https://www.instagram.com/reel/C56iXXgvp-y/?utm_source=ig_web_copy_link&amp;igsh=MzRlODBiNWFlZA==. Acesso em: 19 jul. 2025.</x:v>
      </x:c>
      <x:c r="T177" s="10" t="str">
        <x:v>BR-SPCARANDIRU_MAPEAMENTOS-REMEMORA-CARANDIRU.xlsx</x:v>
      </x:c>
      <x:c r="U177" s="10" t="str">
        <x:v>Geral</x:v>
      </x:c>
      <x:c r="V177" s="11" t="n">
        <x:v>182</x:v>
      </x:c>
      <x:c r="W177" s="10" t="str">
        <x:v>BR-SPCARANDIRU_MAPEAMENTOS-REMEMORA-CARANDIRU.xlsx:Geral:182</x:v>
      </x:c>
      <x:c r="X177" s="11" t="n">
        <x:f>COLUMNS(A177:S177)-COUNTBLANK(A177:S177)</x:f>
        <x:v>17</x:v>
      </x:c>
    </x:row>
    <x:row r="178" ht="48" hidden="0" customHeight="1">
      <x:c r="A178" s="10" t="str">
        <x:v>Roteiro de memória</x:v>
      </x:c>
      <x:c r="B178" s="10" t="str"/>
      <x:c r="C178" s="10" t="str"/>
      <x:c r="D178" s="10" t="str">
        <x:v>Público Imediato</x:v>
      </x:c>
      <x:c r="E178" s="10" t="str">
        <x:v>Presencial/Físico</x:v>
      </x:c>
      <x:c r="F178" s="10" t="str">
        <x:v>2024-04-27 00:00:00</x:v>
      </x:c>
      <x:c r="G178" s="11" t="n">
        <x:v>2024</x:v>
      </x:c>
      <x:c r="H178" s="10" t="str">
        <x:v>Av. Cruzeiro do Sul, 2630 - Carandiru</x:v>
      </x:c>
      <x:c r="I178" s="10" t="str">
        <x:v>1ª Frente de Sobreviventes do Cárcere, Memórias Carandiru, Secretaria Municipal de Direitos Humanos e Instituto Resgata Cidadão</x:v>
      </x:c>
      <x:c r="J178" s="10" t="str">
        <x:v>Trilhando memórias: complexo do Carandiru</x:v>
      </x:c>
      <x:c r="K178" s="10" t="str">
        <x:v>Iconográfico, Textual</x:v>
      </x:c>
      <x:c r="L178" s="10" t="str">
        <x:v>Texto (digital), Imagem (digital)</x:v>
      </x:c>
      <x:c r="M178" s="10" t="str">
        <x:v>Instagram (Memórias Carandiru)</x:v>
      </x:c>
      <x:c r="N178" s="10" t="str">
        <x:v>Português, Brasil</x:v>
      </x:c>
      <x:c r="O178" s="10" t="str">
        <x:v>Hiperlink</x:v>
      </x:c>
      <x:c r="P178" s="10" t="str">
        <x:v>2025-07-19 00:00:00</x:v>
      </x:c>
      <x:c r="Q178" s="10" t="str">
        <x:v>Aberto</x:v>
      </x:c>
      <x:c r="R178" s="10" t="str">
        <x:v>Aqui</x:v>
      </x:c>
      <x:c r="S178" s="10" t="str">
        <x:v>MEMÓRIAS CARANDIRU. Trilhando memórias: complexo do Carandiru. Instagram, 27 abr. 2024. Disponível em: https://www.instagram.com/p/C6Gon0crQrr/?utm_source=ig_web_copy_link&amp;igsh=MzRlODBiNWFlZA==. Acesso em: 19 jul. 2025.</x:v>
      </x:c>
      <x:c r="T178" s="10" t="str">
        <x:v>BR-SPCARANDIRU_MAPEAMENTOS-REMEMORA-CARANDIRU.xlsx</x:v>
      </x:c>
      <x:c r="U178" s="10" t="str">
        <x:v>Geral</x:v>
      </x:c>
      <x:c r="V178" s="11" t="n">
        <x:v>183</x:v>
      </x:c>
      <x:c r="W178" s="10" t="str">
        <x:v>BR-SPCARANDIRU_MAPEAMENTOS-REMEMORA-CARANDIRU.xlsx:Geral:183</x:v>
      </x:c>
      <x:c r="X178" s="11" t="n">
        <x:f>COLUMNS(A178:S178)-COUNTBLANK(A178:S178)</x:f>
        <x:v>17</x:v>
      </x:c>
    </x:row>
    <x:row r="179" ht="15" hidden="0" customHeight="1">
      <x:c r="A179" s="10" t="str">
        <x:v>Podcast</x:v>
      </x:c>
      <x:c r="B179" s="10" t="str"/>
      <x:c r="C179" s="10" t="str">
        <x:v>Produção midiática</x:v>
      </x:c>
      <x:c r="D179" s="10" t="str">
        <x:v>Público Mediado</x:v>
      </x:c>
      <x:c r="E179" s="10" t="str">
        <x:v>Midiático</x:v>
      </x:c>
      <x:c r="F179" s="10" t="str">
        <x:v>2024-05-14 00:00:00</x:v>
      </x:c>
      <x:c r="G179" s="11" t="n">
        <x:v>2024</x:v>
      </x:c>
      <x:c r="H179" s="10" t="str">
        <x:v>Não especificado</x:v>
      </x:c>
      <x:c r="I179" s="10" t="str">
        <x:v>IREC, Memorias Carandiru e Fundo Brasil</x:v>
      </x:c>
      <x:c r="J179" s="10" t="str">
        <x:v>Cola na grade</x:v>
      </x:c>
      <x:c r="K179" s="10" t="str">
        <x:v>Sonoro</x:v>
      </x:c>
      <x:c r="L179" s="10" t="str">
        <x:v>Áudio (digital)</x:v>
      </x:c>
      <x:c r="M179" s="10" t="str">
        <x:v>Spotify (Cola Na Grade)</x:v>
      </x:c>
      <x:c r="N179" s="10" t="str">
        <x:v>Português, Brasil</x:v>
      </x:c>
      <x:c r="O179" s="10" t="str">
        <x:v>Hiperlink</x:v>
      </x:c>
      <x:c r="P179" s="10" t="str">
        <x:v>2025-07-19 00:00:00</x:v>
      </x:c>
      <x:c r="Q179" s="10" t="str">
        <x:v>Aberto</x:v>
      </x:c>
      <x:c r="R179" s="10" t="str">
        <x:v>Aqui</x:v>
      </x:c>
      <x:c r="S179" s="10" t="str">
        <x:v>COLA NA GRADE. Podcast. Spotify, 14 mai. 2024. Disponível em: https://open.spotify.com/show/1U5eiPEESlZzrAZvJIbjC3. Acesso em: 18 jul. 2025.</x:v>
      </x:c>
      <x:c r="T179" s="10" t="str">
        <x:v>BR-SPCARANDIRU_MAPEAMENTOS-REMEMORA-CARANDIRU.xlsx</x:v>
      </x:c>
      <x:c r="U179" s="10" t="str">
        <x:v>Geral</x:v>
      </x:c>
      <x:c r="V179" s="11" t="n">
        <x:v>184</x:v>
      </x:c>
      <x:c r="W179" s="10" t="str">
        <x:v>BR-SPCARANDIRU_MAPEAMENTOS-REMEMORA-CARANDIRU.xlsx:Geral:184</x:v>
      </x:c>
      <x:c r="X179" s="11" t="n">
        <x:f>COLUMNS(A179:S179)-COUNTBLANK(A179:S179)</x:f>
        <x:v>18</x:v>
      </x:c>
    </x:row>
    <x:row r="180" ht="48" hidden="0" customHeight="1">
      <x:c r="A180" s="10" t="str">
        <x:v>Roteiro de memória</x:v>
      </x:c>
      <x:c r="B180" s="10" t="str"/>
      <x:c r="C180" s="10" t="str"/>
      <x:c r="D180" s="10" t="str">
        <x:v>Público Imediato</x:v>
      </x:c>
      <x:c r="E180" s="10" t="str">
        <x:v>Presencial/Físico</x:v>
      </x:c>
      <x:c r="F180" s="10" t="str">
        <x:v>2024-05-15 00:00:00</x:v>
      </x:c>
      <x:c r="G180" s="11" t="n">
        <x:v>2024</x:v>
      </x:c>
      <x:c r="H180" s="10" t="str">
        <x:v>Avenida Cruzeiro do Sul, 2630 - Carandiru (Entrada do Parque da Juventude)</x:v>
      </x:c>
      <x:c r="I180" s="10" t="str">
        <x:v>1ª Frente de Sobreviventes do Cárcere, Memórias Carandiru, Secretaria Municipal de Direitos Humanos e Instituto Resgata Cidadão</x:v>
      </x:c>
      <x:c r="J180" s="10" t="str">
        <x:v>Segurança pública: na mira das câmeras</x:v>
      </x:c>
      <x:c r="K180" s="10" t="str">
        <x:v>Iconográfico, Textual</x:v>
      </x:c>
      <x:c r="L180" s="10" t="str">
        <x:v>Texto (digital), Imagem (digital)</x:v>
      </x:c>
      <x:c r="M180" s="10" t="str">
        <x:v>Instagram (Memórias Carandiru)</x:v>
      </x:c>
      <x:c r="N180" s="10" t="str">
        <x:v>Português, Brasil</x:v>
      </x:c>
      <x:c r="O180" s="10" t="str">
        <x:v>Hiperlink</x:v>
      </x:c>
      <x:c r="P180" s="10" t="str">
        <x:v>2025-07-19 00:00:00</x:v>
      </x:c>
      <x:c r="Q180" s="10" t="str">
        <x:v>Aberto</x:v>
      </x:c>
      <x:c r="R180" s="10" t="str">
        <x:v>Aqui</x:v>
      </x:c>
      <x:c r="S180" s="10" t="str">
        <x:v>MEMÓRIAS CARANDIRU. Segurança pública: na mira das câmeras. Instagram, 15 mai. 2024. Disponível em: https://www.instagram.com/p/C61EDzwN9KW/?utm_source=ig_web_copy_link&amp;igsh=MzRlODBiNWFlZA==. Acesso em: 19 jul. 2025.</x:v>
      </x:c>
      <x:c r="T180" s="10" t="str">
        <x:v>BR-SPCARANDIRU_MAPEAMENTOS-REMEMORA-CARANDIRU.xlsx</x:v>
      </x:c>
      <x:c r="U180" s="10" t="str">
        <x:v>Geral</x:v>
      </x:c>
      <x:c r="V180" s="11" t="n">
        <x:v>185</x:v>
      </x:c>
      <x:c r="W180" s="10" t="str">
        <x:v>BR-SPCARANDIRU_MAPEAMENTOS-REMEMORA-CARANDIRU.xlsx:Geral:185</x:v>
      </x:c>
      <x:c r="X180" s="11" t="n">
        <x:f>COLUMNS(A180:S180)-COUNTBLANK(A180:S180)</x:f>
        <x:v>17</x:v>
      </x:c>
    </x:row>
    <x:row r="181" ht="48" hidden="0" customHeight="1">
      <x:c r="A181" s="10" t="str">
        <x:v>Roteiro de memória</x:v>
      </x:c>
      <x:c r="B181" s="10" t="str"/>
      <x:c r="C181" s="10" t="str"/>
      <x:c r="D181" s="10" t="str">
        <x:v>Público Imediato</x:v>
      </x:c>
      <x:c r="E181" s="10" t="str">
        <x:v>Presencial/Físico</x:v>
      </x:c>
      <x:c r="F181" s="10" t="str">
        <x:v>2024-05-20 00:00:00</x:v>
      </x:c>
      <x:c r="G181" s="11" t="n">
        <x:v>2024</x:v>
      </x:c>
      <x:c r="H181" s="10" t="str">
        <x:v>Avenida Cruzeiro do Sul, 2630 - Carandiru (Entrada do Parque da Juventude)</x:v>
      </x:c>
      <x:c r="I181" s="10" t="str">
        <x:v>1ª Frente de Sobreviventes do Cárcere, Memórias Carandiru, Secretaria Municipal de Direitos Humanos e Instituto Resgata Cidadão</x:v>
      </x:c>
      <x:c r="J181" s="10" t="str">
        <x:v>Além dos Muros: Histórias e Resistência no Parque da Juventude</x:v>
      </x:c>
      <x:c r="K181" s="10" t="str">
        <x:v>Iconográfico, Textual</x:v>
      </x:c>
      <x:c r="L181" s="10" t="str">
        <x:v>Texto (digital), Imagem (digital)</x:v>
      </x:c>
      <x:c r="M181" s="10" t="str">
        <x:v>Instagram (Memórias Carandiru)</x:v>
      </x:c>
      <x:c r="N181" s="10" t="str">
        <x:v>Português, Brasil</x:v>
      </x:c>
      <x:c r="O181" s="10" t="str">
        <x:v>Hiperlink</x:v>
      </x:c>
      <x:c r="P181" s="10" t="str">
        <x:v>2025-07-19 00:00:00</x:v>
      </x:c>
      <x:c r="Q181" s="10" t="str">
        <x:v>Aberto</x:v>
      </x:c>
      <x:c r="R181" s="10" t="str">
        <x:v>Aqui</x:v>
      </x:c>
      <x:c r="S181" s="10" t="str">
        <x:v>MEMÓRIAS CARANDIRU. Além dos Muros: histórias e resistência no Parque da Juventude. Instagram, 20 mai. 2024. Disponível em: https://www.instagram.com/p/C7OxOz5OBlY/?utm_source=ig_web_copy_link&amp;igsh=MzRlODBiNWFlZA==. Acesso em: 19 jul. 2025.</x:v>
      </x:c>
      <x:c r="T181" s="10" t="str">
        <x:v>BR-SPCARANDIRU_MAPEAMENTOS-REMEMORA-CARANDIRU.xlsx</x:v>
      </x:c>
      <x:c r="U181" s="10" t="str">
        <x:v>Geral</x:v>
      </x:c>
      <x:c r="V181" s="11" t="n">
        <x:v>186</x:v>
      </x:c>
      <x:c r="W181" s="10" t="str">
        <x:v>BR-SPCARANDIRU_MAPEAMENTOS-REMEMORA-CARANDIRU.xlsx:Geral:186</x:v>
      </x:c>
      <x:c r="X181" s="11" t="n">
        <x:f>COLUMNS(A181:S181)-COUNTBLANK(A181:S181)</x:f>
        <x:v>17</x:v>
      </x:c>
    </x:row>
    <x:row r="182" ht="48" hidden="0" customHeight="1">
      <x:c r="A182" s="10" t="str">
        <x:v>Palestra</x:v>
      </x:c>
      <x:c r="B182" s="10" t="str"/>
      <x:c r="C182" s="10" t="str"/>
      <x:c r="D182" s="10" t="str">
        <x:v>Público Imediato</x:v>
      </x:c>
      <x:c r="E182" s="10" t="str">
        <x:v>Presencial/Físico</x:v>
      </x:c>
      <x:c r="F182" s="10" t="str">
        <x:v>2024-06-14 00:00:00</x:v>
      </x:c>
      <x:c r="G182" s="11" t="n">
        <x:v>2024</x:v>
      </x:c>
      <x:c r="H182" s="10" t="str">
        <x:v>Auditório da Biblioteca de São Paulo</x:v>
      </x:c>
      <x:c r="I182" s="10" t="str">
        <x:v>1ª Frente de Sobreviventes do Cárcere, Memórias Carandiru, Secretaria Municipal de Direitos Humanos e Instituto Resgata Cidadão</x:v>
      </x:c>
      <x:c r="J182" s="10" t="str">
        <x:v>Tragédia anunciada: repetição da história</x:v>
      </x:c>
      <x:c r="K182" s="10" t="str">
        <x:v>Iconográfico, Textual</x:v>
      </x:c>
      <x:c r="L182" s="10" t="str">
        <x:v>Texto (digital), Imagem (digital)</x:v>
      </x:c>
      <x:c r="M182" s="10" t="str">
        <x:v>Instagram (Memórias Carandiru)</x:v>
      </x:c>
      <x:c r="N182" s="10" t="str">
        <x:v>Português, Brasil</x:v>
      </x:c>
      <x:c r="O182" s="10" t="str">
        <x:v>Hiperlink</x:v>
      </x:c>
      <x:c r="P182" s="10" t="str">
        <x:v>2025-07-19 00:00:00</x:v>
      </x:c>
      <x:c r="Q182" s="10" t="str">
        <x:v>Aberto</x:v>
      </x:c>
      <x:c r="R182" s="10" t="str">
        <x:v>Aqui</x:v>
      </x:c>
      <x:c r="S182" s="10" t="str">
        <x:v>MEMÓRIAS CARANDIRU. Tragédia anunciada: repetição da história. Instagram, 14 jun. 2024. Disponível em: https://www.instagram.com/p/C7phpOgNhrJ/?utm_source=ig_web_copy_link&amp;igsh=MzRlODBiNWFlZA==. Acesso em: 19 jul. 2025.</x:v>
      </x:c>
      <x:c r="T182" s="10" t="str">
        <x:v>BR-SPCARANDIRU_MAPEAMENTOS-REMEMORA-CARANDIRU.xlsx</x:v>
      </x:c>
      <x:c r="U182" s="10" t="str">
        <x:v>Geral</x:v>
      </x:c>
      <x:c r="V182" s="11" t="n">
        <x:v>187</x:v>
      </x:c>
      <x:c r="W182" s="10" t="str">
        <x:v>BR-SPCARANDIRU_MAPEAMENTOS-REMEMORA-CARANDIRU.xlsx:Geral:187</x:v>
      </x:c>
      <x:c r="X182" s="11" t="n">
        <x:f>COLUMNS(A182:S182)-COUNTBLANK(A182:S182)</x:f>
        <x:v>17</x:v>
      </x:c>
    </x:row>
    <x:row r="183" ht="48" hidden="0" customHeight="1">
      <x:c r="A183" s="10" t="str">
        <x:v>Roteiro de memória</x:v>
      </x:c>
      <x:c r="B183" s="10" t="str"/>
      <x:c r="C183" s="10" t="str"/>
      <x:c r="D183" s="10" t="str">
        <x:v>Público Imediato</x:v>
      </x:c>
      <x:c r="E183" s="10" t="str">
        <x:v>Presencial/Físico</x:v>
      </x:c>
      <x:c r="F183" s="10" t="str">
        <x:v>2024-06-22 00:00:00</x:v>
      </x:c>
      <x:c r="G183" s="11" t="n">
        <x:v>2024</x:v>
      </x:c>
      <x:c r="H183" s="10" t="str">
        <x:v>Avenida Cruzeiro do Sul, 2630 - Carandiru (Entrada do Parque da Juventude)</x:v>
      </x:c>
      <x:c r="I183" s="10" t="str">
        <x:v>1ª Frente de Sobreviventes do Cárcere, Memórias Carandiru, Secretaria Municipal de Direitos Humanos e Instituto Resgata Cidadão</x:v>
      </x:c>
      <x:c r="J183" s="10" t="str">
        <x:v>Caminhos repetidos: tragédias e violências</x:v>
      </x:c>
      <x:c r="K183" s="10" t="str">
        <x:v>Iconográfico, Textual</x:v>
      </x:c>
      <x:c r="L183" s="10" t="str">
        <x:v>Texto (digital), Imagem (digital)</x:v>
      </x:c>
      <x:c r="M183" s="10" t="str">
        <x:v>Instagram (Memórias Carandiru)</x:v>
      </x:c>
      <x:c r="N183" s="10" t="str">
        <x:v>Português, Brasil</x:v>
      </x:c>
      <x:c r="O183" s="10" t="str">
        <x:v>Hiperlink</x:v>
      </x:c>
      <x:c r="P183" s="10" t="str">
        <x:v>2025-07-19 00:00:00</x:v>
      </x:c>
      <x:c r="Q183" s="10" t="str">
        <x:v>Aberto</x:v>
      </x:c>
      <x:c r="R183" s="10" t="str">
        <x:v>Aqui</x:v>
      </x:c>
      <x:c r="S183" s="10" t="str">
        <x:v>MEMÓRIAS CARANDIRU. Caminhos repetidos: tragédias e violências. Instagram, 22 jun. 2024. Disponível em: https://www.instagram.com/p/C8NYStMv5lv/?utm_source=ig_web_copy_link&amp;igsh=MzRlODBiNWFlZA==. Acesso em: 19 jul. 2025.</x:v>
      </x:c>
      <x:c r="T183" s="10" t="str">
        <x:v>BR-SPCARANDIRU_MAPEAMENTOS-REMEMORA-CARANDIRU.xlsx</x:v>
      </x:c>
      <x:c r="U183" s="10" t="str">
        <x:v>Geral</x:v>
      </x:c>
      <x:c r="V183" s="11" t="n">
        <x:v>188</x:v>
      </x:c>
      <x:c r="W183" s="10" t="str">
        <x:v>BR-SPCARANDIRU_MAPEAMENTOS-REMEMORA-CARANDIRU.xlsx:Geral:188</x:v>
      </x:c>
      <x:c r="X183" s="11" t="n">
        <x:f>COLUMNS(A183:S183)-COUNTBLANK(A183:S183)</x:f>
        <x:v>17</x:v>
      </x:c>
    </x:row>
    <x:row r="184" ht="24" hidden="0" customHeight="1">
      <x:c r="A184" s="10" t="str">
        <x:v>Palestra</x:v>
      </x:c>
      <x:c r="B184" s="10" t="str"/>
      <x:c r="C184" s="10" t="str"/>
      <x:c r="D184" s="10" t="str">
        <x:v>Público Imediato</x:v>
      </x:c>
      <x:c r="E184" s="10" t="str">
        <x:v>Presencial/Físico</x:v>
      </x:c>
      <x:c r="F184" s="10" t="str">
        <x:v>2024-06-23 00:00:00</x:v>
      </x:c>
      <x:c r="G184" s="11" t="n">
        <x:v>2024</x:v>
      </x:c>
      <x:c r="H184" s="10" t="str">
        <x:v>R. Araxá, 190 - Vila VirginiaItaquaquecetuba</x:v>
      </x:c>
      <x:c r="I184" s="10" t="str">
        <x:v>Uneafro Itaqua, Memórias Carandiru e 1ª Frente de Sobreviventes do Cárcere</x:v>
      </x:c>
      <x:c r="J184" s="10" t="str">
        <x:v>A superlotação negra e o racismo no sistema carcerário brasileiro</x:v>
      </x:c>
      <x:c r="K184" s="10" t="str">
        <x:v>Iconográfico, Textual</x:v>
      </x:c>
      <x:c r="L184" s="10" t="str">
        <x:v>Texto (digital), Imagem (digital)</x:v>
      </x:c>
      <x:c r="M184" s="10" t="str">
        <x:v>Instagram (Memórias Carandiru)</x:v>
      </x:c>
      <x:c r="N184" s="10" t="str">
        <x:v>Português, Brasil</x:v>
      </x:c>
      <x:c r="O184" s="10" t="str">
        <x:v>Hiperlink</x:v>
      </x:c>
      <x:c r="P184" s="10" t="str">
        <x:v>2025-07-19 00:00:00</x:v>
      </x:c>
      <x:c r="Q184" s="10" t="str">
        <x:v>Aberto</x:v>
      </x:c>
      <x:c r="R184" s="10" t="str">
        <x:v>Aqui</x:v>
      </x:c>
      <x:c r="S184" s="10" t="str">
        <x:v>MEMÓRIAS CARANDIRU. A superlotação negra e o racismo no sistema carcerário brasileiro. Instagram, 23 jun. 2024. Disponível em: https://www.instagram.com/p/C8kj-4pvlEy/?utm_source=ig_web_copy_link&amp;igsh=MzRlODBiNWFlZA==. Acesso em: 19 jul. 2025.</x:v>
      </x:c>
      <x:c r="T184" s="10" t="str">
        <x:v>BR-SPCARANDIRU_MAPEAMENTOS-REMEMORA-CARANDIRU.xlsx</x:v>
      </x:c>
      <x:c r="U184" s="10" t="str">
        <x:v>Geral</x:v>
      </x:c>
      <x:c r="V184" s="11" t="n">
        <x:v>189</x:v>
      </x:c>
      <x:c r="W184" s="10" t="str">
        <x:v>BR-SPCARANDIRU_MAPEAMENTOS-REMEMORA-CARANDIRU.xlsx:Geral:189</x:v>
      </x:c>
      <x:c r="X184" s="11" t="n">
        <x:f>COLUMNS(A184:S184)-COUNTBLANK(A184:S184)</x:f>
        <x:v>17</x:v>
      </x:c>
    </x:row>
    <x:row r="185" ht="48" hidden="0" customHeight="1">
      <x:c r="A185" s="10" t="str">
        <x:v>Roteiro de memória</x:v>
      </x:c>
      <x:c r="B185" s="10" t="str"/>
      <x:c r="C185" s="10" t="str"/>
      <x:c r="D185" s="10" t="str">
        <x:v>Público Imediato</x:v>
      </x:c>
      <x:c r="E185" s="10" t="str">
        <x:v>Presencial/Físico</x:v>
      </x:c>
      <x:c r="F185" s="10" t="str">
        <x:v>2024-06-29 00:00:00</x:v>
      </x:c>
      <x:c r="G185" s="11" t="n">
        <x:v>2024</x:v>
      </x:c>
      <x:c r="H185" s="10" t="str">
        <x:v>Avenida Cruzeiro do Sul, 2630 - Carandiru (Entrada do Parque da Juventude)</x:v>
      </x:c>
      <x:c r="I185" s="10" t="str">
        <x:v>1ª Frente de Sobreviventes do Cárcere, Memórias Carandiru, Secretaria Municipal de Direitos Humanos e Instituto Resgata Cidadão</x:v>
      </x:c>
      <x:c r="J185" s="10" t="str">
        <x:v>Ressignificação ou apagamento da história?</x:v>
      </x:c>
      <x:c r="K185" s="10" t="str">
        <x:v>Iconográfico, Textual</x:v>
      </x:c>
      <x:c r="L185" s="10" t="str">
        <x:v>Texto (digital), Imagem (digital)</x:v>
      </x:c>
      <x:c r="M185" s="10" t="str">
        <x:v>Instagram (Memórias Carandiru)</x:v>
      </x:c>
      <x:c r="N185" s="10" t="str">
        <x:v>Português, Brasil</x:v>
      </x:c>
      <x:c r="O185" s="10" t="str">
        <x:v>Hiperlink</x:v>
      </x:c>
      <x:c r="P185" s="10" t="str">
        <x:v>2025-07-18 00:00:00</x:v>
      </x:c>
      <x:c r="Q185" s="10" t="str">
        <x:v>Aberto</x:v>
      </x:c>
      <x:c r="R185" s="10" t="str">
        <x:v>Aqui</x:v>
      </x:c>
      <x:c r="S185" s="10" t="str">
        <x:v>MEMÓRIAS CARANDIRU. Ressignificação ou apagamento da história?. Instagram, 29 jun. 2024. Disponível em: https://www.instagram.com/p/C8p3dZLvc2m/?utm_source=ig_web_copy_link&amp;igsh=MzRlODBiNWFlZA==. Acesso em: 19 jul. 2025.</x:v>
      </x:c>
      <x:c r="T185" s="10" t="str">
        <x:v>BR-SPCARANDIRU_MAPEAMENTOS-REMEMORA-CARANDIRU.xlsx</x:v>
      </x:c>
      <x:c r="U185" s="10" t="str">
        <x:v>Geral</x:v>
      </x:c>
      <x:c r="V185" s="11" t="n">
        <x:v>190</x:v>
      </x:c>
      <x:c r="W185" s="10" t="str">
        <x:v>BR-SPCARANDIRU_MAPEAMENTOS-REMEMORA-CARANDIRU.xlsx:Geral:190</x:v>
      </x:c>
      <x:c r="X185" s="11" t="n">
        <x:f>COLUMNS(A185:S185)-COUNTBLANK(A185:S185)</x:f>
        <x:v>17</x:v>
      </x:c>
    </x:row>
    <x:row r="186" ht="48" hidden="0" customHeight="1">
      <x:c r="A186" s="10" t="str">
        <x:v>Roteiro de memória</x:v>
      </x:c>
      <x:c r="B186" s="10" t="str"/>
      <x:c r="C186" s="10" t="str"/>
      <x:c r="D186" s="10" t="str">
        <x:v>Público Imediato</x:v>
      </x:c>
      <x:c r="E186" s="10" t="str">
        <x:v>Presencial/Físico</x:v>
      </x:c>
      <x:c r="F186" s="10" t="str">
        <x:v>2024-08-28 00:00:00</x:v>
      </x:c>
      <x:c r="G186" s="11" t="n">
        <x:v>2024</x:v>
      </x:c>
      <x:c r="H186" s="10" t="str">
        <x:v>Rua Líbero Badaró, 137</x:v>
      </x:c>
      <x:c r="I186" s="10" t="str">
        <x:v>1ª Frente de Sobreviventes do Cárcere, Memórias Carandiru, Secretaria Municipal de Direitos Humanos e Instituto Resgata Cidadão</x:v>
      </x:c>
      <x:c r="J186" s="10" t="str">
        <x:v>Pouco tempo na prisão: consequências para todo o sempre</x:v>
      </x:c>
      <x:c r="K186" s="10" t="str">
        <x:v>Iconográfico, Textual</x:v>
      </x:c>
      <x:c r="L186" s="10" t="str">
        <x:v>Texto (digital), Imagem (digital)</x:v>
      </x:c>
      <x:c r="M186" s="10" t="str">
        <x:v>Instagram (Memórias Carandiru)</x:v>
      </x:c>
      <x:c r="N186" s="10" t="str">
        <x:v>Português, Brasil</x:v>
      </x:c>
      <x:c r="O186" s="10" t="str">
        <x:v>Hiperlink</x:v>
      </x:c>
      <x:c r="P186" s="10" t="str">
        <x:v>2025-07-19 00:00:00</x:v>
      </x:c>
      <x:c r="Q186" s="10" t="str">
        <x:v>Aberto</x:v>
      </x:c>
      <x:c r="R186" s="10" t="str">
        <x:v>Aqui</x:v>
      </x:c>
      <x:c r="S186" s="10" t="str">
        <x:v>MEMÓRIAS CARANDIRU. Pouco tempo na prisão: consequências para todo o sempre. Instagram, 28 ago. 2024. Disponível em: https://www.instagram.com/p/C_JVFwxPFhg/?utm_source=ig_web_copy_link&amp;igsh=MzRlODBiNWFlZA==. Acesso em: 19 jul. 2025.</x:v>
      </x:c>
      <x:c r="T186" s="10" t="str">
        <x:v>BR-SPCARANDIRU_MAPEAMENTOS-REMEMORA-CARANDIRU.xlsx</x:v>
      </x:c>
      <x:c r="U186" s="10" t="str">
        <x:v>Geral</x:v>
      </x:c>
      <x:c r="V186" s="11" t="n">
        <x:v>191</x:v>
      </x:c>
      <x:c r="W186" s="10" t="str">
        <x:v>BR-SPCARANDIRU_MAPEAMENTOS-REMEMORA-CARANDIRU.xlsx:Geral:191</x:v>
      </x:c>
      <x:c r="X186" s="11" t="n">
        <x:f>COLUMNS(A186:S186)-COUNTBLANK(A186:S186)</x:f>
        <x:v>17</x:v>
      </x:c>
    </x:row>
    <x:row r="187" ht="72" hidden="0" customHeight="1">
      <x:c r="A187" s="10" t="str">
        <x:v>Manifesto</x:v>
      </x:c>
      <x:c r="B187" s="10" t="str"/>
      <x:c r="C187" s="10" t="str"/>
      <x:c r="D187" s="10" t="str">
        <x:v>Público Mediado</x:v>
      </x:c>
      <x:c r="E187" s="10" t="str">
        <x:v>Presencial/Físico</x:v>
      </x:c>
      <x:c r="F187" s="10" t="str">
        <x:v>2024-09-01 00:00:00</x:v>
      </x:c>
      <x:c r="G187" s="11" t="n">
        <x:v>2024</x:v>
      </x:c>
      <x:c r="H187" s="10" t="str">
        <x:v>Largo São Francisco, 95 - Centro, São Paulo</x:v>
      </x:c>
      <x:c r="I187" s="10" t="str">
        <x:v>1ª Frente de Sobrevivenetes do Cárcere, Incarceration Nations Network, Dr. Baz Dreisinger, Sérgio Salomão Shecaira, Katherine A. Martins, Jota Carvalho Junior, GRUPO ANTÔNIA, Fundo Brasil, CLUBE DAS CRIMINALISTAS, Danny Murillo</x:v>
      </x:c>
      <x:c r="J187" s="10" t="str">
        <x:v>Lançamento de um manifesto, constituído por egressos do sistema prisional, em nível internacional</x:v>
      </x:c>
      <x:c r="K187" s="10" t="str">
        <x:v>Iconográfico, Textual</x:v>
      </x:c>
      <x:c r="L187" s="10" t="str">
        <x:v>Texto (digital), Imagem (digital)</x:v>
      </x:c>
      <x:c r="M187" s="10" t="str">
        <x:v>Instagram (Mauricio Monteiro)</x:v>
      </x:c>
      <x:c r="N187" s="10" t="str">
        <x:v>Português, Brasil</x:v>
      </x:c>
      <x:c r="O187" s="10" t="str">
        <x:v>Hiperlink</x:v>
      </x:c>
      <x:c r="P187" s="10" t="str">
        <x:v>2025-07-19 00:00:00</x:v>
      </x:c>
      <x:c r="Q187" s="10" t="str">
        <x:v>Aberto</x:v>
      </x:c>
      <x:c r="R187" s="10" t="str">
        <x:v>Aqui</x:v>
      </x:c>
      <x:c r="S187" s="10" t="str">
        <x:v>MAURICIO MONTEIRO. Lançamento de um manifesto, constituído por egressos do sistema prisional, em nível internacional. Instagram, 1 set. 2024. Disponível em: https://www.instagram.com/reel/C_ZMO7MvFcH/?utm_source=ig_web_copy_link&amp;igsh=MzRlODBiNWFlZA%3D%3D. Acesso em: 19 jul. 2025.</x:v>
      </x:c>
      <x:c r="T187" s="10" t="str">
        <x:v>BR-SPCARANDIRU_MAPEAMENTOS-REMEMORA-CARANDIRU.xlsx</x:v>
      </x:c>
      <x:c r="U187" s="10" t="str">
        <x:v>Geral</x:v>
      </x:c>
      <x:c r="V187" s="11" t="n">
        <x:v>192</x:v>
      </x:c>
      <x:c r="W187" s="10" t="str">
        <x:v>BR-SPCARANDIRU_MAPEAMENTOS-REMEMORA-CARANDIRU.xlsx:Geral:192</x:v>
      </x:c>
      <x:c r="X187" s="11" t="n">
        <x:f>COLUMNS(A187:S187)-COUNTBLANK(A187:S187)</x:f>
        <x:v>17</x:v>
      </x:c>
    </x:row>
    <x:row r="188" ht="48" hidden="0" customHeight="1">
      <x:c r="A188" s="10" t="str">
        <x:v>Roda de conversa</x:v>
      </x:c>
      <x:c r="B188" s="10" t="str"/>
      <x:c r="C188" s="10" t="str"/>
      <x:c r="D188" s="10" t="str">
        <x:v>Público Imediato</x:v>
      </x:c>
      <x:c r="E188" s="10" t="str">
        <x:v>Presencial/Físico</x:v>
      </x:c>
      <x:c r="F188" s="10" t="str">
        <x:v>2024-09-14 00:00:00</x:v>
      </x:c>
      <x:c r="G188" s="11" t="n">
        <x:v>2024</x:v>
      </x:c>
      <x:c r="H188" s="10" t="str">
        <x:v>Biblioteca São Paulo</x:v>
      </x:c>
      <x:c r="I188" s="10" t="str">
        <x:v>1ª Frente de Sobreviventes do Cárcere, Memórias Carandiru, Secretaria Municipal de Direitos Humanos e Instituto Resgata Cidadão</x:v>
      </x:c>
      <x:c r="J188" s="10" t="str">
        <x:v>Transparência ou controle? As câmeras corporais na vista de mães e ex-detentos</x:v>
      </x:c>
      <x:c r="K188" s="10" t="str">
        <x:v>Iconográfico, Textual</x:v>
      </x:c>
      <x:c r="L188" s="10" t="str">
        <x:v>Texto (digital), Imagem (digital)</x:v>
      </x:c>
      <x:c r="M188" s="10" t="str">
        <x:v>Instagram (Memórias Carandiru)</x:v>
      </x:c>
      <x:c r="N188" s="10" t="str">
        <x:v>Português, Brasil</x:v>
      </x:c>
      <x:c r="O188" s="10" t="str">
        <x:v>Hiperlink</x:v>
      </x:c>
      <x:c r="P188" s="10" t="str">
        <x:v>2025-07-19 00:00:00</x:v>
      </x:c>
      <x:c r="Q188" s="10" t="str">
        <x:v>Aberto</x:v>
      </x:c>
      <x:c r="R188" s="10" t="str">
        <x:v>Aqui</x:v>
      </x:c>
      <x:c r="S188" s="10" t="str">
        <x:v>MEMÓRIAS CARANDIRU. Transparência ou controle? As câmeras corporais na vista de mães e ex-detentos. Instagram, 14 set. 2024. Disponível em: https://www.instagram.com/p/C_q4rYEvGwr/?utm_source=ig_web_copy_link&amp;igsh=MzRlODBiNWFlZA==. Acesso em: 19 jul. 2025.</x:v>
      </x:c>
      <x:c r="T188" s="10" t="str">
        <x:v>BR-SPCARANDIRU_MAPEAMENTOS-REMEMORA-CARANDIRU.xlsx</x:v>
      </x:c>
      <x:c r="U188" s="10" t="str">
        <x:v>Geral</x:v>
      </x:c>
      <x:c r="V188" s="11" t="n">
        <x:v>193</x:v>
      </x:c>
      <x:c r="W188" s="10" t="str">
        <x:v>BR-SPCARANDIRU_MAPEAMENTOS-REMEMORA-CARANDIRU.xlsx:Geral:193</x:v>
      </x:c>
      <x:c r="X188" s="11" t="n">
        <x:f>COLUMNS(A188:S188)-COUNTBLANK(A188:S188)</x:f>
        <x:v>17</x:v>
      </x:c>
    </x:row>
    <x:row r="189" ht="48" hidden="0" customHeight="1">
      <x:c r="A189" s="10" t="str">
        <x:v>Roteiro de memória</x:v>
      </x:c>
      <x:c r="B189" s="10" t="str"/>
      <x:c r="C189" s="10" t="str"/>
      <x:c r="D189" s="10" t="str">
        <x:v>Público Imediato</x:v>
      </x:c>
      <x:c r="E189" s="10" t="str">
        <x:v>Presencial/Físico</x:v>
      </x:c>
      <x:c r="F189" s="10" t="str">
        <x:v>2024-09-22 00:00:00</x:v>
      </x:c>
      <x:c r="G189" s="11" t="n">
        <x:v>2024</x:v>
      </x:c>
      <x:c r="H189" s="10" t="str">
        <x:v>Av. Cruzeiro do Sul, 2630 - Carandiru</x:v>
      </x:c>
      <x:c r="I189" s="10" t="str">
        <x:v>1ª Frente de Sobreviventes do Cárcere, Memórias Carandiru, Secretaria Municipal de Direitos Humanos e Instituto Resgata Cidadão</x:v>
      </x:c>
      <x:c r="J189" s="10" t="str">
        <x:v>Relatos Apagados: Revelações do Antigo Carandiru</x:v>
      </x:c>
      <x:c r="K189" s="10" t="str">
        <x:v>Iconográfico, Textual</x:v>
      </x:c>
      <x:c r="L189" s="10" t="str">
        <x:v>Texto (digital), Imagem (digital)</x:v>
      </x:c>
      <x:c r="M189" s="10" t="str">
        <x:v>Instagram (Memórias Carandiru)</x:v>
      </x:c>
      <x:c r="N189" s="10" t="str">
        <x:v>Português, Brasil</x:v>
      </x:c>
      <x:c r="O189" s="10" t="str">
        <x:v>Hiperlink</x:v>
      </x:c>
      <x:c r="P189" s="10" t="str">
        <x:v>2025-07-19 00:00:00</x:v>
      </x:c>
      <x:c r="Q189" s="10" t="str">
        <x:v>Aberto</x:v>
      </x:c>
      <x:c r="R189" s="10" t="str">
        <x:v>Aqui</x:v>
      </x:c>
      <x:c r="S189" s="10" t="str">
        <x:v>MEMÓRIAS CARANDIRU. Relatos apagados: revelações do antigo Carandiru. Instagram, 22 set. 2024. Disponível em: https://www.instagram.com/p/DATL6w6ujBs/?utm_source=ig_web_copy_link&amp;igsh=MzRlODBiNWFlZA==. Acesso em: 19 jul. 2025.</x:v>
      </x:c>
      <x:c r="T189" s="10" t="str">
        <x:v>BR-SPCARANDIRU_MAPEAMENTOS-REMEMORA-CARANDIRU.xlsx</x:v>
      </x:c>
      <x:c r="U189" s="10" t="str">
        <x:v>Geral</x:v>
      </x:c>
      <x:c r="V189" s="11" t="n">
        <x:v>194</x:v>
      </x:c>
      <x:c r="W189" s="10" t="str">
        <x:v>BR-SPCARANDIRU_MAPEAMENTOS-REMEMORA-CARANDIRU.xlsx:Geral:194</x:v>
      </x:c>
      <x:c r="X189" s="11" t="n">
        <x:f>COLUMNS(A189:S189)-COUNTBLANK(A189:S189)</x:f>
        <x:v>17</x:v>
      </x:c>
    </x:row>
    <x:row r="190" ht="36" hidden="0" customHeight="1">
      <x:c r="A190" s="10" t="str">
        <x:v>Mesa</x:v>
      </x:c>
      <x:c r="B190" s="10" t="str"/>
      <x:c r="C190" s="10" t="str"/>
      <x:c r="D190" s="10" t="str">
        <x:v>Público Imediato</x:v>
      </x:c>
      <x:c r="E190" s="10" t="str">
        <x:v>Presencial/Físico</x:v>
      </x:c>
      <x:c r="F190" s="10" t="str">
        <x:v>2024-10-01 00:00:00</x:v>
      </x:c>
      <x:c r="G190" s="11" t="n">
        <x:v>2024</x:v>
      </x:c>
      <x:c r="H190" s="10" t="str">
        <x:v>FGV Direito - R. Dr. Plínio Barreto, 365 - Bela Vista, São Paulo</x:v>
      </x:c>
      <x:c r="I190" s="10" t="str">
        <x:v>Pesquisadoras (Grupo de Pesquisa em Direito e Violência de Estado) e sobreviventes</x:v>
      </x:c>
      <x:c r="J190" s="10" t="str">
        <x:v>Lugar de memória, lugar em disputa: 32 anos do Massacre do Carandiru</x:v>
      </x:c>
      <x:c r="K190" s="10" t="str">
        <x:v>Textual</x:v>
      </x:c>
      <x:c r="L190" s="10" t="str">
        <x:v>Texto (digital)</x:v>
      </x:c>
      <x:c r="M190" s="10" t="str">
        <x:v>FGV DIREITO SP</x:v>
      </x:c>
      <x:c r="N190" s="10" t="str">
        <x:v>Português, Brasil</x:v>
      </x:c>
      <x:c r="O190" s="10" t="str">
        <x:v>Hiperlink</x:v>
      </x:c>
      <x:c r="P190" s="10" t="str">
        <x:v>2025-07-15 00:00:00</x:v>
      </x:c>
      <x:c r="Q190" s="10" t="str">
        <x:v>Aberto</x:v>
      </x:c>
      <x:c r="R190" s="10" t="str">
        <x:v>Aqui</x:v>
      </x:c>
      <x:c r="S190" s="10" t="str">
        <x:v>FGV DIREITO SP. Lugar de memória, lugar em disputa: 32 anos do Massacre do Carandiru. FGV DIREITO SP, 1 out. 2024. Disponível em: https://direitosp.fgv.br/eventos/lugar-memoria-lugar-disputa-32-anos-massacre-carandiru. Acesso em: 17 jul. 2025.</x:v>
      </x:c>
      <x:c r="T190" s="10" t="str">
        <x:v>BR-SPCARANDIRU_MAPEAMENTOS-REMEMORA-CARANDIRU.xlsx</x:v>
      </x:c>
      <x:c r="U190" s="10" t="str">
        <x:v>Geral</x:v>
      </x:c>
      <x:c r="V190" s="11" t="n">
        <x:v>195</x:v>
      </x:c>
      <x:c r="W190" s="10" t="str">
        <x:v>BR-SPCARANDIRU_MAPEAMENTOS-REMEMORA-CARANDIRU.xlsx:Geral:195</x:v>
      </x:c>
      <x:c r="X190" s="11" t="n">
        <x:f>COLUMNS(A190:S190)-COUNTBLANK(A190:S190)</x:f>
        <x:v>17</x:v>
      </x:c>
    </x:row>
    <x:row r="191" ht="24" hidden="0" customHeight="1">
      <x:c r="A191" s="10" t="str">
        <x:v>Audiotour</x:v>
      </x:c>
      <x:c r="B191" s="10" t="str"/>
      <x:c r="C191" s="10" t="str">
        <x:v>Produção midiática</x:v>
      </x:c>
      <x:c r="D191" s="10" t="str">
        <x:v>Público Mediado</x:v>
      </x:c>
      <x:c r="E191" s="10" t="str">
        <x:v>Midiático</x:v>
      </x:c>
      <x:c r="F191" s="10" t="str">
        <x:v>2024-10-02 00:00:00</x:v>
      </x:c>
      <x:c r="G191" s="11" t="n">
        <x:v>2024</x:v>
      </x:c>
      <x:c r="H191" s="10" t="str">
        <x:v>Av. Cruzeiro do Sul, 2630 - Carandiru</x:v>
      </x:c>
      <x:c r="I191" s="10" t="str">
        <x:v>Casa da F.U.R.I.A, Cia. dxs Terroristas, Memórias Carandiru</x:v>
      </x:c>
      <x:c r="J191" s="10" t="str">
        <x:v>Audiotour TUDO GENTE</x:v>
      </x:c>
      <x:c r="K191" s="10" t="str">
        <x:v>Iconográfico, Textual</x:v>
      </x:c>
      <x:c r="L191" s="10" t="str">
        <x:v>Texto (digital), Imagem (digital)</x:v>
      </x:c>
      <x:c r="M191" s="10" t="str">
        <x:v>Instagram (Memórias Carandiru)</x:v>
      </x:c>
      <x:c r="N191" s="10" t="str">
        <x:v>Português, Brasil</x:v>
      </x:c>
      <x:c r="O191" s="10" t="str">
        <x:v>Hiperlink</x:v>
      </x:c>
      <x:c r="P191" s="10" t="str">
        <x:v>2025-07-19 00:00:00</x:v>
      </x:c>
      <x:c r="Q191" s="10" t="str">
        <x:v>Aberto</x:v>
      </x:c>
      <x:c r="R191" s="10" t="str">
        <x:v>Aqui</x:v>
      </x:c>
      <x:c r="S191" s="10" t="str">
        <x:v>MEMÓRIAS CARANDIRU. Audiotour TUDO GENTE. Instagram, 2 out. 2024. Disponível em: https://www.instagram.com/p/DABAzFqtrS2/?utm_source=ig_web_copy_link&amp;igsh=MzRlODBiNWFlZA==. Acesso em: 19 jul. 2025.</x:v>
      </x:c>
      <x:c r="T191" s="10" t="str">
        <x:v>BR-SPCARANDIRU_MAPEAMENTOS-REMEMORA-CARANDIRU.xlsx</x:v>
      </x:c>
      <x:c r="U191" s="10" t="str">
        <x:v>Geral</x:v>
      </x:c>
      <x:c r="V191" s="11" t="n">
        <x:v>196</x:v>
      </x:c>
      <x:c r="W191" s="10" t="str">
        <x:v>BR-SPCARANDIRU_MAPEAMENTOS-REMEMORA-CARANDIRU.xlsx:Geral:196</x:v>
      </x:c>
      <x:c r="X191" s="11" t="n">
        <x:f>COLUMNS(A191:S191)-COUNTBLANK(A191:S191)</x:f>
        <x:v>18</x:v>
      </x:c>
    </x:row>
    <x:row r="192" ht="24" hidden="0" customHeight="1">
      <x:c r="A192" s="10" t="str">
        <x:v>Podcast (episódio)</x:v>
      </x:c>
      <x:c r="B192" s="10" t="str"/>
      <x:c r="C192" s="10" t="str">
        <x:v>Produção midiática</x:v>
      </x:c>
      <x:c r="D192" s="10" t="str">
        <x:v>Público Mediado</x:v>
      </x:c>
      <x:c r="E192" s="10" t="str">
        <x:v>Midiático</x:v>
      </x:c>
      <x:c r="F192" s="10" t="str">
        <x:v>2024-10-03 00:00:00</x:v>
      </x:c>
      <x:c r="G192" s="11" t="n">
        <x:v>2024</x:v>
      </x:c>
      <x:c r="H192" s="10" t="str">
        <x:v>Não especificado</x:v>
      </x:c>
      <x:c r="I192" s="10" t="str">
        <x:v>Podcast do Gueto com participação do Mauricio Monteiro</x:v>
      </x:c>
      <x:c r="J192" s="10" t="str">
        <x:v>Maurício Monteiro no Podcast Do Gueto</x:v>
      </x:c>
      <x:c r="K192" s="10" t="str">
        <x:v>Iconográfico, Textual</x:v>
      </x:c>
      <x:c r="L192" s="10" t="str">
        <x:v>Texto (digital), Imagem (digital)</x:v>
      </x:c>
      <x:c r="M192" s="10" t="str">
        <x:v>Instagram (Memórias Carandiru)</x:v>
      </x:c>
      <x:c r="N192" s="10" t="str">
        <x:v>Português, Brasil</x:v>
      </x:c>
      <x:c r="O192" s="10" t="str">
        <x:v>Hiperlink</x:v>
      </x:c>
      <x:c r="P192" s="10" t="str">
        <x:v>2025-07-19 00:00:00</x:v>
      </x:c>
      <x:c r="Q192" s="10" t="str">
        <x:v>Aberto</x:v>
      </x:c>
      <x:c r="R192" s="10" t="str">
        <x:v>Aqui</x:v>
      </x:c>
      <x:c r="S192" s="10" t="str">
        <x:v>MEMÓRIAS CARANDIRU. Maurício Monteiro no Podcast Do Gueto. Instagram, 3 out. 2024. Disponível em: https://www.instagram.com/p/DAl5b79R8Gs/?utm_source=ig_web_copy_link&amp;igsh=MzRlODBiNWFlZA==. Acesso em: 19 jul. 2025.</x:v>
      </x:c>
      <x:c r="T192" s="10" t="str">
        <x:v>BR-SPCARANDIRU_MAPEAMENTOS-REMEMORA-CARANDIRU.xlsx</x:v>
      </x:c>
      <x:c r="U192" s="10" t="str">
        <x:v>Geral</x:v>
      </x:c>
      <x:c r="V192" s="11" t="n">
        <x:v>197</x:v>
      </x:c>
      <x:c r="W192" s="10" t="str">
        <x:v>BR-SPCARANDIRU_MAPEAMENTOS-REMEMORA-CARANDIRU.xlsx:Geral:197</x:v>
      </x:c>
      <x:c r="X192" s="11" t="n">
        <x:f>COLUMNS(A192:S192)-COUNTBLANK(A192:S192)</x:f>
        <x:v>18</x:v>
      </x:c>
    </x:row>
    <x:row r="193" ht="24" hidden="0" customHeight="1">
      <x:c r="A193" s="10" t="str">
        <x:v>Aula</x:v>
      </x:c>
      <x:c r="B193" s="10" t="str"/>
      <x:c r="C193" s="10" t="str"/>
      <x:c r="D193" s="10" t="str">
        <x:v>Público Imediato</x:v>
      </x:c>
      <x:c r="E193" s="10" t="str">
        <x:v>Presencial/Físico</x:v>
      </x:c>
      <x:c r="F193" s="10" t="str">
        <x:v>2024-10-03 00:00:00</x:v>
      </x:c>
      <x:c r="G193" s="11" t="n">
        <x:v>2024</x:v>
      </x:c>
      <x:c r="H193" s="10" t="str">
        <x:v>Av. Cruzeiro do Sul, 2630 - Carandiru</x:v>
      </x:c>
      <x:c r="I193" s="10" t="str">
        <x:v>Cia dxs Terroristas, Mauricio Monteiro</x:v>
      </x:c>
      <x:c r="J193" s="10" t="str">
        <x:v>Aula de Sparring, boxe, sarau na BSP e abertura da Audiotour Tudo Gente no Parque da Juventude</x:v>
      </x:c>
      <x:c r="K193" s="10" t="str">
        <x:v>Iconográfico, Textual</x:v>
      </x:c>
      <x:c r="L193" s="10" t="str">
        <x:v>Texto (digital), Imagem (digital)</x:v>
      </x:c>
      <x:c r="M193" s="10" t="str">
        <x:v>Instagram (Memórias Carandiru)</x:v>
      </x:c>
      <x:c r="N193" s="10" t="str">
        <x:v>Português, Brasil</x:v>
      </x:c>
      <x:c r="O193" s="10" t="str">
        <x:v>Hiperlink</x:v>
      </x:c>
      <x:c r="P193" s="10" t="str">
        <x:v>2025-07-19 00:00:00</x:v>
      </x:c>
      <x:c r="Q193" s="10" t="str">
        <x:v>Aberto</x:v>
      </x:c>
      <x:c r="R193" s="10" t="str">
        <x:v>Aqui</x:v>
      </x:c>
      <x:c r="S193" s="10" t="str">
        <x:v>MEMÓRIAS CARANDIRU. Aula de Sparring, boxe, sarau na BSP e abertura da Audiotour Tudo Gente no Parque da Juventude. Instagram, 3 out. 2024. Disponível em: https://www.instagram.com/p/DAqXfEBPeSz/?utm_source=ig_web_copy_link&amp;igsh=MzRlODBiNWFlZA==. Acesso em: 19 jul. 2025.</x:v>
      </x:c>
      <x:c r="T193" s="10" t="str">
        <x:v>BR-SPCARANDIRU_MAPEAMENTOS-REMEMORA-CARANDIRU.xlsx</x:v>
      </x:c>
      <x:c r="U193" s="10" t="str">
        <x:v>Geral</x:v>
      </x:c>
      <x:c r="V193" s="11" t="n">
        <x:v>198</x:v>
      </x:c>
      <x:c r="W193" s="10" t="str">
        <x:v>BR-SPCARANDIRU_MAPEAMENTOS-REMEMORA-CARANDIRU.xlsx:Geral:198</x:v>
      </x:c>
      <x:c r="X193" s="11" t="n">
        <x:f>COLUMNS(A193:S193)-COUNTBLANK(A193:S193)</x:f>
        <x:v>17</x:v>
      </x:c>
    </x:row>
    <x:row r="194" ht="24" hidden="0" customHeight="1">
      <x:c r="A194" s="10" t="str">
        <x:v>Ato</x:v>
      </x:c>
      <x:c r="B194" s="10" t="str"/>
      <x:c r="C194" s="10" t="str"/>
      <x:c r="D194" s="10" t="str">
        <x:v>Público Imediato</x:v>
      </x:c>
      <x:c r="E194" s="10" t="str">
        <x:v>Presencial/Físico</x:v>
      </x:c>
      <x:c r="F194" s="10" t="str">
        <x:v>2024-10-03 00:00:00</x:v>
      </x:c>
      <x:c r="G194" s="11" t="n">
        <x:v>2024</x:v>
      </x:c>
      <x:c r="H194" s="10" t="str">
        <x:v>Pq da Juventude</x:v>
      </x:c>
      <x:c r="I194" s="10" t="str">
        <x:v>IREC, Mauricio Monteiro, Memorias Carandiru</x:v>
      </x:c>
      <x:c r="J194" s="10" t="str">
        <x:v>Matéria especial no Repórter Brasil, jornal da TV Brasil</x:v>
      </x:c>
      <x:c r="K194" s="10" t="str">
        <x:v>Iconográfico, Textual</x:v>
      </x:c>
      <x:c r="L194" s="10" t="str">
        <x:v>Texto (digital), Imagem (digital)</x:v>
      </x:c>
      <x:c r="M194" s="10" t="str">
        <x:v>Instagram (Memórias Carandiru)</x:v>
      </x:c>
      <x:c r="N194" s="10" t="str">
        <x:v>Português, Brasil</x:v>
      </x:c>
      <x:c r="O194" s="10" t="str">
        <x:v>Hiperlink</x:v>
      </x:c>
      <x:c r="P194" s="10" t="str">
        <x:v>2025-07-19 00:00:00</x:v>
      </x:c>
      <x:c r="Q194" s="10" t="str">
        <x:v>Aberto</x:v>
      </x:c>
      <x:c r="R194" s="10" t="str">
        <x:v>Aqui</x:v>
      </x:c>
      <x:c r="S194" s="10" t="str">
        <x:v>MEMÓRIAS CARANDIRU. Matéria especial no Repórter Brasil, jornal da TV Brasil. Instagram, 3 out. 2024. Disponível em: https://www.instagram.com/reel/DArp4oFOSEF/?utm_source=ig_web_copy_link&amp;igsh=MzRlODBiNWFlZA==. Acesso em: 19 jul. 2025.</x:v>
      </x:c>
      <x:c r="T194" s="10" t="str">
        <x:v>BR-SPCARANDIRU_MAPEAMENTOS-REMEMORA-CARANDIRU.xlsx</x:v>
      </x:c>
      <x:c r="U194" s="10" t="str">
        <x:v>Geral</x:v>
      </x:c>
      <x:c r="V194" s="11" t="n">
        <x:v>199</x:v>
      </x:c>
      <x:c r="W194" s="10" t="str">
        <x:v>BR-SPCARANDIRU_MAPEAMENTOS-REMEMORA-CARANDIRU.xlsx:Geral:199</x:v>
      </x:c>
      <x:c r="X194" s="11" t="n">
        <x:f>COLUMNS(A194:S194)-COUNTBLANK(A194:S194)</x:f>
        <x:v>17</x:v>
      </x:c>
    </x:row>
    <x:row r="195" ht="24" hidden="0" customHeight="1">
      <x:c r="A195" s="10" t="str">
        <x:v>Live</x:v>
      </x:c>
      <x:c r="B195" s="10" t="str"/>
      <x:c r="C195" s="10" t="str"/>
      <x:c r="D195" s="10" t="str">
        <x:v>Público Mediado</x:v>
      </x:c>
      <x:c r="E195" s="10" t="str">
        <x:v>Virtual</x:v>
      </x:c>
      <x:c r="F195" s="10" t="str">
        <x:v>2024-10-15 00:00:00</x:v>
      </x:c>
      <x:c r="G195" s="11" t="n">
        <x:v>2024</x:v>
      </x:c>
      <x:c r="H195" s="10" t="str">
        <x:v>Não especificado</x:v>
      </x:c>
      <x:c r="I195" s="10" t="str">
        <x:v>Iconografia da História</x:v>
      </x:c>
      <x:c r="J195" s="10" t="str">
        <x:v>Histórias do Carandiru</x:v>
      </x:c>
      <x:c r="K195" s="10" t="str">
        <x:v>Iconográfico, Textual</x:v>
      </x:c>
      <x:c r="L195" s="10" t="str">
        <x:v>Texto (digital), Imagem (digital)</x:v>
      </x:c>
      <x:c r="M195" s="10" t="str">
        <x:v>Instagram (Memórias Carandiru)</x:v>
      </x:c>
      <x:c r="N195" s="10" t="str">
        <x:v>Português, Brasil</x:v>
      </x:c>
      <x:c r="O195" s="10" t="str">
        <x:v>Hiperlink</x:v>
      </x:c>
      <x:c r="P195" s="10" t="str">
        <x:v>2025-07-19 00:00:00</x:v>
      </x:c>
      <x:c r="Q195" s="10" t="str">
        <x:v>Aberto</x:v>
      </x:c>
      <x:c r="R195" s="10" t="str">
        <x:v>Aqui</x:v>
      </x:c>
      <x:c r="S195" s="10" t="str">
        <x:v>MEMÓRIAS CARANDIRU. Histórias do Carandiru. Instagram, 15 out. 2024. Disponível em: https://www.instagram.com/p/DBJs7MlRAay/?utm_source=ig_web_copy_link&amp;igsh=MzRlODBiNWFlZA==. Acesso em: 19 jul. 2025.</x:v>
      </x:c>
      <x:c r="T195" s="10" t="str">
        <x:v>BR-SPCARANDIRU_MAPEAMENTOS-REMEMORA-CARANDIRU.xlsx</x:v>
      </x:c>
      <x:c r="U195" s="10" t="str">
        <x:v>Geral</x:v>
      </x:c>
      <x:c r="V195" s="11" t="n">
        <x:v>200</x:v>
      </x:c>
      <x:c r="W195" s="10" t="str">
        <x:v>BR-SPCARANDIRU_MAPEAMENTOS-REMEMORA-CARANDIRU.xlsx:Geral:200</x:v>
      </x:c>
      <x:c r="X195" s="11" t="n">
        <x:f>COLUMNS(A195:S195)-COUNTBLANK(A195:S195)</x:f>
        <x:v>17</x:v>
      </x:c>
    </x:row>
    <x:row r="196" ht="48" hidden="0" customHeight="1">
      <x:c r="A196" s="10" t="str">
        <x:v>Roteiro de memória</x:v>
      </x:c>
      <x:c r="B196" s="10" t="str"/>
      <x:c r="C196" s="10" t="str"/>
      <x:c r="D196" s="10" t="str">
        <x:v>Público Imediato</x:v>
      </x:c>
      <x:c r="E196" s="10" t="str">
        <x:v>Presencial/Físico</x:v>
      </x:c>
      <x:c r="F196" s="10" t="str">
        <x:v>2024-10-19 00:00:00</x:v>
      </x:c>
      <x:c r="G196" s="11" t="n">
        <x:v>2024</x:v>
      </x:c>
      <x:c r="H196" s="10" t="str">
        <x:v>Av. Cruzeiro do Sul, 2630 - Carandiru</x:v>
      </x:c>
      <x:c r="I196" s="10" t="str">
        <x:v>1ª Frente de Sobreviventes do Cárcere, Memórias Carandiru, Secretaria Municipal de Direitos Humanos e Instituto Resgata Cidadão</x:v>
      </x:c>
      <x:c r="J196" s="10" t="str">
        <x:v>Carandiru: resistência, memória e reparação</x:v>
      </x:c>
      <x:c r="K196" s="10" t="str">
        <x:v>Iconográfico, Textual</x:v>
      </x:c>
      <x:c r="L196" s="10" t="str">
        <x:v>Texto (digital), Imagem (digital)</x:v>
      </x:c>
      <x:c r="M196" s="10" t="str">
        <x:v>Instagram (Memórias Carandiru)</x:v>
      </x:c>
      <x:c r="N196" s="10" t="str">
        <x:v>Português, Brasil</x:v>
      </x:c>
      <x:c r="O196" s="10" t="str">
        <x:v>Hiperlink</x:v>
      </x:c>
      <x:c r="P196" s="10" t="str">
        <x:v>2025-07-19 00:00:00</x:v>
      </x:c>
      <x:c r="Q196" s="10" t="str">
        <x:v>Aberto</x:v>
      </x:c>
      <x:c r="R196" s="10" t="str">
        <x:v>Aqui</x:v>
      </x:c>
      <x:c r="S196" s="10" t="str">
        <x:v>MEMÓRIAS CARANDIRU. Carandiru: resistência, memória e reparação. Instagram, 19 out. 2024. Disponível em: https://www.instagram.com/p/DA9Tu1BP2lO/?utm_source=ig_web_copy_link&amp;igsh=MzRlODBiNWFlZA==. Acesso em: 19 jul. 2025.</x:v>
      </x:c>
      <x:c r="T196" s="10" t="str">
        <x:v>BR-SPCARANDIRU_MAPEAMENTOS-REMEMORA-CARANDIRU.xlsx</x:v>
      </x:c>
      <x:c r="U196" s="10" t="str">
        <x:v>Geral</x:v>
      </x:c>
      <x:c r="V196" s="11" t="n">
        <x:v>201</x:v>
      </x:c>
      <x:c r="W196" s="10" t="str">
        <x:v>BR-SPCARANDIRU_MAPEAMENTOS-REMEMORA-CARANDIRU.xlsx:Geral:201</x:v>
      </x:c>
      <x:c r="X196" s="11" t="n">
        <x:f>COLUMNS(A196:S196)-COUNTBLANK(A196:S196)</x:f>
        <x:v>17</x:v>
      </x:c>
    </x:row>
    <x:row r="197" ht="48" hidden="0" customHeight="1">
      <x:c r="A197" s="10" t="str">
        <x:v>Roteiro de memória</x:v>
      </x:c>
      <x:c r="B197" s="10" t="str"/>
      <x:c r="C197" s="10" t="str"/>
      <x:c r="D197" s="10" t="str">
        <x:v>Público Imediato</x:v>
      </x:c>
      <x:c r="E197" s="10" t="str">
        <x:v>Presencial/Físico</x:v>
      </x:c>
      <x:c r="F197" s="10" t="str">
        <x:v>2024-11-09 00:00:00</x:v>
      </x:c>
      <x:c r="G197" s="11" t="n">
        <x:v>2024</x:v>
      </x:c>
      <x:c r="H197" s="10" t="str">
        <x:v>Av. Cruzeiro do Sul, 2630 - Carandiru</x:v>
      </x:c>
      <x:c r="I197" s="10" t="str">
        <x:v>Cia dxs Terroristas, 1ª Frente de Sobreviventes do Cárcere, Memórias Carandiru, Secretaria Municipal de Direitos Humanos e Instituto Resgata Cidadão</x:v>
      </x:c>
      <x:c r="J197" s="10" t="str">
        <x:v>Das ruínas do Carandiru à resistência negra: memórias de lluta</x:v>
      </x:c>
      <x:c r="K197" s="10" t="str">
        <x:v>Iconográfico, Textual</x:v>
      </x:c>
      <x:c r="L197" s="10" t="str">
        <x:v>Texto (digital), Imagem (digital)</x:v>
      </x:c>
      <x:c r="M197" s="10" t="str">
        <x:v>Instagram (Memórias Carandiru)</x:v>
      </x:c>
      <x:c r="N197" s="10" t="str">
        <x:v>Português, Brasil</x:v>
      </x:c>
      <x:c r="O197" s="10" t="str">
        <x:v>Hiperlink</x:v>
      </x:c>
      <x:c r="P197" s="10" t="str">
        <x:v>2025-07-19 00:00:00</x:v>
      </x:c>
      <x:c r="Q197" s="10" t="str">
        <x:v>Aberto</x:v>
      </x:c>
      <x:c r="R197" s="10" t="str">
        <x:v>Aqui</x:v>
      </x:c>
      <x:c r="S197" s="10" t="str">
        <x:v>MEMÓRIAS CARANDIRU. Das ruínas do Carandiru à resistência negra: memórias de luta. Instagram, 9 nov. 2024. Disponível em: https://www.instagram.com/p/DCB9EapuuWV/?utm_source=ig_web_copy_link&amp;igsh=MzRlODBiNWFlZA==. Acesso em: 19 jul. 2025.</x:v>
      </x:c>
      <x:c r="T197" s="10" t="str">
        <x:v>BR-SPCARANDIRU_MAPEAMENTOS-REMEMORA-CARANDIRU.xlsx</x:v>
      </x:c>
      <x:c r="U197" s="10" t="str">
        <x:v>Geral</x:v>
      </x:c>
      <x:c r="V197" s="11" t="n">
        <x:v>202</x:v>
      </x:c>
      <x:c r="W197" s="10" t="str">
        <x:v>BR-SPCARANDIRU_MAPEAMENTOS-REMEMORA-CARANDIRU.xlsx:Geral:202</x:v>
      </x:c>
      <x:c r="X197" s="11" t="n">
        <x:f>COLUMNS(A197:S197)-COUNTBLANK(A197:S197)</x:f>
        <x:v>17</x:v>
      </x:c>
    </x:row>
    <x:row r="198" ht="48" hidden="0" customHeight="1">
      <x:c r="A198" s="10" t="str">
        <x:v>Roteiro de memória</x:v>
      </x:c>
      <x:c r="B198" s="10" t="str"/>
      <x:c r="C198" s="10" t="str"/>
      <x:c r="D198" s="10" t="str">
        <x:v>Público Imediato</x:v>
      </x:c>
      <x:c r="E198" s="10" t="str">
        <x:v>Presencial/Físico</x:v>
      </x:c>
      <x:c r="F198" s="10" t="str">
        <x:v>2024-12-14 00:00:00</x:v>
      </x:c>
      <x:c r="G198" s="11" t="n">
        <x:v>2024</x:v>
      </x:c>
      <x:c r="H198" s="10" t="str">
        <x:v>Av. Cruzeiro do Sul, 2630 - Carandiru</x:v>
      </x:c>
      <x:c r="I198" s="10" t="str">
        <x:v>1ª Frente de Sobreviventes do Cárcere, Memórias Carandiru, Secretaria Municipal de Direitos Humanos e Instituto Resgata Cidadão</x:v>
      </x:c>
      <x:c r="J198" s="10" t="str">
        <x:v>Carandiru: memórias da impunidade</x:v>
      </x:c>
      <x:c r="K198" s="10" t="str">
        <x:v>Iconográfico, Textual</x:v>
      </x:c>
      <x:c r="L198" s="10" t="str">
        <x:v>Texto (digital), Imagem (digital)</x:v>
      </x:c>
      <x:c r="M198" s="10" t="str">
        <x:v>Instagram (Memórias Carandiru)</x:v>
      </x:c>
      <x:c r="N198" s="10" t="str">
        <x:v>Português, Brasil</x:v>
      </x:c>
      <x:c r="O198" s="10" t="str">
        <x:v>Hiperlink</x:v>
      </x:c>
      <x:c r="P198" s="10" t="str">
        <x:v>2025-07-19 00:00:00</x:v>
      </x:c>
      <x:c r="Q198" s="10" t="str">
        <x:v>Aberto</x:v>
      </x:c>
      <x:c r="R198" s="10" t="str">
        <x:v>Aqui</x:v>
      </x:c>
      <x:c r="S198" s="10" t="str">
        <x:v>MEMÓRIAS CARANDIRU. Carandiru: memórias da impunidade. Instagram, 14 dez. 2024. Disponível em: https://www.instagram.com/p/DDSi6pUS3sE/?utm_source=ig_web_copy_link&amp;igsh=MzRlODBiNWFlZA==. Acesso em: 19 jul. 2025.</x:v>
      </x:c>
      <x:c r="T198" s="10" t="str">
        <x:v>BR-SPCARANDIRU_MAPEAMENTOS-REMEMORA-CARANDIRU.xlsx</x:v>
      </x:c>
      <x:c r="U198" s="10" t="str">
        <x:v>Geral</x:v>
      </x:c>
      <x:c r="V198" s="11" t="n">
        <x:v>203</x:v>
      </x:c>
      <x:c r="W198" s="10" t="str">
        <x:v>BR-SPCARANDIRU_MAPEAMENTOS-REMEMORA-CARANDIRU.xlsx:Geral:203</x:v>
      </x:c>
      <x:c r="X198" s="11" t="n">
        <x:f>COLUMNS(A198:S198)-COUNTBLANK(A198:S198)</x:f>
        <x:v>17</x:v>
      </x:c>
    </x:row>
    <x:row r="199" ht="60" hidden="0" customHeight="1">
      <x:c r="A199" s="10" t="str">
        <x:v>Roteiro de memória</x:v>
      </x:c>
      <x:c r="B199" s="10" t="str"/>
      <x:c r="C199" s="10" t="str"/>
      <x:c r="D199" s="10" t="str">
        <x:v>Público Imediato</x:v>
      </x:c>
      <x:c r="E199" s="10" t="str">
        <x:v>Presencial/Físico</x:v>
      </x:c>
      <x:c r="F199" s="10" t="str">
        <x:v>2024-06-21 00:00:00</x:v>
      </x:c>
      <x:c r="G199" s="11" t="n">
        <x:v>2024</x:v>
      </x:c>
      <x:c r="H199" s="10" t="str">
        <x:v>Não especificado</x:v>
      </x:c>
      <x:c r="I199" s="10" t="str">
        <x:v>Associação Nacional de Direitos Humanos, Pesquisa e Pós-Graduação (ANDHEP), Ana Luiza Bandeira, Guilherme de Almeida, Marta Machado, Maíra Machado e Ana Luiza Bandeira.</x:v>
      </x:c>
      <x:c r="J199" s="10" t="str">
        <x:v>Entre Grades e Grilhões: Cárcere Como Herança da Escravidão</x:v>
      </x:c>
      <x:c r="K199" s="10" t="str">
        <x:v>Iconográfico, Textual, Audiovisual</x:v>
      </x:c>
      <x:c r="L199" s="10" t="str">
        <x:v>Imagem (digital) , Texto (digital), Vídeo (digital)</x:v>
      </x:c>
      <x:c r="M199" s="10" t="str">
        <x:v>Instagram (Memórias Carandiru)</x:v>
      </x:c>
      <x:c r="N199" s="10" t="str">
        <x:v>Português, Brasil</x:v>
      </x:c>
      <x:c r="O199" s="10" t="str">
        <x:v>Hiperlink</x:v>
      </x:c>
      <x:c r="P199" s="10" t="str">
        <x:v>2025-07-19 00:00:00</x:v>
      </x:c>
      <x:c r="Q199" s="10" t="str">
        <x:v>Aberto</x:v>
      </x:c>
      <x:c r="R199" s="10" t="str">
        <x:v>Aqui</x:v>
      </x:c>
      <x:c r="S199" s="10" t="str">
        <x:v>MEMÓRIAS CARANDIRU. Entre grades e grilhões: cárcere como herança da escravidão. Instagram, 28 jan. 2025. Disponível em: https://www.instagram.com/p/DFGarOZAHJm/?utm_source=ig_web_copy_link&amp;igsh=MzRlODBiNWFlZA==. Acesso em: 19 jul. 2025.</x:v>
      </x:c>
      <x:c r="T199" s="10" t="str">
        <x:v>BR-SPCARANDIRU_MAPEAMENTOS-REMEMORA-CARANDIRU.xlsx</x:v>
      </x:c>
      <x:c r="U199" s="10" t="str">
        <x:v>Geral</x:v>
      </x:c>
      <x:c r="V199" s="11" t="n">
        <x:v>204</x:v>
      </x:c>
      <x:c r="W199" s="10" t="str">
        <x:v>BR-SPCARANDIRU_MAPEAMENTOS-REMEMORA-CARANDIRU.xlsx:Geral:204</x:v>
      </x:c>
      <x:c r="X199" s="11" t="n">
        <x:f>COLUMNS(A199:S199)-COUNTBLANK(A199:S199)</x:f>
        <x:v>17</x:v>
      </x:c>
    </x:row>
    <x:row r="200" ht="15" hidden="0" customHeight="1">
      <x:c r="A200" s="10" t="str">
        <x:v>Vídeo</x:v>
      </x:c>
      <x:c r="B200" s="10" t="str"/>
      <x:c r="C200" s="10" t="str">
        <x:v>Produção midiática</x:v>
      </x:c>
      <x:c r="D200" s="10" t="str">
        <x:v>Público Mediado</x:v>
      </x:c>
      <x:c r="E200" s="10" t="str">
        <x:v>Midiático</x:v>
      </x:c>
      <x:c r="F200" s="10" t="str">
        <x:v>2024-06-23 00:00:00</x:v>
      </x:c>
      <x:c r="G200" s="11" t="n">
        <x:v>2024</x:v>
      </x:c>
      <x:c r="H200" s="10" t="str">
        <x:v>Não especificado</x:v>
      </x:c>
      <x:c r="I200" s="10" t="str">
        <x:v>Canal "Iconografia da História"</x:v>
      </x:c>
      <x:c r="J200" s="10" t="str">
        <x:v>Raio X: o massacre do Carandiru como você nunca viu.</x:v>
      </x:c>
      <x:c r="K200" s="10" t="str">
        <x:v>Audiovisual</x:v>
      </x:c>
      <x:c r="L200" s="10" t="str">
        <x:v>Vídeo (digital)</x:v>
      </x:c>
      <x:c r="M200" s="10" t="str">
        <x:v>YouTube (Iconografia Da História)</x:v>
      </x:c>
      <x:c r="N200" s="10" t="str">
        <x:v>Português, Brasil</x:v>
      </x:c>
      <x:c r="O200" s="10" t="str">
        <x:v>"Massacre do Carandiru" no Youtube</x:v>
      </x:c>
      <x:c r="P200" s="10" t="str">
        <x:v>2025-10-16 00:00:00</x:v>
      </x:c>
      <x:c r="Q200" s="10" t="str">
        <x:v>Aberto</x:v>
      </x:c>
      <x:c r="R200" s="10" t="str">
        <x:v>Aqui</x:v>
      </x:c>
      <x:c r="S200" s="10" t="str">
        <x:v>ICONOGRAFIA DA HISTÓRIA. Raio X: o massacre do Carandiru como você nunca viu. YouTube, 29 min 28 s, 23 jun. 2024. Disponível em: http://youtube.com/watch?v=hvBs1qHY3Iw. Acesso em: 19 jul. 2025.</x:v>
      </x:c>
      <x:c r="T200" s="10" t="str">
        <x:v>BR-SPCARANDIRU_MAPEAMENTOS-REMEMORA-CARANDIRU.xlsx</x:v>
      </x:c>
      <x:c r="U200" s="10" t="str">
        <x:v>Geral</x:v>
      </x:c>
      <x:c r="V200" s="11" t="n">
        <x:v>205</x:v>
      </x:c>
      <x:c r="W200" s="10" t="str">
        <x:v>BR-SPCARANDIRU_MAPEAMENTOS-REMEMORA-CARANDIRU.xlsx:Geral:205</x:v>
      </x:c>
      <x:c r="X200" s="11" t="n">
        <x:f>COLUMNS(A200:S200)-COUNTBLANK(A200:S200)</x:f>
        <x:v>18</x:v>
      </x:c>
    </x:row>
    <x:row r="201" ht="15" hidden="0" customHeight="1">
      <x:c r="A201" s="10" t="str">
        <x:v>Vídeo</x:v>
      </x:c>
      <x:c r="B201" s="10" t="str"/>
      <x:c r="C201" s="10" t="str">
        <x:v>Produção midiática</x:v>
      </x:c>
      <x:c r="D201" s="10" t="str">
        <x:v>Público Mediado</x:v>
      </x:c>
      <x:c r="E201" s="10" t="str">
        <x:v>Midiático</x:v>
      </x:c>
      <x:c r="F201" s="10" t="str">
        <x:v>2024-10-02 00:00:00</x:v>
      </x:c>
      <x:c r="G201" s="11" t="n">
        <x:v>2024</x:v>
      </x:c>
      <x:c r="H201" s="10" t="str">
        <x:v>Não especificado</x:v>
      </x:c>
      <x:c r="I201" s="10" t="str">
        <x:v>Canal USP</x:v>
      </x:c>
      <x:c r="J201" s="10" t="str">
        <x:v>Carandiru centenário: a história da Casa de Detenção.</x:v>
      </x:c>
      <x:c r="K201" s="10" t="str">
        <x:v>Audiovisual</x:v>
      </x:c>
      <x:c r="L201" s="10" t="str">
        <x:v>Vídeo (digital)</x:v>
      </x:c>
      <x:c r="M201" s="10" t="str">
        <x:v>YouTube (Canal Usp)</x:v>
      </x:c>
      <x:c r="N201" s="10" t="str">
        <x:v>Português, Brasil</x:v>
      </x:c>
      <x:c r="O201" s="10" t="str">
        <x:v>"Massacre do Carandiru" no Youtube</x:v>
      </x:c>
      <x:c r="P201" s="10" t="str">
        <x:v>2025-10-16 00:00:00</x:v>
      </x:c>
      <x:c r="Q201" s="10" t="str">
        <x:v>Aberto</x:v>
      </x:c>
      <x:c r="R201" s="10" t="str">
        <x:v>Aqui</x:v>
      </x:c>
      <x:c r="S201" s="10" t="str">
        <x:v>CANAL USP. Carandiru centenário: a história da Casa de Detenção. YouTube, 26 min 55 s, 2 out. 2024. Disponível em: https://www.youtube.com/watch?v=jBvHjywPWC8. Acesso em: 19 jul. 2025.</x:v>
      </x:c>
      <x:c r="T201" s="10" t="str">
        <x:v>BR-SPCARANDIRU_MAPEAMENTOS-REMEMORA-CARANDIRU.xlsx</x:v>
      </x:c>
      <x:c r="U201" s="10" t="str">
        <x:v>Geral</x:v>
      </x:c>
      <x:c r="V201" s="11" t="n">
        <x:v>206</x:v>
      </x:c>
      <x:c r="W201" s="10" t="str">
        <x:v>BR-SPCARANDIRU_MAPEAMENTOS-REMEMORA-CARANDIRU.xlsx:Geral:206</x:v>
      </x:c>
      <x:c r="X201" s="11" t="n">
        <x:f>COLUMNS(A201:S201)-COUNTBLANK(A201:S201)</x:f>
        <x:v>18</x:v>
      </x:c>
    </x:row>
    <x:row r="202" ht="24" hidden="0" customHeight="1">
      <x:c r="A202" s="10" t="str">
        <x:v>Vídeo</x:v>
      </x:c>
      <x:c r="B202" s="10" t="str"/>
      <x:c r="C202" s="10" t="str">
        <x:v>Produção midiática</x:v>
      </x:c>
      <x:c r="D202" s="10" t="str">
        <x:v>Público Mediado</x:v>
      </x:c>
      <x:c r="E202" s="10" t="str">
        <x:v>Midiático</x:v>
      </x:c>
      <x:c r="F202" s="10" t="str">
        <x:v>2024-12-11 00:00:00</x:v>
      </x:c>
      <x:c r="G202" s="11" t="n">
        <x:v>2024</x:v>
      </x:c>
      <x:c r="H202" s="10" t="str">
        <x:v>São Paulo</x:v>
      </x:c>
      <x:c r="I202" s="10" t="str">
        <x:v>Canal "Prisioneiro 84.901"</x:v>
      </x:c>
      <x:c r="J202" s="10" t="str">
        <x:v>Sobrevivente da Casa de Detenção de SP: relatos da vida fora e no Carandiru.</x:v>
      </x:c>
      <x:c r="K202" s="10" t="str">
        <x:v>Audiovisual</x:v>
      </x:c>
      <x:c r="L202" s="10" t="str">
        <x:v>Vídeo (digital)</x:v>
      </x:c>
      <x:c r="M202" s="10" t="str">
        <x:v>YouTube (Prisioneiro 84.901)</x:v>
      </x:c>
      <x:c r="N202" s="10" t="str">
        <x:v>Português, Brasil</x:v>
      </x:c>
      <x:c r="O202" s="10" t="str">
        <x:v>"Prisioneiro 84.901" no Youtube</x:v>
      </x:c>
      <x:c r="P202" s="10" t="str">
        <x:v>2025-10-16 00:00:00</x:v>
      </x:c>
      <x:c r="Q202" s="10" t="str">
        <x:v>Aberto</x:v>
      </x:c>
      <x:c r="R202" s="10" t="str">
        <x:v>Aqui</x:v>
      </x:c>
      <x:c r="S202" s="10" t="str">
        <x:v>PRISIONEIRO 84.901. Sobrevivente da Casa de Detenção de SP: relatos da vida fora e no Carandiru. YouTube, 11 dez. 2024. Disponível em: https://www.youtube.com/watch?v=vN0K8gVCz-U. Acesso em: 19 jul. 2025.</x:v>
      </x:c>
      <x:c r="T202" s="10" t="str">
        <x:v>BR-SPCARANDIRU_MAPEAMENTOS-REMEMORA-CARANDIRU.xlsx</x:v>
      </x:c>
      <x:c r="U202" s="10" t="str">
        <x:v>Geral</x:v>
      </x:c>
      <x:c r="V202" s="11" t="n">
        <x:v>207</x:v>
      </x:c>
      <x:c r="W202" s="10" t="str">
        <x:v>BR-SPCARANDIRU_MAPEAMENTOS-REMEMORA-CARANDIRU.xlsx:Geral:207</x:v>
      </x:c>
      <x:c r="X202" s="11" t="n">
        <x:f>COLUMNS(A202:S202)-COUNTBLANK(A202:S202)</x:f>
        <x:v>18</x:v>
      </x:c>
    </x:row>
    <x:row r="203" ht="24" hidden="0" customHeight="1">
      <x:c r="A203" s="10" t="str">
        <x:v>Vídeo</x:v>
      </x:c>
      <x:c r="B203" s="10" t="str"/>
      <x:c r="C203" s="10" t="str">
        <x:v>Produção midiática</x:v>
      </x:c>
      <x:c r="D203" s="10" t="str">
        <x:v>Público Mediado</x:v>
      </x:c>
      <x:c r="E203" s="10" t="str">
        <x:v>Midiático</x:v>
      </x:c>
      <x:c r="F203" s="10" t="str">
        <x:v>2024-11-17 00:00:00</x:v>
      </x:c>
      <x:c r="G203" s="11" t="n">
        <x:v>2024</x:v>
      </x:c>
      <x:c r="H203" s="10" t="str">
        <x:v>São Paulo</x:v>
      </x:c>
      <x:c r="I203" s="10" t="str">
        <x:v>Canal "Prisioneiro 84.901"</x:v>
      </x:c>
      <x:c r="J203" s="10" t="str">
        <x:v>Sobrevivente da Casa de Detenção de SP: visão e entrada no crime (Parte 1).</x:v>
      </x:c>
      <x:c r="K203" s="10" t="str">
        <x:v>Audiovisual</x:v>
      </x:c>
      <x:c r="L203" s="10" t="str">
        <x:v>Vídeo (digital)</x:v>
      </x:c>
      <x:c r="M203" s="10" t="str">
        <x:v>YouTube (Prisioneiro 84.901)</x:v>
      </x:c>
      <x:c r="N203" s="10" t="str">
        <x:v>Português, Brasil</x:v>
      </x:c>
      <x:c r="O203" s="10" t="str">
        <x:v>"Prisioneiro 84.901" no Youtube</x:v>
      </x:c>
      <x:c r="P203" s="10" t="str">
        <x:v>2025-10-16 00:00:00</x:v>
      </x:c>
      <x:c r="Q203" s="10" t="str">
        <x:v>Aberto</x:v>
      </x:c>
      <x:c r="R203" s="10" t="str">
        <x:v>Aqui</x:v>
      </x:c>
      <x:c r="S203" s="10" t="str">
        <x:v>PRISIONEIRO 84.901. Sobrevivente da Casa de Detenção de SP: visão e entrada no crime (Parte 1). YouTube, 14 nov. 2024. Disponível em: https://www.youtube.com/watch?v=i4KGAhXM91o. Acesso em: 19 jul. 2025.</x:v>
      </x:c>
      <x:c r="T203" s="10" t="str">
        <x:v>BR-SPCARANDIRU_MAPEAMENTOS-REMEMORA-CARANDIRU.xlsx</x:v>
      </x:c>
      <x:c r="U203" s="10" t="str">
        <x:v>Geral</x:v>
      </x:c>
      <x:c r="V203" s="11" t="n">
        <x:v>208</x:v>
      </x:c>
      <x:c r="W203" s="10" t="str">
        <x:v>BR-SPCARANDIRU_MAPEAMENTOS-REMEMORA-CARANDIRU.xlsx:Geral:208</x:v>
      </x:c>
      <x:c r="X203" s="11" t="n">
        <x:f>COLUMNS(A203:S203)-COUNTBLANK(A203:S203)</x:f>
        <x:v>18</x:v>
      </x:c>
    </x:row>
    <x:row r="204" ht="24" hidden="0" customHeight="1">
      <x:c r="A204" s="10" t="str">
        <x:v>Vídeo</x:v>
      </x:c>
      <x:c r="B204" s="10" t="str"/>
      <x:c r="C204" s="10" t="str">
        <x:v>Produção midiática</x:v>
      </x:c>
      <x:c r="D204" s="10" t="str">
        <x:v>Público Mediado</x:v>
      </x:c>
      <x:c r="E204" s="10" t="str">
        <x:v>Midiático</x:v>
      </x:c>
      <x:c r="F204" s="10" t="str">
        <x:v>2024-11-17 00:00:00</x:v>
      </x:c>
      <x:c r="G204" s="11" t="n">
        <x:v>2024</x:v>
      </x:c>
      <x:c r="H204" s="10" t="str">
        <x:v>São Paulo</x:v>
      </x:c>
      <x:c r="I204" s="10" t="str">
        <x:v>Canal "Prisioneiro 84.901"</x:v>
      </x:c>
      <x:c r="J204" s="10" t="str">
        <x:v>Carta de reivindicações do dia 07 de outubro de 1992</x:v>
      </x:c>
      <x:c r="K204" s="10" t="str">
        <x:v>Audiovisual</x:v>
      </x:c>
      <x:c r="L204" s="10" t="str">
        <x:v>Vídeo (digital)</x:v>
      </x:c>
      <x:c r="M204" s="10" t="str">
        <x:v>YouTube (Prisioneiro 84.901)</x:v>
      </x:c>
      <x:c r="N204" s="10" t="str">
        <x:v>Português, Brasil</x:v>
      </x:c>
      <x:c r="O204" s="10" t="str">
        <x:v>"Prisioneiro 84.901" no Youtube</x:v>
      </x:c>
      <x:c r="P204" s="10" t="str">
        <x:v>2025-10-16 00:00:00</x:v>
      </x:c>
      <x:c r="Q204" s="10" t="str">
        <x:v>Aberto</x:v>
      </x:c>
      <x:c r="R204" s="10" t="str">
        <x:v>Aqui</x:v>
      </x:c>
      <x:c r="S204" s="10" t="str">
        <x:v>PRISIONEIRO 84.901. Casa de Detenção de SP: consequências da caminhada (malandrão não se cria) (Parte 2). YouTube, 14 nov. 2024. Disponível em: https://www.youtube.com/watch?v=zTte4m3juBk. Acesso em: 19 jul. 2025.</x:v>
      </x:c>
      <x:c r="T204" s="10" t="str">
        <x:v>BR-SPCARANDIRU_MAPEAMENTOS-REMEMORA-CARANDIRU.xlsx</x:v>
      </x:c>
      <x:c r="U204" s="10" t="str">
        <x:v>Geral</x:v>
      </x:c>
      <x:c r="V204" s="11" t="n">
        <x:v>209</x:v>
      </x:c>
      <x:c r="W204" s="10" t="str">
        <x:v>BR-SPCARANDIRU_MAPEAMENTOS-REMEMORA-CARANDIRU.xlsx:Geral:209</x:v>
      </x:c>
      <x:c r="X204" s="11" t="n">
        <x:f>COLUMNS(A204:S204)-COUNTBLANK(A204:S204)</x:f>
        <x:v>18</x:v>
      </x:c>
    </x:row>
    <x:row r="205" ht="24" hidden="0" customHeight="1">
      <x:c r="A205" s="10" t="str">
        <x:v>Vídeo</x:v>
      </x:c>
      <x:c r="B205" s="10" t="str"/>
      <x:c r="C205" s="10" t="str">
        <x:v>Produção midiática</x:v>
      </x:c>
      <x:c r="D205" s="10" t="str">
        <x:v>Público Mediado</x:v>
      </x:c>
      <x:c r="E205" s="10" t="str">
        <x:v>Midiático</x:v>
      </x:c>
      <x:c r="F205" s="10" t="str">
        <x:v>2024-11-17 00:00:00</x:v>
      </x:c>
      <x:c r="G205" s="11" t="n">
        <x:v>2024</x:v>
      </x:c>
      <x:c r="H205" s="10" t="str">
        <x:v>São Paulo</x:v>
      </x:c>
      <x:c r="I205" s="10" t="str">
        <x:v>Canal "Prisioneiro 84.901"</x:v>
      </x:c>
      <x:c r="J205" s="10" t="str">
        <x:v>Casa de Detenção de SP: consequências da caminhada (malandrão não se cria) (Parte 2).</x:v>
      </x:c>
      <x:c r="K205" s="10" t="str">
        <x:v>Audiovisual</x:v>
      </x:c>
      <x:c r="L205" s="10" t="str">
        <x:v>Vídeo (digital)</x:v>
      </x:c>
      <x:c r="M205" s="10" t="str">
        <x:v>YouTube (Prisioneiro 84.901)</x:v>
      </x:c>
      <x:c r="N205" s="10" t="str">
        <x:v>Português, Brasil</x:v>
      </x:c>
      <x:c r="O205" s="10" t="str">
        <x:v>"Prisioneiro 84.901" no Youtube</x:v>
      </x:c>
      <x:c r="P205" s="10" t="str">
        <x:v>2025-10-16 00:00:00</x:v>
      </x:c>
      <x:c r="Q205" s="10" t="str">
        <x:v>Aberto</x:v>
      </x:c>
      <x:c r="R205" s="10" t="str">
        <x:v>Aqui</x:v>
      </x:c>
      <x:c r="S205" s="10" t="str">
        <x:v>PRISIONEIRO 84.901. Casa de Detenção de SP: nem sempre o que parece é (Parte 3). YouTube, 14 nov. 2024. Disponível em: https://www.youtube.com/watch?v=YdohIqke4aY. Acesso em: 19 jul. 2025.</x:v>
      </x:c>
      <x:c r="T205" s="10" t="str">
        <x:v>BR-SPCARANDIRU_MAPEAMENTOS-REMEMORA-CARANDIRU.xlsx</x:v>
      </x:c>
      <x:c r="U205" s="10" t="str">
        <x:v>Geral</x:v>
      </x:c>
      <x:c r="V205" s="11" t="n">
        <x:v>210</x:v>
      </x:c>
      <x:c r="W205" s="10" t="str">
        <x:v>BR-SPCARANDIRU_MAPEAMENTOS-REMEMORA-CARANDIRU.xlsx:Geral:210</x:v>
      </x:c>
      <x:c r="X205" s="11" t="n">
        <x:f>COLUMNS(A205:S205)-COUNTBLANK(A205:S205)</x:f>
        <x:v>18</x:v>
      </x:c>
    </x:row>
    <x:row r="206" ht="15" hidden="0" customHeight="1">
      <x:c r="A206" s="10" t="str">
        <x:v>Vídeo</x:v>
      </x:c>
      <x:c r="B206" s="10" t="str"/>
      <x:c r="C206" s="10" t="str">
        <x:v>Produção midiática</x:v>
      </x:c>
      <x:c r="D206" s="10" t="str">
        <x:v>Público Mediado</x:v>
      </x:c>
      <x:c r="E206" s="10" t="str">
        <x:v>Midiático</x:v>
      </x:c>
      <x:c r="F206" s="10" t="str">
        <x:v>2024-10-04 00:00:00</x:v>
      </x:c>
      <x:c r="G206" s="11" t="n">
        <x:v>2024</x:v>
      </x:c>
      <x:c r="H206" s="10" t="str">
        <x:v>São Paulo</x:v>
      </x:c>
      <x:c r="I206" s="10" t="str">
        <x:v>Canal "Prisioneiro 84.901"</x:v>
      </x:c>
      <x:c r="J206" s="10" t="str">
        <x:v>02 de outubro de 2024.</x:v>
      </x:c>
      <x:c r="K206" s="10" t="str">
        <x:v>Audiovisual</x:v>
      </x:c>
      <x:c r="L206" s="10" t="str">
        <x:v>Vídeo (digital)</x:v>
      </x:c>
      <x:c r="M206" s="10" t="str">
        <x:v>YouTube (Prisioneiro 84.901)</x:v>
      </x:c>
      <x:c r="N206" s="10" t="str">
        <x:v>Português, Brasil</x:v>
      </x:c>
      <x:c r="O206" s="10" t="str">
        <x:v>"Prisioneiro 84.901" no Youtube</x:v>
      </x:c>
      <x:c r="P206" s="10" t="str">
        <x:v>2025-10-16 00:00:00</x:v>
      </x:c>
      <x:c r="Q206" s="10" t="str">
        <x:v>Aberto</x:v>
      </x:c>
      <x:c r="R206" s="10" t="str">
        <x:v>Aqui</x:v>
      </x:c>
      <x:c r="S206" s="10" t="str">
        <x:v>PRISIONEIRO 84.901. 02 de outubro de 2024. YouTube, 4 out. 2024. Disponível em: https://www.youtube.com/watch?v=YPFu4rI3axM. Acesso em: 19 jul. 2025.</x:v>
      </x:c>
      <x:c r="T206" s="10" t="str">
        <x:v>BR-SPCARANDIRU_MAPEAMENTOS-REMEMORA-CARANDIRU.xlsx</x:v>
      </x:c>
      <x:c r="U206" s="10" t="str">
        <x:v>Geral</x:v>
      </x:c>
      <x:c r="V206" s="11" t="n">
        <x:v>211</x:v>
      </x:c>
      <x:c r="W206" s="10" t="str">
        <x:v>BR-SPCARANDIRU_MAPEAMENTOS-REMEMORA-CARANDIRU.xlsx:Geral:211</x:v>
      </x:c>
      <x:c r="X206" s="11" t="n">
        <x:f>COLUMNS(A206:S206)-COUNTBLANK(A206:S206)</x:f>
        <x:v>18</x:v>
      </x:c>
    </x:row>
    <x:row r="207" ht="15" hidden="0" customHeight="1">
      <x:c r="A207" s="10" t="str">
        <x:v>Vídeo</x:v>
      </x:c>
      <x:c r="B207" s="10" t="str"/>
      <x:c r="C207" s="10" t="str">
        <x:v>Produção midiática</x:v>
      </x:c>
      <x:c r="D207" s="10" t="str">
        <x:v>Público Mediado</x:v>
      </x:c>
      <x:c r="E207" s="10" t="str">
        <x:v>Midiático</x:v>
      </x:c>
      <x:c r="F207" s="10" t="str">
        <x:v>15/09/2024</x:v>
      </x:c>
      <x:c r="G207" s="11" t="n">
        <x:v>2024</x:v>
      </x:c>
      <x:c r="H207" s="10" t="str">
        <x:v>São Paulo</x:v>
      </x:c>
      <x:c r="I207" s="10" t="str">
        <x:v>Canal "Prisioneiro 84.901"</x:v>
      </x:c>
      <x:c r="J207" s="10" t="str">
        <x:v>Casa de Detenção de SP: nem sempre o que parece é (Parte 3).</x:v>
      </x:c>
      <x:c r="K207" s="10" t="str">
        <x:v>Audiovisual</x:v>
      </x:c>
      <x:c r="L207" s="10" t="str">
        <x:v>Vídeo (digital)</x:v>
      </x:c>
      <x:c r="M207" s="10" t="str">
        <x:v>YouTube (Prisioneiro 84.901)</x:v>
      </x:c>
      <x:c r="N207" s="10" t="str">
        <x:v>Português, Brasil</x:v>
      </x:c>
      <x:c r="O207" s="10" t="str">
        <x:v>"Prisioneiro 84.901" no Youtube</x:v>
      </x:c>
      <x:c r="P207" s="10" t="str">
        <x:v>2025-10-16 00:00:00</x:v>
      </x:c>
      <x:c r="Q207" s="10" t="str">
        <x:v>Aberto</x:v>
      </x:c>
      <x:c r="R207" s="10" t="str">
        <x:v>Aqui</x:v>
      </x:c>
      <x:c r="S207" s="10" t="str">
        <x:v>PRISIONEIRO 84.901. Carta de reivindicações do dia 07 de outubro de 1992. YouTube, 15 set. 2024. Disponível em: https://www.youtube.com/watch?v=gTyFJJsyWQw. Acesso em: 19 jul. 2025.</x:v>
      </x:c>
      <x:c r="T207" s="10" t="str">
        <x:v>BR-SPCARANDIRU_MAPEAMENTOS-REMEMORA-CARANDIRU.xlsx</x:v>
      </x:c>
      <x:c r="U207" s="10" t="str">
        <x:v>Geral</x:v>
      </x:c>
      <x:c r="V207" s="11" t="n">
        <x:v>212</x:v>
      </x:c>
      <x:c r="W207" s="10" t="str">
        <x:v>BR-SPCARANDIRU_MAPEAMENTOS-REMEMORA-CARANDIRU.xlsx:Geral:212</x:v>
      </x:c>
      <x:c r="X207" s="11" t="n">
        <x:f>COLUMNS(A207:S207)-COUNTBLANK(A207:S207)</x:f>
        <x:v>18</x:v>
      </x:c>
    </x:row>
    <x:row r="208" ht="24" hidden="0" customHeight="1">
      <x:c r="A208" s="10" t="str">
        <x:v>Vídeo</x:v>
      </x:c>
      <x:c r="B208" s="10" t="str"/>
      <x:c r="C208" s="10" t="str">
        <x:v>Produção midiática</x:v>
      </x:c>
      <x:c r="D208" s="10" t="str">
        <x:v>Público Mediado</x:v>
      </x:c>
      <x:c r="E208" s="10" t="str">
        <x:v>Midiático</x:v>
      </x:c>
      <x:c r="F208" s="10" t="str">
        <x:v>24/08/2024</x:v>
      </x:c>
      <x:c r="G208" s="11" t="n">
        <x:v>2024</x:v>
      </x:c>
      <x:c r="H208" s="10" t="str">
        <x:v>São Paulo</x:v>
      </x:c>
      <x:c r="I208" s="10" t="str">
        <x:v>Canal "Prisioneiro 84.901"</x:v>
      </x:c>
      <x:c r="J208" s="10" t="str">
        <x:v>Consequências da omissão dentro da Casa de Detenção de São Paulo.</x:v>
      </x:c>
      <x:c r="K208" s="10" t="str">
        <x:v>Audiovisual</x:v>
      </x:c>
      <x:c r="L208" s="10" t="str">
        <x:v>Vídeo (digital)</x:v>
      </x:c>
      <x:c r="M208" s="10" t="str">
        <x:v>YouTube (Prisioneiro 84.901)</x:v>
      </x:c>
      <x:c r="N208" s="10" t="str">
        <x:v>Português, Brasil</x:v>
      </x:c>
      <x:c r="O208" s="10" t="str">
        <x:v>"Prisioneiro 84.901" no Youtube</x:v>
      </x:c>
      <x:c r="P208" s="10" t="str">
        <x:v>2025-10-16 00:00:00</x:v>
      </x:c>
      <x:c r="Q208" s="10" t="str">
        <x:v>Aberto</x:v>
      </x:c>
      <x:c r="R208" s="10" t="str">
        <x:v>Aqui</x:v>
      </x:c>
      <x:c r="S208" s="10" t="str">
        <x:v>PRISIONEIRO 84.901. Consequências da omissão dentro da Casa de Detenção de São Paulo. YouTube, 24 ago. 2024. Disponível em: https://https://www.youtube.com/watch?v=nAkcGeUjOCk. Acesso em 16 de out. 2025.</x:v>
      </x:c>
      <x:c r="T208" s="10" t="str">
        <x:v>BR-SPCARANDIRU_MAPEAMENTOS-REMEMORA-CARANDIRU.xlsx</x:v>
      </x:c>
      <x:c r="U208" s="10" t="str">
        <x:v>Geral</x:v>
      </x:c>
      <x:c r="V208" s="11" t="n">
        <x:v>213</x:v>
      </x:c>
      <x:c r="W208" s="10" t="str">
        <x:v>BR-SPCARANDIRU_MAPEAMENTOS-REMEMORA-CARANDIRU.xlsx:Geral:213</x:v>
      </x:c>
      <x:c r="X208" s="11" t="n">
        <x:f>COLUMNS(A208:S208)-COUNTBLANK(A208:S208)</x:f>
        <x:v>18</x:v>
      </x:c>
    </x:row>
    <x:row r="209" ht="15" hidden="0" customHeight="1">
      <x:c r="A209" s="10" t="str">
        <x:v>Vídeo</x:v>
      </x:c>
      <x:c r="B209" s="10" t="str"/>
      <x:c r="C209" s="10" t="str">
        <x:v>Produção midiática</x:v>
      </x:c>
      <x:c r="D209" s="10" t="str">
        <x:v>Público Mediado</x:v>
      </x:c>
      <x:c r="E209" s="10" t="str">
        <x:v>Midiático</x:v>
      </x:c>
      <x:c r="F209" s="10" t="str">
        <x:v>29/06/2024</x:v>
      </x:c>
      <x:c r="G209" s="11" t="n">
        <x:v>2024</x:v>
      </x:c>
      <x:c r="H209" s="10" t="str">
        <x:v>São Paulo</x:v>
      </x:c>
      <x:c r="I209" s="10" t="str">
        <x:v>Canal "Prisioneiro 84.901"</x:v>
      </x:c>
      <x:c r="J209" s="10" t="str">
        <x:v>Leo Monteiro: sobrevivente do massacre no P.V. 9 (Parte 1).</x:v>
      </x:c>
      <x:c r="K209" s="10" t="str">
        <x:v>Audiovisual</x:v>
      </x:c>
      <x:c r="L209" s="10" t="str">
        <x:v>Vídeo (digital)</x:v>
      </x:c>
      <x:c r="M209" s="10" t="str">
        <x:v>YouTube (Prisioneiro 84.901)</x:v>
      </x:c>
      <x:c r="N209" s="10" t="str">
        <x:v>Português, Brasil</x:v>
      </x:c>
      <x:c r="O209" s="10" t="str">
        <x:v>"Prisioneiro 84.901" no Youtube</x:v>
      </x:c>
      <x:c r="P209" s="10" t="str">
        <x:v>2025-10-16 00:00:00</x:v>
      </x:c>
      <x:c r="Q209" s="10" t="str">
        <x:v>Aberto</x:v>
      </x:c>
      <x:c r="R209" s="10" t="str">
        <x:v>Aqui</x:v>
      </x:c>
      <x:c r="S209" s="10" t="str">
        <x:v>PRISIONEIRO 84.901. Leo Monteiro: sobrevivente do massacre no P.V. 9 (Parte 1). YouTube, 29 jun. 2024. Disponível em: https://www.youtube.com/watch?v=91WffEOMilE. Acesso em: 19 jul. 2025.</x:v>
      </x:c>
      <x:c r="T209" s="10" t="str">
        <x:v>BR-SPCARANDIRU_MAPEAMENTOS-REMEMORA-CARANDIRU.xlsx</x:v>
      </x:c>
      <x:c r="U209" s="10" t="str">
        <x:v>Geral</x:v>
      </x:c>
      <x:c r="V209" s="11" t="n">
        <x:v>214</x:v>
      </x:c>
      <x:c r="W209" s="10" t="str">
        <x:v>BR-SPCARANDIRU_MAPEAMENTOS-REMEMORA-CARANDIRU.xlsx:Geral:214</x:v>
      </x:c>
      <x:c r="X209" s="11" t="n">
        <x:f>COLUMNS(A209:S209)-COUNTBLANK(A209:S209)</x:f>
        <x:v>18</x:v>
      </x:c>
    </x:row>
    <x:row r="210" ht="15" hidden="0" customHeight="1">
      <x:c r="A210" s="10" t="str">
        <x:v>Vídeo</x:v>
      </x:c>
      <x:c r="B210" s="10" t="str"/>
      <x:c r="C210" s="10" t="str">
        <x:v>Produção midiática</x:v>
      </x:c>
      <x:c r="D210" s="10" t="str">
        <x:v>Público Mediado</x:v>
      </x:c>
      <x:c r="E210" s="10" t="str">
        <x:v>Midiático</x:v>
      </x:c>
      <x:c r="F210" s="10" t="str">
        <x:v>29/06/2024</x:v>
      </x:c>
      <x:c r="G210" s="11" t="n">
        <x:v>2024</x:v>
      </x:c>
      <x:c r="H210" s="10" t="str">
        <x:v>São Paulo</x:v>
      </x:c>
      <x:c r="I210" s="10" t="str">
        <x:v>Canal "Prisioneiro 84.901"</x:v>
      </x:c>
      <x:c r="J210" s="10" t="str">
        <x:v>Leo Monteiro: sobrevivente do P.V. 9 (Parte 2).</x:v>
      </x:c>
      <x:c r="K210" s="10" t="str">
        <x:v>Audiovisual</x:v>
      </x:c>
      <x:c r="L210" s="10" t="str">
        <x:v>Vídeo (digital)</x:v>
      </x:c>
      <x:c r="M210" s="10" t="str">
        <x:v>YouTube (Prisioneiro 84.901)</x:v>
      </x:c>
      <x:c r="N210" s="10" t="str">
        <x:v>Português, Brasil</x:v>
      </x:c>
      <x:c r="O210" s="10" t="str">
        <x:v>"Prisioneiro 84.901" no Youtube</x:v>
      </x:c>
      <x:c r="P210" s="10" t="str">
        <x:v>2025-10-16 00:00:00</x:v>
      </x:c>
      <x:c r="Q210" s="10" t="str">
        <x:v>Aberto</x:v>
      </x:c>
      <x:c r="R210" s="10" t="str">
        <x:v>Aqui</x:v>
      </x:c>
      <x:c r="S210" s="10" t="str">
        <x:v>PRISIONEIRO 84.901. Leo Monteiro: sobrevivente do P.V. 9 (Parte 2). YouTube, 29 jun. 2024. Disponível em: https://www.youtube.com/watch?v=3HIduyBd-Qw. Acesso em: 19 jul. 2025.</x:v>
      </x:c>
      <x:c r="T210" s="10" t="str">
        <x:v>BR-SPCARANDIRU_MAPEAMENTOS-REMEMORA-CARANDIRU.xlsx</x:v>
      </x:c>
      <x:c r="U210" s="10" t="str">
        <x:v>Geral</x:v>
      </x:c>
      <x:c r="V210" s="11" t="n">
        <x:v>215</x:v>
      </x:c>
      <x:c r="W210" s="10" t="str">
        <x:v>BR-SPCARANDIRU_MAPEAMENTOS-REMEMORA-CARANDIRU.xlsx:Geral:215</x:v>
      </x:c>
      <x:c r="X210" s="11" t="n">
        <x:f>COLUMNS(A210:S210)-COUNTBLANK(A210:S210)</x:f>
        <x:v>18</x:v>
      </x:c>
    </x:row>
    <x:row r="211" ht="15" hidden="0" customHeight="1">
      <x:c r="A211" s="10" t="str">
        <x:v>Vídeo</x:v>
      </x:c>
      <x:c r="B211" s="10" t="str"/>
      <x:c r="C211" s="10" t="str">
        <x:v>Produção midiática</x:v>
      </x:c>
      <x:c r="D211" s="10" t="str">
        <x:v>Público Mediado</x:v>
      </x:c>
      <x:c r="E211" s="10" t="str">
        <x:v>Midiático</x:v>
      </x:c>
      <x:c r="F211" s="10" t="str">
        <x:v>31/05/2024</x:v>
      </x:c>
      <x:c r="G211" s="11" t="n">
        <x:v>2024</x:v>
      </x:c>
      <x:c r="H211" s="10" t="str">
        <x:v>São Paulo</x:v>
      </x:c>
      <x:c r="I211" s="10" t="str">
        <x:v>Canal "Prisioneiro 84.901"</x:v>
      </x:c>
      <x:c r="J211" s="10" t="str">
        <x:v>Cronologia da Casa de Detenção de São Paulo (1956 a 1980).</x:v>
      </x:c>
      <x:c r="K211" s="10" t="str">
        <x:v>Audiovisual</x:v>
      </x:c>
      <x:c r="L211" s="10" t="str">
        <x:v>Vídeo (digital)</x:v>
      </x:c>
      <x:c r="M211" s="10" t="str">
        <x:v>YouTube (Prisioneiro 84.901)</x:v>
      </x:c>
      <x:c r="N211" s="10" t="str">
        <x:v>Português, Brasil</x:v>
      </x:c>
      <x:c r="O211" s="10" t="str">
        <x:v>"Prisioneiro 84.901" no Youtube</x:v>
      </x:c>
      <x:c r="P211" s="10" t="str">
        <x:v>2025-10-16 00:00:00</x:v>
      </x:c>
      <x:c r="Q211" s="10" t="str">
        <x:v>Aberto</x:v>
      </x:c>
      <x:c r="R211" s="10" t="str">
        <x:v>Aqui</x:v>
      </x:c>
      <x:c r="S211" s="10" t="str">
        <x:v>PRISIONEIRO 84.901. Cronologia da Casa de Detenção de São Paulo (1956 a 1980). YouTube, 31 mai. 2024. Disponível em: https://www.youtube.com/watch?v=0qW7ntVvQjo. Acesso em: 19 jul. 2025.</x:v>
      </x:c>
      <x:c r="T211" s="10" t="str">
        <x:v>BR-SPCARANDIRU_MAPEAMENTOS-REMEMORA-CARANDIRU.xlsx</x:v>
      </x:c>
      <x:c r="U211" s="10" t="str">
        <x:v>Geral</x:v>
      </x:c>
      <x:c r="V211" s="11" t="n">
        <x:v>216</x:v>
      </x:c>
      <x:c r="W211" s="10" t="str">
        <x:v>BR-SPCARANDIRU_MAPEAMENTOS-REMEMORA-CARANDIRU.xlsx:Geral:216</x:v>
      </x:c>
      <x:c r="X211" s="11" t="n">
        <x:f>COLUMNS(A211:S211)-COUNTBLANK(A211:S211)</x:f>
        <x:v>18</x:v>
      </x:c>
    </x:row>
    <x:row r="212" ht="24" hidden="0" customHeight="1">
      <x:c r="A212" s="10" t="str">
        <x:v>Vídeo</x:v>
      </x:c>
      <x:c r="B212" s="10" t="str"/>
      <x:c r="C212" s="10" t="str">
        <x:v>Produção midiática</x:v>
      </x:c>
      <x:c r="D212" s="10" t="str">
        <x:v>Público Mediado</x:v>
      </x:c>
      <x:c r="E212" s="10" t="str">
        <x:v>Midiático</x:v>
      </x:c>
      <x:c r="F212" s="10" t="str">
        <x:v>1/06/2024</x:v>
      </x:c>
      <x:c r="G212" s="11" t="n">
        <x:v>2024</x:v>
      </x:c>
      <x:c r="H212" s="10" t="str">
        <x:v>São Paulo</x:v>
      </x:c>
      <x:c r="I212" s="10" t="str">
        <x:v>Canal "Prisioneiro 84.901"</x:v>
      </x:c>
      <x:c r="J212" s="10" t="str">
        <x:v>Acordando no outro dia Pv.9: cronologia da Casa de Detenção de SP de 1981 a 1993.</x:v>
      </x:c>
      <x:c r="K212" s="10" t="str">
        <x:v>Audiovisual</x:v>
      </x:c>
      <x:c r="L212" s="10" t="str">
        <x:v>Vídeo (digital)</x:v>
      </x:c>
      <x:c r="M212" s="10" t="str">
        <x:v>YouTube (Prisioneiro 84.901)</x:v>
      </x:c>
      <x:c r="N212" s="10" t="str">
        <x:v>Português, Brasil</x:v>
      </x:c>
      <x:c r="O212" s="10" t="str">
        <x:v>"Prisioneiro 84.901" no Youtube</x:v>
      </x:c>
      <x:c r="P212" s="10" t="str">
        <x:v>2025-10-16 00:00:00</x:v>
      </x:c>
      <x:c r="Q212" s="10" t="str">
        <x:v>Aberto</x:v>
      </x:c>
      <x:c r="R212" s="10" t="str">
        <x:v>Aqui</x:v>
      </x:c>
      <x:c r="S212" s="10" t="str">
        <x:v>PRISIONEIRO 84.901. Acordando no outro dia Pv.9: cronologia da Casa de Detenção de SP de 1981 a 1993. YouTube, 1 jun. 2024. Disponível em: https://www.youtube.com/watch?v=FwCgIp-2Nrs. Acesso em: 19 jul. 2025.</x:v>
      </x:c>
      <x:c r="T212" s="10" t="str">
        <x:v>BR-SPCARANDIRU_MAPEAMENTOS-REMEMORA-CARANDIRU.xlsx</x:v>
      </x:c>
      <x:c r="U212" s="10" t="str">
        <x:v>Geral</x:v>
      </x:c>
      <x:c r="V212" s="11" t="n">
        <x:v>217</x:v>
      </x:c>
      <x:c r="W212" s="10" t="str">
        <x:v>BR-SPCARANDIRU_MAPEAMENTOS-REMEMORA-CARANDIRU.xlsx:Geral:217</x:v>
      </x:c>
      <x:c r="X212" s="11" t="n">
        <x:f>COLUMNS(A212:S212)-COUNTBLANK(A212:S212)</x:f>
        <x:v>18</x:v>
      </x:c>
    </x:row>
    <x:row r="213" ht="15" hidden="0" customHeight="1">
      <x:c r="A213" s="10" t="str">
        <x:v>Vídeo</x:v>
      </x:c>
      <x:c r="B213" s="10" t="str"/>
      <x:c r="C213" s="10" t="str">
        <x:v>Produção midiática</x:v>
      </x:c>
      <x:c r="D213" s="10" t="str">
        <x:v>Público Mediado</x:v>
      </x:c>
      <x:c r="E213" s="10" t="str">
        <x:v>Midiático</x:v>
      </x:c>
      <x:c r="F213" s="10" t="str">
        <x:v>9/06/2024</x:v>
      </x:c>
      <x:c r="G213" s="11" t="n">
        <x:v>2024</x:v>
      </x:c>
      <x:c r="H213" s="10" t="str">
        <x:v>São Paulo</x:v>
      </x:c>
      <x:c r="I213" s="10" t="str">
        <x:v>Canal "Prisioneiro 84.901"</x:v>
      </x:c>
      <x:c r="J213" s="10" t="str">
        <x:v>Casa de Detenção de SP: cronologia de 1995 a 2000.</x:v>
      </x:c>
      <x:c r="K213" s="10" t="str">
        <x:v>Audiovisual</x:v>
      </x:c>
      <x:c r="L213" s="10" t="str">
        <x:v>Vídeo (digital)</x:v>
      </x:c>
      <x:c r="M213" s="10" t="str">
        <x:v>YouTube (Prisioneiro 84.901)</x:v>
      </x:c>
      <x:c r="N213" s="10" t="str">
        <x:v>Português, Brasil</x:v>
      </x:c>
      <x:c r="O213" s="10" t="str">
        <x:v>"Prisioneiro 84.901" no Youtube</x:v>
      </x:c>
      <x:c r="P213" s="10" t="str">
        <x:v>2025-10-16 00:00:00</x:v>
      </x:c>
      <x:c r="Q213" s="10" t="str">
        <x:v>Aberto</x:v>
      </x:c>
      <x:c r="R213" s="10" t="str">
        <x:v>Aqui</x:v>
      </x:c>
      <x:c r="S213" s="10" t="str">
        <x:v>PRISIONEIRO 84.901. Casa de Detenção de SP: cronologia de 1995 a 2000. YouTube, 9 jun. 2024. Disponível em: https://www.youtube.com/watch?v=H5yjnoqEUh8. Acesso em: 19 jul. 2025.</x:v>
      </x:c>
      <x:c r="T213" s="10" t="str">
        <x:v>BR-SPCARANDIRU_MAPEAMENTOS-REMEMORA-CARANDIRU.xlsx</x:v>
      </x:c>
      <x:c r="U213" s="10" t="str">
        <x:v>Geral</x:v>
      </x:c>
      <x:c r="V213" s="11" t="n">
        <x:v>218</x:v>
      </x:c>
      <x:c r="W213" s="10" t="str">
        <x:v>BR-SPCARANDIRU_MAPEAMENTOS-REMEMORA-CARANDIRU.xlsx:Geral:218</x:v>
      </x:c>
      <x:c r="X213" s="11" t="n">
        <x:f>COLUMNS(A213:S213)-COUNTBLANK(A213:S213)</x:f>
        <x:v>18</x:v>
      </x:c>
    </x:row>
    <x:row r="214" ht="15" hidden="0" customHeight="1">
      <x:c r="A214" s="10" t="str">
        <x:v>Vídeo</x:v>
      </x:c>
      <x:c r="B214" s="10" t="str"/>
      <x:c r="C214" s="10" t="str">
        <x:v>Produção midiática</x:v>
      </x:c>
      <x:c r="D214" s="10" t="str">
        <x:v>Público Mediado</x:v>
      </x:c>
      <x:c r="E214" s="10" t="str">
        <x:v>Midiático</x:v>
      </x:c>
      <x:c r="F214" s="10" t="str">
        <x:v>21/04/2024</x:v>
      </x:c>
      <x:c r="G214" s="11" t="n">
        <x:v>2024</x:v>
      </x:c>
      <x:c r="H214" s="10" t="str">
        <x:v>São Paulo</x:v>
      </x:c>
      <x:c r="I214" s="10" t="str">
        <x:v>Canal "Prisioneiro 84.901"</x:v>
      </x:c>
      <x:c r="J214" s="10" t="str">
        <x:v>Realidades e mitos do Carandiru.</x:v>
      </x:c>
      <x:c r="K214" s="10" t="str">
        <x:v>Audiovisual</x:v>
      </x:c>
      <x:c r="L214" s="10" t="str">
        <x:v>Vídeo (digital)</x:v>
      </x:c>
      <x:c r="M214" s="10" t="str">
        <x:v>YouTube (Prisioneiro 84.901)</x:v>
      </x:c>
      <x:c r="N214" s="10" t="str">
        <x:v>Português, Brasil</x:v>
      </x:c>
      <x:c r="O214" s="10" t="str">
        <x:v>"Prisioneiro 84.901" no Youtube</x:v>
      </x:c>
      <x:c r="P214" s="10" t="str">
        <x:v>2025-10-16 00:00:00</x:v>
      </x:c>
      <x:c r="Q214" s="10" t="str">
        <x:v>Aberto</x:v>
      </x:c>
      <x:c r="R214" s="10" t="str">
        <x:v>Aqui</x:v>
      </x:c>
      <x:c r="S214" s="10" t="str">
        <x:v>PRISIONEIRO 84.901. Realidades e mitos do Carandiru. YouTube, 21 abr. 2024. Disponível em: https://www.youtube.com/watch?v=wlTSNpUcLCQ. Acesso em: 19 jul. 2025.</x:v>
      </x:c>
      <x:c r="T214" s="10" t="str">
        <x:v>BR-SPCARANDIRU_MAPEAMENTOS-REMEMORA-CARANDIRU.xlsx</x:v>
      </x:c>
      <x:c r="U214" s="10" t="str">
        <x:v>Geral</x:v>
      </x:c>
      <x:c r="V214" s="11" t="n">
        <x:v>219</x:v>
      </x:c>
      <x:c r="W214" s="10" t="str">
        <x:v>BR-SPCARANDIRU_MAPEAMENTOS-REMEMORA-CARANDIRU.xlsx:Geral:219</x:v>
      </x:c>
      <x:c r="X214" s="11" t="n">
        <x:f>COLUMNS(A214:S214)-COUNTBLANK(A214:S214)</x:f>
        <x:v>18</x:v>
      </x:c>
    </x:row>
    <x:row r="215" ht="24" hidden="0" customHeight="1">
      <x:c r="A215" s="10" t="str">
        <x:v>Vídeo</x:v>
      </x:c>
      <x:c r="B215" s="10" t="str"/>
      <x:c r="C215" s="10" t="str">
        <x:v>Produção midiática</x:v>
      </x:c>
      <x:c r="D215" s="10" t="str">
        <x:v>Público Mediado</x:v>
      </x:c>
      <x:c r="E215" s="10" t="str">
        <x:v>Midiático</x:v>
      </x:c>
      <x:c r="F215" s="10" t="str">
        <x:v>16/04/2024</x:v>
      </x:c>
      <x:c r="G215" s="11" t="n">
        <x:v>2024</x:v>
      </x:c>
      <x:c r="H215" s="10" t="str">
        <x:v>São Paulo</x:v>
      </x:c>
      <x:c r="I215" s="10" t="str">
        <x:v>Canal "Prisioneiro 84.901"</x:v>
      </x:c>
      <x:c r="J215" s="10" t="str">
        <x:v>Morte pesada na mega rebelião 2001: vista da Penitenciária do Estado (Mercadão) – Parte 2.</x:v>
      </x:c>
      <x:c r="K215" s="10" t="str">
        <x:v>Audiovisual</x:v>
      </x:c>
      <x:c r="L215" s="10" t="str">
        <x:v>Vídeo (digital)</x:v>
      </x:c>
      <x:c r="M215" s="10" t="str">
        <x:v>YouTube (Prisioneiro 84.901)</x:v>
      </x:c>
      <x:c r="N215" s="10" t="str">
        <x:v>Português, Brasil</x:v>
      </x:c>
      <x:c r="O215" s="10" t="str">
        <x:v>"Prisioneiro 84.901" no Youtube</x:v>
      </x:c>
      <x:c r="P215" s="10" t="str">
        <x:v>2025-10-16 00:00:00</x:v>
      </x:c>
      <x:c r="Q215" s="10" t="str">
        <x:v>Aberto</x:v>
      </x:c>
      <x:c r="R215" s="10" t="str">
        <x:v>Aqui</x:v>
      </x:c>
      <x:c r="S215" s="10" t="str">
        <x:v>PRISIONEIRO 84.901. Morte pesada na mega rebelião 2001: vista da Penitenciária do Estado (Mercadão) – Parte 2. YouTube, 16 abr. 2024. Disponível em: https://www.youtube.com/watch?v=d1cDeLVTnPM. Acesso em: 19 jul. 2025.</x:v>
      </x:c>
      <x:c r="T215" s="10" t="str">
        <x:v>BR-SPCARANDIRU_MAPEAMENTOS-REMEMORA-CARANDIRU.xlsx</x:v>
      </x:c>
      <x:c r="U215" s="10" t="str">
        <x:v>Geral</x:v>
      </x:c>
      <x:c r="V215" s="11" t="n">
        <x:v>220</x:v>
      </x:c>
      <x:c r="W215" s="10" t="str">
        <x:v>BR-SPCARANDIRU_MAPEAMENTOS-REMEMORA-CARANDIRU.xlsx:Geral:220</x:v>
      </x:c>
      <x:c r="X215" s="11" t="n">
        <x:f>COLUMNS(A215:S215)-COUNTBLANK(A215:S215)</x:f>
        <x:v>18</x:v>
      </x:c>
    </x:row>
    <x:row r="216" ht="15" hidden="0" customHeight="1">
      <x:c r="A216" s="10" t="str">
        <x:v>Vídeo</x:v>
      </x:c>
      <x:c r="B216" s="10" t="str"/>
      <x:c r="C216" s="10" t="str">
        <x:v>Produção midiática</x:v>
      </x:c>
      <x:c r="D216" s="10" t="str">
        <x:v>Público Mediado</x:v>
      </x:c>
      <x:c r="E216" s="10" t="str">
        <x:v>Midiático</x:v>
      </x:c>
      <x:c r="F216" s="10" t="str">
        <x:v>5/04/2024</x:v>
      </x:c>
      <x:c r="G216" s="11" t="n">
        <x:v>2024</x:v>
      </x:c>
      <x:c r="H216" s="10" t="str">
        <x:v>São Paulo</x:v>
      </x:c>
      <x:c r="I216" s="10" t="str">
        <x:v>Canal "Prisioneiro 84.901"</x:v>
      </x:c>
      <x:c r="J216" s="10" t="str">
        <x:v>Da infância criminosa ao Pav. 9 (André Du Rap).</x:v>
      </x:c>
      <x:c r="K216" s="10" t="str">
        <x:v>Audiovisual</x:v>
      </x:c>
      <x:c r="L216" s="10" t="str">
        <x:v>Vídeo (digital)</x:v>
      </x:c>
      <x:c r="M216" s="10" t="str">
        <x:v>YouTube (Prisioneiro 84.901)</x:v>
      </x:c>
      <x:c r="N216" s="10" t="str">
        <x:v>Português, Brasil</x:v>
      </x:c>
      <x:c r="O216" s="10" t="str">
        <x:v>"Prisioneiro 84.901" no Youtube</x:v>
      </x:c>
      <x:c r="P216" s="10" t="str">
        <x:v>2025-10-16 00:00:00</x:v>
      </x:c>
      <x:c r="Q216" s="10" t="str">
        <x:v>Aberto</x:v>
      </x:c>
      <x:c r="R216" s="10" t="str">
        <x:v>Aqui</x:v>
      </x:c>
      <x:c r="S216" s="10" t="str">
        <x:v>PRISIONEIRO 84.901. Da infância criminosa ao Pav. 9 (André Du Rap). YouTube, 5 abr. 2024. Disponível em: https://www.youtube.com/watch?v=mRTlgsPWPbg. Acesso em: 19 jul. 2025</x:v>
      </x:c>
      <x:c r="T216" s="10" t="str">
        <x:v>BR-SPCARANDIRU_MAPEAMENTOS-REMEMORA-CARANDIRU.xlsx</x:v>
      </x:c>
      <x:c r="U216" s="10" t="str">
        <x:v>Geral</x:v>
      </x:c>
      <x:c r="V216" s="11" t="n">
        <x:v>221</x:v>
      </x:c>
      <x:c r="W216" s="10" t="str">
        <x:v>BR-SPCARANDIRU_MAPEAMENTOS-REMEMORA-CARANDIRU.xlsx:Geral:221</x:v>
      </x:c>
      <x:c r="X216" s="11" t="n">
        <x:f>COLUMNS(A216:S216)-COUNTBLANK(A216:S216)</x:f>
        <x:v>18</x:v>
      </x:c>
    </x:row>
    <x:row r="217" ht="15" hidden="0" customHeight="1">
      <x:c r="A217" s="10" t="str">
        <x:v>Vídeo</x:v>
      </x:c>
      <x:c r="B217" s="10" t="str"/>
      <x:c r="C217" s="10" t="str">
        <x:v>Produção midiática</x:v>
      </x:c>
      <x:c r="D217" s="10" t="str">
        <x:v>Público Mediado</x:v>
      </x:c>
      <x:c r="E217" s="10" t="str">
        <x:v>Midiático</x:v>
      </x:c>
      <x:c r="F217" s="10" t="str">
        <x:v>7/04/2024</x:v>
      </x:c>
      <x:c r="G217" s="11" t="n">
        <x:v>2024</x:v>
      </x:c>
      <x:c r="H217" s="10" t="str">
        <x:v>São Paulo</x:v>
      </x:c>
      <x:c r="I217" s="10" t="str">
        <x:v>Canal "Prisioneiro 84.901"</x:v>
      </x:c>
      <x:c r="J217" s="10" t="str">
        <x:v>Memórias da Casa de Detenção de São Paulo.</x:v>
      </x:c>
      <x:c r="K217" s="10" t="str">
        <x:v>Audiovisual</x:v>
      </x:c>
      <x:c r="L217" s="10" t="str">
        <x:v>Vídeo (digital)</x:v>
      </x:c>
      <x:c r="M217" s="10" t="str">
        <x:v>YouTube (Prisioneiro 84.901)</x:v>
      </x:c>
      <x:c r="N217" s="10" t="str">
        <x:v>Português, Brasil</x:v>
      </x:c>
      <x:c r="O217" s="10" t="str">
        <x:v>"Prisioneiro 84.901" no Youtube</x:v>
      </x:c>
      <x:c r="P217" s="10" t="str">
        <x:v>2025-10-16 00:00:00</x:v>
      </x:c>
      <x:c r="Q217" s="10" t="str">
        <x:v>Aberto</x:v>
      </x:c>
      <x:c r="R217" s="10" t="str">
        <x:v>Aqui</x:v>
      </x:c>
      <x:c r="S217" s="10" t="str">
        <x:v>PRISIONEIRO 84.901. Memórias da Casa de Detenção de São Paulo. YouTube, 7 abr. 2024. Disponível em: https://www.youtube.com/watch?v=WSyntOlIR3k. Acesso em: 19 jul. 2025.</x:v>
      </x:c>
      <x:c r="T217" s="10" t="str">
        <x:v>BR-SPCARANDIRU_MAPEAMENTOS-REMEMORA-CARANDIRU.xlsx</x:v>
      </x:c>
      <x:c r="U217" s="10" t="str">
        <x:v>Geral</x:v>
      </x:c>
      <x:c r="V217" s="11" t="n">
        <x:v>222</x:v>
      </x:c>
      <x:c r="W217" s="10" t="str">
        <x:v>BR-SPCARANDIRU_MAPEAMENTOS-REMEMORA-CARANDIRU.xlsx:Geral:222</x:v>
      </x:c>
      <x:c r="X217" s="11" t="n">
        <x:f>COLUMNS(A217:S217)-COUNTBLANK(A217:S217)</x:f>
        <x:v>18</x:v>
      </x:c>
    </x:row>
    <x:row r="218" ht="15" hidden="0" customHeight="1">
      <x:c r="A218" s="10" t="str">
        <x:v>Vídeo</x:v>
      </x:c>
      <x:c r="B218" s="10" t="str"/>
      <x:c r="C218" s="10" t="str">
        <x:v>Produção midiática</x:v>
      </x:c>
      <x:c r="D218" s="10" t="str">
        <x:v>Público Mediado</x:v>
      </x:c>
      <x:c r="E218" s="10" t="str">
        <x:v>Midiático</x:v>
      </x:c>
      <x:c r="F218" s="10" t="str">
        <x:v>9/04/2024</x:v>
      </x:c>
      <x:c r="G218" s="11" t="n">
        <x:v>2024</x:v>
      </x:c>
      <x:c r="H218" s="10" t="str">
        <x:v>São Paulo</x:v>
      </x:c>
      <x:c r="I218" s="10" t="str">
        <x:v>Canal "Prisioneiro 84.901"</x:v>
      </x:c>
      <x:c r="J218" s="10" t="str">
        <x:v>Du Rap e o dia 02 de outubro de 1992.</x:v>
      </x:c>
      <x:c r="K218" s="10" t="str">
        <x:v>Audiovisual</x:v>
      </x:c>
      <x:c r="L218" s="10" t="str">
        <x:v>Vídeo (digital)</x:v>
      </x:c>
      <x:c r="M218" s="10" t="str">
        <x:v>YouTube (Prisioneiro 84.901)</x:v>
      </x:c>
      <x:c r="N218" s="10" t="str">
        <x:v>Português, Brasil</x:v>
      </x:c>
      <x:c r="O218" s="10" t="str">
        <x:v>"Prisioneiro 84.901" no Youtube</x:v>
      </x:c>
      <x:c r="P218" s="10" t="str">
        <x:v>2025-10-16 00:00:00</x:v>
      </x:c>
      <x:c r="Q218" s="10" t="str">
        <x:v>Aberto</x:v>
      </x:c>
      <x:c r="R218" s="10" t="str">
        <x:v>Aqui</x:v>
      </x:c>
      <x:c r="S218" s="10" t="str">
        <x:v>PRISIONEIRO 84.901. Du Rap e o dia 02 de outubro de 1992. YouTube, 9 abr. 2024. Disponível em: https://www.youtube.com/watch?v=PRAJt8f9jiM. Acesso em: 19 jul. 2025.</x:v>
      </x:c>
      <x:c r="T218" s="10" t="str">
        <x:v>BR-SPCARANDIRU_MAPEAMENTOS-REMEMORA-CARANDIRU.xlsx</x:v>
      </x:c>
      <x:c r="U218" s="10" t="str">
        <x:v>Geral</x:v>
      </x:c>
      <x:c r="V218" s="11" t="n">
        <x:v>223</x:v>
      </x:c>
      <x:c r="W218" s="10" t="str">
        <x:v>BR-SPCARANDIRU_MAPEAMENTOS-REMEMORA-CARANDIRU.xlsx:Geral:223</x:v>
      </x:c>
      <x:c r="X218" s="11" t="n">
        <x:f>COLUMNS(A218:S218)-COUNTBLANK(A218:S218)</x:f>
        <x:v>18</x:v>
      </x:c>
    </x:row>
    <x:row r="219" ht="15" hidden="0" customHeight="1">
      <x:c r="A219" s="10" t="str">
        <x:v>Vídeo</x:v>
      </x:c>
      <x:c r="B219" s="10" t="str"/>
      <x:c r="C219" s="10" t="str">
        <x:v>Produção midiática</x:v>
      </x:c>
      <x:c r="D219" s="10" t="str">
        <x:v>Público Mediado</x:v>
      </x:c>
      <x:c r="E219" s="10" t="str">
        <x:v>Midiático</x:v>
      </x:c>
      <x:c r="F219" s="10" t="str">
        <x:v>2/04/2024</x:v>
      </x:c>
      <x:c r="G219" s="11" t="n">
        <x:v>2024</x:v>
      </x:c>
      <x:c r="H219" s="10" t="str">
        <x:v>São Paulo</x:v>
      </x:c>
      <x:c r="I219" s="10" t="str">
        <x:v>Canal "Prisioneiro 84.901"</x:v>
      </x:c>
      <x:c r="J219" s="10" t="str">
        <x:v>Tudo nublado no dia 02 de outubro de 1992: José Paulino (Bizil).</x:v>
      </x:c>
      <x:c r="K219" s="10" t="str">
        <x:v>Audiovisual</x:v>
      </x:c>
      <x:c r="L219" s="10" t="str">
        <x:v>Vídeo (digital)</x:v>
      </x:c>
      <x:c r="M219" s="10" t="str">
        <x:v>YouTube (Prisioneiro 84.901)</x:v>
      </x:c>
      <x:c r="N219" s="10" t="str">
        <x:v>Português, Brasil</x:v>
      </x:c>
      <x:c r="O219" s="10" t="str">
        <x:v>"Prisioneiro 84.901" no Youtube</x:v>
      </x:c>
      <x:c r="P219" s="10" t="str">
        <x:v>2025-10-16 00:00:00</x:v>
      </x:c>
      <x:c r="Q219" s="10" t="str">
        <x:v>Aberto</x:v>
      </x:c>
      <x:c r="R219" s="10" t="str">
        <x:v>Aqui</x:v>
      </x:c>
      <x:c r="S219" s="10" t="str">
        <x:v>PRISIONEIRO 84.901. Tudo nublado no dia 02 de outubro de 1992: José Paulino (Bizil). YouTube, 2 abr. 2024. Disponível em: https://www.youtube.com/watch?v=YHCwXaiGD7A. Acesso em: 19 jul. 2025.</x:v>
      </x:c>
      <x:c r="T219" s="10" t="str">
        <x:v>BR-SPCARANDIRU_MAPEAMENTOS-REMEMORA-CARANDIRU.xlsx</x:v>
      </x:c>
      <x:c r="U219" s="10" t="str">
        <x:v>Geral</x:v>
      </x:c>
      <x:c r="V219" s="11" t="n">
        <x:v>224</x:v>
      </x:c>
      <x:c r="W219" s="10" t="str">
        <x:v>BR-SPCARANDIRU_MAPEAMENTOS-REMEMORA-CARANDIRU.xlsx:Geral:224</x:v>
      </x:c>
      <x:c r="X219" s="11" t="n">
        <x:f>COLUMNS(A219:S219)-COUNTBLANK(A219:S219)</x:f>
        <x:v>18</x:v>
      </x:c>
    </x:row>
    <x:row r="220" ht="24" hidden="0" customHeight="1">
      <x:c r="A220" s="10" t="str">
        <x:v>Vídeo</x:v>
      </x:c>
      <x:c r="B220" s="10" t="str"/>
      <x:c r="C220" s="10" t="str">
        <x:v>Produção midiática</x:v>
      </x:c>
      <x:c r="D220" s="10" t="str">
        <x:v>Público Mediado</x:v>
      </x:c>
      <x:c r="E220" s="10" t="str">
        <x:v>Midiático</x:v>
      </x:c>
      <x:c r="F220" s="10" t="str">
        <x:v>15/03/2024</x:v>
      </x:c>
      <x:c r="G220" s="11" t="n">
        <x:v>2024</x:v>
      </x:c>
      <x:c r="H220" s="10" t="str">
        <x:v>São Paulo</x:v>
      </x:c>
      <x:c r="I220" s="10" t="str">
        <x:v>Canal "Prisioneiro 84.901"</x:v>
      </x:c>
      <x:c r="J220" s="10" t="str">
        <x:v>“Caminhos antes do crime e prisão”: Zé Roberto, sobrevivente do massacre na Casa de Detenção.</x:v>
      </x:c>
      <x:c r="K220" s="10" t="str">
        <x:v>Audiovisual</x:v>
      </x:c>
      <x:c r="L220" s="10" t="str">
        <x:v>Vídeo (digital)</x:v>
      </x:c>
      <x:c r="M220" s="10" t="str">
        <x:v>YouTube (Prisioneiro 84.901)</x:v>
      </x:c>
      <x:c r="N220" s="10" t="str">
        <x:v>Português, Brasil</x:v>
      </x:c>
      <x:c r="O220" s="10" t="str">
        <x:v>"Prisioneiro 84.901" no Youtube</x:v>
      </x:c>
      <x:c r="P220" s="10" t="str">
        <x:v>2025-10-16 00:00:00</x:v>
      </x:c>
      <x:c r="Q220" s="10" t="str">
        <x:v>Aberto</x:v>
      </x:c>
      <x:c r="R220" s="10" t="str">
        <x:v>Aqui</x:v>
      </x:c>
      <x:c r="S220" s="10" t="str">
        <x:v>PRISIONEIRO 84.901. “Caminhos antes do crime e prisão”: Zé Roberto, sobrevivente do massacre na Casa de Detenção. YouTube, 15 mar. 2024. Disponível em: https://www.youtube.com/watch?v=dLPp62lDJzw. Acesso em: 19 jul. 2025.</x:v>
      </x:c>
      <x:c r="T220" s="10" t="str">
        <x:v>BR-SPCARANDIRU_MAPEAMENTOS-REMEMORA-CARANDIRU.xlsx</x:v>
      </x:c>
      <x:c r="U220" s="10" t="str">
        <x:v>Geral</x:v>
      </x:c>
      <x:c r="V220" s="11" t="n">
        <x:v>225</x:v>
      </x:c>
      <x:c r="W220" s="10" t="str">
        <x:v>BR-SPCARANDIRU_MAPEAMENTOS-REMEMORA-CARANDIRU.xlsx:Geral:225</x:v>
      </x:c>
      <x:c r="X220" s="11" t="n">
        <x:f>COLUMNS(A220:S220)-COUNTBLANK(A220:S220)</x:f>
        <x:v>18</x:v>
      </x:c>
    </x:row>
    <x:row r="221" ht="24" hidden="0" customHeight="1">
      <x:c r="A221" s="10" t="str">
        <x:v>Vídeo</x:v>
      </x:c>
      <x:c r="B221" s="10" t="str"/>
      <x:c r="C221" s="10" t="str">
        <x:v>Produção midiática</x:v>
      </x:c>
      <x:c r="D221" s="10" t="str">
        <x:v>Público Mediado</x:v>
      </x:c>
      <x:c r="E221" s="10" t="str">
        <x:v>Midiático</x:v>
      </x:c>
      <x:c r="F221" s="10" t="str">
        <x:v>16/03/2024</x:v>
      </x:c>
      <x:c r="G221" s="11" t="n">
        <x:v>2024</x:v>
      </x:c>
      <x:c r="H221" s="10" t="str">
        <x:v>São Paulo</x:v>
      </x:c>
      <x:c r="I221" s="10" t="str">
        <x:v>Canal "Prisioneiro 84.901"</x:v>
      </x:c>
      <x:c r="J221" s="10" t="str">
        <x:v>Casa de Detenção de SP 1985: Zé Roberto, sobrevivente do massacre de 1992.</x:v>
      </x:c>
      <x:c r="K221" s="10" t="str">
        <x:v>Audiovisual</x:v>
      </x:c>
      <x:c r="L221" s="10" t="str">
        <x:v>Vídeo (digital)</x:v>
      </x:c>
      <x:c r="M221" s="10" t="str">
        <x:v>YouTube (Prisioneiro 84.901)</x:v>
      </x:c>
      <x:c r="N221" s="10" t="str">
        <x:v>Português, Brasil</x:v>
      </x:c>
      <x:c r="O221" s="10" t="str">
        <x:v>"Prisioneiro 84.901" no Youtube</x:v>
      </x:c>
      <x:c r="P221" s="10" t="str">
        <x:v>2025-10-16 00:00:00</x:v>
      </x:c>
      <x:c r="Q221" s="10" t="str">
        <x:v>Aberto</x:v>
      </x:c>
      <x:c r="R221" s="10" t="str">
        <x:v>Aqui</x:v>
      </x:c>
      <x:c r="S221" s="10" t="str">
        <x:v>PRISIONEIRO 84.901. Casa de Detenção de SP 1985: Zé Roberto, sobrevivente do massacre de 1992. YouTube, 16 mar. 2024. Disponível em: https://www.youtube.com/watch?v=h5_WjF-ADfU. Acesso em: 19 jul. 2025.</x:v>
      </x:c>
      <x:c r="T221" s="10" t="str">
        <x:v>BR-SPCARANDIRU_MAPEAMENTOS-REMEMORA-CARANDIRU.xlsx</x:v>
      </x:c>
      <x:c r="U221" s="10" t="str">
        <x:v>Geral</x:v>
      </x:c>
      <x:c r="V221" s="11" t="n">
        <x:v>226</x:v>
      </x:c>
      <x:c r="W221" s="10" t="str">
        <x:v>BR-SPCARANDIRU_MAPEAMENTOS-REMEMORA-CARANDIRU.xlsx:Geral:226</x:v>
      </x:c>
      <x:c r="X221" s="11" t="n">
        <x:f>COLUMNS(A221:S221)-COUNTBLANK(A221:S221)</x:f>
        <x:v>18</x:v>
      </x:c>
    </x:row>
    <x:row r="222" ht="24" hidden="0" customHeight="1">
      <x:c r="A222" s="10" t="str">
        <x:v>Vídeo</x:v>
      </x:c>
      <x:c r="B222" s="10" t="str"/>
      <x:c r="C222" s="10" t="str">
        <x:v>Produção midiática</x:v>
      </x:c>
      <x:c r="D222" s="10" t="str">
        <x:v>Público Mediado</x:v>
      </x:c>
      <x:c r="E222" s="10" t="str">
        <x:v>Midiático</x:v>
      </x:c>
      <x:c r="F222" s="10" t="str">
        <x:v>17/03/2024</x:v>
      </x:c>
      <x:c r="G222" s="11" t="n">
        <x:v>2024</x:v>
      </x:c>
      <x:c r="H222" s="10" t="str">
        <x:v>São Paulo</x:v>
      </x:c>
      <x:c r="I222" s="10" t="str">
        <x:v>Canal "Prisioneiro 84.901"</x:v>
      </x:c>
      <x:c r="J222" s="10" t="str">
        <x:v>Cenas pesadas no Pav. 9: Zé Roberto (Parte 3), sobrevivente do massacre na Casa de Detenção.</x:v>
      </x:c>
      <x:c r="K222" s="10" t="str">
        <x:v>Audiovisual</x:v>
      </x:c>
      <x:c r="L222" s="10" t="str">
        <x:v>Vídeo (digital)</x:v>
      </x:c>
      <x:c r="M222" s="10" t="str">
        <x:v>YouTube (Prisioneiro 84.901)</x:v>
      </x:c>
      <x:c r="N222" s="10" t="str">
        <x:v>Português, Brasil</x:v>
      </x:c>
      <x:c r="O222" s="10" t="str">
        <x:v>"Prisioneiro 84.901" no Youtube</x:v>
      </x:c>
      <x:c r="P222" s="10" t="str">
        <x:v>2025-10-16 00:00:00</x:v>
      </x:c>
      <x:c r="Q222" s="10" t="str">
        <x:v>Aberto</x:v>
      </x:c>
      <x:c r="R222" s="10" t="str">
        <x:v>Aqui</x:v>
      </x:c>
      <x:c r="S222" s="10" t="str">
        <x:v>PRISIONEIRO 84.901. Cenas pesadas no Pav. 9: Zé Roberto (Parte 3), sobrevivente do massacre na Casa de Detenção. YouTube, 17 mar. 2024. Disponível em: https://www.youtube.com/watch?v=UVxiurobx-I. Acesso em: 19 jul. 2025.</x:v>
      </x:c>
      <x:c r="T222" s="10" t="str">
        <x:v>BR-SPCARANDIRU_MAPEAMENTOS-REMEMORA-CARANDIRU.xlsx</x:v>
      </x:c>
      <x:c r="U222" s="10" t="str">
        <x:v>Geral</x:v>
      </x:c>
      <x:c r="V222" s="11" t="n">
        <x:v>227</x:v>
      </x:c>
      <x:c r="W222" s="10" t="str">
        <x:v>BR-SPCARANDIRU_MAPEAMENTOS-REMEMORA-CARANDIRU.xlsx:Geral:227</x:v>
      </x:c>
      <x:c r="X222" s="11" t="n">
        <x:f>COLUMNS(A222:S222)-COUNTBLANK(A222:S222)</x:f>
        <x:v>18</x:v>
      </x:c>
    </x:row>
    <x:row r="223" ht="15" hidden="0" customHeight="1">
      <x:c r="A223" s="10" t="str">
        <x:v>Vídeo</x:v>
      </x:c>
      <x:c r="B223" s="10" t="str"/>
      <x:c r="C223" s="10" t="str">
        <x:v>Produção midiática</x:v>
      </x:c>
      <x:c r="D223" s="10" t="str">
        <x:v>Público Mediado</x:v>
      </x:c>
      <x:c r="E223" s="10" t="str">
        <x:v>Midiático</x:v>
      </x:c>
      <x:c r="F223" s="10" t="str">
        <x:v>24/03/2024</x:v>
      </x:c>
      <x:c r="G223" s="11" t="n">
        <x:v>2024</x:v>
      </x:c>
      <x:c r="H223" s="10" t="str">
        <x:v>São Paulo</x:v>
      </x:c>
      <x:c r="I223" s="10" t="str">
        <x:v>Canal "Prisioneiro 84.901"</x:v>
      </x:c>
      <x:c r="J223" s="10" t="str">
        <x:v>Detalhes do dia 2 de outubro de 1992 no Pav. 9: Zé Roberto (Parte 4).</x:v>
      </x:c>
      <x:c r="K223" s="10" t="str">
        <x:v>Audiovisual</x:v>
      </x:c>
      <x:c r="L223" s="10" t="str">
        <x:v>Vídeo (digital)</x:v>
      </x:c>
      <x:c r="M223" s="10" t="str">
        <x:v>YouTube (Prisioneiro 84.901)</x:v>
      </x:c>
      <x:c r="N223" s="10" t="str">
        <x:v>Português, Brasil</x:v>
      </x:c>
      <x:c r="O223" s="10" t="str">
        <x:v>"Prisioneiro 84.901" no Youtube</x:v>
      </x:c>
      <x:c r="P223" s="10" t="str">
        <x:v>2025-10-16 00:00:00</x:v>
      </x:c>
      <x:c r="Q223" s="10" t="str">
        <x:v>Aberto</x:v>
      </x:c>
      <x:c r="R223" s="10" t="str">
        <x:v>Aqui</x:v>
      </x:c>
      <x:c r="S223" s="10" t="str">
        <x:v>PRISIONEIRO 84.901. Detalhes do dia 2 de outubro de 1992 no Pav. 9: Zé Roberto (Parte 4). YouTube, 24 mar. 2024. Disponível em: https://www.youtube.com/watch?v=2GbcD69RO6U. Acesso em: 19 jul. 2025.</x:v>
      </x:c>
      <x:c r="T223" s="10" t="str">
        <x:v>BR-SPCARANDIRU_MAPEAMENTOS-REMEMORA-CARANDIRU.xlsx</x:v>
      </x:c>
      <x:c r="U223" s="10" t="str">
        <x:v>Geral</x:v>
      </x:c>
      <x:c r="V223" s="11" t="n">
        <x:v>228</x:v>
      </x:c>
      <x:c r="W223" s="10" t="str">
        <x:v>BR-SPCARANDIRU_MAPEAMENTOS-REMEMORA-CARANDIRU.xlsx:Geral:228</x:v>
      </x:c>
      <x:c r="X223" s="11" t="n">
        <x:f>COLUMNS(A223:S223)-COUNTBLANK(A223:S223)</x:f>
        <x:v>18</x:v>
      </x:c>
    </x:row>
    <x:row r="224" ht="24" hidden="0" customHeight="1">
      <x:c r="A224" s="10" t="str">
        <x:v>Vídeo</x:v>
      </x:c>
      <x:c r="B224" s="10" t="str"/>
      <x:c r="C224" s="10" t="str">
        <x:v>Produção midiática</x:v>
      </x:c>
      <x:c r="D224" s="10" t="str">
        <x:v>Público Mediado</x:v>
      </x:c>
      <x:c r="E224" s="10" t="str">
        <x:v>Midiático</x:v>
      </x:c>
      <x:c r="F224" s="10" t="str">
        <x:v>23/02/2024</x:v>
      </x:c>
      <x:c r="G224" s="11" t="n">
        <x:v>2024</x:v>
      </x:c>
      <x:c r="H224" s="10" t="str">
        <x:v>São Paulo</x:v>
      </x:c>
      <x:c r="I224" s="10" t="str">
        <x:v>Canal "Prisioneiro 84.901"</x:v>
      </x:c>
      <x:c r="J224" s="10" t="str">
        <x:v>Não era do crime, e tirou uns anos na Casa de Detenção de São Paulo (Parte 1).</x:v>
      </x:c>
      <x:c r="K224" s="10" t="str">
        <x:v>Audiovisual</x:v>
      </x:c>
      <x:c r="L224" s="10" t="str">
        <x:v>Vídeo (digital)</x:v>
      </x:c>
      <x:c r="M224" s="10" t="str">
        <x:v>YouTube (Prisioneiro 84.901)</x:v>
      </x:c>
      <x:c r="N224" s="10" t="str">
        <x:v>Português, Brasil</x:v>
      </x:c>
      <x:c r="O224" s="10" t="str">
        <x:v>"Prisioneiro 84.901" no Youtube</x:v>
      </x:c>
      <x:c r="P224" s="10" t="str">
        <x:v>2025-10-16 00:00:00</x:v>
      </x:c>
      <x:c r="Q224" s="10" t="str">
        <x:v>Aberto</x:v>
      </x:c>
      <x:c r="R224" s="10" t="str">
        <x:v>Aqui</x:v>
      </x:c>
      <x:c r="S224" s="10" t="str">
        <x:v>PRISIONEIRO 84.901. Não era do crime, e tirou uns anos na Casa de Detenção de São Paulo (Parte 1). YouTube, 23 fev. 2024. Disponível em: https://www.youtube.com/watch?v=EuIKMaMQOQw. Acesso em: 19 jul. 2025.</x:v>
      </x:c>
      <x:c r="T224" s="10" t="str">
        <x:v>BR-SPCARANDIRU_MAPEAMENTOS-REMEMORA-CARANDIRU.xlsx</x:v>
      </x:c>
      <x:c r="U224" s="10" t="str">
        <x:v>Geral</x:v>
      </x:c>
      <x:c r="V224" s="11" t="n">
        <x:v>229</x:v>
      </x:c>
      <x:c r="W224" s="10" t="str">
        <x:v>BR-SPCARANDIRU_MAPEAMENTOS-REMEMORA-CARANDIRU.xlsx:Geral:229</x:v>
      </x:c>
      <x:c r="X224" s="11" t="n">
        <x:f>COLUMNS(A224:S224)-COUNTBLANK(A224:S224)</x:f>
        <x:v>18</x:v>
      </x:c>
    </x:row>
    <x:row r="225" ht="15" hidden="0" customHeight="1">
      <x:c r="A225" s="10" t="str">
        <x:v>Vídeo</x:v>
      </x:c>
      <x:c r="B225" s="10" t="str"/>
      <x:c r="C225" s="10" t="str">
        <x:v>Produção midiática</x:v>
      </x:c>
      <x:c r="D225" s="10" t="str">
        <x:v>Público Mediado</x:v>
      </x:c>
      <x:c r="E225" s="10" t="str">
        <x:v>Midiático</x:v>
      </x:c>
      <x:c r="F225" s="10" t="str">
        <x:v>24/02/2024</x:v>
      </x:c>
      <x:c r="G225" s="11" t="n">
        <x:v>2024</x:v>
      </x:c>
      <x:c r="H225" s="10" t="str">
        <x:v>São Paulo</x:v>
      </x:c>
      <x:c r="I225" s="10" t="str">
        <x:v>Canal "Prisioneiro 84.901"</x:v>
      </x:c>
      <x:c r="J225" s="10" t="str">
        <x:v>Sobrevivente da Casa de Detenção no Pav. 9 (Parte 2).</x:v>
      </x:c>
      <x:c r="K225" s="10" t="str">
        <x:v>Audiovisual</x:v>
      </x:c>
      <x:c r="L225" s="10" t="str">
        <x:v>Vídeo (digital)</x:v>
      </x:c>
      <x:c r="M225" s="10" t="str">
        <x:v>YouTube (Prisioneiro 84.901)</x:v>
      </x:c>
      <x:c r="N225" s="10" t="str">
        <x:v>Português, Brasil</x:v>
      </x:c>
      <x:c r="O225" s="10" t="str">
        <x:v>"Prisioneiro 84.901" no Youtube</x:v>
      </x:c>
      <x:c r="P225" s="10" t="str">
        <x:v>2025-10-16 00:00:00</x:v>
      </x:c>
      <x:c r="Q225" s="10" t="str">
        <x:v>Aberto</x:v>
      </x:c>
      <x:c r="R225" s="10" t="str">
        <x:v>Aqui</x:v>
      </x:c>
      <x:c r="S225" s="10" t="str">
        <x:v>PRISIONEIRO 84.901. Sobrevivente da Casa de Detenção no Pav. 9 (Parte 2). YouTube, 24 fev. 2024. Disponível em: https://www.youtube.com/watch?v=0WB098aHN6M. Acesso em: 19 jul. 2025.</x:v>
      </x:c>
      <x:c r="T225" s="10" t="str">
        <x:v>BR-SPCARANDIRU_MAPEAMENTOS-REMEMORA-CARANDIRU.xlsx</x:v>
      </x:c>
      <x:c r="U225" s="10" t="str">
        <x:v>Geral</x:v>
      </x:c>
      <x:c r="V225" s="11" t="n">
        <x:v>230</x:v>
      </x:c>
      <x:c r="W225" s="10" t="str">
        <x:v>BR-SPCARANDIRU_MAPEAMENTOS-REMEMORA-CARANDIRU.xlsx:Geral:230</x:v>
      </x:c>
      <x:c r="X225" s="11" t="n">
        <x:f>COLUMNS(A225:S225)-COUNTBLANK(A225:S225)</x:f>
        <x:v>18</x:v>
      </x:c>
    </x:row>
    <x:row r="226" ht="15" hidden="0" customHeight="1">
      <x:c r="A226" s="10" t="str">
        <x:v>Vídeo</x:v>
      </x:c>
      <x:c r="B226" s="10" t="str"/>
      <x:c r="C226" s="10" t="str">
        <x:v>Produção midiática</x:v>
      </x:c>
      <x:c r="D226" s="10" t="str">
        <x:v>Público Mediado</x:v>
      </x:c>
      <x:c r="E226" s="10" t="str">
        <x:v>Midiático</x:v>
      </x:c>
      <x:c r="F226" s="10" t="str">
        <x:v>27/02/2024</x:v>
      </x:c>
      <x:c r="G226" s="11" t="n">
        <x:v>2024</x:v>
      </x:c>
      <x:c r="H226" s="10" t="str">
        <x:v>São Paulo</x:v>
      </x:c>
      <x:c r="I226" s="10" t="str">
        <x:v>Canal "Prisioneiro 84.901"</x:v>
      </x:c>
      <x:c r="J226" s="10" t="str">
        <x:v>Sobrevivente Edson da Casa de Detenção de SP – P2.</x:v>
      </x:c>
      <x:c r="K226" s="10" t="str">
        <x:v>Audiovisual</x:v>
      </x:c>
      <x:c r="L226" s="10" t="str">
        <x:v>Vídeo (digital)</x:v>
      </x:c>
      <x:c r="M226" s="10" t="str">
        <x:v>YouTube (Prisioneiro 84.901)</x:v>
      </x:c>
      <x:c r="N226" s="10" t="str">
        <x:v>Português, Brasil</x:v>
      </x:c>
      <x:c r="O226" s="10" t="str">
        <x:v>"Prisioneiro 84.901" no Youtube</x:v>
      </x:c>
      <x:c r="P226" s="10" t="str">
        <x:v>2025-10-16 00:00:00</x:v>
      </x:c>
      <x:c r="Q226" s="10" t="str">
        <x:v>Aberto</x:v>
      </x:c>
      <x:c r="R226" s="10" t="str">
        <x:v>Aqui</x:v>
      </x:c>
      <x:c r="S226" s="10" t="str">
        <x:v>PRISIONEIRO 84.901. Sobrevivente Edson da Casa de Detenção de SP – P2. YouTube, 27 fev. 2024. Disponível em: https://www.youtube.com/watch?v=uLJy3hUDhr8. Acesso em: 19 jul. 2025.</x:v>
      </x:c>
      <x:c r="T226" s="10" t="str">
        <x:v>BR-SPCARANDIRU_MAPEAMENTOS-REMEMORA-CARANDIRU.xlsx</x:v>
      </x:c>
      <x:c r="U226" s="10" t="str">
        <x:v>Geral</x:v>
      </x:c>
      <x:c r="V226" s="11" t="n">
        <x:v>231</x:v>
      </x:c>
      <x:c r="W226" s="10" t="str">
        <x:v>BR-SPCARANDIRU_MAPEAMENTOS-REMEMORA-CARANDIRU.xlsx:Geral:231</x:v>
      </x:c>
      <x:c r="X226" s="11" t="n">
        <x:f>COLUMNS(A226:S226)-COUNTBLANK(A226:S226)</x:f>
        <x:v>18</x:v>
      </x:c>
    </x:row>
    <x:row r="227" ht="15" hidden="0" customHeight="1">
      <x:c r="A227" s="10" t="str">
        <x:v>Vídeo</x:v>
      </x:c>
      <x:c r="B227" s="10" t="str"/>
      <x:c r="C227" s="10" t="str">
        <x:v>Produção midiática</x:v>
      </x:c>
      <x:c r="D227" s="10" t="str">
        <x:v>Público Mediado</x:v>
      </x:c>
      <x:c r="E227" s="10" t="str">
        <x:v>Midiático</x:v>
      </x:c>
      <x:c r="F227" s="10" t="str">
        <x:v>28/02/2024</x:v>
      </x:c>
      <x:c r="G227" s="11" t="n">
        <x:v>2024</x:v>
      </x:c>
      <x:c r="H227" s="10" t="str">
        <x:v>São Paulo</x:v>
      </x:c>
      <x:c r="I227" s="10" t="str">
        <x:v>Canal "Prisioneiro 84.901"</x:v>
      </x:c>
      <x:c r="J227" s="10" t="str">
        <x:v>Sobrevivente Sidney do Pav. 9 na Casa de Detenção de SP (Parte 3).</x:v>
      </x:c>
      <x:c r="K227" s="10" t="str">
        <x:v>Audiovisual</x:v>
      </x:c>
      <x:c r="L227" s="10" t="str">
        <x:v>Vídeo (digital)</x:v>
      </x:c>
      <x:c r="M227" s="10" t="str">
        <x:v>YouTube (Prisioneiro 84.901)</x:v>
      </x:c>
      <x:c r="N227" s="10" t="str">
        <x:v>Português, Brasil</x:v>
      </x:c>
      <x:c r="O227" s="10" t="str">
        <x:v>"Prisioneiro 84.901" no Youtube</x:v>
      </x:c>
      <x:c r="P227" s="10" t="str">
        <x:v>2025-10-16 00:00:00</x:v>
      </x:c>
      <x:c r="Q227" s="10" t="str">
        <x:v>Aberto</x:v>
      </x:c>
      <x:c r="R227" s="10" t="str">
        <x:v>Aqui</x:v>
      </x:c>
      <x:c r="S227" s="10" t="str">
        <x:v>PRISIONEIRO 84.901. Sobrevivente Sidney do Pav. 9 na Casa de Detenção de SP (Parte 3). YouTube, 28 fev. 2024. Disponível em: https://www.youtube.com/watch?v=-NSEF-iyWoE. Acesso em: 19 jul. 2025.</x:v>
      </x:c>
      <x:c r="T227" s="10" t="str">
        <x:v>BR-SPCARANDIRU_MAPEAMENTOS-REMEMORA-CARANDIRU.xlsx</x:v>
      </x:c>
      <x:c r="U227" s="10" t="str">
        <x:v>Geral</x:v>
      </x:c>
      <x:c r="V227" s="11" t="n">
        <x:v>232</x:v>
      </x:c>
      <x:c r="W227" s="10" t="str">
        <x:v>BR-SPCARANDIRU_MAPEAMENTOS-REMEMORA-CARANDIRU.xlsx:Geral:232</x:v>
      </x:c>
      <x:c r="X227" s="11" t="n">
        <x:f>COLUMNS(A227:S227)-COUNTBLANK(A227:S227)</x:f>
        <x:v>18</x:v>
      </x:c>
    </x:row>
    <x:row r="228" ht="15" hidden="0" customHeight="1">
      <x:c r="A228" s="10" t="str">
        <x:v>Vídeo</x:v>
      </x:c>
      <x:c r="B228" s="10" t="str"/>
      <x:c r="C228" s="10" t="str">
        <x:v>Produção midiática</x:v>
      </x:c>
      <x:c r="D228" s="10" t="str">
        <x:v>Público Mediado</x:v>
      </x:c>
      <x:c r="E228" s="10" t="str">
        <x:v>Midiático</x:v>
      </x:c>
      <x:c r="F228" s="10" t="str">
        <x:v>2/03/2024</x:v>
      </x:c>
      <x:c r="G228" s="11" t="n">
        <x:v>2024</x:v>
      </x:c>
      <x:c r="H228" s="10" t="str">
        <x:v>São Paulo</x:v>
      </x:c>
      <x:c r="I228" s="10" t="str">
        <x:v>Canal "Prisioneiro 84.901"</x:v>
      </x:c>
      <x:c r="J228" s="10" t="str">
        <x:v>Sobrevivente Sidney do Pav. 9 na Casa de Detenção (Parte 4).</x:v>
      </x:c>
      <x:c r="K228" s="10" t="str">
        <x:v>Audiovisual</x:v>
      </x:c>
      <x:c r="L228" s="10" t="str">
        <x:v>Vídeo (digital)</x:v>
      </x:c>
      <x:c r="M228" s="10" t="str">
        <x:v>YouTube (Prisioneiro 84.901)</x:v>
      </x:c>
      <x:c r="N228" s="10" t="str">
        <x:v>Português, Brasil</x:v>
      </x:c>
      <x:c r="O228" s="10" t="str">
        <x:v>"Prisioneiro 84.901" no Youtube</x:v>
      </x:c>
      <x:c r="P228" s="10" t="str">
        <x:v>2025-10-16 00:00:00</x:v>
      </x:c>
      <x:c r="Q228" s="10" t="str">
        <x:v>Aberto</x:v>
      </x:c>
      <x:c r="R228" s="10" t="str">
        <x:v>Aqui</x:v>
      </x:c>
      <x:c r="S228" s="10" t="str">
        <x:v>PRISIONEIRO 84.901. Sobrevivente Sidney do Pav. 9 na Casa de Detenção (Parte 4). YouTube, 2 mar. 2024. Disponível em: https://www.youtube.com/watch?v=8SHbMySUnnw. Acesso em: 19 jul. 2025.</x:v>
      </x:c>
      <x:c r="T228" s="10" t="str">
        <x:v>BR-SPCARANDIRU_MAPEAMENTOS-REMEMORA-CARANDIRU.xlsx</x:v>
      </x:c>
      <x:c r="U228" s="10" t="str">
        <x:v>Geral</x:v>
      </x:c>
      <x:c r="V228" s="11" t="n">
        <x:v>233</x:v>
      </x:c>
      <x:c r="W228" s="10" t="str">
        <x:v>BR-SPCARANDIRU_MAPEAMENTOS-REMEMORA-CARANDIRU.xlsx:Geral:233</x:v>
      </x:c>
      <x:c r="X228" s="11" t="n">
        <x:f>COLUMNS(A228:S228)-COUNTBLANK(A228:S228)</x:f>
        <x:v>18</x:v>
      </x:c>
    </x:row>
    <x:row r="229" ht="48" hidden="0" customHeight="1">
      <x:c r="A229" s="10" t="str">
        <x:v>Roteiro de memória</x:v>
      </x:c>
      <x:c r="B229" s="10" t="str"/>
      <x:c r="C229" s="10" t="str"/>
      <x:c r="D229" s="10" t="str">
        <x:v>Público Imediato</x:v>
      </x:c>
      <x:c r="E229" s="10" t="str">
        <x:v>Presencial/Físico</x:v>
      </x:c>
      <x:c r="F229" s="10" t="str">
        <x:v>2025-01-28 00:00:00</x:v>
      </x:c>
      <x:c r="G229" s="11" t="n">
        <x:v>2025</x:v>
      </x:c>
      <x:c r="H229" s="10" t="str">
        <x:v>Av. Cruzeiro do Sul, 2630 - Carandiru</x:v>
      </x:c>
      <x:c r="I229" s="10" t="str">
        <x:v>1ª Frente de Sobreviventes do Cárcere, Memórias Carandiru, Secretaria Municipal de Direitos Humanos e Instituto Resgata Cidadão</x:v>
      </x:c>
      <x:c r="J229" s="10" t="str">
        <x:v>O direito à cidade e a ocupação dos espaços de memória</x:v>
      </x:c>
      <x:c r="K229" s="10" t="str">
        <x:v>Iconográfico, Textual</x:v>
      </x:c>
      <x:c r="L229" s="10" t="str">
        <x:v>Texto (digital), Imagem (digital)</x:v>
      </x:c>
      <x:c r="M229" s="10" t="str">
        <x:v>Instagram (Memórias Carandiru)</x:v>
      </x:c>
      <x:c r="N229" s="10" t="str">
        <x:v>Português, Brasil</x:v>
      </x:c>
      <x:c r="O229" s="10" t="str">
        <x:v>Hiperlink</x:v>
      </x:c>
      <x:c r="P229" s="10" t="str">
        <x:v>2025-07-19 00:00:00</x:v>
      </x:c>
      <x:c r="Q229" s="10" t="str">
        <x:v>Aberto</x:v>
      </x:c>
      <x:c r="R229" s="10" t="str">
        <x:v>Aqui</x:v>
      </x:c>
      <x:c r="S229" s="10" t="str">
        <x:v>MEMÓRIAS CARANDIRU. O direito à cidade e a ocupação dos espaços de memória. Instagram, 11 fev. 2025. Disponível em: https://www.instagram.com/reel/DF5Lv14AQxo/?utm_source=ig_web_copy_link&amp;igsh=MzRlODBiNWFlZA==. Acesso em: 19 jul. 2025.</x:v>
      </x:c>
      <x:c r="T229" s="10" t="str">
        <x:v>BR-SPCARANDIRU_MAPEAMENTOS-REMEMORA-CARANDIRU.xlsx</x:v>
      </x:c>
      <x:c r="U229" s="10" t="str">
        <x:v>Geral</x:v>
      </x:c>
      <x:c r="V229" s="11" t="n">
        <x:v>234</x:v>
      </x:c>
      <x:c r="W229" s="10" t="str">
        <x:v>BR-SPCARANDIRU_MAPEAMENTOS-REMEMORA-CARANDIRU.xlsx:Geral:234</x:v>
      </x:c>
      <x:c r="X229" s="11" t="n">
        <x:f>COLUMNS(A229:S229)-COUNTBLANK(A229:S229)</x:f>
        <x:v>17</x:v>
      </x:c>
    </x:row>
    <x:row r="230" ht="48" hidden="0" customHeight="1">
      <x:c r="A230" s="10" t="str">
        <x:v>Roteiro de memória</x:v>
      </x:c>
      <x:c r="B230" s="10" t="str"/>
      <x:c r="C230" s="10" t="str"/>
      <x:c r="D230" s="10" t="str">
        <x:v>Público Imediato</x:v>
      </x:c>
      <x:c r="E230" s="10" t="str">
        <x:v>Presencial/Físico</x:v>
      </x:c>
      <x:c r="F230" s="10" t="str">
        <x:v>2025-02-11 00:00:00</x:v>
      </x:c>
      <x:c r="G230" s="11" t="n">
        <x:v>2025</x:v>
      </x:c>
      <x:c r="H230" s="10" t="str">
        <x:v>Avenida Zaki Narchi, 1207 - Museu Penitenciário Paulista</x:v>
      </x:c>
      <x:c r="I230" s="10" t="str">
        <x:v>Cia dxs Terroristas, 1ª Frente de Sobreviventes do Cárcere, Memórias Carandiru, Secretaria Municipal de Direitos Humanos e Instituto Resgata Cidadão</x:v>
      </x:c>
      <x:c r="J230" s="10" t="str">
        <x:v>O direito à cidade e a ocupação dos espaços de memória</x:v>
      </x:c>
      <x:c r="K230" s="10" t="str">
        <x:v>Iconográfico, Textual</x:v>
      </x:c>
      <x:c r="L230" s="10" t="str">
        <x:v>Texto (digital), Imagem (digital)</x:v>
      </x:c>
      <x:c r="M230" s="10" t="str">
        <x:v>Instagram (Memórias Carandiru)</x:v>
      </x:c>
      <x:c r="N230" s="10" t="str">
        <x:v>Português, Brasil</x:v>
      </x:c>
      <x:c r="O230" s="10" t="str">
        <x:v>Hiperlink</x:v>
      </x:c>
      <x:c r="P230" s="10" t="str">
        <x:v>2025-07-19 00:00:00</x:v>
      </x:c>
      <x:c r="Q230" s="10" t="str">
        <x:v>Aberto</x:v>
      </x:c>
      <x:c r="R230" s="10" t="str">
        <x:v>Aqui</x:v>
      </x:c>
      <x:c r="S230" s="10" t="str">
        <x:v>MEMÓRIAS CARANDIRU. Memória e reparação: o que a história do Carandiru nos ensina?. Instagram, 22 fev. 2025. Disponível em: https://www.instagram.com/p/DGOcCVkyVz3/?utm_source=ig_web_copy_link&amp;igsh=MzRlODBiNWFlZA==. Acesso em: 19 jul. 2025.</x:v>
      </x:c>
      <x:c r="T230" s="10" t="str">
        <x:v>BR-SPCARANDIRU_MAPEAMENTOS-REMEMORA-CARANDIRU.xlsx</x:v>
      </x:c>
      <x:c r="U230" s="10" t="str">
        <x:v>Geral</x:v>
      </x:c>
      <x:c r="V230" s="11" t="n">
        <x:v>235</x:v>
      </x:c>
      <x:c r="W230" s="10" t="str">
        <x:v>BR-SPCARANDIRU_MAPEAMENTOS-REMEMORA-CARANDIRU.xlsx:Geral:235</x:v>
      </x:c>
      <x:c r="X230" s="11" t="n">
        <x:f>COLUMNS(A230:S230)-COUNTBLANK(A230:S230)</x:f>
        <x:v>17</x:v>
      </x:c>
    </x:row>
    <x:row r="231" ht="48" hidden="0" customHeight="1">
      <x:c r="A231" s="10" t="str">
        <x:v>Roteiro de memória</x:v>
      </x:c>
      <x:c r="B231" s="10" t="str"/>
      <x:c r="C231" s="10" t="str"/>
      <x:c r="D231" s="10" t="str">
        <x:v>Público Imediato</x:v>
      </x:c>
      <x:c r="E231" s="10" t="str">
        <x:v>Presencial/Físico</x:v>
      </x:c>
      <x:c r="F231" s="10" t="str">
        <x:v>2025-02-22 00:00:00</x:v>
      </x:c>
      <x:c r="G231" s="11" t="n">
        <x:v>2025</x:v>
      </x:c>
      <x:c r="H231" s="10" t="str">
        <x:v>Av. Cruzeiro do Sul, 2630 - Carandiru</x:v>
      </x:c>
      <x:c r="I231" s="10" t="str">
        <x:v>1ª Frente de Sobreviventes do Cárcere, Memórias Carandiru, Secretaria Municipal de Direitos Humanos e Instituto Resgata Cidadão</x:v>
      </x:c>
      <x:c r="J231" s="10" t="str">
        <x:v>Memória e reparação: o que a história do Carandiru nos ensina?</x:v>
      </x:c>
      <x:c r="K231" s="10" t="str">
        <x:v>Iconográfico, Textual</x:v>
      </x:c>
      <x:c r="L231" s="10" t="str">
        <x:v>Texto (digital), Imagem (digital)</x:v>
      </x:c>
      <x:c r="M231" s="10" t="str">
        <x:v>Instagram (Memórias Carandiru)</x:v>
      </x:c>
      <x:c r="N231" s="10" t="str">
        <x:v>Português, Brasil</x:v>
      </x:c>
      <x:c r="O231" s="10" t="str">
        <x:v>Hiperlink</x:v>
      </x:c>
      <x:c r="P231" s="10" t="str">
        <x:v>2025-07-19 00:00:00</x:v>
      </x:c>
      <x:c r="Q231" s="10" t="str">
        <x:v>Aberto</x:v>
      </x:c>
      <x:c r="R231" s="10" t="str">
        <x:v>Aqui</x:v>
      </x:c>
      <x:c r="S231" s="10" t="str">
        <x:v>MEMÓRIAS CARANDIRU. Afrodescendência e encarceramento: das senzalas às prisões contemporâneas. Instagram, 15 mar. 2025. Disponível em: https://www.instagram.com/p/DHBxA0my9Lm/?utm_source=ig_web_copy_link&amp;igsh=MzRlODBiNWFlZA==. Acesso em: 19 jul. 2025.</x:v>
      </x:c>
      <x:c r="T231" s="10" t="str">
        <x:v>BR-SPCARANDIRU_MAPEAMENTOS-REMEMORA-CARANDIRU.xlsx</x:v>
      </x:c>
      <x:c r="U231" s="10" t="str">
        <x:v>Geral</x:v>
      </x:c>
      <x:c r="V231" s="11" t="n">
        <x:v>236</x:v>
      </x:c>
      <x:c r="W231" s="10" t="str">
        <x:v>BR-SPCARANDIRU_MAPEAMENTOS-REMEMORA-CARANDIRU.xlsx:Geral:236</x:v>
      </x:c>
      <x:c r="X231" s="11" t="n">
        <x:f>COLUMNS(A231:S231)-COUNTBLANK(A231:S231)</x:f>
        <x:v>17</x:v>
      </x:c>
    </x:row>
    <x:row r="232" ht="48" hidden="0" customHeight="1">
      <x:c r="A232" s="10" t="str">
        <x:v>Roteiro de memória</x:v>
      </x:c>
      <x:c r="B232" s="10" t="str"/>
      <x:c r="C232" s="10" t="str"/>
      <x:c r="D232" s="10" t="str">
        <x:v>Público Imediato</x:v>
      </x:c>
      <x:c r="E232" s="10" t="str">
        <x:v>Presencial/Físico</x:v>
      </x:c>
      <x:c r="F232" s="10" t="str">
        <x:v>2025-03-15 00:00:00</x:v>
      </x:c>
      <x:c r="G232" s="11" t="n">
        <x:v>2025</x:v>
      </x:c>
      <x:c r="H232" s="10" t="str">
        <x:v>Av. Cruzeiro do Sul, 2630 - Carandiru</x:v>
      </x:c>
      <x:c r="I232" s="10" t="str">
        <x:v>1ª Frente de Sobreviventes do Cárcere, Memórias Carandiru, Secretaria Municipal de Direitos Humanos e Instituto Resgata Cidadão</x:v>
      </x:c>
      <x:c r="J232" s="10" t="str">
        <x:v>Afrodescendência e encarceramento: das senzalas às prisões contemporâneas</x:v>
      </x:c>
      <x:c r="K232" s="10" t="str">
        <x:v>Iconográfico, Textual</x:v>
      </x:c>
      <x:c r="L232" s="10" t="str">
        <x:v>Texto (digital), Imagem (digital)</x:v>
      </x:c>
      <x:c r="M232" s="10" t="str">
        <x:v>Instagram (Memórias Carandiru)</x:v>
      </x:c>
      <x:c r="N232" s="10" t="str">
        <x:v>Português, Brasil</x:v>
      </x:c>
      <x:c r="O232" s="10" t="str">
        <x:v>Hiperlink</x:v>
      </x:c>
      <x:c r="P232" s="10" t="str">
        <x:v>2025-07-19 00:00:00</x:v>
      </x:c>
      <x:c r="Q232" s="10" t="str">
        <x:v>Aberto</x:v>
      </x:c>
      <x:c r="R232" s="10" t="str">
        <x:v>Aqui</x:v>
      </x:c>
      <x:c r="S232" s="10" t="str">
        <x:v>MEMÓRIAS CARANDIRU. Corpos encarcerados, vidas negadas: classe, raça e gênero no sistema prisional. Instagram, 29 mar. 2025. Disponível em: https://www.instagram.com/p/DHtHRxRgxT7/?utm_source=ig_web_copy_link&amp;igsh=MzRlODBiNWFlZA==. Acesso em: 19 jul. 2025.</x:v>
      </x:c>
      <x:c r="T232" s="10" t="str">
        <x:v>BR-SPCARANDIRU_MAPEAMENTOS-REMEMORA-CARANDIRU.xlsx</x:v>
      </x:c>
      <x:c r="U232" s="10" t="str">
        <x:v>Geral</x:v>
      </x:c>
      <x:c r="V232" s="11" t="n">
        <x:v>237</x:v>
      </x:c>
      <x:c r="W232" s="10" t="str">
        <x:v>BR-SPCARANDIRU_MAPEAMENTOS-REMEMORA-CARANDIRU.xlsx:Geral:237</x:v>
      </x:c>
      <x:c r="X232" s="11" t="n">
        <x:f>COLUMNS(A232:S232)-COUNTBLANK(A232:S232)</x:f>
        <x:v>17</x:v>
      </x:c>
    </x:row>
    <x:row r="233" ht="48" hidden="0" customHeight="1">
      <x:c r="A233" s="10" t="str">
        <x:v>Roteiro de memória</x:v>
      </x:c>
      <x:c r="B233" s="10" t="str"/>
      <x:c r="C233" s="10" t="str"/>
      <x:c r="D233" s="10" t="str">
        <x:v>Público Imediato</x:v>
      </x:c>
      <x:c r="E233" s="10" t="str">
        <x:v>Presencial/Físico</x:v>
      </x:c>
      <x:c r="F233" s="10" t="str">
        <x:v>2025-03-29 00:00:00</x:v>
      </x:c>
      <x:c r="G233" s="11" t="n">
        <x:v>2025</x:v>
      </x:c>
      <x:c r="H233" s="10" t="str">
        <x:v>Av. Cruzeiro do Sul, 2630 - Carandiru</x:v>
      </x:c>
      <x:c r="I233" s="10" t="str">
        <x:v>1ª Frente de Sobreviventes do Cárcere, Memórias Carandiru, Secretaria Municipal de Direitos Humanos e Instituto Resgata Cidadão</x:v>
      </x:c>
      <x:c r="J233" s="10" t="str">
        <x:v>Corpos encarcerados, vidas negadas: classe, raça e gênero no sistema prisional</x:v>
      </x:c>
      <x:c r="K233" s="10" t="str">
        <x:v>Iconográfico, Textual</x:v>
      </x:c>
      <x:c r="L233" s="10" t="str">
        <x:v>Texto (digital), Imagem (digital)</x:v>
      </x:c>
      <x:c r="M233" s="10" t="str">
        <x:v>Instagram (Memórias Carandiru)</x:v>
      </x:c>
      <x:c r="N233" s="10" t="str">
        <x:v>Português, Brasil</x:v>
      </x:c>
      <x:c r="O233" s="10" t="str">
        <x:v>Hiperlink</x:v>
      </x:c>
      <x:c r="P233" s="10" t="str">
        <x:v>2025-07-19 00:00:00</x:v>
      </x:c>
      <x:c r="Q233" s="10" t="str">
        <x:v>Aberto</x:v>
      </x:c>
      <x:c r="R233" s="10" t="str">
        <x:v>Aqui</x:v>
      </x:c>
      <x:c r="S233" s="10" t="str">
        <x:v>MEMÓRIAS CARANDIRU. Manifestação. Instagram, 1 abr. 2025. Disponível em: https://www.instagram.com/reel/DI4yeI2ybZI/?utm_source=ig_web_copy_link&amp;igsh=MzRlODBiNWFlZA==. Acesso em: 19 jul. 2025.</x:v>
      </x:c>
      <x:c r="T233" s="10" t="str">
        <x:v>BR-SPCARANDIRU_MAPEAMENTOS-REMEMORA-CARANDIRU.xlsx</x:v>
      </x:c>
      <x:c r="U233" s="10" t="str">
        <x:v>Geral</x:v>
      </x:c>
      <x:c r="V233" s="11" t="n">
        <x:v>238</x:v>
      </x:c>
      <x:c r="W233" s="10" t="str">
        <x:v>BR-SPCARANDIRU_MAPEAMENTOS-REMEMORA-CARANDIRU.xlsx:Geral:238</x:v>
      </x:c>
      <x:c r="X233" s="11" t="n">
        <x:f>COLUMNS(A233:S233)-COUNTBLANK(A233:S233)</x:f>
        <x:v>17</x:v>
      </x:c>
    </x:row>
    <x:row r="234" ht="36" hidden="0" customHeight="1">
      <x:c r="A234" s="10" t="str">
        <x:v>Manifestação</x:v>
      </x:c>
      <x:c r="B234" s="10" t="str"/>
      <x:c r="C234" s="10" t="str"/>
      <x:c r="D234" s="10" t="str">
        <x:v>Público Imediato</x:v>
      </x:c>
      <x:c r="E234" s="10" t="str">
        <x:v>Presencial/Físico</x:v>
      </x:c>
      <x:c r="F234" s="10" t="str">
        <x:v>2025-04-01 00:00:00</x:v>
      </x:c>
      <x:c r="G234" s="11" t="n">
        <x:v>2025</x:v>
      </x:c>
      <x:c r="H234" s="10" t="str">
        <x:v>Avenida Paulista</x:v>
      </x:c>
      <x:c r="I234" s="10" t="str">
        <x:v>Memoria Carandiru, 1ª Frente de Sobreviventes do Cárcere, Projeto Nova Rota</x:v>
      </x:c>
      <x:c r="J234" s="10" t="str">
        <x:v>Manifestação</x:v>
      </x:c>
      <x:c r="K234" s="10" t="str">
        <x:v>Iconográfico, Textual</x:v>
      </x:c>
      <x:c r="L234" s="10" t="str">
        <x:v>Texto (digital), Imagem (digital)</x:v>
      </x:c>
      <x:c r="M234" s="10" t="str">
        <x:v>Instagram (Memórias Carandiru)</x:v>
      </x:c>
      <x:c r="N234" s="10" t="str">
        <x:v>Português, Brasil</x:v>
      </x:c>
      <x:c r="O234" s="10" t="str">
        <x:v>Hiperlink</x:v>
      </x:c>
      <x:c r="P234" s="10" t="str">
        <x:v>2025-07-19 00:00:00</x:v>
      </x:c>
      <x:c r="Q234" s="10" t="str">
        <x:v>Aberto</x:v>
      </x:c>
      <x:c r="R234" s="10" t="str">
        <x:v>Aqui</x:v>
      </x:c>
      <x:c r="S234" s="10" t="str">
        <x:v>MEMÓRIAS CARANDIRU. Escrevivências do cárcere: vozes e resistências dos sobreviventes. Instagram, 12 abr. 2025. Disponível em: https://www.instagram.com/p/DHtHRxRgxT7/?utm_source=ig_web_copy_link&amp;igsh=MzRlODBiNWFlZA==. Acesso em: 19 jul. 2025.</x:v>
      </x:c>
      <x:c r="T234" s="10" t="str">
        <x:v>BR-SPCARANDIRU_MAPEAMENTOS-REMEMORA-CARANDIRU.xlsx</x:v>
      </x:c>
      <x:c r="U234" s="10" t="str">
        <x:v>Geral</x:v>
      </x:c>
      <x:c r="V234" s="11" t="n">
        <x:v>239</x:v>
      </x:c>
      <x:c r="W234" s="10" t="str">
        <x:v>BR-SPCARANDIRU_MAPEAMENTOS-REMEMORA-CARANDIRU.xlsx:Geral:239</x:v>
      </x:c>
      <x:c r="X234" s="11" t="n">
        <x:f>COLUMNS(A234:S234)-COUNTBLANK(A234:S234)</x:f>
        <x:v>17</x:v>
      </x:c>
    </x:row>
    <x:row r="235" ht="48" hidden="0" customHeight="1">
      <x:c r="A235" s="10" t="str">
        <x:v>Roteiro de memória</x:v>
      </x:c>
      <x:c r="B235" s="10" t="str"/>
      <x:c r="C235" s="10" t="str"/>
      <x:c r="D235" s="10" t="str">
        <x:v>Público Imediato</x:v>
      </x:c>
      <x:c r="E235" s="10" t="str">
        <x:v>Presencial/Físico</x:v>
      </x:c>
      <x:c r="F235" s="10" t="str">
        <x:v>2025-04-12 00:00:00</x:v>
      </x:c>
      <x:c r="G235" s="11" t="n">
        <x:v>2025</x:v>
      </x:c>
      <x:c r="H235" s="10" t="str">
        <x:v>Av. Cruzeiro do Sul, 2630 - Carandiru</x:v>
      </x:c>
      <x:c r="I235" s="10" t="str">
        <x:v>1ª Frente de Sobreviventes do Cárcere, Memórias Carandiru, Secretaria Municipal de Direitos Humanos e Instituto Resgata Cidadão</x:v>
      </x:c>
      <x:c r="J235" s="10" t="str">
        <x:v>Escrevivências do cárcere: vozes e resistências dos sobreviventes</x:v>
      </x:c>
      <x:c r="K235" s="10" t="str">
        <x:v>Iconográfico, Textual</x:v>
      </x:c>
      <x:c r="L235" s="10" t="str">
        <x:v>Texto (digital), Imagem (digital)</x:v>
      </x:c>
      <x:c r="M235" s="10" t="str">
        <x:v>Instagram (Memórias Carandiru)</x:v>
      </x:c>
      <x:c r="N235" s="10" t="str">
        <x:v>Português, Brasil</x:v>
      </x:c>
      <x:c r="O235" s="10" t="str">
        <x:v>Hiperlink</x:v>
      </x:c>
      <x:c r="P235" s="10" t="str">
        <x:v>2025-07-19 00:00:00</x:v>
      </x:c>
      <x:c r="Q235" s="10" t="str">
        <x:v>Aberto</x:v>
      </x:c>
      <x:c r="R235" s="10" t="str">
        <x:v>Aqui</x:v>
      </x:c>
      <x:c r="S235" s="10" t="str">
        <x:v>MEMÓRIAS CARANDIRU. Política de memória: qual a importância de lembrar o passado?. Instagram, 25 abr. 2025. Disponível em: https://www.instagram.com/p/DJpIJKnSkRr/?utm_source=ig_web_copy_link&amp;igsh=MzRlODBiNWFlZA==. Acesso em: 19 jul. 2025.</x:v>
      </x:c>
      <x:c r="T235" s="10" t="str">
        <x:v>BR-SPCARANDIRU_MAPEAMENTOS-REMEMORA-CARANDIRU.xlsx</x:v>
      </x:c>
      <x:c r="U235" s="10" t="str">
        <x:v>Geral</x:v>
      </x:c>
      <x:c r="V235" s="11" t="n">
        <x:v>240</x:v>
      </x:c>
      <x:c r="W235" s="10" t="str">
        <x:v>BR-SPCARANDIRU_MAPEAMENTOS-REMEMORA-CARANDIRU.xlsx:Geral:240</x:v>
      </x:c>
      <x:c r="X235" s="11" t="n">
        <x:f>COLUMNS(A235:S235)-COUNTBLANK(A235:S235)</x:f>
        <x:v>17</x:v>
      </x:c>
    </x:row>
    <x:row r="236" ht="48" hidden="0" customHeight="1">
      <x:c r="A236" s="10" t="str">
        <x:v>Roteiro de memória</x:v>
      </x:c>
      <x:c r="B236" s="10" t="str"/>
      <x:c r="C236" s="10" t="str"/>
      <x:c r="D236" s="10" t="str">
        <x:v>Público Imediato</x:v>
      </x:c>
      <x:c r="E236" s="10" t="str">
        <x:v>Presencial/Físico</x:v>
      </x:c>
      <x:c r="F236" s="10" t="str">
        <x:v>2025-04-25 00:00:00</x:v>
      </x:c>
      <x:c r="G236" s="11" t="n">
        <x:v>2025</x:v>
      </x:c>
      <x:c r="H236" s="10" t="str">
        <x:v>Av. Cruzeiro do Sul, 2630 - Carandiru</x:v>
      </x:c>
      <x:c r="I236" s="10" t="str">
        <x:v>1ª Frente de Sobreviventes do Cárcere, Memórias Carandiru, Secretaria Municipal de Direitos Humanos e Instituto Resgata Cidadão</x:v>
      </x:c>
      <x:c r="J236" s="10" t="str">
        <x:v>Política de memória: qual a importância de lembrar o passado?</x:v>
      </x:c>
      <x:c r="K236" s="10" t="str">
        <x:v>Iconográfico, Textual</x:v>
      </x:c>
      <x:c r="L236" s="10" t="str">
        <x:v>Texto (digital), Imagem (digital)</x:v>
      </x:c>
      <x:c r="M236" s="10" t="str">
        <x:v>Instagram (Memórias Carandiru)</x:v>
      </x:c>
      <x:c r="N236" s="10" t="str">
        <x:v>Português, Brasil</x:v>
      </x:c>
      <x:c r="O236" s="10" t="str">
        <x:v>Hiperlink</x:v>
      </x:c>
      <x:c r="P236" s="10" t="str">
        <x:v>2025-07-19 00:00:00</x:v>
      </x:c>
      <x:c r="Q236" s="10" t="str">
        <x:v>Aberto</x:v>
      </x:c>
      <x:c r="R236" s="10" t="str">
        <x:v>Aqui</x:v>
      </x:c>
      <x:c r="S236" s="10" t="str">
        <x:v>MEMÓRIAS CARANDIRU. Encarceramento em massa e racismo: um legado da escravidão?. Instagram, 26 abr. 2025. Disponível em: https://www.instagram.com/p/DIgth9JgI4r/?utm_source=ig_web_copy_link&amp;igsh=MzRlODBiNWFlZA==. Acesso em: 19 jul. 2025.</x:v>
      </x:c>
      <x:c r="T236" s="10" t="str">
        <x:v>BR-SPCARANDIRU_MAPEAMENTOS-REMEMORA-CARANDIRU.xlsx</x:v>
      </x:c>
      <x:c r="U236" s="10" t="str">
        <x:v>Geral</x:v>
      </x:c>
      <x:c r="V236" s="11" t="n">
        <x:v>241</x:v>
      </x:c>
      <x:c r="W236" s="10" t="str">
        <x:v>BR-SPCARANDIRU_MAPEAMENTOS-REMEMORA-CARANDIRU.xlsx:Geral:241</x:v>
      </x:c>
      <x:c r="X236" s="11" t="n">
        <x:f>COLUMNS(A236:S236)-COUNTBLANK(A236:S236)</x:f>
        <x:v>17</x:v>
      </x:c>
    </x:row>
    <x:row r="237" ht="48" hidden="0" customHeight="1">
      <x:c r="A237" s="10" t="str">
        <x:v>Roteiro de memória</x:v>
      </x:c>
      <x:c r="B237" s="10" t="str"/>
      <x:c r="C237" s="10" t="str"/>
      <x:c r="D237" s="10" t="str">
        <x:v>Público Imediato</x:v>
      </x:c>
      <x:c r="E237" s="10" t="str">
        <x:v>Presencial/Físico</x:v>
      </x:c>
      <x:c r="F237" s="10" t="str">
        <x:v>2025-04-26 00:00:00</x:v>
      </x:c>
      <x:c r="G237" s="11" t="n">
        <x:v>2025</x:v>
      </x:c>
      <x:c r="H237" s="10" t="str">
        <x:v>Avenida Cruzeiro do Sul, 2630 - Carandiru.</x:v>
      </x:c>
      <x:c r="I237" s="10" t="str">
        <x:v>1ª Frente de Sobreviventes do Cárcere, Memórias Carandiru, Secretaria Municipal de Direitos Humanos e Instituto Resgata Cidadão</x:v>
      </x:c>
      <x:c r="J237" s="10" t="str">
        <x:v>Encarceramento em massa e racismo: um legado da escravidão?</x:v>
      </x:c>
      <x:c r="K237" s="10" t="str">
        <x:v>Iconográfico, Textual</x:v>
      </x:c>
      <x:c r="L237" s="10" t="str">
        <x:v>Texto (digital), Imagem (digital)</x:v>
      </x:c>
      <x:c r="M237" s="10" t="str">
        <x:v>Instagram (Memórias Carandiru)</x:v>
      </x:c>
      <x:c r="N237" s="10" t="str">
        <x:v>Português, Brasil</x:v>
      </x:c>
      <x:c r="O237" s="10" t="str">
        <x:v>Hiperlink</x:v>
      </x:c>
      <x:c r="P237" s="10" t="str">
        <x:v>2025-07-19 00:00:00</x:v>
      </x:c>
      <x:c r="Q237" s="10" t="str">
        <x:v>Aberto</x:v>
      </x:c>
      <x:c r="R237" s="10" t="str">
        <x:v>Aqui</x:v>
      </x:c>
      <x:c r="S237" s="10" t="str">
        <x:v>MEMÓRIAS CARANDIRU. A falsa guerra às drogas: a cruzada antidrogas como política de encarceramento da população negra periférica. Instagram, 29 abr. 2025. Disponível em: https://www.instagram.com/p/DI9ZrimSjX_/?utm_source=ig_web_copy_link&amp;igsh=MzRlODBiNWFlZA==. Acesso em: 19 jul. 2025.</x:v>
      </x:c>
      <x:c r="T237" s="10" t="str">
        <x:v>BR-SPCARANDIRU_MAPEAMENTOS-REMEMORA-CARANDIRU.xlsx</x:v>
      </x:c>
      <x:c r="U237" s="10" t="str">
        <x:v>Geral</x:v>
      </x:c>
      <x:c r="V237" s="11" t="n">
        <x:v>242</x:v>
      </x:c>
      <x:c r="W237" s="10" t="str">
        <x:v>BR-SPCARANDIRU_MAPEAMENTOS-REMEMORA-CARANDIRU.xlsx:Geral:242</x:v>
      </x:c>
      <x:c r="X237" s="11" t="n">
        <x:f>COLUMNS(A237:S237)-COUNTBLANK(A237:S237)</x:f>
        <x:v>17</x:v>
      </x:c>
    </x:row>
    <x:row r="238" ht="84" hidden="0" customHeight="1">
      <x:c r="A238" s="10" t="str">
        <x:v>Palestra</x:v>
      </x:c>
      <x:c r="B238" s="10" t="str"/>
      <x:c r="C238" s="10" t="str"/>
      <x:c r="D238" s="10" t="str">
        <x:v>Público Imediato</x:v>
      </x:c>
      <x:c r="E238" s="10" t="str">
        <x:v>Presencial/Físico</x:v>
      </x:c>
      <x:c r="F238" s="10" t="str">
        <x:v>2025-04-29 00:00:00</x:v>
      </x:c>
      <x:c r="G238" s="11" t="n">
        <x:v>2025</x:v>
      </x:c>
      <x:c r="H238" s="10" t="str">
        <x:v>Unifesp Campus Guarulhos</x:v>
      </x:c>
      <x:c r="I238" s="10" t="str">
        <x:v>Centro Acadêmico de História Márcia D'Alessio Universidade Federal de São Paulo (UNIFESP), com Mauricio Monteiro (Memórias do Carandiru, 1ª Frente de Sobreviventes do Cárcere e Instituto Resgata Cidadão) e Nádia Lima (Memórias do Carandiru).</x:v>
      </x:c>
      <x:c r="J238" s="10" t="str">
        <x:v>A falsa guerra às drogas: A cruzada antidrogas como política de encarceramento da população negra periférica.</x:v>
      </x:c>
      <x:c r="K238" s="10" t="str">
        <x:v>Iconográfico, Textual</x:v>
      </x:c>
      <x:c r="L238" s="10" t="str">
        <x:v>Texto (digital), Imagem (digital)</x:v>
      </x:c>
      <x:c r="M238" s="10" t="str">
        <x:v>Instagram (Memórias Carandiru)</x:v>
      </x:c>
      <x:c r="N238" s="10" t="str">
        <x:v>Português, Brasil</x:v>
      </x:c>
      <x:c r="O238" s="10" t="str">
        <x:v>Hiperlink</x:v>
      </x:c>
      <x:c r="P238" s="10" t="str">
        <x:v>2025-07-19 00:00:00</x:v>
      </x:c>
      <x:c r="Q238" s="10" t="str">
        <x:v>Aberto</x:v>
      </x:c>
      <x:c r="R238" s="10" t="str">
        <x:v>Aqui</x:v>
      </x:c>
      <x:c r="S238" s="10" t="str">
        <x:v>MEMÓRIAS CARANDIRU. Aula sobre violência estatal, sobre a Casa de Detenção de São Paulo e sobre o massacre ocorrido em 1992. Instagram, 12 mai. 2025. Disponível em: https://www.instagram.com/p/DJo5ihIN3Jz/?utm_source=ig_web_copy_link&amp;igsh=MzRlODBiNWFlZA==. Acesso em: 19 jul. 2025.</x:v>
      </x:c>
      <x:c r="T238" s="10" t="str">
        <x:v>BR-SPCARANDIRU_MAPEAMENTOS-REMEMORA-CARANDIRU.xlsx</x:v>
      </x:c>
      <x:c r="U238" s="10" t="str">
        <x:v>Geral</x:v>
      </x:c>
      <x:c r="V238" s="11" t="n">
        <x:v>243</x:v>
      </x:c>
      <x:c r="W238" s="10" t="str">
        <x:v>BR-SPCARANDIRU_MAPEAMENTOS-REMEMORA-CARANDIRU.xlsx:Geral:243</x:v>
      </x:c>
      <x:c r="X238" s="11" t="n">
        <x:f>COLUMNS(A238:S238)-COUNTBLANK(A238:S238)</x:f>
        <x:v>17</x:v>
      </x:c>
    </x:row>
    <x:row r="239" ht="48" hidden="0" customHeight="1">
      <x:c r="A239" s="10" t="str">
        <x:v>Aula</x:v>
      </x:c>
      <x:c r="B239" s="10" t="str"/>
      <x:c r="C239" s="10" t="str"/>
      <x:c r="D239" s="10" t="str">
        <x:v>Público Imediato</x:v>
      </x:c>
      <x:c r="E239" s="10" t="str">
        <x:v>Presencial/Físico</x:v>
      </x:c>
      <x:c r="F239" s="10" t="str">
        <x:v>2025-05-12 00:00:00</x:v>
      </x:c>
      <x:c r="G239" s="11" t="n">
        <x:v>2025</x:v>
      </x:c>
      <x:c r="H239" s="10" t="str">
        <x:v>R. Dr. Avelino Chaves, 138 - Vila Hamburguesa, São Paulo - SP, 05318-040</x:v>
      </x:c>
      <x:c r="I239" s="10" t="str">
        <x:v>Programa de Residência Artística do Instituto Çarê e do Instituto de Estudos Brasileiros da Universidade de São Paulo (IEB-USP). Convidada: Maíra Machado</x:v>
      </x:c>
      <x:c r="J239" s="10" t="str">
        <x:v>Aula sobre violência estatal, sobre a Casa de Detenção de São Paulo e sobre o massacre ocorrido em 1992</x:v>
      </x:c>
      <x:c r="K239" s="10" t="str">
        <x:v>Iconográfico, Textual</x:v>
      </x:c>
      <x:c r="L239" s="10" t="str">
        <x:v>Texto (digital), Imagem (digital)</x:v>
      </x:c>
      <x:c r="M239" s="10" t="str">
        <x:v>Instagram (Memórias Carandiru)</x:v>
      </x:c>
      <x:c r="N239" s="10" t="str">
        <x:v>Português, Brasil</x:v>
      </x:c>
      <x:c r="O239" s="10" t="str">
        <x:v>Hiperlink</x:v>
      </x:c>
      <x:c r="P239" s="10" t="str">
        <x:v>2025-07-19 00:00:00</x:v>
      </x:c>
      <x:c r="Q239" s="10" t="str">
        <x:v>Aberto</x:v>
      </x:c>
      <x:c r="R239" s="10" t="str">
        <x:v>Aqui</x:v>
      </x:c>
      <x:c r="S239" s="10" t="str">
        <x:v>MEMÓRIAS CARANDIRU. Entrevista a Maurício Monteiro (Instituto Resgata Cidadão). Instagram, 24 mai. 2025. Disponível em: https://www.instagram.com/p/DKBCge6NWhR/?utm_source=ig_web_copy_link&amp;igsh=MzRlODBiNWFlZA==. Acesso em: 19 jul. 2025.</x:v>
      </x:c>
      <x:c r="T239" s="10" t="str">
        <x:v>BR-SPCARANDIRU_MAPEAMENTOS-REMEMORA-CARANDIRU.xlsx</x:v>
      </x:c>
      <x:c r="U239" s="10" t="str">
        <x:v>Geral</x:v>
      </x:c>
      <x:c r="V239" s="11" t="n">
        <x:v>244</x:v>
      </x:c>
      <x:c r="W239" s="10" t="str">
        <x:v>BR-SPCARANDIRU_MAPEAMENTOS-REMEMORA-CARANDIRU.xlsx:Geral:244</x:v>
      </x:c>
      <x:c r="X239" s="11" t="n">
        <x:f>COLUMNS(A239:S239)-COUNTBLANK(A239:S239)</x:f>
        <x:v>17</x:v>
      </x:c>
    </x:row>
    <x:row r="240" ht="24" hidden="0" customHeight="1">
      <x:c r="A240" s="10" t="str">
        <x:v>Entrevista</x:v>
      </x:c>
      <x:c r="B240" s="10" t="str"/>
      <x:c r="C240" s="10" t="str">
        <x:v>Produção midiática</x:v>
      </x:c>
      <x:c r="D240" s="10" t="str">
        <x:v>Público Mediado</x:v>
      </x:c>
      <x:c r="E240" s="10" t="str">
        <x:v>Midiático</x:v>
      </x:c>
      <x:c r="F240" s="10" t="str">
        <x:v>2025-05-24 00:00:00</x:v>
      </x:c>
      <x:c r="G240" s="11" t="n">
        <x:v>2025</x:v>
      </x:c>
      <x:c r="H240" s="10" t="str">
        <x:v>Não especificado</x:v>
      </x:c>
      <x:c r="I240" s="10" t="str">
        <x:v>Canal da Ação Negra na TV Fórum</x:v>
      </x:c>
      <x:c r="J240" s="10" t="str">
        <x:v>Entrevista a Maurício Monteiro (Instituto Resgata Cidadão)</x:v>
      </x:c>
      <x:c r="K240" s="10" t="str">
        <x:v>Iconográfico, Textual</x:v>
      </x:c>
      <x:c r="L240" s="10" t="str">
        <x:v>Texto (digital), Imagem (digital)</x:v>
      </x:c>
      <x:c r="M240" s="10" t="str">
        <x:v>Instagram (Memórias Carandiru)</x:v>
      </x:c>
      <x:c r="N240" s="10" t="str">
        <x:v>Português, Brasil</x:v>
      </x:c>
      <x:c r="O240" s="10" t="str">
        <x:v>Hiperlink</x:v>
      </x:c>
      <x:c r="P240" s="10" t="str">
        <x:v>2025-07-19 00:00:00</x:v>
      </x:c>
      <x:c r="Q240" s="10" t="str">
        <x:v>Aberto</x:v>
      </x:c>
      <x:c r="R240" s="10" t="str">
        <x:v>Aqui</x:v>
      </x:c>
      <x:c r="S240" s="10" t="str">
        <x:v>MEMÓRIAS CARANDIRU. Carandiru: memórias silenciadas e a luta pelo direito à verdade. Instagram, 14 jun. 2025. Disponível em: https://www.instagram.com/p/DKuLkPTgsup/?utm_source=ig_web_copy_link&amp;igsh=MzRlODBiNWFlZA==. Acesso em: 19 jul. 2025.</x:v>
      </x:c>
      <x:c r="T240" s="10" t="str">
        <x:v>BR-SPCARANDIRU_MAPEAMENTOS-REMEMORA-CARANDIRU.xlsx</x:v>
      </x:c>
      <x:c r="U240" s="10" t="str">
        <x:v>Geral</x:v>
      </x:c>
      <x:c r="V240" s="11" t="n">
        <x:v>245</x:v>
      </x:c>
      <x:c r="W240" s="10" t="str">
        <x:v>BR-SPCARANDIRU_MAPEAMENTOS-REMEMORA-CARANDIRU.xlsx:Geral:245</x:v>
      </x:c>
      <x:c r="X240" s="11" t="n">
        <x:f>COLUMNS(A240:S240)-COUNTBLANK(A240:S240)</x:f>
        <x:v>18</x:v>
      </x:c>
    </x:row>
    <x:row r="241" ht="48" hidden="0" customHeight="1">
      <x:c r="A241" s="10" t="str">
        <x:v>Roteiro de memória</x:v>
      </x:c>
      <x:c r="B241" s="10" t="str"/>
      <x:c r="C241" s="10" t="str"/>
      <x:c r="D241" s="10" t="str">
        <x:v>Público Imediato</x:v>
      </x:c>
      <x:c r="E241" s="10" t="str">
        <x:v>Presencial/Físico</x:v>
      </x:c>
      <x:c r="F241" s="10" t="str">
        <x:v>2025-06-14 00:00:00</x:v>
      </x:c>
      <x:c r="G241" s="11" t="n">
        <x:v>2025</x:v>
      </x:c>
      <x:c r="H241" s="10" t="str">
        <x:v>Av. Cruzeiro do Sul, 2630 - Carandiru</x:v>
      </x:c>
      <x:c r="I241" s="10" t="str">
        <x:v>1ª Frente de Sobreviventes do Cárcere, Memórias Carandiru, Secretaria Municipal de Direitos Humanos e Instituto Resgata Cidadão</x:v>
      </x:c>
      <x:c r="J241" s="10" t="str">
        <x:v>Carandiru: memórias silenciadas e a luta pelo direito à verdade</x:v>
      </x:c>
      <x:c r="K241" s="10" t="str">
        <x:v>Iconográfico, Textual</x:v>
      </x:c>
      <x:c r="L241" s="10" t="str">
        <x:v>Texto (digital), Imagem (digital)</x:v>
      </x:c>
      <x:c r="M241" s="10" t="str">
        <x:v>Instagram (Memórias Carandiru)</x:v>
      </x:c>
      <x:c r="N241" s="10" t="str">
        <x:v>Português, Brasil</x:v>
      </x:c>
      <x:c r="O241" s="10" t="str">
        <x:v>Hiperlink</x:v>
      </x:c>
      <x:c r="P241" s="10" t="str">
        <x:v>2025-07-19 00:00:00</x:v>
      </x:c>
      <x:c r="Q241" s="10" t="str">
        <x:v>Aberto</x:v>
      </x:c>
      <x:c r="R241" s="10" t="str">
        <x:v>Aqui</x:v>
      </x:c>
      <x:c r="S241" s="10" t="str">
        <x:v>MEMÓRIAS CARANDIRU. Tráfico transatlântico e encarceramento: histórias que se entrecruzam. Instagram, 21 jun. 2025. Disponível em: https://www.instagram.com/p/DLDPDdSApN6/?utm_source=ig_web_copy_link. Acesso em: 19 jul. 2025.</x:v>
      </x:c>
      <x:c r="T241" s="10" t="str">
        <x:v>BR-SPCARANDIRU_MAPEAMENTOS-REMEMORA-CARANDIRU.xlsx</x:v>
      </x:c>
      <x:c r="U241" s="10" t="str">
        <x:v>Geral</x:v>
      </x:c>
      <x:c r="V241" s="11" t="n">
        <x:v>246</x:v>
      </x:c>
      <x:c r="W241" s="10" t="str">
        <x:v>BR-SPCARANDIRU_MAPEAMENTOS-REMEMORA-CARANDIRU.xlsx:Geral:246</x:v>
      </x:c>
      <x:c r="X241" s="11" t="n">
        <x:f>COLUMNS(A241:S241)-COUNTBLANK(A241:S241)</x:f>
        <x:v>17</x:v>
      </x:c>
    </x:row>
    <x:row r="242" ht="48" hidden="0" customHeight="1">
      <x:c r="A242" s="10" t="str">
        <x:v>Roteiro de memória</x:v>
      </x:c>
      <x:c r="B242" s="10" t="str"/>
      <x:c r="C242" s="10" t="str"/>
      <x:c r="D242" s="10" t="str">
        <x:v>Público Imediato</x:v>
      </x:c>
      <x:c r="E242" s="10" t="str">
        <x:v>Presencial/Físico</x:v>
      </x:c>
      <x:c r="F242" s="10" t="str">
        <x:v>2025-06-21 00:00:00</x:v>
      </x:c>
      <x:c r="G242" s="11" t="n">
        <x:v>2025</x:v>
      </x:c>
      <x:c r="H242" s="10" t="str">
        <x:v>Av. Cruzeiro do Sul, 2630 - Carandiru</x:v>
      </x:c>
      <x:c r="I242" s="10" t="str">
        <x:v>1ª Frente de Sobreviventes do Cárcere, Memórias Carandiru, Secretaria Municipal de Direitos Humanos e Instituto Resgata Cidadão</x:v>
      </x:c>
      <x:c r="J242" s="10" t="str">
        <x:v>Tráfico transatlântico e encarceramento: histórias que se entrecruzam</x:v>
      </x:c>
      <x:c r="K242" s="10" t="str">
        <x:v>Iconográfico, Textual</x:v>
      </x:c>
      <x:c r="L242" s="10" t="str">
        <x:v>Texto (digital), Imagem (digital)</x:v>
      </x:c>
      <x:c r="M242" s="10" t="str">
        <x:v>Instagram (Memórias Carandiru)</x:v>
      </x:c>
      <x:c r="N242" s="10" t="str">
        <x:v>Português, Brasil</x:v>
      </x:c>
      <x:c r="O242" s="10" t="str">
        <x:v>Hiperlink</x:v>
      </x:c>
      <x:c r="P242" s="10" t="str">
        <x:v>2025-07-19 00:00:00</x:v>
      </x:c>
      <x:c r="Q242" s="10" t="str">
        <x:v>Aberto</x:v>
      </x:c>
      <x:c r="R242" s="10" t="str">
        <x:v>Aqui</x:v>
      </x:c>
      <x:c r="S242" s="10" t="str">
        <x:v>MEMÓRIAS CARANDIRU. Como combater o apagamento e contribuir para uma cultura de reparação. Instagram, 27 jun. 2025 Disponível em: https://www.instagram.com/p/DLV1JHcPiYb/?utm_source=ig_web_copy_link&amp;igsh=MzRlODBiNWFlZA==. Acesso em: 19 jul. 2025.</x:v>
      </x:c>
      <x:c r="T242" s="10" t="str">
        <x:v>BR-SPCARANDIRU_MAPEAMENTOS-REMEMORA-CARANDIRU.xlsx</x:v>
      </x:c>
      <x:c r="U242" s="10" t="str">
        <x:v>Geral</x:v>
      </x:c>
      <x:c r="V242" s="11" t="n">
        <x:v>247</x:v>
      </x:c>
      <x:c r="W242" s="10" t="str">
        <x:v>BR-SPCARANDIRU_MAPEAMENTOS-REMEMORA-CARANDIRU.xlsx:Geral:247</x:v>
      </x:c>
      <x:c r="X242" s="11" t="n">
        <x:f>COLUMNS(A242:S242)-COUNTBLANK(A242:S242)</x:f>
        <x:v>17</x:v>
      </x:c>
    </x:row>
    <x:row r="243" ht="24" hidden="0" customHeight="1">
      <x:c r="A243" s="10" t="str">
        <x:v>Live</x:v>
      </x:c>
      <x:c r="B243" s="10" t="str"/>
      <x:c r="C243" s="10" t="str"/>
      <x:c r="D243" s="10" t="str">
        <x:v>Público Mediado</x:v>
      </x:c>
      <x:c r="E243" s="10" t="str">
        <x:v>Virtual</x:v>
      </x:c>
      <x:c r="F243" s="10" t="str">
        <x:v>2025-06-27 00:00:00</x:v>
      </x:c>
      <x:c r="G243" s="11" t="n">
        <x:v>2025</x:v>
      </x:c>
      <x:c r="H243" s="10" t="str">
        <x:v>Não especificado</x:v>
      </x:c>
      <x:c r="I243" s="10" t="str">
        <x:v>Manas e Manhã Especial. Convidada: Helen Baum (Memórias Carandiru)</x:v>
      </x:c>
      <x:c r="J243" s="10" t="str">
        <x:v>Como combater o apagamento e contribuir para uma cultura de reparação</x:v>
      </x:c>
      <x:c r="K243" s="10" t="str">
        <x:v>Iconográfico, Textual</x:v>
      </x:c>
      <x:c r="L243" s="10" t="str">
        <x:v>Texto (digital), Imagem (digital)</x:v>
      </x:c>
      <x:c r="M243" s="10" t="str">
        <x:v>Instagram (Memória Carandiru)</x:v>
      </x:c>
      <x:c r="N243" s="10" t="str">
        <x:v>Português, Brasil</x:v>
      </x:c>
      <x:c r="O243" s="10" t="str">
        <x:v>Hiperlink</x:v>
      </x:c>
      <x:c r="P243" s="10" t="str">
        <x:v>2025-07-19 00:00:00</x:v>
      </x:c>
      <x:c r="Q243" s="10" t="str">
        <x:v>Aberto</x:v>
      </x:c>
      <x:c r="R243" s="10" t="str">
        <x:v>Aqui</x:v>
      </x:c>
      <x:c r="S243" s="10" t="str">
        <x:v>MEMÓRIA CARANDIRU. Carandiru não se esquece: das senzalas às penitenciárias. Instagram, 3 jul. 2025. Disponível em: https://www.instagram.com/memoriacarandiru/p/DLkhkIYAI7v/?hl=en. Acesso em: 16 jul. 2025.</x:v>
      </x:c>
      <x:c r="T243" s="10" t="str">
        <x:v>BR-SPCARANDIRU_MAPEAMENTOS-REMEMORA-CARANDIRU.xlsx</x:v>
      </x:c>
      <x:c r="U243" s="10" t="str">
        <x:v>Geral</x:v>
      </x:c>
      <x:c r="V243" s="11" t="n">
        <x:v>248</x:v>
      </x:c>
      <x:c r="W243" s="10" t="str">
        <x:v>BR-SPCARANDIRU_MAPEAMENTOS-REMEMORA-CARANDIRU.xlsx:Geral:248</x:v>
      </x:c>
      <x:c r="X243" s="11" t="n">
        <x:f>COLUMNS(A243:S243)-COUNTBLANK(A243:S243)</x:f>
        <x:v>17</x:v>
      </x:c>
    </x:row>
    <x:row r="244" ht="48" hidden="0" customHeight="1">
      <x:c r="A244" s="10" t="str">
        <x:v>Roteiro de memória</x:v>
      </x:c>
      <x:c r="B244" s="10" t="str"/>
      <x:c r="C244" s="10" t="str"/>
      <x:c r="D244" s="10" t="str">
        <x:v>Público Imediato</x:v>
      </x:c>
      <x:c r="E244" s="10" t="str">
        <x:v>Presencial/Físico</x:v>
      </x:c>
      <x:c r="F244" s="10" t="str">
        <x:v>2025-07-03 00:00:00</x:v>
      </x:c>
      <x:c r="G244" s="11" t="n">
        <x:v>2025</x:v>
      </x:c>
      <x:c r="H244" s="10" t="str">
        <x:v>Avenida Cruzeiro do Sul, 2630 - Carandiru (Entrada do Parque da Juventude)</x:v>
      </x:c>
      <x:c r="I244" s="10" t="str">
        <x:v>1ª Frente de Sobreviventes do Cárcere, Memórias Carandiru, Secretaria Municipal de Direitos Humanos e Instituto Resgata Cidadão</x:v>
      </x:c>
      <x:c r="J244" s="10" t="str">
        <x:v>Carandiru não se esquece: das senzalas as penitenciárias.</x:v>
      </x:c>
      <x:c r="K244" s="10" t="str">
        <x:v>Iconográfico, Textual</x:v>
      </x:c>
      <x:c r="L244" s="10" t="str">
        <x:v>Texto (digital), Imagem (digital)</x:v>
      </x:c>
      <x:c r="M244" s="10" t="str">
        <x:v>Instagram (Memórias Carandiru)</x:v>
      </x:c>
      <x:c r="N244" s="10" t="str">
        <x:v>Português, Brasil</x:v>
      </x:c>
      <x:c r="O244" s="10" t="str">
        <x:v>"manifestação solidariedade ao Massacre do Carandiru" no Google</x:v>
      </x:c>
      <x:c r="P244" s="10" t="str">
        <x:v>2025-07-16 00:00:00</x:v>
      </x:c>
      <x:c r="Q244" s="10" t="str">
        <x:v>Aberto</x:v>
      </x:c>
      <x:c r="R244" s="10" t="str">
        <x:v>Aqui</x:v>
      </x:c>
      <x:c r="S244" s="10" t="str">
        <x:v>MEMÓRIAS CARANDIRU. Carandiru: memórias silenciadas e a luta pelo direito à verdade. Instagram, 5 jul. 2025. Disponível em: https://www.instagram.com/p/DLoB6_hst9F/?utm_source=ig_web_copy_link&amp;igsh=MzRlODBiNWFlZA==. Acesso em: 19 jul. 2025.</x:v>
      </x:c>
      <x:c r="T244" s="10" t="str">
        <x:v>BR-SPCARANDIRU_MAPEAMENTOS-REMEMORA-CARANDIRU.xlsx</x:v>
      </x:c>
      <x:c r="U244" s="10" t="str">
        <x:v>Geral</x:v>
      </x:c>
      <x:c r="V244" s="11" t="n">
        <x:v>249</x:v>
      </x:c>
      <x:c r="W244" s="10" t="str">
        <x:v>BR-SPCARANDIRU_MAPEAMENTOS-REMEMORA-CARANDIRU.xlsx:Geral:249</x:v>
      </x:c>
      <x:c r="X244" s="11" t="n">
        <x:f>COLUMNS(A244:S244)-COUNTBLANK(A244:S244)</x:f>
        <x:v>17</x:v>
      </x:c>
    </x:row>
    <x:row r="245" ht="48" hidden="0" customHeight="1">
      <x:c r="A245" s="10" t="str">
        <x:v>Exposição</x:v>
      </x:c>
      <x:c r="B245" s="10" t="str"/>
      <x:c r="C245" s="10" t="str">
        <x:v>Manifestação artístico-cultural</x:v>
      </x:c>
      <x:c r="D245" s="10" t="str">
        <x:v>Público Imediato</x:v>
      </x:c>
      <x:c r="E245" s="10" t="str">
        <x:v>Presencial/Físico</x:v>
      </x:c>
      <x:c r="F245" s="10" t="str">
        <x:v>2025-07-05 00:00:00</x:v>
      </x:c>
      <x:c r="G245" s="11" t="n">
        <x:v>2025</x:v>
      </x:c>
      <x:c r="H245" s="10" t="str">
        <x:v>Av. Cruzeiro do Sul, 2630 - Carandiru</x:v>
      </x:c>
      <x:c r="I245" s="10" t="str">
        <x:v>Projeto Mãos do Quilombo, IREC, Memórias Carandiru, Cineblack, Instituto de Estudos Brasileiros da Universidade de São Paulo (IEB-USP)</x:v>
      </x:c>
      <x:c r="J245" s="10" t="str">
        <x:v>Entre Afetos: Narrativas sobre amor, memória, verdade e justiça a partir dos acervos documentais</x:v>
      </x:c>
      <x:c r="K245" s="10" t="str">
        <x:v>Iconográfico, Textual</x:v>
      </x:c>
      <x:c r="L245" s="10" t="str">
        <x:v>Texto (digital), Imagem (digital)</x:v>
      </x:c>
      <x:c r="M245" s="10" t="str">
        <x:v>Instagram (Memórias Carandiru)</x:v>
      </x:c>
      <x:c r="N245" s="10" t="str">
        <x:v>Português, Brasil</x:v>
      </x:c>
      <x:c r="O245" s="10" t="str">
        <x:v>Hiperlink</x:v>
      </x:c>
      <x:c r="P245" s="10" t="str">
        <x:v>2025-07-19 00:00:00</x:v>
      </x:c>
      <x:c r="Q245" s="10" t="str">
        <x:v>Aberto</x:v>
      </x:c>
      <x:c r="R245" s="10" t="str">
        <x:v>Aqui</x:v>
      </x:c>
      <x:c r="S245" s="10" t="str">
        <x:v>MEMÓRIAS CARANDIRU. Exposição Entre Afetos, no âmbito da 9ª Semana Nacional de Arquivos. Instagram, 9 ago. 2025. Disponível em: https://www.instagram.com/reel/DLGo3v3A0aU/?utm_source=ig_web_copy_link&amp;igsh=MzRlODBiNWFlZA==. Acesso em: 19 jul. 2025.</x:v>
      </x:c>
      <x:c r="T245" s="10" t="str">
        <x:v>BR-SPCARANDIRU_MAPEAMENTOS-REMEMORA-CARANDIRU.xlsx</x:v>
      </x:c>
      <x:c r="U245" s="10" t="str">
        <x:v>Geral</x:v>
      </x:c>
      <x:c r="V245" s="11" t="n">
        <x:v>250</x:v>
      </x:c>
      <x:c r="W245" s="10" t="str">
        <x:v>BR-SPCARANDIRU_MAPEAMENTOS-REMEMORA-CARANDIRU.xlsx:Geral:250</x:v>
      </x:c>
      <x:c r="X245" s="11" t="n">
        <x:f>COLUMNS(A245:S245)-COUNTBLANK(A245:S245)</x:f>
        <x:v>18</x:v>
      </x:c>
    </x:row>
    <x:row r="246" ht="24" hidden="0" customHeight="1">
      <x:c r="A246" s="10" t="str">
        <x:v>Exposição</x:v>
      </x:c>
      <x:c r="B246" s="10" t="str"/>
      <x:c r="C246" s="10" t="str">
        <x:v>Manifestação artístico-cultural</x:v>
      </x:c>
      <x:c r="D246" s="10" t="str">
        <x:v>Público Imediato</x:v>
      </x:c>
      <x:c r="E246" s="10" t="str">
        <x:v>Presencial/Físico</x:v>
      </x:c>
      <x:c r="F246" s="10" t="str">
        <x:v>2025-08-09 00:00:00</x:v>
      </x:c>
      <x:c r="G246" s="11" t="n">
        <x:v>2025</x:v>
      </x:c>
      <x:c r="H246" s="10" t="str">
        <x:v>Av. Cruzeiro do Sul, 2630 - Carandiru</x:v>
      </x:c>
      <x:c r="I246" s="10" t="str">
        <x:v>Instituto de Estudos Brasileiros da Universidade de São Paulo (IEB-USP)</x:v>
      </x:c>
      <x:c r="J246" s="10" t="str">
        <x:v>Memória Massacre Carandiru</x:v>
      </x:c>
      <x:c r="K246" s="10" t="str">
        <x:v>Iconográfico, Textual</x:v>
      </x:c>
      <x:c r="L246" s="10" t="str">
        <x:v>Texto (digital), Imagem (digital)</x:v>
      </x:c>
      <x:c r="M246" s="10" t="str">
        <x:v>Google Arts &amp; Culture (Memória Massacre Carandiru)</x:v>
      </x:c>
      <x:c r="N246" s="10" t="str">
        <x:v>Português, Brasil</x:v>
      </x:c>
      <x:c r="O246" s="10" t="str">
        <x:v>Hiperlink</x:v>
      </x:c>
      <x:c r="P246" s="10" t="str">
        <x:v>2025-07-19 00:00:00</x:v>
      </x:c>
      <x:c r="Q246" s="10" t="str">
        <x:v>Aberto</x:v>
      </x:c>
      <x:c r="R246" s="10" t="str">
        <x:v>Aqui</x:v>
      </x:c>
      <x:c r="S246" s="10" t="str">
        <x:v>GOOGLE ARTS &amp; CULTURE. Memória Massacre Carandiru. Google Arts &amp; Culture, [21 jun. 2024?]. Disponível em: https://artsandculture.google.com/story/-QUR6ep1-mKqIg?hl=pt-BR. Acesso em: 19 jul. 2025.</x:v>
      </x:c>
      <x:c r="T246" s="10" t="str">
        <x:v>BR-SPCARANDIRU_MAPEAMENTOS-REMEMORA-CARANDIRU.xlsx</x:v>
      </x:c>
      <x:c r="U246" s="10" t="str">
        <x:v>Geral</x:v>
      </x:c>
      <x:c r="V246" s="11" t="n">
        <x:v>251</x:v>
      </x:c>
      <x:c r="W246" s="10" t="str">
        <x:v>BR-SPCARANDIRU_MAPEAMENTOS-REMEMORA-CARANDIRU.xlsx:Geral:251</x:v>
      </x:c>
      <x:c r="X246" s="11" t="n">
        <x:f>COLUMNS(A246:S246)-COUNTBLANK(A246:S246)</x:f>
        <x:v>18</x:v>
      </x:c>
    </x:row>
    <x:row r="247" ht="48" hidden="0" customHeight="1">
      <x:c r="A247" s="10" t="str">
        <x:v>Roteiro de memória</x:v>
      </x:c>
      <x:c r="B247" s="10" t="str"/>
      <x:c r="C247" s="10" t="str"/>
      <x:c r="D247" s="10" t="str">
        <x:v>Público Imediato</x:v>
      </x:c>
      <x:c r="E247" s="10" t="str">
        <x:v>Presencial/Físico</x:v>
      </x:c>
      <x:c r="F247" s="10" t="str">
        <x:v>2025-08-16 00:00:00</x:v>
      </x:c>
      <x:c r="G247" s="11" t="n">
        <x:v>2025</x:v>
      </x:c>
      <x:c r="H247" s="10" t="str">
        <x:v>Av. Cruzeiro do Sul, 2630 – ao lado do metrô Carandiru.</x:v>
      </x:c>
      <x:c r="I247" s="10" t="str">
        <x:v>1ª Frente de Sobreviventes do Cárcere, Memórias Carandiru, Secretaria Municipal de Direitos Humanos e Instituto Resgata Cidadão</x:v>
      </x:c>
      <x:c r="J247" s="10" t="str">
        <x:v>Carandiru de África: resistências invisibilizadas</x:v>
      </x:c>
      <x:c r="K247" s="10" t="str">
        <x:v>Iconográfico, Textual</x:v>
      </x:c>
      <x:c r="L247" s="10" t="str">
        <x:v>Texto (digital), Imagem (digital)</x:v>
      </x:c>
      <x:c r="M247" s="10" t="str">
        <x:v>Instagram (Memórias Carandiru)</x:v>
      </x:c>
      <x:c r="N247" s="10" t="str">
        <x:v>Português, Brasil</x:v>
      </x:c>
      <x:c r="O247" s="10" t="str">
        <x:v>Hiperlink</x:v>
      </x:c>
      <x:c r="P247" s="10" t="str">
        <x:v>2025-10-11 00:00:00</x:v>
      </x:c>
      <x:c r="Q247" s="10" t="str">
        <x:v>Aberto</x:v>
      </x:c>
      <x:c r="R247" s="10" t="str">
        <x:v>Aqui</x:v>
      </x:c>
      <x:c r="S247" s="10" t="str">
        <x:v>MEMÓRIAS CARANDIRU. Carandiru de África: resistências invisibilizadas. Instagram, 6 ago. 2025. Disponível em: https://www.instagram.com/p/DNB3eeYyRxc. Acesso em: 14 out. 2025.</x:v>
      </x:c>
      <x:c r="T247" s="10" t="str">
        <x:v>BR-SPCARANDIRU_MAPEAMENTOS-REMEMORA-CARANDIRU.xlsx</x:v>
      </x:c>
      <x:c r="U247" s="10" t="str">
        <x:v>Geral</x:v>
      </x:c>
      <x:c r="V247" s="11" t="n">
        <x:v>252</x:v>
      </x:c>
      <x:c r="W247" s="10" t="str">
        <x:v>BR-SPCARANDIRU_MAPEAMENTOS-REMEMORA-CARANDIRU.xlsx:Geral:252</x:v>
      </x:c>
      <x:c r="X247" s="11" t="n">
        <x:f>COLUMNS(A247:S247)-COUNTBLANK(A247:S247)</x:f>
        <x:v>17</x:v>
      </x:c>
    </x:row>
    <x:row r="248" ht="48" hidden="0" customHeight="1">
      <x:c r="A248" s="10" t="str">
        <x:v>Roteiro de memória</x:v>
      </x:c>
      <x:c r="B248" s="10" t="str"/>
      <x:c r="C248" s="10" t="str"/>
      <x:c r="D248" s="10" t="str">
        <x:v>Público Imediato</x:v>
      </x:c>
      <x:c r="E248" s="10" t="str">
        <x:v>Presencial/Físico</x:v>
      </x:c>
      <x:c r="F248" s="10" t="str">
        <x:v>2025-08-30 00:00:00</x:v>
      </x:c>
      <x:c r="G248" s="11" t="n">
        <x:v>2025</x:v>
      </x:c>
      <x:c r="H248" s="10" t="str">
        <x:v>Av. Cruzeiro do Sul, 2630 – ao lado do metrô Carandiru.</x:v>
      </x:c>
      <x:c r="I248" s="10" t="str">
        <x:v>1ª Frente de Sobreviventes do Cárcere, Memórias Carandiru, Secretaria Municipal de Direitos Humanos e Instituto Resgata Cidadão</x:v>
      </x:c>
      <x:c r="J248" s="10" t="str">
        <x:v>Casa de detenção e o apagamento das terras ancestrais</x:v>
      </x:c>
      <x:c r="K248" s="10" t="str">
        <x:v>Iconográfico, Textual</x:v>
      </x:c>
      <x:c r="L248" s="10" t="str">
        <x:v>Texto (digital), Imagem (digital)</x:v>
      </x:c>
      <x:c r="M248" s="10" t="str">
        <x:v>Instagram (Memórias Carandiru)</x:v>
      </x:c>
      <x:c r="N248" s="10" t="str">
        <x:v>Português, Brasil</x:v>
      </x:c>
      <x:c r="O248" s="10" t="str">
        <x:v>Hiperlink</x:v>
      </x:c>
      <x:c r="P248" s="10" t="str">
        <x:v>2025-10-11 00:00:00</x:v>
      </x:c>
      <x:c r="Q248" s="10" t="str">
        <x:v>Aberto</x:v>
      </x:c>
      <x:c r="R248" s="10" t="str">
        <x:v>Aqui</x:v>
      </x:c>
      <x:c r="S248" s="10" t="str">
        <x:v>MEMÓRIAS CARANDIRU. Casa de detenção e o apagamento das terras ancestrais. Instagram, 20 ago. 2025. Disponível em: https://www.instagram.com/p/DNlApTmgnxE. Acesso em: 14 out. 2025.</x:v>
      </x:c>
      <x:c r="T248" s="10" t="str">
        <x:v>BR-SPCARANDIRU_MAPEAMENTOS-REMEMORA-CARANDIRU.xlsx</x:v>
      </x:c>
      <x:c r="U248" s="10" t="str">
        <x:v>Geral</x:v>
      </x:c>
      <x:c r="V248" s="11" t="n">
        <x:v>253</x:v>
      </x:c>
      <x:c r="W248" s="10" t="str">
        <x:v>BR-SPCARANDIRU_MAPEAMENTOS-REMEMORA-CARANDIRU.xlsx:Geral:253</x:v>
      </x:c>
      <x:c r="X248" s="11" t="n">
        <x:f>COLUMNS(A248:S248)-COUNTBLANK(A248:S248)</x:f>
        <x:v>17</x:v>
      </x:c>
    </x:row>
    <x:row r="249" ht="48" hidden="0" customHeight="1">
      <x:c r="A249" s="10" t="str">
        <x:v>Roteiro de memória</x:v>
      </x:c>
      <x:c r="B249" s="10" t="str"/>
      <x:c r="C249" s="10" t="str"/>
      <x:c r="D249" s="10" t="str">
        <x:v>Público Imediato</x:v>
      </x:c>
      <x:c r="E249" s="10" t="str">
        <x:v>Presencial/Físico</x:v>
      </x:c>
      <x:c r="F249" s="10" t="str">
        <x:v>2025-09-13 00:00:00</x:v>
      </x:c>
      <x:c r="G249" s="11" t="n">
        <x:v>2025</x:v>
      </x:c>
      <x:c r="H249" s="10" t="str">
        <x:v>Av. Cruzeiro do Sul, 2630 – ao lado do metrô Carandiru.</x:v>
      </x:c>
      <x:c r="I249" s="10" t="str">
        <x:v>1ª Frente de Sobreviventes do Cárcere, Memórias Carandiru, Secretaria Municipal de Direitos Humanos e Instituto Resgata Cidadão</x:v>
      </x:c>
      <x:c r="J249" s="10" t="str">
        <x:v>Os sobreviventes falam: depoimentos e a construção da memória</x:v>
      </x:c>
      <x:c r="K249" s="10" t="str">
        <x:v>Iconográfico, Textual</x:v>
      </x:c>
      <x:c r="L249" s="10" t="str">
        <x:v>Texto (digital), Imagem (digital)</x:v>
      </x:c>
      <x:c r="M249" s="10" t="str">
        <x:v>Instagram (Memórias Carandiru)</x:v>
      </x:c>
      <x:c r="N249" s="10" t="str">
        <x:v>Português, Brasil</x:v>
      </x:c>
      <x:c r="O249" s="10" t="str">
        <x:v>Hiperlink</x:v>
      </x:c>
      <x:c r="P249" s="10" t="str">
        <x:v>2025-10-11 00:00:00</x:v>
      </x:c>
      <x:c r="Q249" s="10" t="str">
        <x:v>Aberto</x:v>
      </x:c>
      <x:c r="R249" s="10" t="str">
        <x:v>Aqui</x:v>
      </x:c>
      <x:c r="S249" s="10" t="str">
        <x:v>MEMÓRIAS CARANDIRU. Os sobreviventes falam: depoimentos e a construção da memória. Instagram, 8 set. 2025. Disponível em: https://www.instagram.com/p/DOWWJFIgNUC. Acesso em: 14 out. 2025.</x:v>
      </x:c>
      <x:c r="T249" s="10" t="str">
        <x:v>BR-SPCARANDIRU_MAPEAMENTOS-REMEMORA-CARANDIRU.xlsx</x:v>
      </x:c>
      <x:c r="U249" s="10" t="str">
        <x:v>Geral</x:v>
      </x:c>
      <x:c r="V249" s="11" t="n">
        <x:v>254</x:v>
      </x:c>
      <x:c r="W249" s="10" t="str">
        <x:v>BR-SPCARANDIRU_MAPEAMENTOS-REMEMORA-CARANDIRU.xlsx:Geral:254</x:v>
      </x:c>
      <x:c r="X249" s="11" t="n">
        <x:f>COLUMNS(A249:S249)-COUNTBLANK(A249:S249)</x:f>
        <x:v>17</x:v>
      </x:c>
    </x:row>
    <x:row r="250" ht="48" hidden="0" customHeight="1">
      <x:c r="A250" s="10" t="str">
        <x:v>Roteiro de memória</x:v>
      </x:c>
      <x:c r="B250" s="10" t="str"/>
      <x:c r="C250" s="10" t="str"/>
      <x:c r="D250" s="10" t="str">
        <x:v>Público Imediato</x:v>
      </x:c>
      <x:c r="E250" s="10" t="str">
        <x:v>Presencial/Físico</x:v>
      </x:c>
      <x:c r="F250" s="10" t="str">
        <x:v>2025-09-27 00:00:00</x:v>
      </x:c>
      <x:c r="G250" s="11" t="n">
        <x:v>2025</x:v>
      </x:c>
      <x:c r="H250" s="10" t="str">
        <x:v>Av. Cruzeiro do Sul, 2630 – ao lado do metrô Carandiru.</x:v>
      </x:c>
      <x:c r="I250" s="10" t="str">
        <x:v>1ª Frente de Sobreviventes do Cárcere, Memórias Carandiru, Secretaria Municipal de Direitos Humanos e Instituto Resgata Cidadão</x:v>
      </x:c>
      <x:c r="J250" s="10" t="str">
        <x:v>Territórios de dor e de luta: o Carandiru como patrimônio de memória</x:v>
      </x:c>
      <x:c r="K250" s="10" t="str">
        <x:v>Iconográfico, Textual</x:v>
      </x:c>
      <x:c r="L250" s="10" t="str">
        <x:v>Texto (digital), Imagem (digital)</x:v>
      </x:c>
      <x:c r="M250" s="10" t="str">
        <x:v>Instagram (Memórias Carandiru)</x:v>
      </x:c>
      <x:c r="N250" s="10" t="str">
        <x:v>Português, Brasil</x:v>
      </x:c>
      <x:c r="O250" s="10" t="str">
        <x:v>Hiperlink</x:v>
      </x:c>
      <x:c r="P250" s="10" t="str">
        <x:v>2025-10-11 00:00:00</x:v>
      </x:c>
      <x:c r="Q250" s="10" t="str">
        <x:v>Aberto</x:v>
      </x:c>
      <x:c r="R250" s="10" t="str">
        <x:v>Aqui</x:v>
      </x:c>
      <x:c r="S250" s="10" t="str">
        <x:v>MEMÓRIAS CARANDIRU. Territórios de dor e de luta: o Carandiru como patrimônio de memória. Instagram, 22 set. 2025. Disponível em: https://www.instagram.com/p/DO6NpQsjS_g. Acesso em: 14 out. 2025.</x:v>
      </x:c>
      <x:c r="T250" s="10" t="str">
        <x:v>BR-SPCARANDIRU_MAPEAMENTOS-REMEMORA-CARANDIRU.xlsx</x:v>
      </x:c>
      <x:c r="U250" s="10" t="str">
        <x:v>Geral</x:v>
      </x:c>
      <x:c r="V250" s="11" t="n">
        <x:v>255</x:v>
      </x:c>
      <x:c r="W250" s="10" t="str">
        <x:v>BR-SPCARANDIRU_MAPEAMENTOS-REMEMORA-CARANDIRU.xlsx:Geral:255</x:v>
      </x:c>
      <x:c r="X250" s="11" t="n">
        <x:f>COLUMNS(A250:S250)-COUNTBLANK(A250:S250)</x:f>
        <x:v>17</x:v>
      </x:c>
    </x:row>
    <x:row r="251" ht="15" hidden="0" customHeight="1">
      <x:c r="A251" s="10" t="str">
        <x:v>Vídeo</x:v>
      </x:c>
      <x:c r="B251" s="10" t="str"/>
      <x:c r="C251" s="10" t="str">
        <x:v>Produção midiática</x:v>
      </x:c>
      <x:c r="D251" s="10" t="str">
        <x:v>Público Mediado</x:v>
      </x:c>
      <x:c r="E251" s="10" t="str">
        <x:v>Midiático</x:v>
      </x:c>
      <x:c r="F251" s="10" t="str">
        <x:v>2025-08-25 00:00:00</x:v>
      </x:c>
      <x:c r="G251" s="11" t="n">
        <x:v>2025</x:v>
      </x:c>
      <x:c r="H251" s="10" t="str">
        <x:v>Não especificado</x:v>
      </x:c>
      <x:c r="I251" s="10" t="str">
        <x:v>Canal "Planeta Novo"</x:v>
      </x:c>
      <x:c r="J251" s="10" t="str">
        <x:v>O massacre do Carandiru | Humanidade #1.</x:v>
      </x:c>
      <x:c r="K251" s="10" t="str">
        <x:v>Audiovisual</x:v>
      </x:c>
      <x:c r="L251" s="10" t="str">
        <x:v>Vídeo (digital)</x:v>
      </x:c>
      <x:c r="M251" s="10" t="str">
        <x:v>YouTube (Planeta Novo)</x:v>
      </x:c>
      <x:c r="N251" s="10" t="str">
        <x:v>Português, Brasil</x:v>
      </x:c>
      <x:c r="O251" s="10" t="str">
        <x:v>"Massacre do Carandiru" no Youtube</x:v>
      </x:c>
      <x:c r="P251" s="10" t="str">
        <x:v>2025-10-16 00:00:00</x:v>
      </x:c>
      <x:c r="Q251" s="10" t="str">
        <x:v>Aberto</x:v>
      </x:c>
      <x:c r="R251" s="10" t="str">
        <x:v>Aqui</x:v>
      </x:c>
      <x:c r="S251" s="10" t="str">
        <x:v>PLANETA NOVO. O massacre do Carandiru | Humanidade #1. YouTube, 25 ago. 2025. Disponível em: https://www.youtube.com/watch?v=-IIGlAluqso. Acesso em: 19 jul. 2025.</x:v>
      </x:c>
      <x:c r="T251" s="10" t="str">
        <x:v>BR-SPCARANDIRU_MAPEAMENTOS-REMEMORA-CARANDIRU.xlsx</x:v>
      </x:c>
      <x:c r="U251" s="10" t="str">
        <x:v>Geral</x:v>
      </x:c>
      <x:c r="V251" s="11" t="n">
        <x:v>256</x:v>
      </x:c>
      <x:c r="W251" s="10" t="str">
        <x:v>BR-SPCARANDIRU_MAPEAMENTOS-REMEMORA-CARANDIRU.xlsx:Geral:256</x:v>
      </x:c>
      <x:c r="X251" s="11" t="n">
        <x:f>COLUMNS(A251:S251)-COUNTBLANK(A251:S251)</x:f>
        <x:v>18</x:v>
      </x:c>
    </x:row>
    <x:row r="252" ht="24" hidden="0" customHeight="1">
      <x:c r="A252" s="10" t="str">
        <x:v>Vídeo</x:v>
      </x:c>
      <x:c r="B252" s="10" t="str"/>
      <x:c r="C252" s="10" t="str">
        <x:v>Produção midiática</x:v>
      </x:c>
      <x:c r="D252" s="10" t="str">
        <x:v>Público Mediado</x:v>
      </x:c>
      <x:c r="E252" s="10" t="str">
        <x:v>Midiático</x:v>
      </x:c>
      <x:c r="F252" s="10" t="str">
        <x:v>2025-07-02 00:00:00</x:v>
      </x:c>
      <x:c r="G252" s="11" t="n">
        <x:v>2025</x:v>
      </x:c>
      <x:c r="H252" s="10" t="str">
        <x:v>Não especificado</x:v>
      </x:c>
      <x:c r="I252" s="10" t="str">
        <x:v>Canal "TIKTAL CORTES [OFICIAL]"</x:v>
      </x:c>
      <x:c r="J252" s="10" t="str">
        <x:v>Sobrevivente do Carandiru relata em detalhes o dia do massacre.</x:v>
      </x:c>
      <x:c r="K252" s="10" t="str">
        <x:v>Audiovisual</x:v>
      </x:c>
      <x:c r="L252" s="10" t="str">
        <x:v>Vídeo (digital)</x:v>
      </x:c>
      <x:c r="M252" s="10" t="str">
        <x:v>YouTube (Tiktal Cortes [Oficial])</x:v>
      </x:c>
      <x:c r="N252" s="10" t="str">
        <x:v>Português, Brasil</x:v>
      </x:c>
      <x:c r="O252" s="10" t="str">
        <x:v>"Massacre do Carandiru" no Youtube</x:v>
      </x:c>
      <x:c r="P252" s="10" t="str">
        <x:v>2025-10-16 00:00:00</x:v>
      </x:c>
      <x:c r="Q252" s="10" t="str">
        <x:v>Aberto</x:v>
      </x:c>
      <x:c r="R252" s="10" t="str">
        <x:v>Aqui</x:v>
      </x:c>
      <x:c r="S252" s="10" t="str">
        <x:v>TIKTAL CORTES [OFICIAL]. Sobrevivente do Carandiru relata em detalhes o dia do massacre. YouTube, 23 min 37 s, 2 jul. 2025. Disponível em: https://www.youtube.com/watch?v=ktNcuySOyZI. Acesso em: 19 jul. 2025.</x:v>
      </x:c>
      <x:c r="T252" s="10" t="str">
        <x:v>BR-SPCARANDIRU_MAPEAMENTOS-REMEMORA-CARANDIRU.xlsx</x:v>
      </x:c>
      <x:c r="U252" s="10" t="str">
        <x:v>Geral</x:v>
      </x:c>
      <x:c r="V252" s="11" t="n">
        <x:v>257</x:v>
      </x:c>
      <x:c r="W252" s="10" t="str">
        <x:v>BR-SPCARANDIRU_MAPEAMENTOS-REMEMORA-CARANDIRU.xlsx:Geral:257</x:v>
      </x:c>
      <x:c r="X252" s="11" t="n">
        <x:f>COLUMNS(A252:S252)-COUNTBLANK(A252:S252)</x:f>
        <x:v>18</x:v>
      </x:c>
    </x:row>
    <x:row r="253" ht="24" hidden="0" customHeight="1">
      <x:c r="A253" s="10" t="str">
        <x:v>Debate</x:v>
      </x:c>
      <x:c r="B253" s="10" t="str"/>
      <x:c r="C253" s="10" t="str"/>
      <x:c r="D253" s="10" t="str">
        <x:v>Público Imediato</x:v>
      </x:c>
      <x:c r="E253" s="10" t="str">
        <x:v>Presencial/Físico</x:v>
      </x:c>
      <x:c r="F253" s="10" t="str">
        <x:v>2025-09-29 00:00:00</x:v>
      </x:c>
      <x:c r="G253" s="11" t="n">
        <x:v>2025</x:v>
      </x:c>
      <x:c r="H253" s="10" t="str">
        <x:v>FGV Direito - R. Dr. Plínio Barreto, 365 - Bela Vista, São Paulo</x:v>
      </x:c>
      <x:c r="I253" s="10" t="str">
        <x:v>Grupo de Pesquisa em Direito e Violência de Estado</x:v>
      </x:c>
      <x:c r="J253" s="10" t="str">
        <x:v>Massacre do Carandiru 33 anos: apresentação e debate das pesquisas do Grupo de Pesquisa em Direito e Violência de Estado</x:v>
      </x:c>
      <x:c r="K253" s="10" t="str">
        <x:v>Textual</x:v>
      </x:c>
      <x:c r="L253" s="10" t="str">
        <x:v>Texto (digital)</x:v>
      </x:c>
      <x:c r="M253" s="10" t="str">
        <x:v>FGV DIREITO SP</x:v>
      </x:c>
      <x:c r="N253" s="10" t="str">
        <x:v>Português, Brasil</x:v>
      </x:c>
      <x:c r="O253" s="10" t="str">
        <x:v>Hiperlink (via Whatsapp)</x:v>
      </x:c>
      <x:c r="P253" s="10" t="str">
        <x:v>2025-10-17 00:00:00</x:v>
      </x:c>
      <x:c r="Q253" s="10" t="str">
        <x:v>Aberto</x:v>
      </x:c>
      <x:c r="R253" s="10" t="str">
        <x:v>Aqui</x:v>
      </x:c>
      <x:c r="S253" s="10" t="str">
        <x:v>FGV DIREITO SP. Massacre do Carandiru 33 anos: apresentação e debate das pesquisas do Grupo de Pesquisa em Direito e Violência de Estado. FGV Direito SP - Escola de Direito de São Paulo, São Paulo, 29 set. 2025. Disponível em: https://evento.fgv.br/massacre_carandiru_33_anos/. Acesso em: 15 out. 2025.</x:v>
      </x:c>
      <x:c r="T253" s="10" t="str">
        <x:v>BR-SPCARANDIRU_MAPEAMENTOS-REMEMORA-CARANDIRU.xlsx</x:v>
      </x:c>
      <x:c r="U253" s="10" t="str">
        <x:v>Geral</x:v>
      </x:c>
      <x:c r="V253" s="11" t="n">
        <x:v>258</x:v>
      </x:c>
      <x:c r="W253" s="10" t="str">
        <x:v>BR-SPCARANDIRU_MAPEAMENTOS-REMEMORA-CARANDIRU.xlsx:Geral:258</x:v>
      </x:c>
      <x:c r="X253" s="11" t="n">
        <x:f>COLUMNS(A253:S253)-COUNTBLANK(A253:S253)</x:f>
        <x:v>17</x:v>
      </x:c>
    </x:row>
    <x:row r="254" ht="15" hidden="0" customHeight="1">
      <x:c r="A254" s="10" t="str">
        <x:v>Rádio (episódio)</x:v>
      </x:c>
      <x:c r="B254" s="10" t="str"/>
      <x:c r="C254" s="10" t="str">
        <x:v>Produção midiática</x:v>
      </x:c>
      <x:c r="D254" s="10" t="str">
        <x:v>Público Mediado</x:v>
      </x:c>
      <x:c r="E254" s="10" t="str">
        <x:v>Midiático</x:v>
      </x:c>
      <x:c r="F254" s="10" t="str">
        <x:v>2025-10-02 00:00:00</x:v>
      </x:c>
      <x:c r="G254" s="11" t="n">
        <x:v>2025</x:v>
      </x:c>
      <x:c r="H254" s="10" t="str">
        <x:v>Rio de Janeiro</x:v>
      </x:c>
      <x:c r="I254" s="10" t="str">
        <x:v>Rádio Novelo</x:v>
      </x:c>
      <x:c r="J254" s="10" t="str">
        <x:v>A cena do crime</x:v>
      </x:c>
      <x:c r="K254" s="10" t="str">
        <x:v>Sonoro</x:v>
      </x:c>
      <x:c r="L254" s="10" t="str">
        <x:v>Áudio (digital)</x:v>
      </x:c>
      <x:c r="M254" s="10" t="str">
        <x:v>Instituto Sou Da Paz</x:v>
      </x:c>
      <x:c r="N254" s="10" t="str">
        <x:v>Português, Brasil</x:v>
      </x:c>
      <x:c r="O254" s="10" t="str">
        <x:v>Hiperlink (via Whatsapp)</x:v>
      </x:c>
      <x:c r="P254" s="10" t="str">
        <x:v>2025-10-17 00:00:00</x:v>
      </x:c>
      <x:c r="Q254" s="10" t="str">
        <x:v>Aberto</x:v>
      </x:c>
      <x:c r="R254" s="10" t="str">
        <x:v>Aqui</x:v>
      </x:c>
      <x:c r="S254" s="10" t="str">
        <x:v>INSTITUTO SOU DA PAZ. A cena do crime. Rio de Janeiro: Rádio Novelo, 2 out. 2025. Disponível em: https://www.instagram.com/reel/DPUjKt6kYGM. Acesso em: 17 out. 2025.</x:v>
      </x:c>
      <x:c r="T254" s="10" t="str">
        <x:v>BR-SPCARANDIRU_MAPEAMENTOS-REMEMORA-CARANDIRU.xlsx</x:v>
      </x:c>
      <x:c r="U254" s="10" t="str">
        <x:v>Geral</x:v>
      </x:c>
      <x:c r="V254" s="11" t="n">
        <x:v>259</x:v>
      </x:c>
      <x:c r="W254" s="10" t="str">
        <x:v>BR-SPCARANDIRU_MAPEAMENTOS-REMEMORA-CARANDIRU.xlsx:Geral:259</x:v>
      </x:c>
      <x:c r="X254" s="11" t="n">
        <x:f>COLUMNS(A254:S254)-COUNTBLANK(A254:S254)</x:f>
        <x:v>18</x:v>
      </x:c>
    </x:row>
    <x:row r="255" ht="24" hidden="0" customHeight="1">
      <x:c r="A255" s="10" t="str">
        <x:v>Exposição</x:v>
      </x:c>
      <x:c r="B255" s="10" t="str"/>
      <x:c r="C255" s="10" t="str">
        <x:v>Manifestação artístico-cultural</x:v>
      </x:c>
      <x:c r="D255" s="10" t="str">
        <x:v>Público Imediato</x:v>
      </x:c>
      <x:c r="E255" s="10" t="str">
        <x:v>Presencial/Físico</x:v>
      </x:c>
      <x:c r="F255" s="10" t="str">
        <x:v>2026-01-17 00:00:00</x:v>
      </x:c>
      <x:c r="G255" s="11" t="n">
        <x:v>2026</x:v>
      </x:c>
      <x:c r="H255" s="10" t="str">
        <x:v>São Paulo</x:v>
      </x:c>
      <x:c r="I255" s="10" t="str">
        <x:v>coletivo Educadores Memórias Carandiru e IEB USP</x:v>
      </x:c>
      <x:c r="J255" s="10" t="str">
        <x:v>Última semana da exposição sobre o “Massacre do Carandiru” no Instituto Çarê, em São Paulo</x:v>
      </x:c>
      <x:c r="K255" s="10" t="str">
        <x:v>Iconográfico, Textual</x:v>
      </x:c>
      <x:c r="L255" s="10" t="str">
        <x:v>Texto (digital), Imagem (digital)</x:v>
      </x:c>
      <x:c r="M255" s="10" t="str">
        <x:v>Pereira, Fabiane</x:v>
      </x:c>
      <x:c r="N255" s="10" t="str">
        <x:v>Português, Brasil</x:v>
      </x:c>
      <x:c r="O255" s="10" t="str">
        <x:v>Hiperlink (via Whatsapp)</x:v>
      </x:c>
      <x:c r="P255" s="10" t="str">
        <x:v>2026-09-11 00:00:00</x:v>
      </x:c>
      <x:c r="Q255" s="10" t="str">
        <x:v>Aberto</x:v>
      </x:c>
      <x:c r="R255" s="10" t="str">
        <x:v>Aqui</x:v>
      </x:c>
      <x:c r="S255" s="10" t="str">
        <x:v>PEREIRA, Fabiane. Última semana da exposição sobre o “Massacre do Carandiru” no Instituto Çarê, em São Paulo. Nova Brasil FM, 10 fev. 2026, 16:29. Disponível em: &lt;https://novabrasilfm.com.br/arte-e-cultura/ultima-semana-da-exposicao-sobre-o-massacre-do-carandiru-no-instituto-care-em-sao-paulo&gt;. Acesso em: 11 set. 2026</x:v>
      </x:c>
      <x:c r="T255" s="10" t="str">
        <x:v>BR-SPCARANDIRU_MAPEAMENTOS-REMEMORA-CARANDIRU.xlsx</x:v>
      </x:c>
      <x:c r="U255" s="10" t="str">
        <x:v>Geral</x:v>
      </x:c>
      <x:c r="V255" s="11" t="n">
        <x:v>260</x:v>
      </x:c>
      <x:c r="W255" s="10" t="str">
        <x:v>BR-SPCARANDIRU_MAPEAMENTOS-REMEMORA-CARANDIRU.xlsx:Geral:260</x:v>
      </x:c>
      <x:c r="X255" s="11" t="n">
        <x:f>COLUMNS(A255:S255)-COUNTBLANK(A255:S255)</x:f>
        <x:v>18</x:v>
      </x:c>
    </x:row>
    <x:row r="256" ht="36" hidden="0" customHeight="1">
      <x:c r="A256" s="10" t="str">
        <x:v>Roda de conversa</x:v>
      </x:c>
      <x:c r="B256" s="10" t="str"/>
      <x:c r="C256" s="10" t="str"/>
      <x:c r="D256" s="10" t="str">
        <x:v>Público Imediato</x:v>
      </x:c>
      <x:c r="E256" s="10" t="str">
        <x:v>Presencial/Físico</x:v>
      </x:c>
      <x:c r="F256" s="10" t="str">
        <x:v>2025-10-02 00:00:00</x:v>
      </x:c>
      <x:c r="G256" s="11" t="n">
        <x:v>2025</x:v>
      </x:c>
      <x:c r="H256" s="10" t="str">
        <x:v>São Paulo</x:v>
      </x:c>
      <x:c r="I256" s="10" t="str">
        <x:v>Ministério dos Direitos Humanos, Defensoria Pública de São Paulo, CAJU FGV, GPDVE FGV e AMPARAR</x:v>
      </x:c>
      <x:c r="J256" s="10" t="str">
        <x:v>"Território Memória Carandiru" marca resistência e luta por direitos humanos</x:v>
      </x:c>
      <x:c r="K256" s="10" t="str">
        <x:v>Iconográfico, Textual</x:v>
      </x:c>
      <x:c r="L256" s="10" t="str">
        <x:v>Texto (digital), Imagem (digital)</x:v>
      </x:c>
      <x:c r="M256" s="10" t="str">
        <x:v>Cid, Daniela; Palmeira, Maria Clara</x:v>
      </x:c>
      <x:c r="N256" s="10" t="str">
        <x:v>Português, Brasil</x:v>
      </x:c>
      <x:c r="O256" s="10" t="str">
        <x:v>Hiperlink (via Whatsapp)</x:v>
      </x:c>
      <x:c r="P256" s="10" t="str">
        <x:v>2026-09-11 00:00:00</x:v>
      </x:c>
      <x:c r="Q256" s="10" t="str">
        <x:v>Aberto</x:v>
      </x:c>
      <x:c r="R256" s="10" t="str">
        <x:v>Aqui</x:v>
      </x:c>
      <x:c r="S256" s="10" t="str">
        <x:v>CID, Daniela; PALMEIRA, Maria Clara. Território Memória Carandiru marca resistência e luta por direitos humanos. *Agemt PUCSP*, 23 out. 2025, 12h. Disponível em: &lt;https://agemt.pucsp.br/noticias/territorio-memoria-carandiru-marca-resistencia-e-luta-por-direitos-humanos&gt;. Acesso em: 11 set. 2026.</x:v>
      </x:c>
      <x:c r="T256" s="10" t="str">
        <x:v>BR-SPCARANDIRU_MAPEAMENTOS-REMEMORA-CARANDIRU.xlsx</x:v>
      </x:c>
      <x:c r="U256" s="10" t="str">
        <x:v>Geral</x:v>
      </x:c>
      <x:c r="V256" s="11" t="n">
        <x:v>261</x:v>
      </x:c>
      <x:c r="W256" s="10" t="str">
        <x:v>BR-SPCARANDIRU_MAPEAMENTOS-REMEMORA-CARANDIRU.xlsx:Geral:261</x:v>
      </x:c>
      <x:c r="X256" s="11" t="n">
        <x:f>COLUMNS(A256:S256)-COUNTBLANK(A256:S256)</x:f>
        <x:v>17</x:v>
      </x:c>
    </x:row>
    <x:row r="257" ht="24" hidden="0" customHeight="1">
      <x:c r="A257" s="10" t="str">
        <x:v>Leitura pública</x:v>
      </x:c>
      <x:c r="B257" s="10" t="str"/>
      <x:c r="C257" s="10" t="str">
        <x:v>Manifestação artístico-cultural</x:v>
      </x:c>
      <x:c r="D257" s="10" t="str">
        <x:v>Público Mediado</x:v>
      </x:c>
      <x:c r="E257" s="10" t="str">
        <x:v>Presencial/Físico</x:v>
      </x:c>
      <x:c r="F257" s="10" t="str">
        <x:v>2016-10-01 00:00:00</x:v>
      </x:c>
      <x:c r="G257" s="11" t="n">
        <x:v>2016</x:v>
      </x:c>
      <x:c r="H257" s="10" t="str">
        <x:v>São Paulo</x:v>
      </x:c>
      <x:c r="I257" s="10" t="str">
        <x:v>Nuno Ramos</x:v>
      </x:c>
      <x:c r="J257" s="10" t="str">
        <x:v>Performance faz homenagem aos 111 mortos no Massacre do Carandiru.</x:v>
      </x:c>
      <x:c r="K257" s="10" t="str">
        <x:v>Iconográfico, Textual</x:v>
      </x:c>
      <x:c r="L257" s="10" t="str">
        <x:v>Texto (digital), Imagem (digital)</x:v>
      </x:c>
      <x:c r="M257" s="10" t="str">
        <x:v>Agência Brasil</x:v>
      </x:c>
      <x:c r="N257" s="10" t="str">
        <x:v>Português, Brasil</x:v>
      </x:c>
      <x:c r="O257" s="10" t="str">
        <x:v>Hiperlink</x:v>
      </x:c>
      <x:c r="P257" s="10" t="str">
        <x:v>2026-09-11 00:00:00</x:v>
      </x:c>
      <x:c r="Q257" s="10" t="str">
        <x:v>Aberto</x:v>
      </x:c>
      <x:c r="R257" s="10" t="str">
        <x:v>Aqui</x:v>
      </x:c>
      <x:c r="S257" s="10" t="str">
        <x:v>MELLO, Daniel. Performance faz homenagem aos 111 mortos no Massacre do Carandiru. Agência Brasil, São Paulo, 1 nov. 2016. Disponível em: https://agenciabrasil.ebc.com.br/direitos-humanos/noticia/2016-11/performance-faz-homenagem-aos-111-mortos-no-massacre-do-carandiru. Acesso em: 6 jul. 2026.</x:v>
      </x:c>
      <x:c r="T257" s="10" t="str">
        <x:v>BR-SPCARANDIRU_MAPEAMENTOS-REMEMORA-CARANDIRU.xlsx</x:v>
      </x:c>
      <x:c r="U257" s="10" t="str">
        <x:v>Geral</x:v>
      </x:c>
      <x:c r="V257" s="11" t="n">
        <x:v>262</x:v>
      </x:c>
      <x:c r="W257" s="10" t="str">
        <x:v>BR-SPCARANDIRU_MAPEAMENTOS-REMEMORA-CARANDIRU.xlsx:Geral:262</x:v>
      </x:c>
      <x:c r="X257" s="11" t="n">
        <x:f>COLUMNS(A257:S257)-COUNTBLANK(A257:S257)</x:f>
        <x:v>18</x:v>
      </x:c>
    </x:row>
    <x:row r="258" ht="36" hidden="0" customHeight="1">
      <x:c r="A258" s="10" t="str">
        <x:v>Notícia</x:v>
      </x:c>
      <x:c r="B258" s="10" t="str">
        <x:v>Difusão</x:v>
      </x:c>
      <x:c r="C258" s="10" t="str">
        <x:v>Produção midiática</x:v>
      </x:c>
      <x:c r="D258" s="10" t="str">
        <x:v>Público Mediado</x:v>
      </x:c>
      <x:c r="E258" s="10" t="str">
        <x:v>Midiático</x:v>
      </x:c>
      <x:c r="F258" s="10" t="str">
        <x:v>29/10/2025</x:v>
      </x:c>
      <x:c r="G258" s="11" t="n">
        <x:v>2025</x:v>
      </x:c>
      <x:c r="H258" s="10" t="str">
        <x:v>Rio de Janeiro, Brasil</x:v>
      </x:c>
      <x:c r="I258" s="10" t="str">
        <x:v>O Globo</x:v>
      </x:c>
      <x:c r="J258" s="10" t="str">
        <x:v>Com corpos retirados de mata e levados para praça na Penha, já são mais de 121 mortos na operação mais letal do Rio; vídeos</x:v>
      </x:c>
      <x:c r="K258" s="10" t="str">
        <x:v>Hemerográfico</x:v>
      </x:c>
      <x:c r="L258" s="10" t="str">
        <x:v>Texto (digital)</x:v>
      </x:c>
      <x:c r="M258" s="10" t="str">
        <x:v>O Globo</x:v>
      </x:c>
      <x:c r="N258" s="10" t="str">
        <x:v>Português, Brasil</x:v>
      </x:c>
      <x:c r="O258" s="10" t="str">
        <x:v>"Massacre da Penha" no Google</x:v>
      </x:c>
      <x:c r="P258" s="10" t="str">
        <x:v>2025-10-31 00:00:00</x:v>
      </x:c>
      <x:c r="Q258" s="10" t="str">
        <x:v>Aberto</x:v>
      </x:c>
      <x:c r="R258" s="10" t="str">
        <x:v>Aqui</x:v>
      </x:c>
      <x:c r="S258" s="10" t="str">
        <x:v>ROCHA, Fabiano; COSTA, João Vitor; ASSAD, Paulo; MARTINS, Bruna; GAMA, Rafaela. Moradores levam dezenas de corpos para praça na Penha após operação mais letal da história do Rio. O Globo, Rio de Janeiro, 29 out. 2025. Disponível em: https://oglobo.globo.com/rio/noticia/2025/10/29/moradores-levam-dezenas-de-corpos-para-praca-na-penha-apos-operacao-mais-letal-da-historia-do-rio.ghtml. Acesso em: 31 out. 2025.</x:v>
      </x:c>
      <x:c r="T258" s="10" t="str">
        <x:v>BR-SPDIREITOVIOLESTADO_MAPEAMENTOS-NOTICIAS-MSSCPENHA.xlsx</x:v>
      </x:c>
      <x:c r="U258" s="10" t="str">
        <x:v>Geral</x:v>
      </x:c>
      <x:c r="V258" s="11" t="n">
        <x:v>3</x:v>
      </x:c>
      <x:c r="W258" s="10" t="str">
        <x:v>BR-SPDIREITOVIOLESTADO_MAPEAMENTOS-NOTICIAS-MSSCPENHA.xlsx:Geral:3</x:v>
      </x:c>
      <x:c r="X258" s="11" t="n">
        <x:f>COLUMNS(A258:S258)-COUNTBLANK(A258:S258)</x:f>
        <x:v>19</x:v>
      </x:c>
    </x:row>
    <x:row r="259" ht="24" hidden="0" customHeight="1">
      <x:c r="A259" s="10" t="str">
        <x:v>Notícia</x:v>
      </x:c>
      <x:c r="B259" s="10" t="str">
        <x:v>Difusão</x:v>
      </x:c>
      <x:c r="C259" s="10" t="str">
        <x:v>Produção midiática</x:v>
      </x:c>
      <x:c r="D259" s="10" t="str">
        <x:v>Público Mediado</x:v>
      </x:c>
      <x:c r="E259" s="10" t="str">
        <x:v>Midiático</x:v>
      </x:c>
      <x:c r="F259" s="10" t="str">
        <x:v>29/10/2025</x:v>
      </x:c>
      <x:c r="G259" s="11" t="n">
        <x:v>2025</x:v>
      </x:c>
      <x:c r="H259" s="10" t="str">
        <x:v>Distrito Federal, Brasil</x:v>
      </x:c>
      <x:c r="I259" s="10" t="str">
        <x:v>Agência Brasil</x:v>
      </x:c>
      <x:c r="J259" s="10" t="str">
        <x:v>Mães de mortos questionam operação no Rio: “Arrancaram o braço dele"</x:v>
      </x:c>
      <x:c r="K259" s="10" t="str">
        <x:v>Hemerográfico</x:v>
      </x:c>
      <x:c r="L259" s="10" t="str">
        <x:v>Texto (digital)</x:v>
      </x:c>
      <x:c r="M259" s="10" t="str">
        <x:v>Agência Brasil</x:v>
      </x:c>
      <x:c r="N259" s="10" t="str">
        <x:v>Português, Brasil</x:v>
      </x:c>
      <x:c r="O259" s="10" t="str">
        <x:v>"Massacre da Penha" no Google</x:v>
      </x:c>
      <x:c r="P259" s="10" t="str">
        <x:v>2025-10-31 00:00:00</x:v>
      </x:c>
      <x:c r="Q259" s="10" t="str">
        <x:v>Aberto</x:v>
      </x:c>
      <x:c r="R259" s="10" t="str">
        <x:v>Aqui</x:v>
      </x:c>
      <x:c r="S259" s="10" t="str">
        <x:v>PIMENTA, Thiago. Mães de mortos questionam operação no Rio: “Arrancaram o braço dele”. Agência Brasil, Brasília, 29 out. 2025. Disponível em: https://agenciabrasil.ebc.com.br/geral/noticia/2025-10/maes-de-mortos-questionam-operacao-no-rio-arrancaram-o-braco-dele. Acesso em: 31 out. 2025.</x:v>
      </x:c>
      <x:c r="T259" s="10" t="str">
        <x:v>BR-SPDIREITOVIOLESTADO_MAPEAMENTOS-NOTICIAS-MSSCPENHA.xlsx</x:v>
      </x:c>
      <x:c r="U259" s="10" t="str">
        <x:v>Geral</x:v>
      </x:c>
      <x:c r="V259" s="11" t="n">
        <x:v>4</x:v>
      </x:c>
      <x:c r="W259" s="10" t="str">
        <x:v>BR-SPDIREITOVIOLESTADO_MAPEAMENTOS-NOTICIAS-MSSCPENHA.xlsx:Geral:4</x:v>
      </x:c>
      <x:c r="X259" s="11" t="n">
        <x:f>COLUMNS(A259:S259)-COUNTBLANK(A259:S259)</x:f>
        <x:v>19</x:v>
      </x:c>
    </x:row>
    <x:row r="260" ht="24" hidden="0" customHeight="1">
      <x:c r="A260" s="10" t="str">
        <x:v>Notícia</x:v>
      </x:c>
      <x:c r="B260" s="10" t="str">
        <x:v>Difusão</x:v>
      </x:c>
      <x:c r="C260" s="10" t="str">
        <x:v>Produção midiática</x:v>
      </x:c>
      <x:c r="D260" s="10" t="str">
        <x:v>Público Mediado</x:v>
      </x:c>
      <x:c r="E260" s="10" t="str">
        <x:v>Midiático</x:v>
      </x:c>
      <x:c r="F260" s="10" t="str">
        <x:v>29/10/2025</x:v>
      </x:c>
      <x:c r="G260" s="11" t="n">
        <x:v>2025</x:v>
      </x:c>
      <x:c r="H260" s="10" t="str">
        <x:v>São Paulo, Brasil</x:v>
      </x:c>
      <x:c r="I260" s="10" t="str">
        <x:v>Carta Capital</x:v>
      </x:c>
      <x:c r="J260" s="10" t="str">
        <x:v>O massacre da penha obriga o país a escolher</x:v>
      </x:c>
      <x:c r="K260" s="10" t="str">
        <x:v>Hemerográfico</x:v>
      </x:c>
      <x:c r="L260" s="10" t="str">
        <x:v>Texto (digital)</x:v>
      </x:c>
      <x:c r="M260" s="10" t="str">
        <x:v>Carta Capital</x:v>
      </x:c>
      <x:c r="N260" s="10" t="str">
        <x:v>Português, Brasil</x:v>
      </x:c>
      <x:c r="O260" s="10" t="str">
        <x:v>"Massacre da Penha" no Google</x:v>
      </x:c>
      <x:c r="P260" s="10" t="str">
        <x:v>2025-10-31 00:00:00</x:v>
      </x:c>
      <x:c r="Q260" s="10" t="str">
        <x:v>Acesso restrito</x:v>
      </x:c>
      <x:c r="R260" s="10" t="str">
        <x:v>Aqui</x:v>
      </x:c>
      <x:c r="S260" s="10" t="str">
        <x:v>COSTA, Amarílis. O massacre na Penha obriga o País a escolher. CartaCapital, São Paulo, 29 out. 2025. Disponível em: https://www.cartacapital.com.br/opiniao/o-massacre-na-penha-obriga-o-pais-a-escolher/. Acesso em: 31 out. 2025.</x:v>
      </x:c>
      <x:c r="T260" s="10" t="str">
        <x:v>BR-SPDIREITOVIOLESTADO_MAPEAMENTOS-NOTICIAS-MSSCPENHA.xlsx</x:v>
      </x:c>
      <x:c r="U260" s="10" t="str">
        <x:v>Geral</x:v>
      </x:c>
      <x:c r="V260" s="11" t="n">
        <x:v>5</x:v>
      </x:c>
      <x:c r="W260" s="10" t="str">
        <x:v>BR-SPDIREITOVIOLESTADO_MAPEAMENTOS-NOTICIAS-MSSCPENHA.xlsx:Geral:5</x:v>
      </x:c>
      <x:c r="X260" s="11" t="n">
        <x:f>COLUMNS(A260:S260)-COUNTBLANK(A260:S260)</x:f>
        <x:v>19</x:v>
      </x:c>
    </x:row>
    <x:row r="261" ht="24" hidden="0" customHeight="1">
      <x:c r="A261" s="10" t="str">
        <x:v>Notícia</x:v>
      </x:c>
      <x:c r="B261" s="10" t="str">
        <x:v>Difusão</x:v>
      </x:c>
      <x:c r="C261" s="10" t="str">
        <x:v>Produção midiática</x:v>
      </x:c>
      <x:c r="D261" s="10" t="str">
        <x:v>Público Mediado</x:v>
      </x:c>
      <x:c r="E261" s="10" t="str">
        <x:v>Midiático</x:v>
      </x:c>
      <x:c r="F261" s="10" t="str">
        <x:v>30/10/2025</x:v>
      </x:c>
      <x:c r="G261" s="11" t="n">
        <x:v>2025</x:v>
      </x:c>
      <x:c r="H261" s="10" t="str">
        <x:v>Rio de Janeiro, Brasil</x:v>
      </x:c>
      <x:c r="I261" s="10" t="str">
        <x:v>Le Monde Diplomatique</x:v>
      </x:c>
      <x:c r="J261" s="10" t="str">
        <x:v>O massacre da Penha e a necropolítica como política oficial do Rio de Janeiro</x:v>
      </x:c>
      <x:c r="K261" s="10" t="str">
        <x:v>Hemerográfico</x:v>
      </x:c>
      <x:c r="L261" s="10" t="str">
        <x:v>Texto (digital)</x:v>
      </x:c>
      <x:c r="M261" s="10" t="str">
        <x:v>Le Monde Diplomatique</x:v>
      </x:c>
      <x:c r="N261" s="10" t="str">
        <x:v>Português, Brasil</x:v>
      </x:c>
      <x:c r="O261" s="10" t="str">
        <x:v>"Massacre da Penha" no Google</x:v>
      </x:c>
      <x:c r="P261" s="10" t="str">
        <x:v>2025-10-31 00:00:00</x:v>
      </x:c>
      <x:c r="Q261" s="10" t="str">
        <x:v>Aberto</x:v>
      </x:c>
      <x:c r="R261" s="10" t="str">
        <x:v>Aqui</x:v>
      </x:c>
      <x:c r="S261" s="10" t="str">
        <x:v>MACEDO, Fernanda. O massacre da Penha e a necropolítica como política oficial do Rio de Janeiro. Le Monde Diplomatique Brasil, São Paulo, 30 out. 2025. Disponível em: https://diplomatique.org.br/o-massacre-da-penha-e-a-necropolitica-como-politica-oficial-do-rio-de-janeiro/. Acesso em: 31 out. 2025.</x:v>
      </x:c>
      <x:c r="T261" s="10" t="str">
        <x:v>BR-SPDIREITOVIOLESTADO_MAPEAMENTOS-NOTICIAS-MSSCPENHA.xlsx</x:v>
      </x:c>
      <x:c r="U261" s="10" t="str">
        <x:v>Geral</x:v>
      </x:c>
      <x:c r="V261" s="11" t="n">
        <x:v>6</x:v>
      </x:c>
      <x:c r="W261" s="10" t="str">
        <x:v>BR-SPDIREITOVIOLESTADO_MAPEAMENTOS-NOTICIAS-MSSCPENHA.xlsx:Geral:6</x:v>
      </x:c>
      <x:c r="X261" s="11" t="n">
        <x:f>COLUMNS(A261:S261)-COUNTBLANK(A261:S261)</x:f>
        <x:v>19</x:v>
      </x:c>
    </x:row>
    <x:row r="262" ht="48" hidden="0" customHeight="1">
      <x:c r="A262" s="10" t="str">
        <x:v>Notícia</x:v>
      </x:c>
      <x:c r="B262" s="10" t="str">
        <x:v>Difusão</x:v>
      </x:c>
      <x:c r="C262" s="10" t="str">
        <x:v>Produção midiática</x:v>
      </x:c>
      <x:c r="D262" s="10" t="str">
        <x:v>Público Mediado</x:v>
      </x:c>
      <x:c r="E262" s="10" t="str">
        <x:v>Midiático</x:v>
      </x:c>
      <x:c r="F262" s="10" t="str">
        <x:v>29/10/2025</x:v>
      </x:c>
      <x:c r="G262" s="11" t="n">
        <x:v>2025</x:v>
      </x:c>
      <x:c r="H262" s="10" t="str">
        <x:v>Rio de Janeiro, Brasil</x:v>
      </x:c>
      <x:c r="I262" s="10" t="str">
        <x:v>Jornal UNESP</x:v>
      </x:c>
      <x:c r="J262" s="10" t="str">
        <x:v>Grande número de mortos indica que operação em complexos de favelas do Rio de Janeiro não pode ser chamada de sucesso, avalia docente da Unesp</x:v>
      </x:c>
      <x:c r="K262" s="10" t="str">
        <x:v>Hemerográfico</x:v>
      </x:c>
      <x:c r="L262" s="10" t="str">
        <x:v>Texto (digital)</x:v>
      </x:c>
      <x:c r="M262" s="10" t="str">
        <x:v>Jornal UNESP</x:v>
      </x:c>
      <x:c r="N262" s="10" t="str">
        <x:v>Português, Brasil</x:v>
      </x:c>
      <x:c r="O262" s="10" t="str">
        <x:v>"Massacre da Penha" no Google</x:v>
      </x:c>
      <x:c r="P262" s="10" t="str">
        <x:v>2025-10-31 00:00:00</x:v>
      </x:c>
      <x:c r="Q262" s="10" t="str">
        <x:v>Aberto</x:v>
      </x:c>
      <x:c r="R262" s="10" t="str">
        <x:v>Aqui</x:v>
      </x:c>
      <x:c r="S262" s="10" t="str">
        <x:v>MONTENEGRO, Marianna. Grande número de mortos indica que operação em complexos de favelas do Rio de Janeiro não pode ser chamada de sucesso, avalia docente da Unesp. Jornal da Unesp, São Paulo, 29 out. 2025. Disponível em: https://jornal.unesp.br/2025/10/29/grande-numero-de-mortos-indica-que-operacao-em-complexos-de-favelas-do-rio-de-janeiro-nao-pode-ser-chamada-de-sucesso-avalia-docente-da-unesp/. Acesso em: 31 out. 2025.</x:v>
      </x:c>
      <x:c r="T262" s="10" t="str">
        <x:v>BR-SPDIREITOVIOLESTADO_MAPEAMENTOS-NOTICIAS-MSSCPENHA.xlsx</x:v>
      </x:c>
      <x:c r="U262" s="10" t="str">
        <x:v>Geral</x:v>
      </x:c>
      <x:c r="V262" s="11" t="n">
        <x:v>7</x:v>
      </x:c>
      <x:c r="W262" s="10" t="str">
        <x:v>BR-SPDIREITOVIOLESTADO_MAPEAMENTOS-NOTICIAS-MSSCPENHA.xlsx:Geral:7</x:v>
      </x:c>
      <x:c r="X262" s="11" t="n">
        <x:f>COLUMNS(A262:S262)-COUNTBLANK(A262:S262)</x:f>
        <x:v>19</x:v>
      </x:c>
    </x:row>
    <x:row r="263" ht="24" hidden="0" customHeight="1">
      <x:c r="A263" s="10" t="str">
        <x:v>Notícia</x:v>
      </x:c>
      <x:c r="B263" s="10" t="str">
        <x:v>Difusão</x:v>
      </x:c>
      <x:c r="C263" s="10" t="str">
        <x:v>Produção midiática</x:v>
      </x:c>
      <x:c r="D263" s="10" t="str">
        <x:v>Público Mediado</x:v>
      </x:c>
      <x:c r="E263" s="10" t="str">
        <x:v>Midiático</x:v>
      </x:c>
      <x:c r="F263" s="10" t="str">
        <x:v>29/10/2025</x:v>
      </x:c>
      <x:c r="G263" s="11" t="n">
        <x:v>2025</x:v>
      </x:c>
      <x:c r="H263" s="10" t="str">
        <x:v>São Paulo, Brasil</x:v>
      </x:c>
      <x:c r="I263" s="10" t="str">
        <x:v>Ponte Jornalismo</x:v>
      </x:c>
      <x:c r="J263" s="10" t="str">
        <x:v>Massacre do Alemão e da Penha tem mais dezenas de mortos encontrados e supera Carandiru</x:v>
      </x:c>
      <x:c r="K263" s="10" t="str">
        <x:v>Hemerográfico</x:v>
      </x:c>
      <x:c r="L263" s="10" t="str">
        <x:v>Texto (digital)</x:v>
      </x:c>
      <x:c r="M263" s="10" t="str">
        <x:v>Ponte Jornalismo</x:v>
      </x:c>
      <x:c r="N263" s="10" t="str">
        <x:v>Português, Brasil</x:v>
      </x:c>
      <x:c r="O263" s="10" t="str">
        <x:v>"Massacre da Penha" no Google</x:v>
      </x:c>
      <x:c r="P263" s="10" t="str">
        <x:v>2025-10-31 00:00:00</x:v>
      </x:c>
      <x:c r="Q263" s="10" t="str">
        <x:v>Aberto</x:v>
      </x:c>
      <x:c r="R263" s="10" t="str">
        <x:v>Aqui</x:v>
      </x:c>
      <x:c r="S263" s="10" t="str">
        <x:v>BATISTELLA, Paulo; DUARTE, Catarina. Massacre do Alemão e da Penha tem mais dezenas de mortos encontrados e supera Carandiru. Ponte Jornalismo, São Paulo, 29 out. 2025. Disponível em: https://ponte.org/massacre-do-alemao-e-da-penha-tem-mais-dezenas-de-mortos-encontrados-e-supera-carandiru/. Acesso em: 31 out. 2025.</x:v>
      </x:c>
      <x:c r="T263" s="10" t="str">
        <x:v>BR-SPDIREITOVIOLESTADO_MAPEAMENTOS-NOTICIAS-MSSCPENHA.xlsx</x:v>
      </x:c>
      <x:c r="U263" s="10" t="str">
        <x:v>Geral</x:v>
      </x:c>
      <x:c r="V263" s="11" t="n">
        <x:v>8</x:v>
      </x:c>
      <x:c r="W263" s="10" t="str">
        <x:v>BR-SPDIREITOVIOLESTADO_MAPEAMENTOS-NOTICIAS-MSSCPENHA.xlsx:Geral:8</x:v>
      </x:c>
      <x:c r="X263" s="11" t="n">
        <x:f>COLUMNS(A263:S263)-COUNTBLANK(A263:S263)</x:f>
        <x:v>19</x:v>
      </x:c>
    </x:row>
    <x:row r="264" ht="24" hidden="0" customHeight="1">
      <x:c r="A264" s="10" t="str">
        <x:v>Notícia</x:v>
      </x:c>
      <x:c r="B264" s="10" t="str">
        <x:v>Difusão</x:v>
      </x:c>
      <x:c r="C264" s="10" t="str">
        <x:v>Produção midiática</x:v>
      </x:c>
      <x:c r="D264" s="10" t="str">
        <x:v>Público Mediado</x:v>
      </x:c>
      <x:c r="E264" s="10" t="str">
        <x:v>Midiático</x:v>
      </x:c>
      <x:c r="F264" s="10" t="str">
        <x:v>28/10/2025</x:v>
      </x:c>
      <x:c r="G264" s="11" t="n">
        <x:v>2025</x:v>
      </x:c>
      <x:c r="H264" s="10" t="str">
        <x:v>São Paulo, Brasil</x:v>
      </x:c>
      <x:c r="I264" s="10" t="str">
        <x:v>Folha de S. Paulo</x:v>
      </x:c>
      <x:c r="J264" s="10" t="str">
        <x:v>Operação do Alemão e na Penha é a mais letal do RJ</x:v>
      </x:c>
      <x:c r="K264" s="10" t="str">
        <x:v>Hemerográfico</x:v>
      </x:c>
      <x:c r="L264" s="10" t="str">
        <x:v>Texto (digital)</x:v>
      </x:c>
      <x:c r="M264" s="10" t="str">
        <x:v>Folha de S. Paulo</x:v>
      </x:c>
      <x:c r="N264" s="10" t="str">
        <x:v>Português, Brasil</x:v>
      </x:c>
      <x:c r="O264" s="10" t="str">
        <x:v>"Massacre da Penha" no Google</x:v>
      </x:c>
      <x:c r="P264" s="10" t="str">
        <x:v>2025-10-31 00:00:00</x:v>
      </x:c>
      <x:c r="Q264" s="10" t="str">
        <x:v>Acesso restrito</x:v>
      </x:c>
      <x:c r="R264" s="10" t="str">
        <x:v>Aqui</x:v>
      </x:c>
      <x:c r="S264" s="10" t="str">
        <x:v>KRUSE, Tulio. Operação no Alemão e na Penha contra o CV é a 2ª mais letal do RJ. Folha de S. Paulo, São Paulo, 28 out. 2025. Disponível em: https://www1.folha.uol.com.br/cotidiano/2025/10/operacao-no-alemao-e-na-penha-contra-o-cv-e-a-2a-mais-letal-do-rj.shtml. Acesso em: 31 out. 2025.</x:v>
      </x:c>
      <x:c r="T264" s="10" t="str">
        <x:v>BR-SPDIREITOVIOLESTADO_MAPEAMENTOS-NOTICIAS-MSSCPENHA.xlsx</x:v>
      </x:c>
      <x:c r="U264" s="10" t="str">
        <x:v>Geral</x:v>
      </x:c>
      <x:c r="V264" s="11" t="n">
        <x:v>9</x:v>
      </x:c>
      <x:c r="W264" s="10" t="str">
        <x:v>BR-SPDIREITOVIOLESTADO_MAPEAMENTOS-NOTICIAS-MSSCPENHA.xlsx:Geral:9</x:v>
      </x:c>
      <x:c r="X264" s="11" t="n">
        <x:f>COLUMNS(A264:S264)-COUNTBLANK(A264:S264)</x:f>
        <x:v>19</x:v>
      </x:c>
    </x:row>
    <x:row r="265" ht="24" hidden="0" customHeight="1">
      <x:c r="A265" s="10" t="str">
        <x:v>Notícia</x:v>
      </x:c>
      <x:c r="B265" s="10" t="str">
        <x:v>Difusão</x:v>
      </x:c>
      <x:c r="C265" s="10" t="str">
        <x:v>Produção midiática</x:v>
      </x:c>
      <x:c r="D265" s="10" t="str">
        <x:v>Público Mediado</x:v>
      </x:c>
      <x:c r="E265" s="10" t="str">
        <x:v>Midiático</x:v>
      </x:c>
      <x:c r="F265" s="10" t="str">
        <x:v>29/10/2025</x:v>
      </x:c>
      <x:c r="G265" s="11" t="n">
        <x:v>2025</x:v>
      </x:c>
      <x:c r="H265" s="10" t="str">
        <x:v>Rio de Janeiro, Brasil</x:v>
      </x:c>
      <x:c r="I265" s="10" t="str">
        <x:v>Agência Brasil</x:v>
      </x:c>
      <x:c r="J265" s="10" t="str">
        <x:v>Ativistas denunciam "massacre" em ação policial no Rio</x:v>
      </x:c>
      <x:c r="K265" s="10" t="str">
        <x:v>Hemerográfico</x:v>
      </x:c>
      <x:c r="L265" s="10" t="str">
        <x:v>Texto (digital)</x:v>
      </x:c>
      <x:c r="M265" s="10" t="str">
        <x:v>Agência Brasil</x:v>
      </x:c>
      <x:c r="N265" s="10" t="str">
        <x:v>Português, Brasil</x:v>
      </x:c>
      <x:c r="O265" s="10" t="str">
        <x:v>"Massacre da Penha" no Google</x:v>
      </x:c>
      <x:c r="P265" s="10" t="str">
        <x:v>2025-10-31 00:00:00</x:v>
      </x:c>
      <x:c r="Q265" s="10" t="str">
        <x:v>Aberto</x:v>
      </x:c>
      <x:c r="R265" s="10" t="str">
        <x:v>Aqui</x:v>
      </x:c>
      <x:c r="S265" s="10" t="str">
        <x:v>FREIRE, Tâmara. Ativistas denunciam "massacre" em ação policial no Rio. Agência Brasil, Rio de Janeiro, 29 out. 2025. Disponível em: https://agenciabrasil.ebc.com.br/geral/noticia/2025-10/ativistas-denunciam-massacre-no-rio-0. Acesso em: 31 out. 2025.</x:v>
      </x:c>
      <x:c r="T265" s="10" t="str">
        <x:v>BR-SPDIREITOVIOLESTADO_MAPEAMENTOS-NOTICIAS-MSSCPENHA.xlsx</x:v>
      </x:c>
      <x:c r="U265" s="10" t="str">
        <x:v>Geral</x:v>
      </x:c>
      <x:c r="V265" s="11" t="n">
        <x:v>10</x:v>
      </x:c>
      <x:c r="W265" s="10" t="str">
        <x:v>BR-SPDIREITOVIOLESTADO_MAPEAMENTOS-NOTICIAS-MSSCPENHA.xlsx:Geral:10</x:v>
      </x:c>
      <x:c r="X265" s="11" t="n">
        <x:f>COLUMNS(A265:S265)-COUNTBLANK(A265:S265)</x:f>
        <x:v>19</x:v>
      </x:c>
    </x:row>
    <x:row r="266" ht="24" hidden="0" customHeight="1">
      <x:c r="A266" s="10" t="str">
        <x:v>Notícia</x:v>
      </x:c>
      <x:c r="B266" s="10" t="str">
        <x:v>Difusão</x:v>
      </x:c>
      <x:c r="C266" s="10" t="str">
        <x:v>Produção midiática</x:v>
      </x:c>
      <x:c r="D266" s="10" t="str">
        <x:v>Público Mediado</x:v>
      </x:c>
      <x:c r="E266" s="10" t="str">
        <x:v>Midiático</x:v>
      </x:c>
      <x:c r="F266" s="10" t="str">
        <x:v>29/10/2025</x:v>
      </x:c>
      <x:c r="G266" s="11" t="n">
        <x:v>2025</x:v>
      </x:c>
      <x:c r="H266" s="10" t="str">
        <x:v>São Paulo, Brasil</x:v>
      </x:c>
      <x:c r="I266" s="10" t="str">
        <x:v>Cebes</x:v>
      </x:c>
      <x:c r="J266" s="10" t="str">
        <x:v>Massacre da Penha tem mais vítimas que o do Carandiru; corpos enfileirados no chão são retrato da barbárie</x:v>
      </x:c>
      <x:c r="K266" s="10" t="str">
        <x:v>Hemerográfico</x:v>
      </x:c>
      <x:c r="L266" s="10" t="str">
        <x:v>Texto (digital)</x:v>
      </x:c>
      <x:c r="M266" s="10" t="str">
        <x:v>Cebes</x:v>
      </x:c>
      <x:c r="N266" s="10" t="str">
        <x:v>Português, Brasil</x:v>
      </x:c>
      <x:c r="O266" s="10" t="str">
        <x:v>"Massacre da Penha" no Google</x:v>
      </x:c>
      <x:c r="P266" s="10" t="str">
        <x:v>2025-10-31 00:00:00</x:v>
      </x:c>
      <x:c r="Q266" s="10" t="str">
        <x:v>Aberto</x:v>
      </x:c>
      <x:c r="R266" s="10" t="str">
        <x:v>Aqui</x:v>
      </x:c>
      <x:c r="S266" s="10" t="str">
        <x:v>FAGUNDES, Clara. Rio em Luto: Massacre da Penha tem mais vítimas que Carandiru. Cebes, São Paulo, 29 out. 2025. Disponível em: https://cebes.org.br/rio-em-luto-massacre-da-penha-tem-mais-vitimas-que-carandiru/39928/. Acesso em: 31 out. 2025</x:v>
      </x:c>
      <x:c r="T266" s="10" t="str">
        <x:v>BR-SPDIREITOVIOLESTADO_MAPEAMENTOS-NOTICIAS-MSSCPENHA.xlsx</x:v>
      </x:c>
      <x:c r="U266" s="10" t="str">
        <x:v>Geral</x:v>
      </x:c>
      <x:c r="V266" s="11" t="n">
        <x:v>11</x:v>
      </x:c>
      <x:c r="W266" s="10" t="str">
        <x:v>BR-SPDIREITOVIOLESTADO_MAPEAMENTOS-NOTICIAS-MSSCPENHA.xlsx:Geral:11</x:v>
      </x:c>
      <x:c r="X266" s="11" t="n">
        <x:f>COLUMNS(A266:S266)-COUNTBLANK(A266:S266)</x:f>
        <x:v>19</x:v>
      </x:c>
    </x:row>
    <x:row r="267" ht="24" hidden="0" customHeight="1">
      <x:c r="A267" s="10" t="str">
        <x:v>Notícia</x:v>
      </x:c>
      <x:c r="B267" s="10" t="str">
        <x:v>Difusão</x:v>
      </x:c>
      <x:c r="C267" s="10" t="str">
        <x:v>Produção midiática</x:v>
      </x:c>
      <x:c r="D267" s="10" t="str">
        <x:v>Público Mediado</x:v>
      </x:c>
      <x:c r="E267" s="10" t="str">
        <x:v>Midiático</x:v>
      </x:c>
      <x:c r="F267" s="10" t="str">
        <x:v>29/10/2025</x:v>
      </x:c>
      <x:c r="G267" s="11" t="n">
        <x:v>2025</x:v>
      </x:c>
      <x:c r="H267" s="10" t="str">
        <x:v>São Paulo, Brasil</x:v>
      </x:c>
      <x:c r="I267" s="10" t="str">
        <x:v>UOL</x:v>
      </x:c>
      <x:c r="J267" s="10" t="str">
        <x:v>Corpos achados na Penha têm marcas de tiro na nuca e facada, diz testemunha</x:v>
      </x:c>
      <x:c r="K267" s="10" t="str">
        <x:v>Hemerográfico</x:v>
      </x:c>
      <x:c r="L267" s="10" t="str">
        <x:v>Texto (digital)</x:v>
      </x:c>
      <x:c r="M267" s="10" t="str">
        <x:v>UOL</x:v>
      </x:c>
      <x:c r="N267" s="10" t="str">
        <x:v>Português, Brasil</x:v>
      </x:c>
      <x:c r="O267" s="10" t="str">
        <x:v>"Massacre da Penha" no Google</x:v>
      </x:c>
      <x:c r="P267" s="10" t="str">
        <x:v>2025-10-31 00:00:00</x:v>
      </x:c>
      <x:c r="Q267" s="10" t="str">
        <x:v>Aberto</x:v>
      </x:c>
      <x:c r="R267" s="10" t="str">
        <x:v>Aqui</x:v>
      </x:c>
      <x:c r="S267" s="10" t="str">
        <x:v>CARVALHO, Eduardo; GUIMARÃES, Saulo Pereira; BARROS, Lorena. Corpos achados na Penha têm marcas de tiro na nuca e facada, diz testemunha. UOL, São Paulo, 29 out. 2025. Disponível em: https://noticias.uol.com.br/cotidiano/ultimas-noticias/2025/10/29/marcas-tiros-relatos-corpos-complexo-da-penha.htm?cmpid=copiaecola. Acesso em: 31 out. 2025.</x:v>
      </x:c>
      <x:c r="T267" s="10" t="str">
        <x:v>BR-SPDIREITOVIOLESTADO_MAPEAMENTOS-NOTICIAS-MSSCPENHA.xlsx</x:v>
      </x:c>
      <x:c r="U267" s="10" t="str">
        <x:v>Geral</x:v>
      </x:c>
      <x:c r="V267" s="11" t="n">
        <x:v>12</x:v>
      </x:c>
      <x:c r="W267" s="10" t="str">
        <x:v>BR-SPDIREITOVIOLESTADO_MAPEAMENTOS-NOTICIAS-MSSCPENHA.xlsx:Geral:12</x:v>
      </x:c>
      <x:c r="X267" s="11" t="n">
        <x:f>COLUMNS(A267:S267)-COUNTBLANK(A267:S267)</x:f>
        <x:v>19</x:v>
      </x:c>
    </x:row>
    <x:row r="268" ht="24" hidden="0" customHeight="1">
      <x:c r="A268" s="10" t="str">
        <x:v>Notícia</x:v>
      </x:c>
      <x:c r="B268" s="10" t="str">
        <x:v>Difusão</x:v>
      </x:c>
      <x:c r="C268" s="10" t="str">
        <x:v>Produção midiática</x:v>
      </x:c>
      <x:c r="D268" s="10" t="str">
        <x:v>Público Mediado</x:v>
      </x:c>
      <x:c r="E268" s="10" t="str">
        <x:v>Midiático</x:v>
      </x:c>
      <x:c r="F268" s="10" t="str">
        <x:v>29/10/2025</x:v>
      </x:c>
      <x:c r="G268" s="11" t="n">
        <x:v>2025</x:v>
      </x:c>
      <x:c r="H268" s="10" t="str">
        <x:v>Rio de Janeiro, Brasil</x:v>
      </x:c>
      <x:c r="I268" s="10" t="str">
        <x:v>Agência Brasil</x:v>
      </x:c>
      <x:c r="J268" s="10" t="str">
        <x:v>Operação supera massacre do Carandiru em violações, diz deputada</x:v>
      </x:c>
      <x:c r="K268" s="10" t="str">
        <x:v>Hemerográfico</x:v>
      </x:c>
      <x:c r="L268" s="10" t="str">
        <x:v>Texto (digital)</x:v>
      </x:c>
      <x:c r="M268" s="10" t="str">
        <x:v>Agência Brasil</x:v>
      </x:c>
      <x:c r="N268" s="10" t="str">
        <x:v>Português, Brasil</x:v>
      </x:c>
      <x:c r="O268" s="10" t="str">
        <x:v>"Massacre da Penha" no Google</x:v>
      </x:c>
      <x:c r="P268" s="10" t="str">
        <x:v>2025-10-31 00:00:00</x:v>
      </x:c>
      <x:c r="Q268" s="10" t="str">
        <x:v>Aberto</x:v>
      </x:c>
      <x:c r="R268" s="10" t="str">
        <x:v>Aqui</x:v>
      </x:c>
      <x:c r="S268" s="10" t="str">
        <x:v>GANDRA, Alana. Operação supera massacre do Carandiru em violações, diz deputada. Agência Brasil, Rio de Janeiro, 29 out. 2025. Disponível em: https://agenciabrasil.ebc.com.br/direitoshumanos/noticia/2025-10/operacao-supera-massacre-do-carandiru-em-violacoes-diz-deputada. Acesso em: 31 out. 2025.</x:v>
      </x:c>
      <x:c r="T268" s="10" t="str">
        <x:v>BR-SPDIREITOVIOLESTADO_MAPEAMENTOS-NOTICIAS-MSSCPENHA.xlsx</x:v>
      </x:c>
      <x:c r="U268" s="10" t="str">
        <x:v>Geral</x:v>
      </x:c>
      <x:c r="V268" s="11" t="n">
        <x:v>13</x:v>
      </x:c>
      <x:c r="W268" s="10" t="str">
        <x:v>BR-SPDIREITOVIOLESTADO_MAPEAMENTOS-NOTICIAS-MSSCPENHA.xlsx:Geral:13</x:v>
      </x:c>
      <x:c r="X268" s="11" t="n">
        <x:f>COLUMNS(A268:S268)-COUNTBLANK(A268:S268)</x:f>
        <x:v>19</x:v>
      </x:c>
    </x:row>
    <x:row r="269" ht="24" hidden="0" customHeight="1">
      <x:c r="A269" s="10" t="str">
        <x:v>Notícia</x:v>
      </x:c>
      <x:c r="B269" s="10" t="str">
        <x:v>Difusão</x:v>
      </x:c>
      <x:c r="C269" s="10" t="str">
        <x:v>Produção midiática</x:v>
      </x:c>
      <x:c r="D269" s="10" t="str">
        <x:v>Público Mediado</x:v>
      </x:c>
      <x:c r="E269" s="10" t="str">
        <x:v>Midiático</x:v>
      </x:c>
      <x:c r="F269" s="10" t="str">
        <x:v>29/10/2025</x:v>
      </x:c>
      <x:c r="G269" s="11" t="n">
        <x:v>2025</x:v>
      </x:c>
      <x:c r="H269" s="10" t="str">
        <x:v>Rio de Janeiro, Brasil</x:v>
      </x:c>
      <x:c r="I269" s="10" t="str">
        <x:v>A Verdade</x:v>
      </x:c>
      <x:c r="J269" s="10" t="str">
        <x:v>Governo do Rio promove maior chacina policial da história do Brasil</x:v>
      </x:c>
      <x:c r="K269" s="10" t="str">
        <x:v>Hemerográfico</x:v>
      </x:c>
      <x:c r="L269" s="10" t="str">
        <x:v>Texto (digital)</x:v>
      </x:c>
      <x:c r="M269" s="10" t="str">
        <x:v>A Verdade</x:v>
      </x:c>
      <x:c r="N269" s="10" t="str">
        <x:v>Português, Brasil</x:v>
      </x:c>
      <x:c r="O269" s="10" t="str">
        <x:v>"Massacre da Penha" no Google</x:v>
      </x:c>
      <x:c r="P269" s="10" t="str">
        <x:v>2025-10-31 00:00:00</x:v>
      </x:c>
      <x:c r="Q269" s="10" t="str">
        <x:v>Aberto</x:v>
      </x:c>
      <x:c r="R269" s="10" t="str">
        <x:v>Aqui</x:v>
      </x:c>
      <x:c r="S269" s="10" t="str">
        <x:v>MEDEIROS, Arthur; NORMANDE, Lunna. Governo do Rio promove maior chacina policial da história do Brasil. A Verdade, Rio de Janeiro, 29 out. 2025. Disponível em: https://averdade.org.br/2025/10/governo-do-rio-promove-maior-massacre-policial-da-historia-do-brasil/. Acesso em: 31 out. 2025.</x:v>
      </x:c>
      <x:c r="T269" s="10" t="str">
        <x:v>BR-SPDIREITOVIOLESTADO_MAPEAMENTOS-NOTICIAS-MSSCPENHA.xlsx</x:v>
      </x:c>
      <x:c r="U269" s="10" t="str">
        <x:v>Geral</x:v>
      </x:c>
      <x:c r="V269" s="11" t="n">
        <x:v>14</x:v>
      </x:c>
      <x:c r="W269" s="10" t="str">
        <x:v>BR-SPDIREITOVIOLESTADO_MAPEAMENTOS-NOTICIAS-MSSCPENHA.xlsx:Geral:14</x:v>
      </x:c>
      <x:c r="X269" s="11" t="n">
        <x:f>COLUMNS(A269:S269)-COUNTBLANK(A269:S269)</x:f>
        <x:v>19</x:v>
      </x:c>
    </x:row>
    <x:row r="270" ht="24" hidden="0" customHeight="1">
      <x:c r="A270" s="10" t="str">
        <x:v>Notícia</x:v>
      </x:c>
      <x:c r="B270" s="10" t="str">
        <x:v>Difusão</x:v>
      </x:c>
      <x:c r="C270" s="10" t="str">
        <x:v>Produção midiática</x:v>
      </x:c>
      <x:c r="D270" s="10" t="str">
        <x:v>Público Mediado</x:v>
      </x:c>
      <x:c r="E270" s="10" t="str">
        <x:v>Midiático</x:v>
      </x:c>
      <x:c r="F270" s="10" t="str">
        <x:v>30/10/2025</x:v>
      </x:c>
      <x:c r="G270" s="11" t="n">
        <x:v>2025</x:v>
      </x:c>
      <x:c r="H270" s="10" t="str">
        <x:v>Rio de Janeiro, Brasil</x:v>
      </x:c>
      <x:c r="I270" s="10" t="str">
        <x:v>A Verdade</x:v>
      </x:c>
      <x:c r="J270" s="10" t="str">
        <x:v>Governo do RJ proíbe Defensoria Pública de acompanhar perícias do Massacre da Penha</x:v>
      </x:c>
      <x:c r="K270" s="10" t="str">
        <x:v>Hemerográfico</x:v>
      </x:c>
      <x:c r="L270" s="10" t="str">
        <x:v>Texto (digital)</x:v>
      </x:c>
      <x:c r="M270" s="10" t="str">
        <x:v>A Verdade</x:v>
      </x:c>
      <x:c r="N270" s="10" t="str">
        <x:v>Português, Brasil</x:v>
      </x:c>
      <x:c r="O270" s="10" t="str">
        <x:v>"Massacre da Penha" no Google</x:v>
      </x:c>
      <x:c r="P270" s="10" t="str">
        <x:v>2025-10-31 00:00:00</x:v>
      </x:c>
      <x:c r="Q270" s="10" t="str">
        <x:v>Aberto</x:v>
      </x:c>
      <x:c r="R270" s="10" t="str">
        <x:v>Aqui</x:v>
      </x:c>
      <x:c r="S270" s="10" t="str">
        <x:v>CAMPELLO, Chantal. Governo do RJ proíbe Defensoria Pública de acompanhar perícias do Massacre da Penha. A Verdade, Rio de Janeiro, 30 out. 2025. Disponível em: https://averdade.org.br/2025/10/governo-do-rj-proibe-defensoria-publica-de-acompanhar-pericias-do-massacre-da-penha/. Acesso em: 31 out. 2025.</x:v>
      </x:c>
      <x:c r="T270" s="10" t="str">
        <x:v>BR-SPDIREITOVIOLESTADO_MAPEAMENTOS-NOTICIAS-MSSCPENHA.xlsx</x:v>
      </x:c>
      <x:c r="U270" s="10" t="str">
        <x:v>Geral</x:v>
      </x:c>
      <x:c r="V270" s="11" t="n">
        <x:v>15</x:v>
      </x:c>
      <x:c r="W270" s="10" t="str">
        <x:v>BR-SPDIREITOVIOLESTADO_MAPEAMENTOS-NOTICIAS-MSSCPENHA.xlsx:Geral:15</x:v>
      </x:c>
      <x:c r="X270" s="11" t="n">
        <x:f>COLUMNS(A270:S270)-COUNTBLANK(A270:S270)</x:f>
        <x:v>19</x:v>
      </x:c>
    </x:row>
    <x:row r="271" ht="24" hidden="0" customHeight="1">
      <x:c r="A271" s="10" t="str">
        <x:v>Notícia</x:v>
      </x:c>
      <x:c r="B271" s="10" t="str">
        <x:v>Difusão</x:v>
      </x:c>
      <x:c r="C271" s="10" t="str">
        <x:v>Produção midiática</x:v>
      </x:c>
      <x:c r="D271" s="10" t="str">
        <x:v>Público Mediado</x:v>
      </x:c>
      <x:c r="E271" s="10" t="str">
        <x:v>Midiático</x:v>
      </x:c>
      <x:c r="F271" s="10" t="str">
        <x:v>29/10/2025</x:v>
      </x:c>
      <x:c r="G271" s="11" t="n">
        <x:v>2025</x:v>
      </x:c>
      <x:c r="H271" s="10" t="str">
        <x:v>São Paulo, Brasil</x:v>
      </x:c>
      <x:c r="I271" s="10" t="str">
        <x:v>Cebes</x:v>
      </x:c>
      <x:c r="J271" s="10" t="str">
        <x:v>Rio em Luto: Massacre da Penha tem mais vítimas que Carandiru</x:v>
      </x:c>
      <x:c r="K271" s="10" t="str">
        <x:v>Hemerográfico</x:v>
      </x:c>
      <x:c r="L271" s="10" t="str">
        <x:v>Texto (digital)</x:v>
      </x:c>
      <x:c r="M271" s="10" t="str">
        <x:v>Cebes</x:v>
      </x:c>
      <x:c r="N271" s="10" t="str">
        <x:v>Português, Brasil</x:v>
      </x:c>
      <x:c r="O271" s="10" t="str">
        <x:v>"Massacre da Penha" no Google</x:v>
      </x:c>
      <x:c r="P271" s="10" t="str">
        <x:v>2025-10-31 00:00:00</x:v>
      </x:c>
      <x:c r="Q271" s="10" t="str">
        <x:v>Aberto</x:v>
      </x:c>
      <x:c r="R271" s="10" t="str">
        <x:v>Aqui</x:v>
      </x:c>
      <x:c r="S271" s="10" t="str">
        <x:v>FAGUNDES, Clara. Rio em Luto: Massacre da Penha tem mais vítimas que Carandiru. Cebes, São Paulo, 29 out. 2025. Disponível em: https://cebes.org.br/rio-em-luto-massacre-da-penha-tem-mais-vitimas-que-carandiru/39928/. Acesso em: 31 out. 2025.</x:v>
      </x:c>
      <x:c r="T271" s="10" t="str">
        <x:v>BR-SPDIREITOVIOLESTADO_MAPEAMENTOS-NOTICIAS-MSSCPENHA.xlsx</x:v>
      </x:c>
      <x:c r="U271" s="10" t="str">
        <x:v>Geral</x:v>
      </x:c>
      <x:c r="V271" s="11" t="n">
        <x:v>16</x:v>
      </x:c>
      <x:c r="W271" s="10" t="str">
        <x:v>BR-SPDIREITOVIOLESTADO_MAPEAMENTOS-NOTICIAS-MSSCPENHA.xlsx:Geral:16</x:v>
      </x:c>
      <x:c r="X271" s="11" t="n">
        <x:f>COLUMNS(A271:S271)-COUNTBLANK(A271:S271)</x:f>
        <x:v>19</x:v>
      </x:c>
    </x:row>
    <x:row r="272" ht="24" hidden="0" customHeight="1">
      <x:c r="A272" s="10" t="str">
        <x:v>Notícia</x:v>
      </x:c>
      <x:c r="B272" s="10" t="str">
        <x:v>Difusão</x:v>
      </x:c>
      <x:c r="C272" s="10" t="str">
        <x:v>Produção midiática</x:v>
      </x:c>
      <x:c r="D272" s="10" t="str">
        <x:v>Público Mediado</x:v>
      </x:c>
      <x:c r="E272" s="10" t="str">
        <x:v>Midiático</x:v>
      </x:c>
      <x:c r="F272" s="10" t="str">
        <x:v>29/10/2025</x:v>
      </x:c>
      <x:c r="G272" s="11" t="n">
        <x:v>2025</x:v>
      </x:c>
      <x:c r="H272" s="10" t="str">
        <x:v>Bahia, Brasil</x:v>
      </x:c>
      <x:c r="I272" s="10" t="str">
        <x:v>Bahia Já</x:v>
      </x:c>
      <x:c r="J272" s="10" t="str">
        <x:v>Massacre no Rio: mais 64 corpos são empilhados numa praça da Penha</x:v>
      </x:c>
      <x:c r="K272" s="10" t="str">
        <x:v>Hemerográfico</x:v>
      </x:c>
      <x:c r="L272" s="10" t="str">
        <x:v>Texto (digital)</x:v>
      </x:c>
      <x:c r="M272" s="10" t="str">
        <x:v>Bahia Já</x:v>
      </x:c>
      <x:c r="N272" s="10" t="str">
        <x:v>Português, Brasil</x:v>
      </x:c>
      <x:c r="O272" s="10" t="str">
        <x:v>"Massacre da Penha" no Google</x:v>
      </x:c>
      <x:c r="P272" s="10" t="str">
        <x:v>2025-10-31 00:00:00</x:v>
      </x:c>
      <x:c r="Q272" s="10" t="str">
        <x:v>Aberto</x:v>
      </x:c>
      <x:c r="R272" s="10" t="str">
        <x:v>Aqui</x:v>
      </x:c>
      <x:c r="S272" s="10" t="str">
        <x:v>FRANCO, Tasso. Massacre no Rio: mais 64 corpos são empilhados numa praça da Penha. Bahia Já, Salvador, 29 out. 2025. Disponível em: https://www.bahiaja.com.br/politica/noticia/2025/10/29/massacre-no-rio-mais-64-corpos-sao-empilhados-numa-praca-da-penha,158512,0.html. Acesso em: 31 out. 2025.</x:v>
      </x:c>
      <x:c r="T272" s="10" t="str">
        <x:v>BR-SPDIREITOVIOLESTADO_MAPEAMENTOS-NOTICIAS-MSSCPENHA.xlsx</x:v>
      </x:c>
      <x:c r="U272" s="10" t="str">
        <x:v>Geral</x:v>
      </x:c>
      <x:c r="V272" s="11" t="n">
        <x:v>17</x:v>
      </x:c>
      <x:c r="W272" s="10" t="str">
        <x:v>BR-SPDIREITOVIOLESTADO_MAPEAMENTOS-NOTICIAS-MSSCPENHA.xlsx:Geral:17</x:v>
      </x:c>
      <x:c r="X272" s="11" t="n">
        <x:f>COLUMNS(A272:S272)-COUNTBLANK(A272:S272)</x:f>
        <x:v>19</x:v>
      </x:c>
    </x:row>
    <x:row r="273" ht="24" hidden="0" customHeight="1">
      <x:c r="A273" s="10" t="str">
        <x:v>Notícia</x:v>
      </x:c>
      <x:c r="B273" s="10" t="str">
        <x:v>Difusão</x:v>
      </x:c>
      <x:c r="C273" s="10" t="str">
        <x:v>Produção midiática</x:v>
      </x:c>
      <x:c r="D273" s="10" t="str">
        <x:v>Público Mediado</x:v>
      </x:c>
      <x:c r="E273" s="10" t="str">
        <x:v>Midiático</x:v>
      </x:c>
      <x:c r="F273" s="10" t="str">
        <x:v>29/10/2025</x:v>
      </x:c>
      <x:c r="G273" s="11" t="n">
        <x:v>2025</x:v>
      </x:c>
      <x:c r="H273" s="10" t="str">
        <x:v>São Paulo, Brasil</x:v>
      </x:c>
      <x:c r="I273" s="10" t="str">
        <x:v>Ponte Jornalismo</x:v>
      </x:c>
      <x:c r="J273" s="10" t="str">
        <x:v>Protesto reúne familiares de jovens mortos pela polícia em São Paulo</x:v>
      </x:c>
      <x:c r="K273" s="10" t="str">
        <x:v>Hemerográfico</x:v>
      </x:c>
      <x:c r="L273" s="10" t="str">
        <x:v>Texto (digital)</x:v>
      </x:c>
      <x:c r="M273" s="10" t="str">
        <x:v>Ponte Jornalismo</x:v>
      </x:c>
      <x:c r="N273" s="10" t="str">
        <x:v>Português, Brasil</x:v>
      </x:c>
      <x:c r="O273" s="10" t="str">
        <x:v>"Massacre da Penha" no Google</x:v>
      </x:c>
      <x:c r="P273" s="10" t="str">
        <x:v>2025-10-31 00:00:00</x:v>
      </x:c>
      <x:c r="Q273" s="10" t="str">
        <x:v>Aberto</x:v>
      </x:c>
      <x:c r="R273" s="10" t="str">
        <x:v>Aqui</x:v>
      </x:c>
      <x:c r="S273" s="10" t="str">
        <x:v>DUARTE, Catarina. Protesto reúne familiares de jovens mortos pela polícia em São Paulo. Ponte Jornalismo, São Paulo, 29 out. 2025. Disponível em: https://ponte.org/protesto-reune-familiares-de-jovens-mortos-pela-policia-em-sp/. Acesso em: 31 out. 2025.</x:v>
      </x:c>
      <x:c r="T273" s="10" t="str">
        <x:v>BR-SPDIREITOVIOLESTADO_MAPEAMENTOS-NOTICIAS-MSSCPENHA.xlsx</x:v>
      </x:c>
      <x:c r="U273" s="10" t="str">
        <x:v>Geral</x:v>
      </x:c>
      <x:c r="V273" s="11" t="n">
        <x:v>18</x:v>
      </x:c>
      <x:c r="W273" s="10" t="str">
        <x:v>BR-SPDIREITOVIOLESTADO_MAPEAMENTOS-NOTICIAS-MSSCPENHA.xlsx:Geral:18</x:v>
      </x:c>
      <x:c r="X273" s="11" t="n">
        <x:f>COLUMNS(A273:S273)-COUNTBLANK(A273:S273)</x:f>
        <x:v>19</x:v>
      </x:c>
    </x:row>
    <x:row r="274" ht="24" hidden="0" customHeight="1">
      <x:c r="A274" s="10" t="str">
        <x:v>Ato</x:v>
      </x:c>
      <x:c r="B274" s="10" t="str">
        <x:v>Rememoração</x:v>
      </x:c>
      <x:c r="C274" s="10" t="str"/>
      <x:c r="D274" s="10" t="str">
        <x:v>Público Imediato</x:v>
      </x:c>
      <x:c r="E274" s="10" t="str">
        <x:v>Presencial/Físico</x:v>
      </x:c>
      <x:c r="F274" s="10" t="str">
        <x:v>2025-10-29 00:00:00</x:v>
      </x:c>
      <x:c r="G274" s="11" t="n">
        <x:v>2025</x:v>
      </x:c>
      <x:c r="H274" s="10" t="str">
        <x:v>Rio de Janeiro, Brasil</x:v>
      </x:c>
      <x:c r="I274" s="10" t="str">
        <x:v>Ponte Jornalismo</x:v>
      </x:c>
      <x:c r="J274" s="10" t="str">
        <x:v>Manifestantes em São Paulo pediram o fim da violência policial e lembraram o Massacre da Penha e do Alemão, ocorrido ontem no Rio de Janeiro</x:v>
      </x:c>
      <x:c r="K274" s="10" t="str">
        <x:v>Iconográfico</x:v>
      </x:c>
      <x:c r="L274" s="10" t="str">
        <x:v>Imagem (digital)</x:v>
      </x:c>
      <x:c r="M274" s="10" t="str">
        <x:v>Ponte Jornalismo</x:v>
      </x:c>
      <x:c r="N274" s="10" t="str">
        <x:v>Português, Brasil</x:v>
      </x:c>
      <x:c r="O274" s="10" t="str">
        <x:v>"Massacre da Penha" no Google</x:v>
      </x:c>
      <x:c r="P274" s="10" t="str">
        <x:v>2025-10-31 00:00:00</x:v>
      </x:c>
      <x:c r="Q274" s="10" t="str">
        <x:v>Aberto</x:v>
      </x:c>
      <x:c r="R274" s="10" t="str">
        <x:v>Aqui</x:v>
      </x:c>
      <x:c r="S274" s="10" t="str">
        <x:v>ARROYO, Daniel. Manifestantes em São Paulo pediram o fim da violência policial e lembraram o Massacre da Penha e do Alemão, ocorrido ontem no Rio de Janeiro. Fotografia. Ponte Jornalismo, São Paulo, 29 out. 2025. Disponível em: https://ponte.org/protesto-reune-familiares-de-jovens-mortos-pela-policia-em-sp/. Acesso em: 31 out. 2025.</x:v>
      </x:c>
      <x:c r="T274" s="10" t="str">
        <x:v>BR-SPDIREITOVIOLESTADO_MAPEAMENTOS-NOTICIAS-MSSCPENHA.xlsx</x:v>
      </x:c>
      <x:c r="U274" s="10" t="str">
        <x:v>Geral</x:v>
      </x:c>
      <x:c r="V274" s="11" t="n">
        <x:v>19</x:v>
      </x:c>
      <x:c r="W274" s="10" t="str">
        <x:v>BR-SPDIREITOVIOLESTADO_MAPEAMENTOS-NOTICIAS-MSSCPENHA.xlsx:Geral:19</x:v>
      </x:c>
      <x:c r="X274" s="11" t="n">
        <x:f>COLUMNS(A274:S274)-COUNTBLANK(A274:S274)</x:f>
        <x:v>18</x:v>
      </x:c>
    </x:row>
    <x:row r="275" ht="24" hidden="0" customHeight="1">
      <x:c r="A275" s="10" t="str">
        <x:v>Manifesto</x:v>
      </x:c>
      <x:c r="B275" s="10" t="str">
        <x:v>Rememoração</x:v>
      </x:c>
      <x:c r="C275" s="10" t="str"/>
      <x:c r="D275" s="10" t="str">
        <x:v>Público Mediado</x:v>
      </x:c>
      <x:c r="E275" s="10" t="str">
        <x:v>Presencial/Físico</x:v>
      </x:c>
      <x:c r="F275" s="10" t="str">
        <x:v>2025-10-29 00:00:00</x:v>
      </x:c>
      <x:c r="G275" s="11" t="n">
        <x:v>2025</x:v>
      </x:c>
      <x:c r="H275" s="10" t="str">
        <x:v>Rio de Janeiro, Brasil</x:v>
      </x:c>
      <x:c r="I275" s="10" t="str">
        <x:v>Fundação Oswaldo Cruz</x:v>
      </x:c>
      <x:c r="J275" s="10" t="str">
        <x:v>Fiocruz e instituições divulgam Manifesto por uma Segurança Pública Cidadã para o Rio</x:v>
      </x:c>
      <x:c r="K275" s="10" t="str">
        <x:v>Hemerográfico</x:v>
      </x:c>
      <x:c r="L275" s="10" t="str">
        <x:v>Texto (digital)</x:v>
      </x:c>
      <x:c r="M275" s="10" t="str">
        <x:v>Fundação Oswaldo Cruz</x:v>
      </x:c>
      <x:c r="N275" s="10" t="str">
        <x:v>Português, Brasil</x:v>
      </x:c>
      <x:c r="O275" s="10" t="str">
        <x:v>"Massacre da Penha" no Google</x:v>
      </x:c>
      <x:c r="P275" s="10" t="str">
        <x:v>2025-10-31 00:00:00</x:v>
      </x:c>
      <x:c r="Q275" s="10" t="str">
        <x:v>Aberto</x:v>
      </x:c>
      <x:c r="R275" s="10" t="str">
        <x:v>Aqui</x:v>
      </x:c>
      <x:c r="S275" s="10" t="str">
        <x:v>FUNDAÇÃO OSWALDO CRUZ. Fiocruz e instituições divulgam Manifesto por uma Segurança Pública Cidadã para o Rio. Fiocruz, Rio de Janeiro, 29 out. 2025. Disponível em: https://agencia.fiocruz.br/fiocruz-e-instituicoes-divulgam-manifesto-por-uma-seguranca-publica-cidada-para-o-rio. Acesso em: 31 out. 2025.</x:v>
      </x:c>
      <x:c r="T275" s="10" t="str">
        <x:v>BR-SPDIREITOVIOLESTADO_MAPEAMENTOS-NOTICIAS-MSSCPENHA.xlsx</x:v>
      </x:c>
      <x:c r="U275" s="10" t="str">
        <x:v>Geral</x:v>
      </x:c>
      <x:c r="V275" s="11" t="n">
        <x:v>20</x:v>
      </x:c>
      <x:c r="W275" s="10" t="str">
        <x:v>BR-SPDIREITOVIOLESTADO_MAPEAMENTOS-NOTICIAS-MSSCPENHA.xlsx:Geral:20</x:v>
      </x:c>
      <x:c r="X275" s="11" t="n">
        <x:f>COLUMNS(A275:S275)-COUNTBLANK(A275:S275)</x:f>
        <x:v>18</x:v>
      </x:c>
    </x:row>
    <x:row r="276" ht="24" hidden="0" customHeight="1">
      <x:c r="A276" s="10" t="str">
        <x:v>Notícia</x:v>
      </x:c>
      <x:c r="B276" s="10" t="str">
        <x:v>Difusão</x:v>
      </x:c>
      <x:c r="C276" s="10" t="str">
        <x:v>Produção midiática</x:v>
      </x:c>
      <x:c r="D276" s="10" t="str">
        <x:v>Público Mediado</x:v>
      </x:c>
      <x:c r="E276" s="10" t="str">
        <x:v>Midiático</x:v>
      </x:c>
      <x:c r="F276" s="10" t="str">
        <x:v>30/10/2025</x:v>
      </x:c>
      <x:c r="G276" s="11" t="n">
        <x:v>2025</x:v>
      </x:c>
      <x:c r="H276" s="10" t="str">
        <x:v>São Paulo, Brasil</x:v>
      </x:c>
      <x:c r="I276" s="10" t="str">
        <x:v>Le Monde Diplomatique</x:v>
      </x:c>
      <x:c r="J276" s="10" t="str">
        <x:v>A chacina fluminense e o estado permanente de guerra</x:v>
      </x:c>
      <x:c r="K276" s="10" t="str">
        <x:v>Hemerográfico</x:v>
      </x:c>
      <x:c r="L276" s="10" t="str">
        <x:v>Texto (digital)</x:v>
      </x:c>
      <x:c r="M276" s="10" t="str">
        <x:v>Le Monde Diplomatique</x:v>
      </x:c>
      <x:c r="N276" s="10" t="str">
        <x:v>Português, Brasil</x:v>
      </x:c>
      <x:c r="O276" s="10" t="str">
        <x:v>"Massacre da Penha" no Google</x:v>
      </x:c>
      <x:c r="P276" s="10" t="str">
        <x:v>2025-10-31 00:00:00</x:v>
      </x:c>
      <x:c r="Q276" s="10" t="str">
        <x:v>Aberto</x:v>
      </x:c>
      <x:c r="R276" s="10" t="str">
        <x:v>Aqui</x:v>
      </x:c>
      <x:c r="S276" s="10" t="str">
        <x:v>PASSOS, Rachel Gouveia. A chacina fluminense e o estado permanente de guerra. Le Monde Diplomatique Brasil, São Paulo, 30 out. 2025. Disponível em: https://diplomatique.org.br/a-chacina-fluminense-e-o-estado-permanente-de-guerra/. Acesso em: 31 out. 2025.</x:v>
      </x:c>
      <x:c r="T276" s="10" t="str">
        <x:v>BR-SPDIREITOVIOLESTADO_MAPEAMENTOS-NOTICIAS-MSSCPENHA.xlsx</x:v>
      </x:c>
      <x:c r="U276" s="10" t="str">
        <x:v>Geral</x:v>
      </x:c>
      <x:c r="V276" s="11" t="n">
        <x:v>21</x:v>
      </x:c>
      <x:c r="W276" s="10" t="str">
        <x:v>BR-SPDIREITOVIOLESTADO_MAPEAMENTOS-NOTICIAS-MSSCPENHA.xlsx:Geral:21</x:v>
      </x:c>
      <x:c r="X276" s="11" t="n">
        <x:f>COLUMNS(A276:S276)-COUNTBLANK(A276:S276)</x:f>
        <x:v>19</x:v>
      </x:c>
    </x:row>
    <x:row r="277" ht="24" hidden="0" customHeight="1">
      <x:c r="A277" s="10" t="str">
        <x:v>Notícia</x:v>
      </x:c>
      <x:c r="B277" s="10" t="str">
        <x:v>Difusão</x:v>
      </x:c>
      <x:c r="C277" s="10" t="str">
        <x:v>Produção midiática</x:v>
      </x:c>
      <x:c r="D277" s="10" t="str">
        <x:v>Público Mediado</x:v>
      </x:c>
      <x:c r="E277" s="10" t="str">
        <x:v>Midiático</x:v>
      </x:c>
      <x:c r="F277" s="10" t="str">
        <x:v>31/10/2025</x:v>
      </x:c>
      <x:c r="G277" s="11" t="n">
        <x:v>2025</x:v>
      </x:c>
      <x:c r="H277" s="10" t="str">
        <x:v>São Paulo, Brasil</x:v>
      </x:c>
      <x:c r="I277" s="10" t="str">
        <x:v>Le Monde Diplomatique</x:v>
      </x:c>
      <x:c r="J277" s="10" t="str">
        <x:v>A chacina do Rio como clímax das narrativas da extrema-direita</x:v>
      </x:c>
      <x:c r="K277" s="10" t="str">
        <x:v>Hemerográfico</x:v>
      </x:c>
      <x:c r="L277" s="10" t="str">
        <x:v>Texto (digital)</x:v>
      </x:c>
      <x:c r="M277" s="10" t="str">
        <x:v>Le Monde Diplomatique</x:v>
      </x:c>
      <x:c r="N277" s="10" t="str">
        <x:v>Português, Brasil</x:v>
      </x:c>
      <x:c r="O277" s="10" t="str">
        <x:v>"Massacre da Penha" no Google</x:v>
      </x:c>
      <x:c r="P277" s="10" t="str">
        <x:v>2025-10-31 00:00:00</x:v>
      </x:c>
      <x:c r="Q277" s="10" t="str">
        <x:v>Aberto</x:v>
      </x:c>
      <x:c r="R277" s="10" t="str">
        <x:v>Aqui</x:v>
      </x:c>
      <x:c r="S277" s="10" t="str">
        <x:v>LACERDA, Marina Basso. A chacina do Rio como clímax das narrativas da extrema-direita. Le Monde Diplomatique Brasil, São Paulo, 31 out. 2025. Disponível em: https://diplomatique.org.br/a-chacina-do-rio-como-climax-das-narrativas-da-extrema-direita/. Acesso em: 31 out. 2025.</x:v>
      </x:c>
      <x:c r="T277" s="10" t="str">
        <x:v>BR-SPDIREITOVIOLESTADO_MAPEAMENTOS-NOTICIAS-MSSCPENHA.xlsx</x:v>
      </x:c>
      <x:c r="U277" s="10" t="str">
        <x:v>Geral</x:v>
      </x:c>
      <x:c r="V277" s="11" t="n">
        <x:v>22</x:v>
      </x:c>
      <x:c r="W277" s="10" t="str">
        <x:v>BR-SPDIREITOVIOLESTADO_MAPEAMENTOS-NOTICIAS-MSSCPENHA.xlsx:Geral:22</x:v>
      </x:c>
      <x:c r="X277" s="11" t="n">
        <x:f>COLUMNS(A277:S277)-COUNTBLANK(A277:S277)</x:f>
        <x:v>19</x:v>
      </x:c>
    </x:row>
    <x:row r="278" ht="24" hidden="0" customHeight="1">
      <x:c r="A278" s="10" t="str">
        <x:v>Notícia</x:v>
      </x:c>
      <x:c r="B278" s="10" t="str">
        <x:v>Difusão</x:v>
      </x:c>
      <x:c r="C278" s="10" t="str">
        <x:v>Produção midiática</x:v>
      </x:c>
      <x:c r="D278" s="10" t="str">
        <x:v>Público Mediado</x:v>
      </x:c>
      <x:c r="E278" s="10" t="str">
        <x:v>Midiático</x:v>
      </x:c>
      <x:c r="F278" s="10" t="str">
        <x:v>30/10/2025</x:v>
      </x:c>
      <x:c r="G278" s="11" t="n">
        <x:v>2025</x:v>
      </x:c>
      <x:c r="H278" s="10" t="str">
        <x:v>Rio de Janeiro, Brasil</x:v>
      </x:c>
      <x:c r="I278" s="10" t="str">
        <x:v>Le Monde Diplomatique</x:v>
      </x:c>
      <x:c r="J278" s="10" t="str">
        <x:v>A dor da cor: a maior chacina da democracia brasileira e o Rio de Janeiro</x:v>
      </x:c>
      <x:c r="K278" s="10" t="str">
        <x:v>Hemerográfico</x:v>
      </x:c>
      <x:c r="L278" s="10" t="str">
        <x:v>Texto (digital)</x:v>
      </x:c>
      <x:c r="M278" s="10" t="str">
        <x:v>Le Monde Diplomatique</x:v>
      </x:c>
      <x:c r="N278" s="10" t="str">
        <x:v>Português, Brasil</x:v>
      </x:c>
      <x:c r="O278" s="10" t="str">
        <x:v>"Massacre da Penha" no Google</x:v>
      </x:c>
      <x:c r="P278" s="10" t="str">
        <x:v>2025-10-31 00:00:00</x:v>
      </x:c>
      <x:c r="Q278" s="10" t="str">
        <x:v>Aberto</x:v>
      </x:c>
      <x:c r="R278" s="10" t="str">
        <x:v>Aqui</x:v>
      </x:c>
      <x:c r="S278" s="10" t="str">
        <x:v>CAMPOS, Marcelo; CACICEDO, Patrick; RAMOS, Paulo César. A dor da cor: a maior chacina da democracia brasileira e o Rio de Janeiro. Le Monde Diplomatique Brasil, São Paulo, 30 out. 2025. Disponível em: https://diplomatique.org.br/a-dor-da-cor-a-maior-chacina-da-democracia-brasileira-e-o-rio-de-janeiro/. Acesso em: 31 out. 2025.</x:v>
      </x:c>
      <x:c r="T278" s="10" t="str">
        <x:v>BR-SPDIREITOVIOLESTADO_MAPEAMENTOS-NOTICIAS-MSSCPENHA.xlsx</x:v>
      </x:c>
      <x:c r="U278" s="10" t="str">
        <x:v>Geral</x:v>
      </x:c>
      <x:c r="V278" s="11" t="n">
        <x:v>23</x:v>
      </x:c>
      <x:c r="W278" s="10" t="str">
        <x:v>BR-SPDIREITOVIOLESTADO_MAPEAMENTOS-NOTICIAS-MSSCPENHA.xlsx:Geral:23</x:v>
      </x:c>
      <x:c r="X278" s="11" t="n">
        <x:f>COLUMNS(A278:S278)-COUNTBLANK(A278:S278)</x:f>
        <x:v>19</x:v>
      </x:c>
    </x:row>
    <x:row r="279" ht="24" hidden="0" customHeight="1">
      <x:c r="A279" s="10" t="str">
        <x:v>Notícia</x:v>
      </x:c>
      <x:c r="B279" s="10" t="str">
        <x:v>Difusão</x:v>
      </x:c>
      <x:c r="C279" s="10" t="str">
        <x:v>Produção midiática</x:v>
      </x:c>
      <x:c r="D279" s="10" t="str">
        <x:v>Público Mediado</x:v>
      </x:c>
      <x:c r="E279" s="10" t="str">
        <x:v>Midiático</x:v>
      </x:c>
      <x:c r="F279" s="10" t="str">
        <x:v>29/10/2025</x:v>
      </x:c>
      <x:c r="G279" s="11" t="n">
        <x:v>2025</x:v>
      </x:c>
      <x:c r="H279" s="10" t="str">
        <x:v>Rio de Janeiro, Brasil</x:v>
      </x:c>
      <x:c r="I279" s="10" t="str">
        <x:v>Le Monde Diplomatique</x:v>
      </x:c>
      <x:c r="J279" s="10" t="str">
        <x:v>Solidariedade àqueles que atuam na cobertura da operação no Rio de Janeiro</x:v>
      </x:c>
      <x:c r="K279" s="10" t="str">
        <x:v>Hemerográfico</x:v>
      </x:c>
      <x:c r="L279" s="10" t="str">
        <x:v>Texto (digital)</x:v>
      </x:c>
      <x:c r="M279" s="10" t="str">
        <x:v>Le Monde Diplomatique</x:v>
      </x:c>
      <x:c r="N279" s="10" t="str">
        <x:v>Português, Brasil</x:v>
      </x:c>
      <x:c r="O279" s="10" t="str">
        <x:v>"Massacre da Penha" no Google</x:v>
      </x:c>
      <x:c r="P279" s="10" t="str">
        <x:v>2025-10-31 00:00:00</x:v>
      </x:c>
      <x:c r="Q279" s="10" t="str">
        <x:v>Aberto</x:v>
      </x:c>
      <x:c r="R279" s="10" t="str">
        <x:v>Aqui</x:v>
      </x:c>
      <x:c r="S279" s="10" t="str">
        <x:v>ASSOCIAÇÃO DE JORNALISMO DIGITAL (AJOR). Solidariedade àqueles que atuam na cobertura da operação no Rio de Janeiro. Le Monde Diplomatique Brasil, São Paulo, 29 out. 2025. Disponível em: https://diplomatique.org.br/solidariedade-aqueles-que-atuam-na-cobertura-da-operacao-no-rio-de-janeiro-ajor/. Acesso em: 31 out. 2025.</x:v>
      </x:c>
      <x:c r="T279" s="10" t="str">
        <x:v>BR-SPDIREITOVIOLESTADO_MAPEAMENTOS-NOTICIAS-MSSCPENHA.xlsx</x:v>
      </x:c>
      <x:c r="U279" s="10" t="str">
        <x:v>Geral</x:v>
      </x:c>
      <x:c r="V279" s="11" t="n">
        <x:v>24</x:v>
      </x:c>
      <x:c r="W279" s="10" t="str">
        <x:v>BR-SPDIREITOVIOLESTADO_MAPEAMENTOS-NOTICIAS-MSSCPENHA.xlsx:Geral:24</x:v>
      </x:c>
      <x:c r="X279" s="11" t="n">
        <x:f>COLUMNS(A279:S279)-COUNTBLANK(A279:S279)</x:f>
        <x:v>19</x:v>
      </x:c>
    </x:row>
    <x:row r="280" ht="15" hidden="0" customHeight="1">
      <x:c r="A280" s="10" t="str">
        <x:v>Notícia</x:v>
      </x:c>
      <x:c r="B280" s="10" t="str">
        <x:v>Difusão</x:v>
      </x:c>
      <x:c r="C280" s="10" t="str">
        <x:v>Produção midiática</x:v>
      </x:c>
      <x:c r="D280" s="10" t="str">
        <x:v>Público Mediado</x:v>
      </x:c>
      <x:c r="E280" s="10" t="str">
        <x:v>Midiático</x:v>
      </x:c>
      <x:c r="F280" s="10" t="str">
        <x:v>29/10/2025</x:v>
      </x:c>
      <x:c r="G280" s="11" t="n">
        <x:v>2025</x:v>
      </x:c>
      <x:c r="H280" s="10" t="str">
        <x:v>São Paulo, Brasil</x:v>
      </x:c>
      <x:c r="I280" s="10" t="str">
        <x:v>Le Monde Diplomatique</x:v>
      </x:c>
      <x:c r="J280" s="10" t="str">
        <x:v>Amanhã a babá não trabalha</x:v>
      </x:c>
      <x:c r="K280" s="10" t="str">
        <x:v>Hemerográfico</x:v>
      </x:c>
      <x:c r="L280" s="10" t="str">
        <x:v>Texto (digital)</x:v>
      </x:c>
      <x:c r="M280" s="10" t="str">
        <x:v>Le Monde Diplomatique</x:v>
      </x:c>
      <x:c r="N280" s="10" t="str">
        <x:v>Português, Brasil</x:v>
      </x:c>
      <x:c r="O280" s="10" t="str">
        <x:v>"Massacre da Penha" no Google</x:v>
      </x:c>
      <x:c r="P280" s="10" t="str">
        <x:v>2025-10-31 00:00:00</x:v>
      </x:c>
      <x:c r="Q280" s="10" t="str">
        <x:v>Aberto</x:v>
      </x:c>
      <x:c r="R280" s="10" t="str">
        <x:v>Aqui</x:v>
      </x:c>
      <x:c r="S280" s="10" t="str">
        <x:v>CREMASCO, Thaís. Amanhã a babá não trabalha. Le Monde Diplomatique Brasil, São Paulo, 29 out. 2025. Disponível em: https://diplomatique.org.br/a-baba-a-favela-e-o-centro/. Acesso em: 31 out. 2025.</x:v>
      </x:c>
      <x:c r="T280" s="10" t="str">
        <x:v>BR-SPDIREITOVIOLESTADO_MAPEAMENTOS-NOTICIAS-MSSCPENHA.xlsx</x:v>
      </x:c>
      <x:c r="U280" s="10" t="str">
        <x:v>Geral</x:v>
      </x:c>
      <x:c r="V280" s="11" t="n">
        <x:v>25</x:v>
      </x:c>
      <x:c r="W280" s="10" t="str">
        <x:v>BR-SPDIREITOVIOLESTADO_MAPEAMENTOS-NOTICIAS-MSSCPENHA.xlsx:Geral:25</x:v>
      </x:c>
      <x:c r="X280" s="11" t="n">
        <x:f>COLUMNS(A280:S280)-COUNTBLANK(A280:S280)</x:f>
        <x:v>19</x:v>
      </x:c>
    </x:row>
    <x:row r="281" ht="24" hidden="0" customHeight="1">
      <x:c r="A281" s="10" t="str">
        <x:v>Notícia</x:v>
      </x:c>
      <x:c r="B281" s="10" t="str">
        <x:v>Difusão</x:v>
      </x:c>
      <x:c r="C281" s="10" t="str">
        <x:v>Produção midiática</x:v>
      </x:c>
      <x:c r="D281" s="10" t="str">
        <x:v>Público Mediado</x:v>
      </x:c>
      <x:c r="E281" s="10" t="str">
        <x:v>Midiático</x:v>
      </x:c>
      <x:c r="F281" s="10" t="str">
        <x:v>28/10/2025</x:v>
      </x:c>
      <x:c r="G281" s="11" t="n">
        <x:v>2025</x:v>
      </x:c>
      <x:c r="H281" s="10" t="str">
        <x:v>Rio de Janeiro, Brasil</x:v>
      </x:c>
      <x:c r="I281" s="10" t="str">
        <x:v>Gazeta do Povo</x:v>
      </x:c>
      <x:c r="J281" s="10" t="str">
        <x:v>ONU diz estar “horrorizada” com operação policial no Rio de Janeir</x:v>
      </x:c>
      <x:c r="K281" s="10" t="str">
        <x:v>Hemerográfico</x:v>
      </x:c>
      <x:c r="L281" s="10" t="str">
        <x:v>Texto (digital)</x:v>
      </x:c>
      <x:c r="M281" s="10" t="str">
        <x:v>Gazeta do Povo</x:v>
      </x:c>
      <x:c r="N281" s="10" t="str">
        <x:v>Português, Brasil</x:v>
      </x:c>
      <x:c r="O281" s="10" t="str">
        <x:v>Hiperlink</x:v>
      </x:c>
      <x:c r="P281" s="10" t="str">
        <x:v>2025-10-31 00:00:00</x:v>
      </x:c>
      <x:c r="Q281" s="10" t="str">
        <x:v>Acesso restrito</x:v>
      </x:c>
      <x:c r="R281" s="10" t="str">
        <x:v>Aqui</x:v>
      </x:c>
      <x:c r="S281" s="10" t="str">
        <x:v>LUCAS, John. ONU diz estar “horrorizada” com operação policial no Rio de Janeiro. Gazeta do Povo, Curitiba, 28 out. 2025. Disponível em: https://www.gazetadopovo.com.br/mundo/onu-diz-estar-horrorizada-com-operacao-policial-no-rio-de-janeiro/. Acesso em: 31 out. 2025.</x:v>
      </x:c>
      <x:c r="T281" s="10" t="str">
        <x:v>BR-SPDIREITOVIOLESTADO_MAPEAMENTOS-NOTICIAS-MSSCPENHA.xlsx</x:v>
      </x:c>
      <x:c r="U281" s="10" t="str">
        <x:v>Geral</x:v>
      </x:c>
      <x:c r="V281" s="11" t="n">
        <x:v>26</x:v>
      </x:c>
      <x:c r="W281" s="10" t="str">
        <x:v>BR-SPDIREITOVIOLESTADO_MAPEAMENTOS-NOTICIAS-MSSCPENHA.xlsx:Geral:26</x:v>
      </x:c>
      <x:c r="X281" s="11" t="n">
        <x:f>COLUMNS(A281:S281)-COUNTBLANK(A281:S281)</x:f>
        <x:v>19</x:v>
      </x:c>
    </x:row>
    <x:row r="282" ht="24" hidden="0" customHeight="1">
      <x:c r="A282" s="10" t="str">
        <x:v>Notícia</x:v>
      </x:c>
      <x:c r="B282" s="10" t="str">
        <x:v>Difusão</x:v>
      </x:c>
      <x:c r="C282" s="10" t="str">
        <x:v>Produção midiática</x:v>
      </x:c>
      <x:c r="D282" s="10" t="str">
        <x:v>Público Mediado</x:v>
      </x:c>
      <x:c r="E282" s="10" t="str">
        <x:v>Midiático</x:v>
      </x:c>
      <x:c r="F282" s="10" t="str">
        <x:v>29/10/2025</x:v>
      </x:c>
      <x:c r="G282" s="11" t="n">
        <x:v>2025</x:v>
      </x:c>
      <x:c r="H282" s="10" t="str">
        <x:v>São Paulo, Brasil</x:v>
      </x:c>
      <x:c r="I282" s="10" t="str">
        <x:v>Cebes</x:v>
      </x:c>
      <x:c r="J282" s="10" t="str">
        <x:v>Manifesto por uma Segurança Pública Cidadã no Rio</x:v>
      </x:c>
      <x:c r="K282" s="10" t="str">
        <x:v>Hemerográfico</x:v>
      </x:c>
      <x:c r="L282" s="10" t="str">
        <x:v>Texto (digital)</x:v>
      </x:c>
      <x:c r="M282" s="10" t="str">
        <x:v>Cebes</x:v>
      </x:c>
      <x:c r="N282" s="10" t="str">
        <x:v>Português, Brasil</x:v>
      </x:c>
      <x:c r="O282" s="10" t="str">
        <x:v>"Massacre da Penha" no Google</x:v>
      </x:c>
      <x:c r="P282" s="10" t="str">
        <x:v>2025-10-31 00:00:00</x:v>
      </x:c>
      <x:c r="Q282" s="10" t="str">
        <x:v>Aberto</x:v>
      </x:c>
      <x:c r="R282" s="10" t="str">
        <x:v>Aqui</x:v>
      </x:c>
      <x:c r="S282" s="10" t="str">
        <x:v>CEBES. Manifesto por uma Segurança Pública Cidadã no Rio. Cebes, São Paulo, 29 out. 2025. Disponível em: https://cebes.org.br/manifesto-por-uma-seguranca-publica-cidada-no-rio/39944/. Acesso em: 31 out. 2025.</x:v>
      </x:c>
      <x:c r="T282" s="10" t="str">
        <x:v>BR-SPDIREITOVIOLESTADO_MAPEAMENTOS-NOTICIAS-MSSCPENHA.xlsx</x:v>
      </x:c>
      <x:c r="U282" s="10" t="str">
        <x:v>Geral</x:v>
      </x:c>
      <x:c r="V282" s="11" t="n">
        <x:v>27</x:v>
      </x:c>
      <x:c r="W282" s="10" t="str">
        <x:v>BR-SPDIREITOVIOLESTADO_MAPEAMENTOS-NOTICIAS-MSSCPENHA.xlsx:Geral:27</x:v>
      </x:c>
      <x:c r="X282" s="11" t="n">
        <x:f>COLUMNS(A282:S282)-COUNTBLANK(A282:S282)</x:f>
        <x:v>19</x:v>
      </x:c>
    </x:row>
    <x:row r="283" ht="24" hidden="0" customHeight="1">
      <x:c r="A283" s="10" t="str">
        <x:v>Notícia</x:v>
      </x:c>
      <x:c r="B283" s="10" t="str">
        <x:v>Difusão</x:v>
      </x:c>
      <x:c r="C283" s="10" t="str">
        <x:v>Produção midiática</x:v>
      </x:c>
      <x:c r="D283" s="10" t="str">
        <x:v>Público Mediado</x:v>
      </x:c>
      <x:c r="E283" s="10" t="str">
        <x:v>Midiático</x:v>
      </x:c>
      <x:c r="F283" s="10" t="str">
        <x:v>31/10/2025</x:v>
      </x:c>
      <x:c r="G283" s="11" t="n">
        <x:v>2025</x:v>
      </x:c>
      <x:c r="H283" s="10" t="str">
        <x:v>São Paulo, Brasil</x:v>
      </x:c>
      <x:c r="I283" s="10" t="str">
        <x:v>Le Monde Diplomatique</x:v>
      </x:c>
      <x:c r="J283" s="10" t="str">
        <x:v>Operação no Rio: uma chance para tirar da pauta as questões trabalhistas</x:v>
      </x:c>
      <x:c r="K283" s="10" t="str">
        <x:v>Hemerográfico</x:v>
      </x:c>
      <x:c r="L283" s="10" t="str">
        <x:v>Texto (digital)</x:v>
      </x:c>
      <x:c r="M283" s="10" t="str">
        <x:v>Le Monde Diplomatique</x:v>
      </x:c>
      <x:c r="N283" s="10" t="str">
        <x:v>Português, Brasil</x:v>
      </x:c>
      <x:c r="O283" s="10" t="str">
        <x:v>"Massacre da Penha" no Google</x:v>
      </x:c>
      <x:c r="P283" s="10" t="str">
        <x:v>2025-10-31 00:00:00</x:v>
      </x:c>
      <x:c r="Q283" s="10" t="str">
        <x:v>Aberto</x:v>
      </x:c>
      <x:c r="R283" s="10" t="str">
        <x:v>Aqui</x:v>
      </x:c>
      <x:c r="S283" s="10" t="str">
        <x:v>FAGUNDES, Raphael. Operação no Rio: uma chance para tirar da pauta as questões trabalhistas. Le Monde Diplomatique Brasil, São Paulo, 31 out. 2025. Disponível em: https://diplomatique.org.br/operacao-no-rio-uma-chance-para-tirar-da-pauta-as-questoes-trabalhistas/. Acesso em: 31 out. 2025.</x:v>
      </x:c>
      <x:c r="T283" s="10" t="str">
        <x:v>BR-SPDIREITOVIOLESTADO_MAPEAMENTOS-NOTICIAS-MSSCPENHA.xlsx</x:v>
      </x:c>
      <x:c r="U283" s="10" t="str">
        <x:v>Geral</x:v>
      </x:c>
      <x:c r="V283" s="11" t="n">
        <x:v>28</x:v>
      </x:c>
      <x:c r="W283" s="10" t="str">
        <x:v>BR-SPDIREITOVIOLESTADO_MAPEAMENTOS-NOTICIAS-MSSCPENHA.xlsx:Geral:28</x:v>
      </x:c>
      <x:c r="X283" s="11" t="n">
        <x:f>COLUMNS(A283:S283)-COUNTBLANK(A283:S283)</x:f>
        <x:v>19</x:v>
      </x:c>
    </x:row>
    <x:row r="284" ht="24" hidden="0" customHeight="1">
      <x:c r="A284" s="10" t="str">
        <x:v>Notícia</x:v>
      </x:c>
      <x:c r="B284" s="10" t="str">
        <x:v>Difusão</x:v>
      </x:c>
      <x:c r="C284" s="10" t="str">
        <x:v>Produção midiática</x:v>
      </x:c>
      <x:c r="D284" s="10" t="str">
        <x:v>Público Mediado</x:v>
      </x:c>
      <x:c r="E284" s="10" t="str">
        <x:v>Midiático</x:v>
      </x:c>
      <x:c r="F284" s="10" t="str">
        <x:v>31/10/2025</x:v>
      </x:c>
      <x:c r="G284" s="11" t="n">
        <x:v>2025</x:v>
      </x:c>
      <x:c r="H284" s="10" t="str">
        <x:v>São Paulo, Brasil</x:v>
      </x:c>
      <x:c r="I284" s="10" t="str">
        <x:v>Le Monde Diplomatique</x:v>
      </x:c>
      <x:c r="J284" s="10" t="str">
        <x:v>O Rio, a Garota de Ipanema e a necropolítica</x:v>
      </x:c>
      <x:c r="K284" s="10" t="str">
        <x:v>Hemerográfico</x:v>
      </x:c>
      <x:c r="L284" s="10" t="str">
        <x:v>Texto (digital)</x:v>
      </x:c>
      <x:c r="M284" s="10" t="str">
        <x:v>Le Monde Diplomatique</x:v>
      </x:c>
      <x:c r="N284" s="10" t="str">
        <x:v>Português, Brasil</x:v>
      </x:c>
      <x:c r="O284" s="10" t="str">
        <x:v>"Massacre da Penha" no Google</x:v>
      </x:c>
      <x:c r="P284" s="10" t="str">
        <x:v>2025-10-31 00:00:00</x:v>
      </x:c>
      <x:c r="Q284" s="10" t="str">
        <x:v>Aberto</x:v>
      </x:c>
      <x:c r="R284" s="10" t="str">
        <x:v>Aqui</x:v>
      </x:c>
      <x:c r="S284" s="10" t="str">
        <x:v>FREITAS, Vinicius Ruiz Albino de. O Rio, a Garota de Ipanema e a necropolítica. Le Monde Diplomatique Brasil, São Paulo, 31 out. 2025. Disponível em: https://diplomatique.org.br/o-rio-a-garota-de-ipanema-e-a-necropolitica/. Acesso em: 31 out. 2025.</x:v>
      </x:c>
      <x:c r="T284" s="10" t="str">
        <x:v>BR-SPDIREITOVIOLESTADO_MAPEAMENTOS-NOTICIAS-MSSCPENHA.xlsx</x:v>
      </x:c>
      <x:c r="U284" s="10" t="str">
        <x:v>Geral</x:v>
      </x:c>
      <x:c r="V284" s="11" t="n">
        <x:v>29</x:v>
      </x:c>
      <x:c r="W284" s="10" t="str">
        <x:v>BR-SPDIREITOVIOLESTADO_MAPEAMENTOS-NOTICIAS-MSSCPENHA.xlsx:Geral:29</x:v>
      </x:c>
      <x:c r="X284" s="11" t="n">
        <x:f>COLUMNS(A284:S284)-COUNTBLANK(A284:S284)</x:f>
        <x:v>19</x:v>
      </x:c>
    </x:row>
    <x:row r="285" ht="24" hidden="0" customHeight="1">
      <x:c r="A285" s="10" t="str">
        <x:v>Notícia</x:v>
      </x:c>
      <x:c r="B285" s="10" t="str">
        <x:v>Difusão</x:v>
      </x:c>
      <x:c r="C285" s="10" t="str">
        <x:v>Produção midiática</x:v>
      </x:c>
      <x:c r="D285" s="10" t="str">
        <x:v>Público Mediado</x:v>
      </x:c>
      <x:c r="E285" s="10" t="str">
        <x:v>Midiático</x:v>
      </x:c>
      <x:c r="F285" s="10" t="str">
        <x:v>29/10/2025</x:v>
      </x:c>
      <x:c r="G285" s="11" t="n">
        <x:v>2025</x:v>
      </x:c>
      <x:c r="H285" s="10" t="str">
        <x:v>Rio de Janeiro, Brasil</x:v>
      </x:c>
      <x:c r="I285" s="10" t="str">
        <x:v>ICL Notícias</x:v>
      </x:c>
      <x:c r="J285" s="10" t="str">
        <x:v>119 mortos</x:v>
      </x:c>
      <x:c r="K285" s="10" t="str">
        <x:v>Hemerográfico</x:v>
      </x:c>
      <x:c r="L285" s="10" t="str">
        <x:v>Texto (digital)</x:v>
      </x:c>
      <x:c r="M285" s="10" t="str">
        <x:v>ICL Notícias</x:v>
      </x:c>
      <x:c r="N285" s="10" t="str">
        <x:v>Português, Brasil</x:v>
      </x:c>
      <x:c r="O285" s="10" t="str">
        <x:v>"Massacre da Penha" no Google</x:v>
      </x:c>
      <x:c r="P285" s="10" t="str">
        <x:v>2025-10-31 00:00:00</x:v>
      </x:c>
      <x:c r="Q285" s="10" t="str">
        <x:v>Aberto</x:v>
      </x:c>
      <x:c r="R285" s="10" t="str">
        <x:v>Aqui</x:v>
      </x:c>
      <x:c r="S285" s="10" t="str">
        <x:v>ICL NOTÍCIAS. 119 mortos: é a maior matança em comunidades do RJ. ICL Notícias, Rio de Janeiro, 29 out. 2025. Disponível em: https://iclnoticias.com.br/megaoperacao-das-policias-do-rj-cv-mortos/. Acesso em: 31 out. 2025.</x:v>
      </x:c>
      <x:c r="T285" s="10" t="str">
        <x:v>BR-SPDIREITOVIOLESTADO_MAPEAMENTOS-NOTICIAS-MSSCPENHA.xlsx</x:v>
      </x:c>
      <x:c r="U285" s="10" t="str">
        <x:v>Geral</x:v>
      </x:c>
      <x:c r="V285" s="11" t="n">
        <x:v>30</x:v>
      </x:c>
      <x:c r="W285" s="10" t="str">
        <x:v>BR-SPDIREITOVIOLESTADO_MAPEAMENTOS-NOTICIAS-MSSCPENHA.xlsx:Geral:30</x:v>
      </x:c>
      <x:c r="X285" s="11" t="n">
        <x:f>COLUMNS(A285:S285)-COUNTBLANK(A285:S285)</x:f>
        <x:v>19</x:v>
      </x:c>
    </x:row>
    <x:row r="286" ht="384" hidden="0" customHeight="1">
      <x:c r="A286" s="10" t="str">
        <x:v>Carta pública</x:v>
      </x:c>
      <x:c r="B286" s="10" t="str">
        <x:v>Rememoração</x:v>
      </x:c>
      <x:c r="C286" s="10" t="str"/>
      <x:c r="D286" s="10" t="str">
        <x:v>Público Mediado</x:v>
      </x:c>
      <x:c r="E286" s="10" t="str"/>
      <x:c r="F286" s="10" t="str">
        <x:v>2025-10-28 00:00:00</x:v>
      </x:c>
      <x:c r="G286" s="11" t="n">
        <x:v>2025</x:v>
      </x:c>
      <x:c r="H286" s="10" t="str">
        <x:v>Rio de Janeiro, Brasil</x:v>
      </x:c>
      <x:c r="I286" s="10" t="str">
        <x:v>Associação de Amigos/as e Familiares de Pessoas Presas e Internos/as da Fundação Casa — Amparar, Anistia Internacional Brasil, Casa Fluminense, Centro de Estudos de Segurança e Cidadania — CESeC, Centro pela Justiça e o Direito Internacional — CEJIL, CIDADES – Núcleo de Pesquisa Urbana da Universidade do Estado do Rio de Janeiro, Conectas Direitos Humanos, Federação de Órgãos para Assistência Social e Educacional — FASE RJ, Fórum Popular de Segurança Pública do Rio de Janeiro, Frente Estadual pelo Desencarceramento — RJ, Gabinete Assessoria Jurídica Organizações Populares — GAJOP, Grupo Tortura Nunca Mais — RJ, Iniciativa Direito Memória e Justiça Racial, Instituto de Defensores de Direitos Humanos — DDH, Instituto de Estudos da Religião — ISER, Instituto Papo Reto do Complexo do Alemão, Instituto Sou da Paz, Instituto Terra Trabalho e Cidadania — ITTC, Justiça Global, Movimento Unidos dos Camelôs, Movimentos, Núcleo de Assessoria Jurídica Universitária Popular (NAJUP) Luiza Mahin, Núcleo de Estudos e Pesquisa Guerreiro Ramos – Negra-UFF, Observatório de Favelas, Plataforma Justa, Rede de Comunidades e Movimentos contra a Violência, Rede Justiça Criminal, Rede Nacional de Advogadas e Advogados Populares — RENAP RJ, Redes da Maré.</x:v>
      </x:c>
      <x:c r="J286" s="10" t="str">
        <x:v>Segurança pública não se faz com sangue</x:v>
      </x:c>
      <x:c r="K286" s="10" t="str">
        <x:v>Hemerográfico</x:v>
      </x:c>
      <x:c r="L286" s="10" t="str">
        <x:v>Texto (digital)</x:v>
      </x:c>
      <x:c r="M286" s="10" t="str">
        <x:v>Justiça Global</x:v>
      </x:c>
      <x:c r="N286" s="10" t="str">
        <x:v>Português, Brasil</x:v>
      </x:c>
      <x:c r="O286" s="10" t="str">
        <x:v>"Massacre da Penha" no Google</x:v>
      </x:c>
      <x:c r="P286" s="10" t="str">
        <x:v>2025-10-31 00:00:00</x:v>
      </x:c>
      <x:c r="Q286" s="10" t="str">
        <x:v>Aberto</x:v>
      </x:c>
      <x:c r="R286" s="10" t="str">
        <x:v>Aqui</x:v>
      </x:c>
      <x:c r="S286" s="10" t="str">
        <x:v>JUSTIÇA GLOBAL. Operação Contenção: organizações repudiam operação mais letal da história do Rio e denunciam política de guerra nas favelas. Global, Rio de Janeiro, 28 out. 2025. Disponível em: https://www.global.org.br/blog/operacao-contencao-organizacoes-de-direitos-humanos-repudiam-operacao-mais-letal-da-historia-do-rio-e-denunciam-politica-de-guerra-nas-favelas/. Acesso em: 31 out. 2025.</x:v>
      </x:c>
      <x:c r="T286" s="10" t="str">
        <x:v>BR-SPDIREITOVIOLESTADO_MAPEAMENTOS-NOTICIAS-MSSCPENHA.xlsx</x:v>
      </x:c>
      <x:c r="U286" s="10" t="str">
        <x:v>Geral</x:v>
      </x:c>
      <x:c r="V286" s="11" t="n">
        <x:v>31</x:v>
      </x:c>
      <x:c r="W286" s="10" t="str">
        <x:v>BR-SPDIREITOVIOLESTADO_MAPEAMENTOS-NOTICIAS-MSSCPENHA.xlsx:Geral:31</x:v>
      </x:c>
      <x:c r="X286" s="11" t="n">
        <x:f>COLUMNS(A286:S286)-COUNTBLANK(A286:S286)</x:f>
        <x:v>17</x:v>
      </x:c>
    </x:row>
    <x:row r="287" ht="36" hidden="0" customHeight="1">
      <x:c r="A287" s="10" t="str">
        <x:v>Notícia</x:v>
      </x:c>
      <x:c r="B287" s="10" t="str">
        <x:v>Difusão</x:v>
      </x:c>
      <x:c r="C287" s="10" t="str">
        <x:v>Produção midiática</x:v>
      </x:c>
      <x:c r="D287" s="10" t="str">
        <x:v>Público Mediado</x:v>
      </x:c>
      <x:c r="E287" s="10" t="str">
        <x:v>Midiático</x:v>
      </x:c>
      <x:c r="F287" s="10" t="str">
        <x:v>31/10/2025</x:v>
      </x:c>
      <x:c r="G287" s="11" t="n">
        <x:v>2025</x:v>
      </x:c>
      <x:c r="H287" s="10" t="str">
        <x:v>Rio Grande do Sul, Brasil</x:v>
      </x:c>
      <x:c r="I287" s="10" t="str">
        <x:v>GHZ</x:v>
      </x:c>
      <x:c r="J287" s="10" t="str">
        <x:v>Mais um golpe na imagem do Brasil às vésperas de sediar o maior evento internacional do ano</x:v>
      </x:c>
      <x:c r="K287" s="10" t="str">
        <x:v>Hemerográfico</x:v>
      </x:c>
      <x:c r="L287" s="10" t="str">
        <x:v>Texto (digital)</x:v>
      </x:c>
      <x:c r="M287" s="10" t="str">
        <x:v>GHZ</x:v>
      </x:c>
      <x:c r="N287" s="10" t="str">
        <x:v>Português, Brasil</x:v>
      </x:c>
      <x:c r="O287" s="10" t="str">
        <x:v>"Massacre da Penha" no Google</x:v>
      </x:c>
      <x:c r="P287" s="10" t="str">
        <x:v>2025-10-31 00:00:00</x:v>
      </x:c>
      <x:c r="Q287" s="10" t="str">
        <x:v>Acesso restrito</x:v>
      </x:c>
      <x:c r="R287" s="10" t="str">
        <x:v>Aqui</x:v>
      </x:c>
      <x:c r="S287" s="10" t="str">
        <x:v>LOPES, Rodrigo. Mais um golpe na imagem do Brasil às vésperas de sediar o maior evento internacional do ano. GaúchaZH, Porto Alegre, 31 out. 2025. Disponível em: https://gauchazh.clicrbs.com.br/colunistas/rodrigo-lopes/noticia/2025/10/mais-um-golpe-na-imagem-do-brasil-as-vesperas-de-sediar-o-maior-evento-internacional-do-ano-cmhcb0qa0014r014u4xlqdrbm.html. Acesso em: 31 out. 2025.</x:v>
      </x:c>
      <x:c r="T287" s="10" t="str">
        <x:v>BR-SPDIREITOVIOLESTADO_MAPEAMENTOS-NOTICIAS-MSSCPENHA.xlsx</x:v>
      </x:c>
      <x:c r="U287" s="10" t="str">
        <x:v>Geral</x:v>
      </x:c>
      <x:c r="V287" s="11" t="n">
        <x:v>32</x:v>
      </x:c>
      <x:c r="W287" s="10" t="str">
        <x:v>BR-SPDIREITOVIOLESTADO_MAPEAMENTOS-NOTICIAS-MSSCPENHA.xlsx:Geral:32</x:v>
      </x:c>
      <x:c r="X287" s="11" t="n">
        <x:f>COLUMNS(A287:S287)-COUNTBLANK(A287:S287)</x:f>
        <x:v>19</x:v>
      </x:c>
    </x:row>
    <x:row r="288" ht="24" hidden="0" customHeight="1">
      <x:c r="A288" s="10" t="str">
        <x:v>Nota de pesar</x:v>
      </x:c>
      <x:c r="B288" s="10" t="str">
        <x:v>Rememoração</x:v>
      </x:c>
      <x:c r="C288" s="10" t="str"/>
      <x:c r="D288" s="10" t="str">
        <x:v>Público Mediado</x:v>
      </x:c>
      <x:c r="E288" s="10" t="str"/>
      <x:c r="F288" s="10" t="str">
        <x:v>2025-10-29 00:00:00</x:v>
      </x:c>
      <x:c r="G288" s="11" t="n">
        <x:v>2025</x:v>
      </x:c>
      <x:c r="H288" s="10" t="str">
        <x:v>São Paulo, Brasil</x:v>
      </x:c>
      <x:c r="I288" s="10" t="str">
        <x:v>Pastoral Carcerária CNBB</x:v>
      </x:c>
      <x:c r="J288" s="10" t="str">
        <x:v>Pastoral Carcerária - CNBB</x:v>
      </x:c>
      <x:c r="K288" s="10" t="str">
        <x:v>Hemerográfico</x:v>
      </x:c>
      <x:c r="L288" s="10" t="str">
        <x:v>Texto (digital)</x:v>
      </x:c>
      <x:c r="M288" s="10" t="str">
        <x:v>Pastoral Carcerária - CNBB</x:v>
      </x:c>
      <x:c r="N288" s="10" t="str">
        <x:v>Português, Brasil</x:v>
      </x:c>
      <x:c r="O288" s="10" t="str">
        <x:v>Hiperlink</x:v>
      </x:c>
      <x:c r="P288" s="10" t="str">
        <x:v>2025-10-31 00:00:00</x:v>
      </x:c>
      <x:c r="Q288" s="10" t="str">
        <x:v>Aberto</x:v>
      </x:c>
      <x:c r="R288" s="10" t="str">
        <x:v>Aqui</x:v>
      </x:c>
      <x:c r="S288" s="10" t="str">
        <x:v>PASTORAL CARCERÁRIA. Do Carandiru ao Rio de Janeiro: a dor que se repete. Pastoral Carcerária, São Paulo, 29 out. 2025. Disponível em: https://carceraria.org.br/noticias/do-carandiru-ao-rio-de-janeiro-a-dor-que-se-repete. Acesso em: 31 out. 2025.</x:v>
      </x:c>
      <x:c r="T288" s="10" t="str">
        <x:v>BR-SPDIREITOVIOLESTADO_MAPEAMENTOS-NOTICIAS-MSSCPENHA.xlsx</x:v>
      </x:c>
      <x:c r="U288" s="10" t="str">
        <x:v>Geral</x:v>
      </x:c>
      <x:c r="V288" s="11" t="n">
        <x:v>33</x:v>
      </x:c>
      <x:c r="W288" s="10" t="str">
        <x:v>BR-SPDIREITOVIOLESTADO_MAPEAMENTOS-NOTICIAS-MSSCPENHA.xlsx:Geral:33</x:v>
      </x:c>
      <x:c r="X288" s="11" t="n">
        <x:f>COLUMNS(A288:S288)-COUNTBLANK(A288:S288)</x:f>
        <x:v>17</x:v>
      </x:c>
    </x:row>
    <x:row r="289" ht="24" hidden="0" customHeight="1">
      <x:c r="A289" s="10" t="str">
        <x:v>Notícia</x:v>
      </x:c>
      <x:c r="B289" s="10" t="str">
        <x:v>Difusão</x:v>
      </x:c>
      <x:c r="C289" s="10" t="str">
        <x:v>Produção midiática</x:v>
      </x:c>
      <x:c r="D289" s="10" t="str">
        <x:v>Público Mediado</x:v>
      </x:c>
      <x:c r="E289" s="10" t="str">
        <x:v>Midiático</x:v>
      </x:c>
      <x:c r="F289" s="10" t="str">
        <x:v>29/10/2025</x:v>
      </x:c>
      <x:c r="G289" s="11" t="n">
        <x:v>2025</x:v>
      </x:c>
      <x:c r="H289" s="10" t="str">
        <x:v>Rio de Janeiro, Brasil</x:v>
      </x:c>
      <x:c r="I289" s="10" t="str">
        <x:v>Onze de Maio</x:v>
      </x:c>
      <x:c r="J289" s="10" t="str">
        <x:v>Mortes passam de 130; Castro fala em “sucesso” em meio a possíveis torturas e execuções</x:v>
      </x:c>
      <x:c r="K289" s="10" t="str">
        <x:v>Hemerográfico</x:v>
      </x:c>
      <x:c r="L289" s="10" t="str">
        <x:v>Texto (digital)</x:v>
      </x:c>
      <x:c r="M289" s="10" t="str">
        <x:v>Onze de Maio</x:v>
      </x:c>
      <x:c r="N289" s="10" t="str">
        <x:v>Português, Brasil</x:v>
      </x:c>
      <x:c r="O289" s="10" t="str">
        <x:v>"Massacre da Penha" no Google</x:v>
      </x:c>
      <x:c r="P289" s="10" t="str">
        <x:v>2025-10-31 00:00:00</x:v>
      </x:c>
      <x:c r="Q289" s="10" t="str">
        <x:v>Aberto</x:v>
      </x:c>
      <x:c r="R289" s="10" t="str">
        <x:v>Aqui</x:v>
      </x:c>
      <x:c r="S289" s="10" t="str">
        <x:v>ONZE DE MAIO. Mortes passam de 130; Castro fala em “sucesso” em meio a possíveis torturas e execuções. Onze de Maio, Rio de Janeiro, 29 out. 2025. Disponível em: https://onzedemaio.com.br/mortes-passam-de-130-castro-fala-em-sucesso-em-meio-a-possiveis-torturas-e-execucoes/. Acesso em: 31 out. 2025.</x:v>
      </x:c>
      <x:c r="T289" s="10" t="str">
        <x:v>BR-SPDIREITOVIOLESTADO_MAPEAMENTOS-NOTICIAS-MSSCPENHA.xlsx</x:v>
      </x:c>
      <x:c r="U289" s="10" t="str">
        <x:v>Geral</x:v>
      </x:c>
      <x:c r="V289" s="11" t="n">
        <x:v>34</x:v>
      </x:c>
      <x:c r="W289" s="10" t="str">
        <x:v>BR-SPDIREITOVIOLESTADO_MAPEAMENTOS-NOTICIAS-MSSCPENHA.xlsx:Geral:34</x:v>
      </x:c>
      <x:c r="X289" s="11" t="n">
        <x:f>COLUMNS(A289:S289)-COUNTBLANK(A289:S289)</x:f>
        <x:v>19</x:v>
      </x:c>
    </x:row>
    <x:row r="290" ht="24" hidden="0" customHeight="1">
      <x:c r="A290" s="10" t="str">
        <x:v>Palestra</x:v>
      </x:c>
      <x:c r="B290" s="10" t="str">
        <x:v>Rememoração</x:v>
      </x:c>
      <x:c r="C290" s="10" t="str"/>
      <x:c r="D290" s="10" t="str">
        <x:v>Público Imediato</x:v>
      </x:c>
      <x:c r="E290" s="10" t="str">
        <x:v>Presencial/Físico</x:v>
      </x:c>
      <x:c r="F290" s="10" t="str">
        <x:v>2025-10-31 00:00:00</x:v>
      </x:c>
      <x:c r="G290" s="11" t="n">
        <x:v>2025</x:v>
      </x:c>
      <x:c r="H290" s="10" t="str">
        <x:v>Bahia, Brasil</x:v>
      </x:c>
      <x:c r="I290" s="10" t="str">
        <x:v>Universidade Federal da Bahia (UFBA)</x:v>
      </x:c>
      <x:c r="J290" s="10" t="str">
        <x:v>Em defesa da vida: Encontro Ciência, Saúde e Participação Popular tem início com vozes firmes diante da barbárie no Rio</x:v>
      </x:c>
      <x:c r="K290" s="10" t="str">
        <x:v>Hemerográfico</x:v>
      </x:c>
      <x:c r="L290" s="10" t="str">
        <x:v>Texto (digital)</x:v>
      </x:c>
      <x:c r="M290" s="10" t="str">
        <x:v>Cebes</x:v>
      </x:c>
      <x:c r="N290" s="10" t="str">
        <x:v>Português, Brasil</x:v>
      </x:c>
      <x:c r="O290" s="10" t="str">
        <x:v>"Massacre da Penha" no Google</x:v>
      </x:c>
      <x:c r="P290" s="10" t="str">
        <x:v>2025-10-31 00:00:00</x:v>
      </x:c>
      <x:c r="Q290" s="10" t="str">
        <x:v>Aberto</x:v>
      </x:c>
      <x:c r="R290" s="10" t="str">
        <x:v>Aqui</x:v>
      </x:c>
      <x:c r="S290" s="10" t="str">
        <x:v>CEBES. Em defesa da vida: Encontro Ciência, Saúde e Participação Popular tem início com vozes firmes diante da barbárie no Rio. Cebes, São Paulo, 31 out. 2025. Disponível em: https://cebes.org.br/em-defesa-da-vida-encontro-ciencia-saude-e-participacao-popular-tem-inicio-com-vozes-firmes-diante-da-barbarie-no-rio/39971/. Acesso em: 31 out. 2025.</x:v>
      </x:c>
      <x:c r="T290" s="10" t="str">
        <x:v>BR-SPDIREITOVIOLESTADO_MAPEAMENTOS-NOTICIAS-MSSCPENHA.xlsx</x:v>
      </x:c>
      <x:c r="U290" s="10" t="str">
        <x:v>Geral</x:v>
      </x:c>
      <x:c r="V290" s="11" t="n">
        <x:v>35</x:v>
      </x:c>
      <x:c r="W290" s="10" t="str">
        <x:v>BR-SPDIREITOVIOLESTADO_MAPEAMENTOS-NOTICIAS-MSSCPENHA.xlsx:Geral:35</x:v>
      </x:c>
      <x:c r="X290" s="11" t="n">
        <x:f>COLUMNS(A290:S290)-COUNTBLANK(A290:S290)</x:f>
        <x:v>18</x:v>
      </x:c>
    </x:row>
    <x:row r="291" ht="24" hidden="0" customHeight="1">
      <x:c r="A291" s="10" t="str">
        <x:v>Artigo de opinião</x:v>
      </x:c>
      <x:c r="B291" s="10" t="str">
        <x:v>Difusão</x:v>
      </x:c>
      <x:c r="C291" s="10" t="str">
        <x:v>Produção midiática</x:v>
      </x:c>
      <x:c r="D291" s="10" t="str">
        <x:v>Público Mediado</x:v>
      </x:c>
      <x:c r="E291" s="10" t="str">
        <x:v>Midiático</x:v>
      </x:c>
      <x:c r="F291" s="10" t="str">
        <x:v>29/10/2025</x:v>
      </x:c>
      <x:c r="G291" s="11" t="n">
        <x:v>2025</x:v>
      </x:c>
      <x:c r="H291" s="10" t="str">
        <x:v>São Paulo, Brasil</x:v>
      </x:c>
      <x:c r="I291" s="10" t="str">
        <x:v>Vio Mundo</x:v>
      </x:c>
      <x:c r="J291" s="10" t="str">
        <x:v>Marco Brito: Lula não cometeu ato falho na Malásia–os favelados são vítimas do capitalismo</x:v>
      </x:c>
      <x:c r="K291" s="10" t="str">
        <x:v>Hemerográfico</x:v>
      </x:c>
      <x:c r="L291" s="10" t="str">
        <x:v>Texto (digital)</x:v>
      </x:c>
      <x:c r="M291" s="10" t="str">
        <x:v>Vio Mundo</x:v>
      </x:c>
      <x:c r="N291" s="10" t="str">
        <x:v>Português, Brasil</x:v>
      </x:c>
      <x:c r="O291" s="10" t="str">
        <x:v>"Massacre da Penha" no Google</x:v>
      </x:c>
      <x:c r="P291" s="10" t="str">
        <x:v>2025-10-31 00:00:00</x:v>
      </x:c>
      <x:c r="Q291" s="10" t="str">
        <x:v>Aberto</x:v>
      </x:c>
      <x:c r="R291" s="10" t="str">
        <x:v>Aqui</x:v>
      </x:c>
      <x:c r="S291" s="10" t="str">
        <x:v>BRITO, Marco Paulo Valeriano de. Lula não cometeu ato falho na Malásia – os favelados são vítimas do capitalismo. Viomundo, São Paulo, 29 out. 2025. Disponível em: https://www.viomundo.com.br/politica/marco-brito-lula-nao-cometeu-ato-falho-na-malasia-os-favelados-sao-vitimas-do-capitalismo.html. Acesso em: 31 out. 2025.</x:v>
      </x:c>
      <x:c r="T291" s="10" t="str">
        <x:v>BR-SPDIREITOVIOLESTADO_MAPEAMENTOS-NOTICIAS-MSSCPENHA.xlsx</x:v>
      </x:c>
      <x:c r="U291" s="10" t="str">
        <x:v>Geral</x:v>
      </x:c>
      <x:c r="V291" s="11" t="n">
        <x:v>36</x:v>
      </x:c>
      <x:c r="W291" s="10" t="str">
        <x:v>BR-SPDIREITOVIOLESTADO_MAPEAMENTOS-NOTICIAS-MSSCPENHA.xlsx:Geral:36</x:v>
      </x:c>
      <x:c r="X291" s="11" t="n">
        <x:f>COLUMNS(A291:S291)-COUNTBLANK(A291:S291)</x:f>
        <x:v>19</x:v>
      </x:c>
    </x:row>
    <x:row r="292" ht="36" hidden="0" customHeight="1">
      <x:c r="A292" s="10" t="str">
        <x:v>Notícia</x:v>
      </x:c>
      <x:c r="B292" s="10" t="str">
        <x:v>Difusão</x:v>
      </x:c>
      <x:c r="C292" s="10" t="str">
        <x:v>Produção midiática</x:v>
      </x:c>
      <x:c r="D292" s="10" t="str">
        <x:v>Público Mediado</x:v>
      </x:c>
      <x:c r="E292" s="10" t="str">
        <x:v>Midiático</x:v>
      </x:c>
      <x:c r="F292" s="10" t="str">
        <x:v>29/10/2025</x:v>
      </x:c>
      <x:c r="G292" s="11" t="n">
        <x:v>2025</x:v>
      </x:c>
      <x:c r="H292" s="10" t="str">
        <x:v>Rio de Janeiro, Brasil</x:v>
      </x:c>
      <x:c r="I292" s="10" t="str">
        <x:v>Rio on Watch</x:v>
      </x:c>
      <x:c r="J292" s="10" t="str">
        <x:v>Um Massacre! Operação Mais Sangrenta da História do Rio de Janeiro Gera Luto, Pavor e Indignação nas Favelas, na Cidade, no Brasil e no Mundo, É #OQueDizemAsRedes</x:v>
      </x:c>
      <x:c r="K292" s="10" t="str">
        <x:v>Hemerográfico</x:v>
      </x:c>
      <x:c r="L292" s="10" t="str">
        <x:v>Texto (digital)</x:v>
      </x:c>
      <x:c r="M292" s="10" t="str">
        <x:v>Rio on Watch</x:v>
      </x:c>
      <x:c r="N292" s="10" t="str">
        <x:v>Português, Brasil</x:v>
      </x:c>
      <x:c r="O292" s="10" t="str">
        <x:v>"Massacre da Penha" no Google</x:v>
      </x:c>
      <x:c r="P292" s="10" t="str">
        <x:v>2025-10-31 00:00:00</x:v>
      </x:c>
      <x:c r="Q292" s="10" t="str">
        <x:v>Aberto</x:v>
      </x:c>
      <x:c r="R292" s="10" t="str">
        <x:v>Aqui</x:v>
      </x:c>
      <x:c r="S292" s="10" t="str">
        <x:v>RIOONWATCH. Um massacre! Operação mais sangrenta da história do Rio de Janeiro gera luto, pavor e indignação nas favelas, na cidade, no Brasil e no mundo, é #OQueDizemAsRedes. RioOnWatch, Rio de Janeiro, 29 out. 2025. Disponível em: https://rioonwatch.org.br/?p=79796. Acesso em: 31 out. 2025.</x:v>
      </x:c>
      <x:c r="T292" s="10" t="str">
        <x:v>BR-SPDIREITOVIOLESTADO_MAPEAMENTOS-NOTICIAS-MSSCPENHA.xlsx</x:v>
      </x:c>
      <x:c r="U292" s="10" t="str">
        <x:v>Geral</x:v>
      </x:c>
      <x:c r="V292" s="11" t="n">
        <x:v>37</x:v>
      </x:c>
      <x:c r="W292" s="10" t="str">
        <x:v>BR-SPDIREITOVIOLESTADO_MAPEAMENTOS-NOTICIAS-MSSCPENHA.xlsx:Geral:37</x:v>
      </x:c>
      <x:c r="X292" s="11" t="n">
        <x:f>COLUMNS(A292:S292)-COUNTBLANK(A292:S292)</x:f>
        <x:v>19</x:v>
      </x:c>
    </x:row>
    <x:row r="293" ht="24" hidden="0" customHeight="1">
      <x:c r="A293" s="10" t="str">
        <x:v>Notícia</x:v>
      </x:c>
      <x:c r="B293" s="10" t="str">
        <x:v>Difusão</x:v>
      </x:c>
      <x:c r="C293" s="10" t="str">
        <x:v>Produção midiática</x:v>
      </x:c>
      <x:c r="D293" s="10" t="str">
        <x:v>Público Mediado</x:v>
      </x:c>
      <x:c r="E293" s="10" t="str">
        <x:v>Midiático</x:v>
      </x:c>
      <x:c r="F293" s="10" t="str">
        <x:v>31/10/2025</x:v>
      </x:c>
      <x:c r="G293" s="11" t="n">
        <x:v>2025</x:v>
      </x:c>
      <x:c r="H293" s="10" t="str">
        <x:v>Rio de Janeiro, Brasil</x:v>
      </x:c>
      <x:c r="I293" s="10" t="str">
        <x:v>Diário Carioca</x:v>
      </x:c>
      <x:c r="J293" s="10" t="str">
        <x:v>PM do Rio admite perda de imagens por falta de bateria em câmeras corporais durante chacina</x:v>
      </x:c>
      <x:c r="K293" s="10" t="str">
        <x:v>Iconográfico, Textual</x:v>
      </x:c>
      <x:c r="L293" s="10" t="str">
        <x:v>Texto (digital), Imagem (digital)</x:v>
      </x:c>
      <x:c r="M293" s="10" t="str">
        <x:v>Diário Carioca</x:v>
      </x:c>
      <x:c r="N293" s="10" t="str">
        <x:v>Português, Brasil</x:v>
      </x:c>
      <x:c r="O293" s="10" t="str">
        <x:v>"Massacre da Penha" no Google</x:v>
      </x:c>
      <x:c r="P293" s="10" t="str">
        <x:v>2025-10-31 00:00:00</x:v>
      </x:c>
      <x:c r="Q293" s="10" t="str">
        <x:v>Aberto</x:v>
      </x:c>
      <x:c r="R293" s="10" t="str">
        <x:v>Aqui</x:v>
      </x:c>
      <x:c r="S293" s="10" t="str">
        <x:v>DIÁRIO CARIOCA. PM do Rio admite perda de imagens por falta de bateria em câmeras corporais durante chacina. Instagram: @diariocarioca, 31 out. 2025. Disponível em: https://www.instagram.com/p/DQZxp8WkRQJ/. Acesso em: 31 out. 2025.</x:v>
      </x:c>
      <x:c r="T293" s="10" t="str">
        <x:v>BR-SPDIREITOVIOLESTADO_MAPEAMENTOS-NOTICIAS-MSSCPENHA.xlsx</x:v>
      </x:c>
      <x:c r="U293" s="10" t="str">
        <x:v>Geral</x:v>
      </x:c>
      <x:c r="V293" s="11" t="n">
        <x:v>38</x:v>
      </x:c>
      <x:c r="W293" s="10" t="str">
        <x:v>BR-SPDIREITOVIOLESTADO_MAPEAMENTOS-NOTICIAS-MSSCPENHA.xlsx:Geral:38</x:v>
      </x:c>
      <x:c r="X293" s="11" t="n">
        <x:f>COLUMNS(A293:S293)-COUNTBLANK(A293:S293)</x:f>
        <x:v>19</x:v>
      </x:c>
    </x:row>
    <x:row r="294" ht="36" hidden="0" customHeight="1">
      <x:c r="A294" s="10" t="str">
        <x:v>Ato</x:v>
      </x:c>
      <x:c r="B294" s="10" t="str">
        <x:v>Rememoração</x:v>
      </x:c>
      <x:c r="C294" s="10" t="str"/>
      <x:c r="D294" s="10" t="str">
        <x:v>Público Imediato</x:v>
      </x:c>
      <x:c r="E294" s="10" t="str">
        <x:v>Presencial/Físico</x:v>
      </x:c>
      <x:c r="F294" s="10" t="str">
        <x:v>2025-10-28 00:00:00</x:v>
      </x:c>
      <x:c r="G294" s="11" t="n">
        <x:v>2025</x:v>
      </x:c>
      <x:c r="H294" s="10" t="str">
        <x:v>Rio de Janeiro, Brasil</x:v>
      </x:c>
      <x:c r="I294" s="10" t="str">
        <x:v>Voz das Comunidades</x:v>
      </x:c>
      <x:c r="J294" s="10" t="str">
        <x:v>Durante o confronto nos complexos da Penha e do Alemão, moradores saíram às ruas e becos pedindo paz. O ato ocorreu em meio à troca de tiros que marcou a operação policial na região</x:v>
      </x:c>
      <x:c r="K294" s="10" t="str">
        <x:v>Textual, Audiovisual</x:v>
      </x:c>
      <x:c r="L294" s="10" t="str">
        <x:v>Vídeo (digital)</x:v>
      </x:c>
      <x:c r="M294" s="10" t="str">
        <x:v>Instagram (Voz das Comunidades)</x:v>
      </x:c>
      <x:c r="N294" s="10" t="str">
        <x:v>Português, Brasil</x:v>
      </x:c>
      <x:c r="O294" s="10" t="str">
        <x:v>Hiperlink</x:v>
      </x:c>
      <x:c r="P294" s="10" t="str">
        <x:v>2025-10-31 00:00:00</x:v>
      </x:c>
      <x:c r="Q294" s="10" t="str">
        <x:v>Aberto</x:v>
      </x:c>
      <x:c r="R294" s="10" t="str">
        <x:v>Aqui</x:v>
      </x:c>
      <x:c r="S294" s="10" t="str">
        <x:v>VOZ DAS COMUNIDADES. Durante o confronto nos complexos da Penha e do Alemão, moradores saíram às ruas e becos pedindo paz. O ato ocorreu em meio à troca de tiros que marcou a operação policial na região. Instagram: @vozdascomunidades, 28 out. 2025. Disponível em: https://www.instagram.com/p/DQW76w7Ef-H/. Acesso em: 31 out. 2025.</x:v>
      </x:c>
      <x:c r="T294" s="10" t="str">
        <x:v>BR-SPDIREITOVIOLESTADO_MAPEAMENTOS-NOTICIAS-MSSCPENHA.xlsx</x:v>
      </x:c>
      <x:c r="U294" s="10" t="str">
        <x:v>Geral</x:v>
      </x:c>
      <x:c r="V294" s="11" t="n">
        <x:v>39</x:v>
      </x:c>
      <x:c r="W294" s="10" t="str">
        <x:v>BR-SPDIREITOVIOLESTADO_MAPEAMENTOS-NOTICIAS-MSSCPENHA.xlsx:Geral:39</x:v>
      </x:c>
      <x:c r="X294" s="11" t="n">
        <x:f>COLUMNS(A294:S294)-COUNTBLANK(A294:S294)</x:f>
        <x:v>18</x:v>
      </x:c>
    </x:row>
    <x:row r="295" ht="24" hidden="0" customHeight="1">
      <x:c r="A295" s="10" t="str">
        <x:v>Notícia</x:v>
      </x:c>
      <x:c r="B295" s="10" t="str">
        <x:v>Difusão</x:v>
      </x:c>
      <x:c r="C295" s="10" t="str">
        <x:v>Produção midiática</x:v>
      </x:c>
      <x:c r="D295" s="10" t="str">
        <x:v>Público Mediado</x:v>
      </x:c>
      <x:c r="E295" s="10" t="str">
        <x:v>Midiático</x:v>
      </x:c>
      <x:c r="F295" s="10" t="str">
        <x:v>28/10/2025</x:v>
      </x:c>
      <x:c r="G295" s="11" t="n">
        <x:v>2025</x:v>
      </x:c>
      <x:c r="H295" s="10" t="str">
        <x:v>Rio de Janeiro, Brasil</x:v>
      </x:c>
      <x:c r="I295" s="10" t="str">
        <x:v>Voz das Comunidades</x:v>
      </x:c>
      <x:c r="J295" s="10" t="str">
        <x:v>Conteúdo sensível. Há uma movimentação intensa no Hospital Getúlio Vargas na tarde desta terça-feira (28).</x:v>
      </x:c>
      <x:c r="K295" s="10" t="str">
        <x:v>Textual, Audiovisual</x:v>
      </x:c>
      <x:c r="L295" s="10" t="str">
        <x:v>Vídeo (digital)</x:v>
      </x:c>
      <x:c r="M295" s="10" t="str">
        <x:v>Instagram (Voz das Comunidades)</x:v>
      </x:c>
      <x:c r="N295" s="10" t="str">
        <x:v>Português, Brasil</x:v>
      </x:c>
      <x:c r="O295" s="10" t="str">
        <x:v>Hiperlink</x:v>
      </x:c>
      <x:c r="P295" s="10" t="str">
        <x:v>2025-10-31 00:00:00</x:v>
      </x:c>
      <x:c r="Q295" s="10" t="str">
        <x:v>Aberto</x:v>
      </x:c>
      <x:c r="R295" s="10" t="str">
        <x:v>Aqui</x:v>
      </x:c>
      <x:c r="S295" s="10" t="str">
        <x:v>VOZ DAS COMUNIDADES. Conteúdo sensível. Há uma movimentação intensa no Hospital Getúlio Vargas na tarde desta terça-feira (28). Instagram: @vozdascomunidades, 28 out. 2025. Disponível em: https://www.instagram.com/p/DQW8m4cEUog/. Acesso em: 31 out. 2025.</x:v>
      </x:c>
      <x:c r="T295" s="10" t="str">
        <x:v>BR-SPDIREITOVIOLESTADO_MAPEAMENTOS-NOTICIAS-MSSCPENHA.xlsx</x:v>
      </x:c>
      <x:c r="U295" s="10" t="str">
        <x:v>Geral</x:v>
      </x:c>
      <x:c r="V295" s="11" t="n">
        <x:v>40</x:v>
      </x:c>
      <x:c r="W295" s="10" t="str">
        <x:v>BR-SPDIREITOVIOLESTADO_MAPEAMENTOS-NOTICIAS-MSSCPENHA.xlsx:Geral:40</x:v>
      </x:c>
      <x:c r="X295" s="11" t="n">
        <x:f>COLUMNS(A295:S295)-COUNTBLANK(A295:S295)</x:f>
        <x:v>19</x:v>
      </x:c>
    </x:row>
    <x:row r="296" ht="24" hidden="0" customHeight="1">
      <x:c r="A296" s="10" t="str">
        <x:v>Notícia</x:v>
      </x:c>
      <x:c r="B296" s="10" t="str">
        <x:v>Difusão</x:v>
      </x:c>
      <x:c r="C296" s="10" t="str">
        <x:v>Produção midiática</x:v>
      </x:c>
      <x:c r="D296" s="10" t="str">
        <x:v>Público Mediado</x:v>
      </x:c>
      <x:c r="E296" s="10" t="str">
        <x:v>Midiático</x:v>
      </x:c>
      <x:c r="F296" s="10" t="str">
        <x:v>28/10/2025</x:v>
      </x:c>
      <x:c r="G296" s="11" t="n">
        <x:v>2025</x:v>
      </x:c>
      <x:c r="H296" s="10" t="str">
        <x:v>Rio de Janeiro, Brasil</x:v>
      </x:c>
      <x:c r="I296" s="10" t="str">
        <x:v>Voz das Comunidades</x:v>
      </x:c>
      <x:c r="J296" s="10" t="str">
        <x:v>Clima de tensão no Complexo do Alemão! Circulação de blindados pela comunidade.</x:v>
      </x:c>
      <x:c r="K296" s="10" t="str">
        <x:v>Textual, Audiovisual</x:v>
      </x:c>
      <x:c r="L296" s="10" t="str">
        <x:v>Vídeo (digital)</x:v>
      </x:c>
      <x:c r="M296" s="10" t="str">
        <x:v>Instagram (Voz das Comunidades)</x:v>
      </x:c>
      <x:c r="N296" s="10" t="str">
        <x:v>Português, Brasil</x:v>
      </x:c>
      <x:c r="O296" s="10" t="str">
        <x:v>Hiperlink</x:v>
      </x:c>
      <x:c r="P296" s="10" t="str">
        <x:v>2025-10-31 00:00:00</x:v>
      </x:c>
      <x:c r="Q296" s="10" t="str">
        <x:v>Aberto</x:v>
      </x:c>
      <x:c r="R296" s="10" t="str">
        <x:v>Aqui</x:v>
      </x:c>
      <x:c r="S296" s="10" t="str">
        <x:v>VOZ DAS COMUNIDADES. Clima de tensão no Complexo do Alemão! Circulação de blindados pela comunidade. Instagram: @vozdascomunidades, 28 out. 2025. Disponível em: https://www.instagram.com/p/DQW_sGOEcSY/. Acesso em: 31 out. 2025.</x:v>
      </x:c>
      <x:c r="T296" s="10" t="str">
        <x:v>BR-SPDIREITOVIOLESTADO_MAPEAMENTOS-NOTICIAS-MSSCPENHA.xlsx</x:v>
      </x:c>
      <x:c r="U296" s="10" t="str">
        <x:v>Geral</x:v>
      </x:c>
      <x:c r="V296" s="11" t="n">
        <x:v>41</x:v>
      </x:c>
      <x:c r="W296" s="10" t="str">
        <x:v>BR-SPDIREITOVIOLESTADO_MAPEAMENTOS-NOTICIAS-MSSCPENHA.xlsx:Geral:41</x:v>
      </x:c>
      <x:c r="X296" s="11" t="n">
        <x:f>COLUMNS(A296:S296)-COUNTBLANK(A296:S296)</x:f>
        <x:v>19</x:v>
      </x:c>
    </x:row>
    <x:row r="297" ht="15" hidden="0" customHeight="1">
      <x:c r="A297" s="10" t="str">
        <x:v>Notícia</x:v>
      </x:c>
      <x:c r="B297" s="10" t="str">
        <x:v>Difusão</x:v>
      </x:c>
      <x:c r="C297" s="10" t="str">
        <x:v>Produção midiática</x:v>
      </x:c>
      <x:c r="D297" s="10" t="str">
        <x:v>Público Mediado</x:v>
      </x:c>
      <x:c r="E297" s="10" t="str">
        <x:v>Midiático</x:v>
      </x:c>
      <x:c r="F297" s="10" t="str">
        <x:v>28/10/2025</x:v>
      </x:c>
      <x:c r="G297" s="11" t="n">
        <x:v>2025</x:v>
      </x:c>
      <x:c r="H297" s="10" t="str">
        <x:v>Rio de Janeiro, Brasil</x:v>
      </x:c>
      <x:c r="I297" s="10" t="str">
        <x:v>Voz das Comunidades</x:v>
      </x:c>
      <x:c r="J297" s="10" t="str">
        <x:v>Massacre no Rio</x:v>
      </x:c>
      <x:c r="K297" s="10" t="str">
        <x:v>Iconográfico, Textual</x:v>
      </x:c>
      <x:c r="L297" s="10" t="str">
        <x:v>Texto (digital), Imagem (digital)</x:v>
      </x:c>
      <x:c r="M297" s="10" t="str">
        <x:v>Instagram (Voz das Comunidades)</x:v>
      </x:c>
      <x:c r="N297" s="10" t="str">
        <x:v>Português, Brasil</x:v>
      </x:c>
      <x:c r="O297" s="10" t="str">
        <x:v>Hiperlink</x:v>
      </x:c>
      <x:c r="P297" s="10" t="str">
        <x:v>2025-10-31 00:00:00</x:v>
      </x:c>
      <x:c r="Q297" s="10" t="str">
        <x:v>Aberto</x:v>
      </x:c>
      <x:c r="R297" s="10" t="str">
        <x:v>Aqui</x:v>
      </x:c>
      <x:c r="S297" s="10" t="str">
        <x:v>VOZ DAS COMUNIDADES. Massacre no Rio. Instagram: @vozdascomunidades, 28 out. 2025. Disponível em: https://www.instagram.com/p/DQXLQ94EbQX/?img_index=1. Acesso em: 31 out. 2025.</x:v>
      </x:c>
      <x:c r="T297" s="10" t="str">
        <x:v>BR-SPDIREITOVIOLESTADO_MAPEAMENTOS-NOTICIAS-MSSCPENHA.xlsx</x:v>
      </x:c>
      <x:c r="U297" s="10" t="str">
        <x:v>Geral</x:v>
      </x:c>
      <x:c r="V297" s="11" t="n">
        <x:v>42</x:v>
      </x:c>
      <x:c r="W297" s="10" t="str">
        <x:v>BR-SPDIREITOVIOLESTADO_MAPEAMENTOS-NOTICIAS-MSSCPENHA.xlsx:Geral:42</x:v>
      </x:c>
      <x:c r="X297" s="11" t="n">
        <x:f>COLUMNS(A297:S297)-COUNTBLANK(A297:S297)</x:f>
        <x:v>19</x:v>
      </x:c>
    </x:row>
    <x:row r="298" ht="24" hidden="0" customHeight="1">
      <x:c r="A298" s="10" t="str">
        <x:v>Notícia</x:v>
      </x:c>
      <x:c r="B298" s="10" t="str">
        <x:v>Difusão</x:v>
      </x:c>
      <x:c r="C298" s="10" t="str">
        <x:v>Produção midiática</x:v>
      </x:c>
      <x:c r="D298" s="10" t="str">
        <x:v>Público Mediado</x:v>
      </x:c>
      <x:c r="E298" s="10" t="str">
        <x:v>Midiático</x:v>
      </x:c>
      <x:c r="F298" s="10" t="str">
        <x:v>28/10/2025</x:v>
      </x:c>
      <x:c r="G298" s="11" t="n">
        <x:v>2025</x:v>
      </x:c>
      <x:c r="H298" s="10" t="str">
        <x:v>Rio de Janeiro, Brasil</x:v>
      </x:c>
      <x:c r="I298" s="10" t="str">
        <x:v>Voz das Comunidades</x:v>
      </x:c>
      <x:c r="J298" s="10" t="str">
        <x:v>A Estrada do Itararé, principal via do Complexo do Alemão, segue com comércios fechados nesta tarde</x:v>
      </x:c>
      <x:c r="K298" s="10" t="str">
        <x:v>Iconográfico, Textual</x:v>
      </x:c>
      <x:c r="L298" s="10" t="str">
        <x:v>Texto (digital), Imagem (digital)</x:v>
      </x:c>
      <x:c r="M298" s="10" t="str">
        <x:v>Instagram (Voz das Comunidades)</x:v>
      </x:c>
      <x:c r="N298" s="10" t="str">
        <x:v>Português, Brasil</x:v>
      </x:c>
      <x:c r="O298" s="10" t="str">
        <x:v>Hiperlink</x:v>
      </x:c>
      <x:c r="P298" s="10" t="str">
        <x:v>2025-10-31 00:00:00</x:v>
      </x:c>
      <x:c r="Q298" s="10" t="str">
        <x:v>Aberto</x:v>
      </x:c>
      <x:c r="R298" s="10" t="str">
        <x:v>Aqui</x:v>
      </x:c>
      <x:c r="S298" s="10" t="str">
        <x:v>VOZ DAS COMUNIDADES. A Estrada do Itararé, principal via do Complexo do Alemão, segue com comércios fechados nesta tarde. Instagram: @vozdascomunidades, 28 out. 2025. Disponível em: https://www.instagram.com/p/DQXLbXEEdQA/. Acesso em: 31 out. 2025.</x:v>
      </x:c>
      <x:c r="T298" s="10" t="str">
        <x:v>BR-SPDIREITOVIOLESTADO_MAPEAMENTOS-NOTICIAS-MSSCPENHA.xlsx</x:v>
      </x:c>
      <x:c r="U298" s="10" t="str">
        <x:v>Geral</x:v>
      </x:c>
      <x:c r="V298" s="11" t="n">
        <x:v>43</x:v>
      </x:c>
      <x:c r="W298" s="10" t="str">
        <x:v>BR-SPDIREITOVIOLESTADO_MAPEAMENTOS-NOTICIAS-MSSCPENHA.xlsx:Geral:43</x:v>
      </x:c>
      <x:c r="X298" s="11" t="n">
        <x:f>COLUMNS(A298:S298)-COUNTBLANK(A298:S298)</x:f>
        <x:v>19</x:v>
      </x:c>
    </x:row>
    <x:row r="299" ht="24" hidden="0" customHeight="1">
      <x:c r="A299" s="10" t="str">
        <x:v>Notícia</x:v>
      </x:c>
      <x:c r="B299" s="10" t="str">
        <x:v>Difusão</x:v>
      </x:c>
      <x:c r="C299" s="10" t="str">
        <x:v>Produção midiática</x:v>
      </x:c>
      <x:c r="D299" s="10" t="str">
        <x:v>Público Mediado</x:v>
      </x:c>
      <x:c r="E299" s="10" t="str">
        <x:v>Midiático</x:v>
      </x:c>
      <x:c r="F299" s="10" t="str">
        <x:v>28/10/2025</x:v>
      </x:c>
      <x:c r="G299" s="11" t="n">
        <x:v>2025</x:v>
      </x:c>
      <x:c r="H299" s="10" t="str">
        <x:v>Rio de Janeiro, Brasil</x:v>
      </x:c>
      <x:c r="I299" s="10" t="str">
        <x:v>Voz das Comunidades</x:v>
      </x:c>
      <x:c r="J299" s="10" t="str">
        <x:v>O que ficou após 13 horas de confronto no Complexo da Penha é destruição e medo</x:v>
      </x:c>
      <x:c r="K299" s="10" t="str">
        <x:v>Iconográfico, Textual</x:v>
      </x:c>
      <x:c r="L299" s="10" t="str">
        <x:v>Texto (digital), Imagem (digital)</x:v>
      </x:c>
      <x:c r="M299" s="10" t="str">
        <x:v>Instagram (Voz das Comunidades)</x:v>
      </x:c>
      <x:c r="N299" s="10" t="str">
        <x:v>Português, Brasil</x:v>
      </x:c>
      <x:c r="O299" s="10" t="str">
        <x:v>Hiperlink</x:v>
      </x:c>
      <x:c r="P299" s="10" t="str">
        <x:v>2025-10-31 00:00:00</x:v>
      </x:c>
      <x:c r="Q299" s="10" t="str">
        <x:v>Aberto</x:v>
      </x:c>
      <x:c r="R299" s="10" t="str">
        <x:v>Aqui</x:v>
      </x:c>
      <x:c r="S299" s="10" t="str">
        <x:v>VOZ DAS COMUNIDADES. O que ficou após 13 horas de confronto no Complexo da Penha é destruição e medo. Instagram: @vozdascomunidades, 28 out. 2025. Disponível em: https://www.instagram.com/p/DQXiRf1Epoo/. Acesso em: 31 out. 2025.</x:v>
      </x:c>
      <x:c r="T299" s="10" t="str">
        <x:v>BR-SPDIREITOVIOLESTADO_MAPEAMENTOS-NOTICIAS-MSSCPENHA.xlsx</x:v>
      </x:c>
      <x:c r="U299" s="10" t="str">
        <x:v>Geral</x:v>
      </x:c>
      <x:c r="V299" s="11" t="n">
        <x:v>44</x:v>
      </x:c>
      <x:c r="W299" s="10" t="str">
        <x:v>BR-SPDIREITOVIOLESTADO_MAPEAMENTOS-NOTICIAS-MSSCPENHA.xlsx:Geral:44</x:v>
      </x:c>
      <x:c r="X299" s="11" t="n">
        <x:f>COLUMNS(A299:S299)-COUNTBLANK(A299:S299)</x:f>
        <x:v>19</x:v>
      </x:c>
    </x:row>
    <x:row r="300" ht="24" hidden="0" customHeight="1">
      <x:c r="A300" s="10" t="str">
        <x:v>Fotografia</x:v>
      </x:c>
      <x:c r="B300" s="10" t="str">
        <x:v>Rememoração</x:v>
      </x:c>
      <x:c r="C300" s="10" t="str">
        <x:v>Manifestação artístico-cultural</x:v>
      </x:c>
      <x:c r="D300" s="10" t="str">
        <x:v>Público Mediado</x:v>
      </x:c>
      <x:c r="E300" s="10" t="str">
        <x:v>Presencial/Físico</x:v>
      </x:c>
      <x:c r="F300" s="10" t="str">
        <x:v>2025-10-28 00:00:00</x:v>
      </x:c>
      <x:c r="G300" s="11" t="n">
        <x:v>2025</x:v>
      </x:c>
      <x:c r="H300" s="10" t="str">
        <x:v>Rio de Janeiro, Brasil</x:v>
      </x:c>
      <x:c r="I300" s="10" t="str">
        <x:v>Bruno Itan</x:v>
      </x:c>
      <x:c r="J300" s="10" t="str">
        <x:v>Cenário de Guerra no Complexo da Penha</x:v>
      </x:c>
      <x:c r="K300" s="10" t="str">
        <x:v>Iconográfico, Textual</x:v>
      </x:c>
      <x:c r="L300" s="10" t="str">
        <x:v>Texto (digital), Imagem (digital)</x:v>
      </x:c>
      <x:c r="M300" s="10" t="str">
        <x:v>Instagram (Voz das Comunidades)</x:v>
      </x:c>
      <x:c r="N300" s="10" t="str">
        <x:v>Português, Brasil</x:v>
      </x:c>
      <x:c r="O300" s="10" t="str">
        <x:v>Hiperlink</x:v>
      </x:c>
      <x:c r="P300" s="10" t="str">
        <x:v>2025-10-31 00:00:00</x:v>
      </x:c>
      <x:c r="Q300" s="10" t="str">
        <x:v>Aberto</x:v>
      </x:c>
      <x:c r="R300" s="10" t="str">
        <x:v>Aqui</x:v>
      </x:c>
      <x:c r="S300" s="10" t="str">
        <x:v>ITAN, Bruno. Cenário de Guerra no Complexo da Penha. Fotografia. Publicado por Voz das Comunidades. Instagram: @vozdascomunidades, Rio de Janeiro, 28 out. 2025. Disponível em: https://www.instagram.com/p/DQY_mkSkSDR/. Acesso em: 31 out. 2025.</x:v>
      </x:c>
      <x:c r="T300" s="10" t="str">
        <x:v>BR-SPDIREITOVIOLESTADO_MAPEAMENTOS-NOTICIAS-MSSCPENHA.xlsx</x:v>
      </x:c>
      <x:c r="U300" s="10" t="str">
        <x:v>Geral</x:v>
      </x:c>
      <x:c r="V300" s="11" t="n">
        <x:v>45</x:v>
      </x:c>
      <x:c r="W300" s="10" t="str">
        <x:v>BR-SPDIREITOVIOLESTADO_MAPEAMENTOS-NOTICIAS-MSSCPENHA.xlsx:Geral:45</x:v>
      </x:c>
      <x:c r="X300" s="11" t="n">
        <x:f>COLUMNS(A300:S300)-COUNTBLANK(A300:S300)</x:f>
        <x:v>19</x:v>
      </x:c>
    </x:row>
    <x:row r="301" ht="24" hidden="0" customHeight="1">
      <x:c r="A301" s="10" t="str">
        <x:v>Fotografia</x:v>
      </x:c>
      <x:c r="B301" s="10" t="str">
        <x:v>Rememoração</x:v>
      </x:c>
      <x:c r="C301" s="10" t="str">
        <x:v>Manifestação artístico-cultural</x:v>
      </x:c>
      <x:c r="D301" s="10" t="str">
        <x:v>Público Mediado</x:v>
      </x:c>
      <x:c r="E301" s="10" t="str">
        <x:v>Presencial/Físico</x:v>
      </x:c>
      <x:c r="F301" s="10" t="str">
        <x:v>2025-10-29 00:00:00</x:v>
      </x:c>
      <x:c r="G301" s="11" t="n">
        <x:v>2025</x:v>
      </x:c>
      <x:c r="H301" s="10" t="str">
        <x:v>Rio de Janeiro, Brasil</x:v>
      </x:c>
      <x:c r="I301" s="10" t="str">
        <x:v>Renato Silva</x:v>
      </x:c>
      <x:c r="J301" s="10" t="str">
        <x:v>Conteúdo sensível. Corpos encontrados no Complexo da Penha durante a madrugada desta quarta-feira (29)</x:v>
      </x:c>
      <x:c r="K301" s="10" t="str">
        <x:v>Iconográfico, Textual</x:v>
      </x:c>
      <x:c r="L301" s="10" t="str">
        <x:v>Texto (digital), Imagem (digital)</x:v>
      </x:c>
      <x:c r="M301" s="10" t="str">
        <x:v>Instagram (Voz das Comunidades)</x:v>
      </x:c>
      <x:c r="N301" s="10" t="str">
        <x:v>Português, Brasil</x:v>
      </x:c>
      <x:c r="O301" s="10" t="str">
        <x:v>Hiperlink</x:v>
      </x:c>
      <x:c r="P301" s="10" t="str">
        <x:v>2025-10-31 00:00:00</x:v>
      </x:c>
      <x:c r="Q301" s="10" t="str">
        <x:v>Aberto</x:v>
      </x:c>
      <x:c r="R301" s="10" t="str">
        <x:v>Aqui</x:v>
      </x:c>
      <x:c r="S301" s="10" t="str">
        <x:v>SILVA, Renato. Conteúdo sensível. Corpos encontrados no Complexo da Penha durante a madrugada desta quarta-feira (29). Fotografia. Publicado por Voz das Comunidades. Instagram: @vozdascomunidades, Rio de Janeiro, 29 out. 2025. Disponível em: https://www.instagram.com/p/DQY5_odEZxQ/?img_index=1. Acesso em: 31 out. 2025.</x:v>
      </x:c>
      <x:c r="T301" s="10" t="str">
        <x:v>BR-SPDIREITOVIOLESTADO_MAPEAMENTOS-NOTICIAS-MSSCPENHA.xlsx</x:v>
      </x:c>
      <x:c r="U301" s="10" t="str">
        <x:v>Geral</x:v>
      </x:c>
      <x:c r="V301" s="11" t="n">
        <x:v>46</x:v>
      </x:c>
      <x:c r="W301" s="10" t="str">
        <x:v>BR-SPDIREITOVIOLESTADO_MAPEAMENTOS-NOTICIAS-MSSCPENHA.xlsx:Geral:46</x:v>
      </x:c>
      <x:c r="X301" s="11" t="n">
        <x:f>COLUMNS(A301:S301)-COUNTBLANK(A301:S301)</x:f>
        <x:v>19</x:v>
      </x:c>
    </x:row>
    <x:row r="302" ht="24" hidden="0" customHeight="1">
      <x:c r="A302" s="10" t="str">
        <x:v>Notícia</x:v>
      </x:c>
      <x:c r="B302" s="10" t="str">
        <x:v>Difusão</x:v>
      </x:c>
      <x:c r="C302" s="10" t="str">
        <x:v>Produção midiática</x:v>
      </x:c>
      <x:c r="D302" s="10" t="str">
        <x:v>Público Mediado</x:v>
      </x:c>
      <x:c r="E302" s="10" t="str">
        <x:v>Midiático</x:v>
      </x:c>
      <x:c r="F302" s="10" t="str">
        <x:v>29/10/2025</x:v>
      </x:c>
      <x:c r="G302" s="11" t="n">
        <x:v>2025</x:v>
      </x:c>
      <x:c r="H302" s="10" t="str">
        <x:v>Rio de Janeiro, Brasil</x:v>
      </x:c>
      <x:c r="I302" s="10" t="str">
        <x:v>Voz das Comunidades</x:v>
      </x:c>
      <x:c r="J302" s="10" t="str">
        <x:v>Cerca de 60 corpos no chão da Vila Cruzeiro após a maior chacina da história do Estado do Rio de Janeiro</x:v>
      </x:c>
      <x:c r="K302" s="10" t="str">
        <x:v>Textual, Audiovisual</x:v>
      </x:c>
      <x:c r="L302" s="10" t="str">
        <x:v>Vídeo (digital)</x:v>
      </x:c>
      <x:c r="M302" s="10" t="str">
        <x:v>Instagram (Voz das Comunidades)</x:v>
      </x:c>
      <x:c r="N302" s="10" t="str">
        <x:v>Português, Brasil</x:v>
      </x:c>
      <x:c r="O302" s="10" t="str">
        <x:v>Hiperlink</x:v>
      </x:c>
      <x:c r="P302" s="10" t="str">
        <x:v>2025-10-31 00:00:00</x:v>
      </x:c>
      <x:c r="Q302" s="10" t="str">
        <x:v>Aberto</x:v>
      </x:c>
      <x:c r="R302" s="10" t="str">
        <x:v>Aqui</x:v>
      </x:c>
      <x:c r="S302" s="10" t="str">
        <x:v>VOZ DAS COMUNIDADES. Cerca de 60 corpos no chão da Vila Cruzeiro após a maior chacina da história do Estado do Rio de Janeiro. Vídeo de Rene Silva. Instagram: @vozdascomunidades, 29 out. 2025. Disponível em: https://www.instagram.com/p/DQZC_crDoMs/. Acesso em: 31 out. 2025.</x:v>
      </x:c>
      <x:c r="T302" s="10" t="str">
        <x:v>BR-SPDIREITOVIOLESTADO_MAPEAMENTOS-NOTICIAS-MSSCPENHA.xlsx</x:v>
      </x:c>
      <x:c r="U302" s="10" t="str">
        <x:v>Geral</x:v>
      </x:c>
      <x:c r="V302" s="11" t="n">
        <x:v>47</x:v>
      </x:c>
      <x:c r="W302" s="10" t="str">
        <x:v>BR-SPDIREITOVIOLESTADO_MAPEAMENTOS-NOTICIAS-MSSCPENHA.xlsx:Geral:47</x:v>
      </x:c>
      <x:c r="X302" s="11" t="n">
        <x:f>COLUMNS(A302:S302)-COUNTBLANK(A302:S302)</x:f>
        <x:v>19</x:v>
      </x:c>
    </x:row>
    <x:row r="303" ht="15" hidden="0" customHeight="1">
      <x:c r="A303" s="10" t="str">
        <x:v>Notícia</x:v>
      </x:c>
      <x:c r="B303" s="10" t="str">
        <x:v>Difusão</x:v>
      </x:c>
      <x:c r="C303" s="10" t="str">
        <x:v>Produção midiática</x:v>
      </x:c>
      <x:c r="D303" s="10" t="str">
        <x:v>Público Mediado</x:v>
      </x:c>
      <x:c r="E303" s="10" t="str">
        <x:v>Midiático</x:v>
      </x:c>
      <x:c r="F303" s="10" t="str">
        <x:v>29/10/2025</x:v>
      </x:c>
      <x:c r="G303" s="11" t="n">
        <x:v>2025</x:v>
      </x:c>
      <x:c r="H303" s="10" t="str">
        <x:v>Rio de Janeiro, Brasil</x:v>
      </x:c>
      <x:c r="I303" s="10" t="str">
        <x:v>Voz das Comunidades</x:v>
      </x:c>
      <x:c r="J303" s="10" t="str"/>
      <x:c r="K303" s="10" t="str">
        <x:v>Textual, Audiovisual</x:v>
      </x:c>
      <x:c r="L303" s="10" t="str">
        <x:v>Vídeo (digital)</x:v>
      </x:c>
      <x:c r="M303" s="10" t="str">
        <x:v>Instagram (Voz das Comunidades)</x:v>
      </x:c>
      <x:c r="N303" s="10" t="str">
        <x:v>Português, Brasil</x:v>
      </x:c>
      <x:c r="O303" s="10" t="str">
        <x:v>Hiperlink</x:v>
      </x:c>
      <x:c r="P303" s="10" t="str">
        <x:v>2025-10-31 00:00:00</x:v>
      </x:c>
      <x:c r="Q303" s="10" t="str">
        <x:v>Aberto</x:v>
      </x:c>
      <x:c r="R303" s="10" t="str">
        <x:v>Aqui</x:v>
      </x:c>
      <x:c r="S303" s="10" t="str">
        <x:v>VOZ DAS COMUNIDADES. [Vídeo sem título]. Instagram: @vozdascomunidades, 29 out. 2025. Disponível em: https://www.instagram.com/p/DQZFcvVkY5P/. Acesso em: 31 out. 2025.</x:v>
      </x:c>
      <x:c r="T303" s="10" t="str">
        <x:v>BR-SPDIREITOVIOLESTADO_MAPEAMENTOS-NOTICIAS-MSSCPENHA.xlsx</x:v>
      </x:c>
      <x:c r="U303" s="10" t="str">
        <x:v>Geral</x:v>
      </x:c>
      <x:c r="V303" s="11" t="n">
        <x:v>48</x:v>
      </x:c>
      <x:c r="W303" s="10" t="str">
        <x:v>BR-SPDIREITOVIOLESTADO_MAPEAMENTOS-NOTICIAS-MSSCPENHA.xlsx:Geral:48</x:v>
      </x:c>
      <x:c r="X303" s="11" t="n">
        <x:f>COLUMNS(A303:S303)-COUNTBLANK(A303:S303)</x:f>
        <x:v>18</x:v>
      </x:c>
    </x:row>
    <x:row r="304" ht="24" hidden="0" customHeight="1">
      <x:c r="A304" s="10" t="str">
        <x:v>Notícia</x:v>
      </x:c>
      <x:c r="B304" s="10" t="str">
        <x:v>Difusão</x:v>
      </x:c>
      <x:c r="C304" s="10" t="str">
        <x:v>Produção midiática</x:v>
      </x:c>
      <x:c r="D304" s="10" t="str">
        <x:v>Público Mediado</x:v>
      </x:c>
      <x:c r="E304" s="10" t="str">
        <x:v>Midiático</x:v>
      </x:c>
      <x:c r="F304" s="10" t="str">
        <x:v>29/10/2025</x:v>
      </x:c>
      <x:c r="G304" s="11" t="n">
        <x:v>2025</x:v>
      </x:c>
      <x:c r="H304" s="10" t="str">
        <x:v>Rio de Janeiro, Brasil</x:v>
      </x:c>
      <x:c r="I304" s="10" t="str">
        <x:v>Voz das Comunidades</x:v>
      </x:c>
      <x:c r="J304" s="10" t="str">
        <x:v>Os corpos estão sendo retirados da praça Inter no Complexo da Penha.</x:v>
      </x:c>
      <x:c r="K304" s="10" t="str">
        <x:v>Textual, Audiovisual</x:v>
      </x:c>
      <x:c r="L304" s="10" t="str">
        <x:v>Vídeo (digital)</x:v>
      </x:c>
      <x:c r="M304" s="10" t="str">
        <x:v>Instagram (Voz das Comunidades)</x:v>
      </x:c>
      <x:c r="N304" s="10" t="str">
        <x:v>Português, Brasil</x:v>
      </x:c>
      <x:c r="O304" s="10" t="str">
        <x:v>Hiperlink</x:v>
      </x:c>
      <x:c r="P304" s="10" t="str">
        <x:v>2025-10-31 00:00:00</x:v>
      </x:c>
      <x:c r="Q304" s="10" t="str">
        <x:v>Aberto</x:v>
      </x:c>
      <x:c r="R304" s="10" t="str">
        <x:v>Aqui</x:v>
      </x:c>
      <x:c r="S304" s="10" t="str">
        <x:v>VOZ DAS COMUNIDADES. Os corpos estão sendo retirados da praça Inter no Complexo da Penha. Vídeo. Instagram: @vozdascomunidades, 29 out. 2025. Disponível em: https://www.instagram.com/p/DQZFfo4EUz7/. Acesso em: 31 out. 2025.</x:v>
      </x:c>
      <x:c r="T304" s="10" t="str">
        <x:v>BR-SPDIREITOVIOLESTADO_MAPEAMENTOS-NOTICIAS-MSSCPENHA.xlsx</x:v>
      </x:c>
      <x:c r="U304" s="10" t="str">
        <x:v>Geral</x:v>
      </x:c>
      <x:c r="V304" s="11" t="n">
        <x:v>49</x:v>
      </x:c>
      <x:c r="W304" s="10" t="str">
        <x:v>BR-SPDIREITOVIOLESTADO_MAPEAMENTOS-NOTICIAS-MSSCPENHA.xlsx:Geral:49</x:v>
      </x:c>
      <x:c r="X304" s="11" t="n">
        <x:f>COLUMNS(A304:S304)-COUNTBLANK(A304:S304)</x:f>
        <x:v>19</x:v>
      </x:c>
    </x:row>
    <x:row r="305" ht="24" hidden="0" customHeight="1">
      <x:c r="A305" s="10" t="str">
        <x:v>Notícia</x:v>
      </x:c>
      <x:c r="B305" s="10" t="str">
        <x:v>Difusão</x:v>
      </x:c>
      <x:c r="C305" s="10" t="str">
        <x:v>Produção midiática</x:v>
      </x:c>
      <x:c r="D305" s="10" t="str">
        <x:v>Público Mediado</x:v>
      </x:c>
      <x:c r="E305" s="10" t="str">
        <x:v>Midiático</x:v>
      </x:c>
      <x:c r="F305" s="10" t="str">
        <x:v>29/10/2025</x:v>
      </x:c>
      <x:c r="G305" s="11" t="n">
        <x:v>2025</x:v>
      </x:c>
      <x:c r="H305" s="10" t="str">
        <x:v>Rio de Janeiro, Brasil</x:v>
      </x:c>
      <x:c r="I305" s="10" t="str">
        <x:v>Voz das Comunidades</x:v>
      </x:c>
      <x:c r="J305" s="10" t="str">
        <x:v>Resultado da política de extermínio contra a favela</x:v>
      </x:c>
      <x:c r="K305" s="10" t="str">
        <x:v>Textual, Audiovisual</x:v>
      </x:c>
      <x:c r="L305" s="10" t="str">
        <x:v>Vídeo (digital)</x:v>
      </x:c>
      <x:c r="M305" s="10" t="str">
        <x:v>Instagram (Voz das Comunidades)</x:v>
      </x:c>
      <x:c r="N305" s="10" t="str">
        <x:v>Português, Brasil</x:v>
      </x:c>
      <x:c r="O305" s="10" t="str">
        <x:v>Hiperlink</x:v>
      </x:c>
      <x:c r="P305" s="10" t="str">
        <x:v>2025-10-31 00:00:00</x:v>
      </x:c>
      <x:c r="Q305" s="10" t="str">
        <x:v>Aberto</x:v>
      </x:c>
      <x:c r="R305" s="10" t="str">
        <x:v>Aqui</x:v>
      </x:c>
      <x:c r="S305" s="10" t="str">
        <x:v>VOZ DAS COMUNIDADES. Resultado da política de extermínio contra a favela. Instagram: @vozdascomunidades, 29 out. 2025. Disponível em: https://www.instagram.com/p/DQZJ6XTkfAh/?img_index=1. Acesso em: 31 out. 2025.</x:v>
      </x:c>
      <x:c r="T305" s="10" t="str">
        <x:v>BR-SPDIREITOVIOLESTADO_MAPEAMENTOS-NOTICIAS-MSSCPENHA.xlsx</x:v>
      </x:c>
      <x:c r="U305" s="10" t="str">
        <x:v>Geral</x:v>
      </x:c>
      <x:c r="V305" s="11" t="n">
        <x:v>50</x:v>
      </x:c>
      <x:c r="W305" s="10" t="str">
        <x:v>BR-SPDIREITOVIOLESTADO_MAPEAMENTOS-NOTICIAS-MSSCPENHA.xlsx:Geral:50</x:v>
      </x:c>
      <x:c r="X305" s="11" t="n">
        <x:f>COLUMNS(A305:S305)-COUNTBLANK(A305:S305)</x:f>
        <x:v>19</x:v>
      </x:c>
    </x:row>
    <x:row r="306" ht="15" hidden="0" customHeight="1">
      <x:c r="A306" s="10" t="str">
        <x:v>Notícia</x:v>
      </x:c>
      <x:c r="B306" s="10" t="str">
        <x:v>Difusão</x:v>
      </x:c>
      <x:c r="C306" s="10" t="str">
        <x:v>Produção midiática</x:v>
      </x:c>
      <x:c r="D306" s="10" t="str">
        <x:v>Público Mediado</x:v>
      </x:c>
      <x:c r="E306" s="10" t="str">
        <x:v>Midiático</x:v>
      </x:c>
      <x:c r="F306" s="10" t="str">
        <x:v>29/10/2025</x:v>
      </x:c>
      <x:c r="G306" s="11" t="n">
        <x:v>2025</x:v>
      </x:c>
      <x:c r="H306" s="10" t="str">
        <x:v>Rio de Janeiro, Brasil</x:v>
      </x:c>
      <x:c r="I306" s="10" t="str">
        <x:v>Voz das Comunidades</x:v>
      </x:c>
      <x:c r="J306" s="10" t="str">
        <x:v>Chacina da Penha</x:v>
      </x:c>
      <x:c r="K306" s="10" t="str">
        <x:v>Textual, Audiovisual</x:v>
      </x:c>
      <x:c r="L306" s="10" t="str">
        <x:v>Vídeo (digital)</x:v>
      </x:c>
      <x:c r="M306" s="10" t="str">
        <x:v>Instagram (Voz das Comunidades)</x:v>
      </x:c>
      <x:c r="N306" s="10" t="str">
        <x:v>Português, Brasil</x:v>
      </x:c>
      <x:c r="O306" s="10" t="str">
        <x:v>Hiperlink</x:v>
      </x:c>
      <x:c r="P306" s="10" t="str">
        <x:v>2025-10-31 00:00:00</x:v>
      </x:c>
      <x:c r="Q306" s="10" t="str">
        <x:v>Aberto</x:v>
      </x:c>
      <x:c r="R306" s="10" t="str">
        <x:v>Aqui</x:v>
      </x:c>
      <x:c r="S306" s="10" t="str">
        <x:v>VOZ DAS COMUNIDADES. Chacina da Penha. Vídeo de Rene Silva. Instagram: @vozdascomunidades, 29 out. 2025. Disponível em: https://www.instagram.com/p/DQZN7o3Drm_/. Acesso em: 31 out. 2025.</x:v>
      </x:c>
      <x:c r="T306" s="10" t="str">
        <x:v>BR-SPDIREITOVIOLESTADO_MAPEAMENTOS-NOTICIAS-MSSCPENHA.xlsx</x:v>
      </x:c>
      <x:c r="U306" s="10" t="str">
        <x:v>Geral</x:v>
      </x:c>
      <x:c r="V306" s="11" t="n">
        <x:v>51</x:v>
      </x:c>
      <x:c r="W306" s="10" t="str">
        <x:v>BR-SPDIREITOVIOLESTADO_MAPEAMENTOS-NOTICIAS-MSSCPENHA.xlsx:Geral:51</x:v>
      </x:c>
      <x:c r="X306" s="11" t="n">
        <x:f>COLUMNS(A306:S306)-COUNTBLANK(A306:S306)</x:f>
        <x:v>19</x:v>
      </x:c>
    </x:row>
    <x:row r="307" ht="24" hidden="0" customHeight="1">
      <x:c r="A307" s="10" t="str">
        <x:v>Manifestação</x:v>
      </x:c>
      <x:c r="B307" s="10" t="str">
        <x:v>Rememoração</x:v>
      </x:c>
      <x:c r="C307" s="10" t="str"/>
      <x:c r="D307" s="10" t="str">
        <x:v>Público Imediato</x:v>
      </x:c>
      <x:c r="E307" s="10" t="str">
        <x:v>Presencial/Físico</x:v>
      </x:c>
      <x:c r="F307" s="10" t="str">
        <x:v>2025-10-29 00:00:00</x:v>
      </x:c>
      <x:c r="G307" s="11" t="n">
        <x:v>2025</x:v>
      </x:c>
      <x:c r="H307" s="10" t="str">
        <x:v>Rio de Janeiro, Brasil</x:v>
      </x:c>
      <x:c r="I307" s="10" t="str">
        <x:v>Voz das Comunidades</x:v>
      </x:c>
      <x:c r="J307" s="10" t="str">
        <x:v>A favela quer viver</x:v>
      </x:c>
      <x:c r="K307" s="10" t="str">
        <x:v>Textual, Audiovisual</x:v>
      </x:c>
      <x:c r="L307" s="10" t="str">
        <x:v>Vídeo (digital)</x:v>
      </x:c>
      <x:c r="M307" s="10" t="str">
        <x:v>Instagram (Voz das Comunidades)</x:v>
      </x:c>
      <x:c r="N307" s="10" t="str">
        <x:v>Português, Brasil</x:v>
      </x:c>
      <x:c r="O307" s="10" t="str">
        <x:v>Hiperlink</x:v>
      </x:c>
      <x:c r="P307" s="10" t="str">
        <x:v>2025-10-31 00:00:00</x:v>
      </x:c>
      <x:c r="Q307" s="10" t="str">
        <x:v>Aberto</x:v>
      </x:c>
      <x:c r="R307" s="10" t="str">
        <x:v>Aqui</x:v>
      </x:c>
      <x:c r="S307" s="10" t="str">
        <x:v>VOZ DAS COMUNIDADES. A FAVELA QUER VIVER!. Vídeo. Instagram: @vozdascomunidades, Rio de Janeiro, 29 out. 2025. Disponível em: https://www.instagram.com/p/DQZPFLtDYq2/. Acesso em: 31 out. 2025.</x:v>
      </x:c>
      <x:c r="T307" s="10" t="str">
        <x:v>BR-SPDIREITOVIOLESTADO_MAPEAMENTOS-NOTICIAS-MSSCPENHA.xlsx</x:v>
      </x:c>
      <x:c r="U307" s="10" t="str">
        <x:v>Geral</x:v>
      </x:c>
      <x:c r="V307" s="11" t="n">
        <x:v>52</x:v>
      </x:c>
      <x:c r="W307" s="10" t="str">
        <x:v>BR-SPDIREITOVIOLESTADO_MAPEAMENTOS-NOTICIAS-MSSCPENHA.xlsx:Geral:52</x:v>
      </x:c>
      <x:c r="X307" s="11" t="n">
        <x:f>COLUMNS(A307:S307)-COUNTBLANK(A307:S307)</x:f>
        <x:v>18</x:v>
      </x:c>
    </x:row>
    <x:row r="308" ht="15" hidden="0" customHeight="1">
      <x:c r="A308" s="10" t="str">
        <x:v>Notícia</x:v>
      </x:c>
      <x:c r="B308" s="10" t="str">
        <x:v>Difusão</x:v>
      </x:c>
      <x:c r="C308" s="10" t="str">
        <x:v>Produção midiática</x:v>
      </x:c>
      <x:c r="D308" s="10" t="str">
        <x:v>Público Mediado</x:v>
      </x:c>
      <x:c r="E308" s="10" t="str">
        <x:v>Midiático</x:v>
      </x:c>
      <x:c r="F308" s="10" t="str">
        <x:v>29/10/2025</x:v>
      </x:c>
      <x:c r="G308" s="11" t="n">
        <x:v>2025</x:v>
      </x:c>
      <x:c r="H308" s="10" t="str">
        <x:v>Rio de Janeiro, Brasil</x:v>
      </x:c>
      <x:c r="I308" s="10" t="str">
        <x:v>Narra</x:v>
      </x:c>
      <x:c r="J308" s="10" t="str">
        <x:v>128 mortos</x:v>
      </x:c>
      <x:c r="K308" s="10" t="str">
        <x:v>Iconográfico, Textual</x:v>
      </x:c>
      <x:c r="L308" s="10" t="str">
        <x:v>Texto (digital), Imagem (digital)</x:v>
      </x:c>
      <x:c r="M308" s="10" t="str">
        <x:v>Instagram (Narra)</x:v>
      </x:c>
      <x:c r="N308" s="10" t="str">
        <x:v>Português, Brasil</x:v>
      </x:c>
      <x:c r="O308" s="10" t="str">
        <x:v>Hiperlink</x:v>
      </x:c>
      <x:c r="P308" s="10" t="str">
        <x:v>2025-10-31 00:00:00</x:v>
      </x:c>
      <x:c r="Q308" s="10" t="str">
        <x:v>Aberto</x:v>
      </x:c>
      <x:c r="R308" s="10" t="str">
        <x:v>Aqui</x:v>
      </x:c>
      <x:c r="S308" s="10" t="str">
        <x:v>NARRA. 128 MORTOS. Fotografia. Instagram: @narra.br, Rio de Janeiro, 29 out. 2025. Disponível em: https://www.instagram.com/p/DQZTmfEDeO2/. Acesso em: 31 out. 2025.</x:v>
      </x:c>
      <x:c r="T308" s="10" t="str">
        <x:v>BR-SPDIREITOVIOLESTADO_MAPEAMENTOS-NOTICIAS-MSSCPENHA.xlsx</x:v>
      </x:c>
      <x:c r="U308" s="10" t="str">
        <x:v>Geral</x:v>
      </x:c>
      <x:c r="V308" s="11" t="n">
        <x:v>53</x:v>
      </x:c>
      <x:c r="W308" s="10" t="str">
        <x:v>BR-SPDIREITOVIOLESTADO_MAPEAMENTOS-NOTICIAS-MSSCPENHA.xlsx:Geral:53</x:v>
      </x:c>
      <x:c r="X308" s="11" t="n">
        <x:f>COLUMNS(A308:S308)-COUNTBLANK(A308:S308)</x:f>
        <x:v>19</x:v>
      </x:c>
    </x:row>
    <x:row r="309" ht="24" hidden="0" customHeight="1">
      <x:c r="A309" s="10" t="str">
        <x:v>Ação popular</x:v>
      </x:c>
      <x:c r="B309" s="10" t="str">
        <x:v>Rememoração</x:v>
      </x:c>
      <x:c r="C309" s="10" t="str"/>
      <x:c r="D309" s="10" t="str">
        <x:v>Público Imediato</x:v>
      </x:c>
      <x:c r="E309" s="10" t="str">
        <x:v>Presencial/Físico</x:v>
      </x:c>
      <x:c r="F309" s="10" t="str">
        <x:v>2025-10-29 00:00:00</x:v>
      </x:c>
      <x:c r="G309" s="11" t="n">
        <x:v>2025</x:v>
      </x:c>
      <x:c r="H309" s="10" t="str">
        <x:v>Rio de Janeiro, Brasil</x:v>
      </x:c>
      <x:c r="I309" s="10" t="str">
        <x:v>Voz das Comunidades</x:v>
      </x:c>
      <x:c r="J309" s="10" t="str">
        <x:v>Plano de Ação Popular do CPX!</x:v>
      </x:c>
      <x:c r="K309" s="10" t="str">
        <x:v>Iconográfico, Textual</x:v>
      </x:c>
      <x:c r="L309" s="10" t="str">
        <x:v>Texto (digital), Imagem (digital)</x:v>
      </x:c>
      <x:c r="M309" s="10" t="str">
        <x:v>Instagram (Voz das Comunidades)</x:v>
      </x:c>
      <x:c r="N309" s="10" t="str">
        <x:v>Português, Brasil</x:v>
      </x:c>
      <x:c r="O309" s="10" t="str">
        <x:v>Hiperlink</x:v>
      </x:c>
      <x:c r="P309" s="10" t="str">
        <x:v>2025-10-31 00:00:00</x:v>
      </x:c>
      <x:c r="Q309" s="10" t="str">
        <x:v>Aberto</x:v>
      </x:c>
      <x:c r="R309" s="10" t="str">
        <x:v>Aqui</x:v>
      </x:c>
      <x:c r="S309" s="10" t="str">
        <x:v>VOZ DAS COMUNIDADES. Plano de Ação Popular do CPX!. Instagram: @vozdascomunidades, Rio de Janeiro, 29 out. 2025. Disponível em: https://www.instagram.com/p/DQZYu8Yje0y/?img_index=1. Acesso em: 31 out. 2025.</x:v>
      </x:c>
      <x:c r="T309" s="10" t="str">
        <x:v>BR-SPDIREITOVIOLESTADO_MAPEAMENTOS-NOTICIAS-MSSCPENHA.xlsx</x:v>
      </x:c>
      <x:c r="U309" s="10" t="str">
        <x:v>Geral</x:v>
      </x:c>
      <x:c r="V309" s="11" t="n">
        <x:v>54</x:v>
      </x:c>
      <x:c r="W309" s="10" t="str">
        <x:v>BR-SPDIREITOVIOLESTADO_MAPEAMENTOS-NOTICIAS-MSSCPENHA.xlsx:Geral:54</x:v>
      </x:c>
      <x:c r="X309" s="11" t="n">
        <x:f>COLUMNS(A309:S309)-COUNTBLANK(A309:S309)</x:f>
        <x:v>18</x:v>
      </x:c>
    </x:row>
    <x:row r="310" ht="24" hidden="0" customHeight="1">
      <x:c r="A310" s="10" t="str">
        <x:v>Notícia</x:v>
      </x:c>
      <x:c r="B310" s="10" t="str">
        <x:v>Difusão</x:v>
      </x:c>
      <x:c r="C310" s="10" t="str">
        <x:v>Produção midiática</x:v>
      </x:c>
      <x:c r="D310" s="10" t="str">
        <x:v>Público Mediado</x:v>
      </x:c>
      <x:c r="E310" s="10" t="str">
        <x:v>Midiático</x:v>
      </x:c>
      <x:c r="F310" s="10" t="str">
        <x:v>29/10/2025</x:v>
      </x:c>
      <x:c r="G310" s="11" t="n">
        <x:v>2025</x:v>
      </x:c>
      <x:c r="H310" s="10" t="str">
        <x:v>Rio de Janeiro, Brasil</x:v>
      </x:c>
      <x:c r="I310" s="10" t="str">
        <x:v>Voz das Comunidades</x:v>
      </x:c>
      <x:c r="J310" s="10" t="str">
        <x:v>Mais um relato de quem está ajudando na localização dos corpos no Complexo da Penha</x:v>
      </x:c>
      <x:c r="K310" s="10" t="str">
        <x:v>Textual, Audiovisual</x:v>
      </x:c>
      <x:c r="L310" s="10" t="str">
        <x:v>Vídeo (digital)</x:v>
      </x:c>
      <x:c r="M310" s="10" t="str">
        <x:v>Instagram (Voz das Comunidades)</x:v>
      </x:c>
      <x:c r="N310" s="10" t="str">
        <x:v>Português, Brasil</x:v>
      </x:c>
      <x:c r="O310" s="10" t="str">
        <x:v>Hiperlink</x:v>
      </x:c>
      <x:c r="P310" s="10" t="str">
        <x:v>2025-10-31 00:00:00</x:v>
      </x:c>
      <x:c r="Q310" s="10" t="str">
        <x:v>Aberto</x:v>
      </x:c>
      <x:c r="R310" s="10" t="str">
        <x:v>Aqui</x:v>
      </x:c>
      <x:c r="S310" s="10" t="str">
        <x:v>VOZ DAS COMUNIDADES. Mais um relato de quem está ajudando na localização dos corpos no Complexo da Penha. Instagram: @vozdascomunidades, Rio de Janeiro, 29 out. 2025. Disponível em: https://www.instagram.com/reel/DQZZAiMDVID/?utm_source=ig_web_button_share_sheet&amp;igsh=MzRlODBiNWFlZA==. Acesso em: 31 out. 2025.</x:v>
      </x:c>
      <x:c r="T310" s="10" t="str">
        <x:v>BR-SPDIREITOVIOLESTADO_MAPEAMENTOS-NOTICIAS-MSSCPENHA.xlsx</x:v>
      </x:c>
      <x:c r="U310" s="10" t="str">
        <x:v>Geral</x:v>
      </x:c>
      <x:c r="V310" s="11" t="n">
        <x:v>55</x:v>
      </x:c>
      <x:c r="W310" s="10" t="str">
        <x:v>BR-SPDIREITOVIOLESTADO_MAPEAMENTOS-NOTICIAS-MSSCPENHA.xlsx:Geral:55</x:v>
      </x:c>
      <x:c r="X310" s="11" t="n">
        <x:f>COLUMNS(A310:S310)-COUNTBLANK(A310:S310)</x:f>
        <x:v>19</x:v>
      </x:c>
    </x:row>
    <x:row r="311" ht="24" hidden="0" customHeight="1">
      <x:c r="A311" s="10" t="str">
        <x:v>Fotografia</x:v>
      </x:c>
      <x:c r="B311" s="10" t="str">
        <x:v>Rememoração</x:v>
      </x:c>
      <x:c r="C311" s="10" t="str">
        <x:v>Manifestação artístico-cultural</x:v>
      </x:c>
      <x:c r="D311" s="10" t="str">
        <x:v>Público Mediado</x:v>
      </x:c>
      <x:c r="E311" s="10" t="str">
        <x:v>Presencial/Físico</x:v>
      </x:c>
      <x:c r="F311" s="10" t="str">
        <x:v>2025-10-29 00:00:00</x:v>
      </x:c>
      <x:c r="G311" s="11" t="n">
        <x:v>2025</x:v>
      </x:c>
      <x:c r="H311" s="10" t="str">
        <x:v>Rio de Janeiro, Brasil</x:v>
      </x:c>
      <x:c r="I311" s="10" t="str">
        <x:v>Voz das Comunidades</x:v>
      </x:c>
      <x:c r="J311" s="10" t="str">
        <x:v>A favela não vence enquanto for tratada como inimiga do Estado</x:v>
      </x:c>
      <x:c r="K311" s="10" t="str">
        <x:v>Hemerográfico</x:v>
      </x:c>
      <x:c r="L311" s="10" t="str">
        <x:v>Texto (digital)</x:v>
      </x:c>
      <x:c r="M311" s="10" t="str">
        <x:v>Instagram (Voz das Comunidades)</x:v>
      </x:c>
      <x:c r="N311" s="10" t="str">
        <x:v>Português, Brasil</x:v>
      </x:c>
      <x:c r="O311" s="10" t="str">
        <x:v>Hiperlink</x:v>
      </x:c>
      <x:c r="P311" s="10" t="str">
        <x:v>2025-10-31 00:00:00</x:v>
      </x:c>
      <x:c r="Q311" s="10" t="str">
        <x:v>Aberto</x:v>
      </x:c>
      <x:c r="R311" s="10" t="str">
        <x:v>Aqui</x:v>
      </x:c>
      <x:c r="S311" s="10" t="str">
        <x:v>VOZ DAS COMUNIDADES. A favela não vence enquanto for tratada como inimiga do Estado. Fotografias. Instagram: @vozdascomunidades, Rio de Janeiro, 29 out. 2025. Disponível em: https://www.instagram.com/p/DQZcx_9DUHB/?img_index=1. Acesso em: 31 out. 2025.</x:v>
      </x:c>
      <x:c r="T311" s="10" t="str">
        <x:v>BR-SPDIREITOVIOLESTADO_MAPEAMENTOS-NOTICIAS-MSSCPENHA.xlsx</x:v>
      </x:c>
      <x:c r="U311" s="10" t="str">
        <x:v>Geral</x:v>
      </x:c>
      <x:c r="V311" s="11" t="n">
        <x:v>56</x:v>
      </x:c>
      <x:c r="W311" s="10" t="str">
        <x:v>BR-SPDIREITOVIOLESTADO_MAPEAMENTOS-NOTICIAS-MSSCPENHA.xlsx:Geral:56</x:v>
      </x:c>
      <x:c r="X311" s="11" t="n">
        <x:f>COLUMNS(A311:S311)-COUNTBLANK(A311:S311)</x:f>
        <x:v>19</x:v>
      </x:c>
    </x:row>
    <x:row r="312" ht="24" hidden="0" customHeight="1">
      <x:c r="A312" s="10" t="str">
        <x:v>Notícia</x:v>
      </x:c>
      <x:c r="B312" s="10" t="str">
        <x:v>Difusão</x:v>
      </x:c>
      <x:c r="C312" s="10" t="str">
        <x:v>Produção midiática</x:v>
      </x:c>
      <x:c r="D312" s="10" t="str">
        <x:v>Público Mediado</x:v>
      </x:c>
      <x:c r="E312" s="10" t="str">
        <x:v>Midiático</x:v>
      </x:c>
      <x:c r="F312" s="10" t="str">
        <x:v>29/10/2025</x:v>
      </x:c>
      <x:c r="G312" s="11" t="n">
        <x:v>2025</x:v>
      </x:c>
      <x:c r="H312" s="10" t="str">
        <x:v>Rio de Janeiro, Brasil</x:v>
      </x:c>
      <x:c r="I312" s="10" t="str">
        <x:v>Voz das Comunidades</x:v>
      </x:c>
      <x:c r="J312" s="10" t="str">
        <x:v>Especialistas classificam a megaoperação nos complexos do Alemão e da Penha como a maior chacina da história do Rio de Janeiro</x:v>
      </x:c>
      <x:c r="K312" s="10" t="str">
        <x:v>Hemerográfico</x:v>
      </x:c>
      <x:c r="L312" s="10" t="str">
        <x:v>Texto (digital)</x:v>
      </x:c>
      <x:c r="M312" s="10" t="str">
        <x:v>Instagram (Voz das Comunidades)</x:v>
      </x:c>
      <x:c r="N312" s="10" t="str">
        <x:v>Português, Brasil</x:v>
      </x:c>
      <x:c r="O312" s="10" t="str">
        <x:v>Hiperlink</x:v>
      </x:c>
      <x:c r="P312" s="10" t="str">
        <x:v>2025-10-31 00:00:00</x:v>
      </x:c>
      <x:c r="Q312" s="10" t="str">
        <x:v>Aberto</x:v>
      </x:c>
      <x:c r="R312" s="10" t="str">
        <x:v>Aqui</x:v>
      </x:c>
      <x:c r="S312" s="10" t="str">
        <x:v>VOZ DAS COMUNIDADES. Especialistas classificam a megaoperação nos complexos do Alemão e da Penha como a maior chacina da história do Rio de Janeiro. Instagram: @vozdascomunidades, Rio de Janeiro, 29 out. 2025. Disponível em: https://www.instagram.com/p/DQZfTMHDQQb/. Acesso em: 31 out. 2025.</x:v>
      </x:c>
      <x:c r="T312" s="10" t="str">
        <x:v>BR-SPDIREITOVIOLESTADO_MAPEAMENTOS-NOTICIAS-MSSCPENHA.xlsx</x:v>
      </x:c>
      <x:c r="U312" s="10" t="str">
        <x:v>Geral</x:v>
      </x:c>
      <x:c r="V312" s="11" t="n">
        <x:v>57</x:v>
      </x:c>
      <x:c r="W312" s="10" t="str">
        <x:v>BR-SPDIREITOVIOLESTADO_MAPEAMENTOS-NOTICIAS-MSSCPENHA.xlsx:Geral:57</x:v>
      </x:c>
      <x:c r="X312" s="11" t="n">
        <x:f>COLUMNS(A312:S312)-COUNTBLANK(A312:S312)</x:f>
        <x:v>19</x:v>
      </x:c>
    </x:row>
    <x:row r="313" ht="24" hidden="0" customHeight="1">
      <x:c r="A313" s="10" t="str">
        <x:v>Artigo de opinião</x:v>
      </x:c>
      <x:c r="B313" s="10" t="str">
        <x:v>Difusão</x:v>
      </x:c>
      <x:c r="C313" s="10" t="str">
        <x:v>Produção midiática</x:v>
      </x:c>
      <x:c r="D313" s="10" t="str">
        <x:v>Público Mediado</x:v>
      </x:c>
      <x:c r="E313" s="10" t="str">
        <x:v>Midiático</x:v>
      </x:c>
      <x:c r="F313" s="10" t="str">
        <x:v>29/10/2025</x:v>
      </x:c>
      <x:c r="G313" s="11" t="n">
        <x:v>2025</x:v>
      </x:c>
      <x:c r="H313" s="10" t="str">
        <x:v>Rio de Janeiro, Brasil</x:v>
      </x:c>
      <x:c r="I313" s="10" t="str">
        <x:v>Voz das Comunidades</x:v>
      </x:c>
      <x:c r="J313" s="10" t="str">
        <x:v>A favela não venceu, ela segue sangrando</x:v>
      </x:c>
      <x:c r="K313" s="10" t="str">
        <x:v>Textual</x:v>
      </x:c>
      <x:c r="L313" s="10" t="str">
        <x:v>Texto (digital)</x:v>
      </x:c>
      <x:c r="M313" s="10" t="str">
        <x:v>Instagram (Voz das Comunidades)</x:v>
      </x:c>
      <x:c r="N313" s="10" t="str">
        <x:v>Português, Brasil</x:v>
      </x:c>
      <x:c r="O313" s="10" t="str">
        <x:v>Hiperlink</x:v>
      </x:c>
      <x:c r="P313" s="10" t="str">
        <x:v>2025-10-31 00:00:00</x:v>
      </x:c>
      <x:c r="Q313" s="10" t="str">
        <x:v>Aberto</x:v>
      </x:c>
      <x:c r="R313" s="10" t="str">
        <x:v>Aqui</x:v>
      </x:c>
      <x:c r="S313" s="10" t="str">
        <x:v>VOZ DAS COMUNIDADES. A favela não venceu, ela segue sangrando.... Publicação de Ana Terra. Instagram: @vozdascomunidades, Rio de Janeiro, 29 out. 2025. Disponível em: https://www.instagram.com/p/DQZg_JQEcKi/?img_index=1. Acesso em: 31 out. 2025.</x:v>
      </x:c>
      <x:c r="T313" s="10" t="str">
        <x:v>BR-SPDIREITOVIOLESTADO_MAPEAMENTOS-NOTICIAS-MSSCPENHA.xlsx</x:v>
      </x:c>
      <x:c r="U313" s="10" t="str">
        <x:v>Geral</x:v>
      </x:c>
      <x:c r="V313" s="11" t="n">
        <x:v>58</x:v>
      </x:c>
      <x:c r="W313" s="10" t="str">
        <x:v>BR-SPDIREITOVIOLESTADO_MAPEAMENTOS-NOTICIAS-MSSCPENHA.xlsx:Geral:58</x:v>
      </x:c>
      <x:c r="X313" s="11" t="n">
        <x:f>COLUMNS(A313:S313)-COUNTBLANK(A313:S313)</x:f>
        <x:v>19</x:v>
      </x:c>
    </x:row>
    <x:row r="314" ht="24" hidden="0" customHeight="1">
      <x:c r="A314" s="10" t="str">
        <x:v>Notícia</x:v>
      </x:c>
      <x:c r="B314" s="10" t="str">
        <x:v>Difusão</x:v>
      </x:c>
      <x:c r="C314" s="10" t="str">
        <x:v>Produção midiática</x:v>
      </x:c>
      <x:c r="D314" s="10" t="str">
        <x:v>Público Mediado</x:v>
      </x:c>
      <x:c r="E314" s="10" t="str">
        <x:v>Midiático</x:v>
      </x:c>
      <x:c r="F314" s="10" t="str">
        <x:v>29/10/2025</x:v>
      </x:c>
      <x:c r="G314" s="11" t="n">
        <x:v>2025</x:v>
      </x:c>
      <x:c r="H314" s="10" t="str">
        <x:v>Rio de Janeiro, Brasil</x:v>
      </x:c>
      <x:c r="I314" s="10" t="str">
        <x:v>Voz das Comunidades</x:v>
      </x:c>
      <x:c r="J314" s="10" t="str">
        <x:v>Massacre no Rio de Janeiro! Ação no complexo da Penha e complexo do Alemão deixa mais de 140 mortos, a MAIOR CHACINA DO RIO DE JANEIRO!</x:v>
      </x:c>
      <x:c r="K314" s="10" t="str">
        <x:v>Textual</x:v>
      </x:c>
      <x:c r="L314" s="10" t="str">
        <x:v>Texto (digital)</x:v>
      </x:c>
      <x:c r="M314" s="10" t="str">
        <x:v>Instagram (Voz das Comunidades)</x:v>
      </x:c>
      <x:c r="N314" s="10" t="str">
        <x:v>Português, Brasil</x:v>
      </x:c>
      <x:c r="O314" s="10" t="str">
        <x:v>Hiperlink</x:v>
      </x:c>
      <x:c r="P314" s="10" t="str">
        <x:v>2025-10-31 00:00:00</x:v>
      </x:c>
      <x:c r="Q314" s="10" t="str">
        <x:v>Aberto</x:v>
      </x:c>
      <x:c r="R314" s="10" t="str">
        <x:v>Aqui</x:v>
      </x:c>
      <x:c r="S314" s="10" t="str">
        <x:v>VOZ DAS COMUNIDADES. Massacre no Rio de Janeiro! Ação no complexo da Penha e complexo do Alemão deixa mais de 140 mortos, a MAIOR CHACINA DO RIO DE JANEIRO!. Instagram: @vozdascomunidades, Rio de Janeiro, 29 out. 2025. Disponível em: https://www.instagram.com/p/DQZv_jXkdhA/?img_index=1. Acesso em: 31 out. 2025.</x:v>
      </x:c>
      <x:c r="T314" s="10" t="str">
        <x:v>BR-SPDIREITOVIOLESTADO_MAPEAMENTOS-NOTICIAS-MSSCPENHA.xlsx</x:v>
      </x:c>
      <x:c r="U314" s="10" t="str">
        <x:v>Geral</x:v>
      </x:c>
      <x:c r="V314" s="11" t="n">
        <x:v>59</x:v>
      </x:c>
      <x:c r="W314" s="10" t="str">
        <x:v>BR-SPDIREITOVIOLESTADO_MAPEAMENTOS-NOTICIAS-MSSCPENHA.xlsx:Geral:59</x:v>
      </x:c>
      <x:c r="X314" s="11" t="n">
        <x:f>COLUMNS(A314:S314)-COUNTBLANK(A314:S314)</x:f>
        <x:v>19</x:v>
      </x:c>
    </x:row>
    <x:row r="315" ht="15" hidden="0" customHeight="1">
      <x:c r="A315" s="10" t="str">
        <x:v>Reportagem</x:v>
      </x:c>
      <x:c r="B315" s="10" t="str">
        <x:v>Difusão</x:v>
      </x:c>
      <x:c r="C315" s="10" t="str">
        <x:v>Produção midiática</x:v>
      </x:c>
      <x:c r="D315" s="10" t="str">
        <x:v>Público Mediado</x:v>
      </x:c>
      <x:c r="E315" s="10" t="str">
        <x:v>Midiático</x:v>
      </x:c>
      <x:c r="F315" s="10" t="str">
        <x:v>29/10/2025</x:v>
      </x:c>
      <x:c r="G315" s="11" t="n">
        <x:v>2025</x:v>
      </x:c>
      <x:c r="H315" s="10" t="str">
        <x:v>Rio de Janeiro, Brasil</x:v>
      </x:c>
      <x:c r="I315" s="10" t="str">
        <x:v>Voz das Comunidades</x:v>
      </x:c>
      <x:c r="J315" s="10" t="str"/>
      <x:c r="K315" s="10" t="str">
        <x:v>Audiovisual</x:v>
      </x:c>
      <x:c r="L315" s="10" t="str">
        <x:v>Vídeo (digital)</x:v>
      </x:c>
      <x:c r="M315" s="10" t="str">
        <x:v>Instagram (Voz das Comunidades)</x:v>
      </x:c>
      <x:c r="N315" s="10" t="str">
        <x:v>Português, Brasil</x:v>
      </x:c>
      <x:c r="O315" s="10" t="str">
        <x:v>Hiperlink</x:v>
      </x:c>
      <x:c r="P315" s="10" t="str">
        <x:v>2025-10-31 00:00:00</x:v>
      </x:c>
      <x:c r="Q315" s="10" t="str">
        <x:v>Aberto</x:v>
      </x:c>
      <x:c r="R315" s="10" t="str">
        <x:v>Aqui</x:v>
      </x:c>
      <x:c r="S315" s="10" t="str">
        <x:v>VOZ DAS COMUNIDADES. [Sem título]. Vídeo. Instagram: @vozdascomunidades, Rio de Janeiro, 29 out. 2025. Disponível em: https://www.instagram.com/p/DQZ42YsEUvY/. Acesso em: 31 out. 2025.</x:v>
      </x:c>
      <x:c r="T315" s="10" t="str">
        <x:v>BR-SPDIREITOVIOLESTADO_MAPEAMENTOS-NOTICIAS-MSSCPENHA.xlsx</x:v>
      </x:c>
      <x:c r="U315" s="10" t="str">
        <x:v>Geral</x:v>
      </x:c>
      <x:c r="V315" s="11" t="n">
        <x:v>60</x:v>
      </x:c>
      <x:c r="W315" s="10" t="str">
        <x:v>BR-SPDIREITOVIOLESTADO_MAPEAMENTOS-NOTICIAS-MSSCPENHA.xlsx:Geral:60</x:v>
      </x:c>
      <x:c r="X315" s="11" t="n">
        <x:f>COLUMNS(A315:S315)-COUNTBLANK(A315:S315)</x:f>
        <x:v>18</x:v>
      </x:c>
    </x:row>
    <x:row r="316" ht="24" hidden="0" customHeight="1">
      <x:c r="A316" s="10" t="str">
        <x:v>Reportagem</x:v>
      </x:c>
      <x:c r="B316" s="10" t="str">
        <x:v>Difusão</x:v>
      </x:c>
      <x:c r="C316" s="10" t="str">
        <x:v>Produção midiática</x:v>
      </x:c>
      <x:c r="D316" s="10" t="str">
        <x:v>Público Mediado</x:v>
      </x:c>
      <x:c r="E316" s="10" t="str">
        <x:v>Midiático</x:v>
      </x:c>
      <x:c r="F316" s="10" t="str">
        <x:v>29/10/2025</x:v>
      </x:c>
      <x:c r="G316" s="11" t="n">
        <x:v>2025</x:v>
      </x:c>
      <x:c r="H316" s="10" t="str">
        <x:v>Rio de Janeiro, Brasil</x:v>
      </x:c>
      <x:c r="I316" s="10" t="str">
        <x:v>Voz das Comunidades</x:v>
      </x:c>
      <x:c r="J316" s="10" t="str">
        <x:v>O depoimento de uma mãe que perdeu o filho na operação mais letal da história do Rio de Janeiro</x:v>
      </x:c>
      <x:c r="K316" s="10" t="str">
        <x:v>Audiovisual</x:v>
      </x:c>
      <x:c r="L316" s="10" t="str">
        <x:v>Vídeo (digital)</x:v>
      </x:c>
      <x:c r="M316" s="10" t="str">
        <x:v>Instagram (Voz das Comunidades)</x:v>
      </x:c>
      <x:c r="N316" s="10" t="str">
        <x:v>Português, Brasil</x:v>
      </x:c>
      <x:c r="O316" s="10" t="str">
        <x:v>Hiperlink</x:v>
      </x:c>
      <x:c r="P316" s="10" t="str">
        <x:v>2025-10-31 00:00:00</x:v>
      </x:c>
      <x:c r="Q316" s="10" t="str">
        <x:v>Aberto</x:v>
      </x:c>
      <x:c r="R316" s="10" t="str">
        <x:v>Aqui</x:v>
      </x:c>
      <x:c r="S316" s="10" t="str">
        <x:v>VOZ DAS COMUNIDADES. O depoimento de uma mãe que perdeu o filho na operação mais letal da história do Rio de Janeiro. Vídeo. Instagram: @vozdascomunidades, Rio de Janeiro, 29 out. 2025. Disponível em: https://www.instagram.com/p/DQZ5cBnEU4d/. Acesso em: 31 out. 2025.</x:v>
      </x:c>
      <x:c r="T316" s="10" t="str">
        <x:v>BR-SPDIREITOVIOLESTADO_MAPEAMENTOS-NOTICIAS-MSSCPENHA.xlsx</x:v>
      </x:c>
      <x:c r="U316" s="10" t="str">
        <x:v>Geral</x:v>
      </x:c>
      <x:c r="V316" s="11" t="n">
        <x:v>61</x:v>
      </x:c>
      <x:c r="W316" s="10" t="str">
        <x:v>BR-SPDIREITOVIOLESTADO_MAPEAMENTOS-NOTICIAS-MSSCPENHA.xlsx:Geral:61</x:v>
      </x:c>
      <x:c r="X316" s="11" t="n">
        <x:f>COLUMNS(A316:S316)-COUNTBLANK(A316:S316)</x:f>
        <x:v>19</x:v>
      </x:c>
    </x:row>
    <x:row r="317" ht="24" hidden="0" customHeight="1">
      <x:c r="A317" s="10" t="str">
        <x:v>Fotografia</x:v>
      </x:c>
      <x:c r="B317" s="10" t="str">
        <x:v>Rememoração</x:v>
      </x:c>
      <x:c r="C317" s="10" t="str">
        <x:v>Manifestação artístico-cultural</x:v>
      </x:c>
      <x:c r="D317" s="10" t="str">
        <x:v>Público Mediado</x:v>
      </x:c>
      <x:c r="E317" s="10" t="str">
        <x:v>Presencial/Físico</x:v>
      </x:c>
      <x:c r="F317" s="10" t="str">
        <x:v>2025-10-29 00:00:00</x:v>
      </x:c>
      <x:c r="G317" s="11" t="n">
        <x:v>2025</x:v>
      </x:c>
      <x:c r="H317" s="10" t="str">
        <x:v>Rio de Janeiro, Brasil</x:v>
      </x:c>
      <x:c r="I317" s="10" t="str">
        <x:v>Uendell Vinícius</x:v>
      </x:c>
      <x:c r="J317" s="10" t="str">
        <x:v>Envolto na bandeira do Brasil, menino pede paz em ato conta a maior operação policial da História do Rio de Janeiro, no Complexo da Penha</x:v>
      </x:c>
      <x:c r="K317" s="10" t="str">
        <x:v>Iconográfico</x:v>
      </x:c>
      <x:c r="L317" s="10" t="str">
        <x:v>Imagem (digital)</x:v>
      </x:c>
      <x:c r="M317" s="10" t="str">
        <x:v>Instagram (Voz das Comunidades)</x:v>
      </x:c>
      <x:c r="N317" s="10" t="str">
        <x:v>Português, Brasil</x:v>
      </x:c>
      <x:c r="O317" s="10" t="str">
        <x:v>Hiperlink</x:v>
      </x:c>
      <x:c r="P317" s="10" t="str">
        <x:v>2025-10-31 00:00:00</x:v>
      </x:c>
      <x:c r="Q317" s="10" t="str">
        <x:v>Aberto</x:v>
      </x:c>
      <x:c r="R317" s="10" t="str">
        <x:v>Aqui</x:v>
      </x:c>
      <x:c r="S317" s="10" t="str">
        <x:v>VINÍCIUS, Uendell. Envolto na bandeira do Brasil, menino pede paz em ato conta a maior operação policial da História do Rio de Janeiro, no Complexo da Penha. [Fotografia]. Instagram: @u.vinicius_. Publicado por Voz das Comunidades, Rio de Janeiro, 29 out. 2025. Disponível em: https://www.instagram.com/p/DQZ8uzej0YX/?img_index=1. Acesso em: 31 out. 2025.</x:v>
      </x:c>
      <x:c r="T317" s="10" t="str">
        <x:v>BR-SPDIREITOVIOLESTADO_MAPEAMENTOS-NOTICIAS-MSSCPENHA.xlsx</x:v>
      </x:c>
      <x:c r="U317" s="10" t="str">
        <x:v>Geral</x:v>
      </x:c>
      <x:c r="V317" s="11" t="n">
        <x:v>62</x:v>
      </x:c>
      <x:c r="W317" s="10" t="str">
        <x:v>BR-SPDIREITOVIOLESTADO_MAPEAMENTOS-NOTICIAS-MSSCPENHA.xlsx:Geral:62</x:v>
      </x:c>
      <x:c r="X317" s="11" t="n">
        <x:f>COLUMNS(A317:S317)-COUNTBLANK(A317:S317)</x:f>
        <x:v>19</x:v>
      </x:c>
    </x:row>
    <x:row r="318" ht="36" hidden="0" customHeight="1">
      <x:c r="A318" s="10" t="str">
        <x:v>Documentário</x:v>
      </x:c>
      <x:c r="B318" s="10" t="str">
        <x:v>Rememoração</x:v>
      </x:c>
      <x:c r="C318" s="10" t="str">
        <x:v>Manifestação artístico-cultural</x:v>
      </x:c>
      <x:c r="D318" s="10" t="str">
        <x:v>Público Mediado</x:v>
      </x:c>
      <x:c r="E318" s="10" t="str">
        <x:v>Midiático</x:v>
      </x:c>
      <x:c r="F318" s="10" t="str">
        <x:v>2025-10-29 00:00:00</x:v>
      </x:c>
      <x:c r="G318" s="11" t="n">
        <x:v>2025</x:v>
      </x:c>
      <x:c r="H318" s="10" t="str">
        <x:v>Rio de Janeiro, Brasil</x:v>
      </x:c>
      <x:c r="I318" s="10" t="str">
        <x:v>Bianca Manicongo, Bia Ferreira, OCotta, Caio Prado, Ágata Pauer, Raull Santiago, Uendell Vinícius, Voz das Comunidades</x:v>
      </x:c>
      <x:c r="J318" s="10" t="str">
        <x:v>Artistas negros, periféricos e favelados se manifestam sobre o massacre da Penha</x:v>
      </x:c>
      <x:c r="K318" s="10" t="str">
        <x:v>Textual, Audiovisual</x:v>
      </x:c>
      <x:c r="L318" s="10" t="str">
        <x:v>Vídeo (digital)</x:v>
      </x:c>
      <x:c r="M318" s="10" t="str">
        <x:v>Instagram (Voz das Comunidades)</x:v>
      </x:c>
      <x:c r="N318" s="10" t="str">
        <x:v>Português, Brasil</x:v>
      </x:c>
      <x:c r="O318" s="10" t="str">
        <x:v>Hiperlink</x:v>
      </x:c>
      <x:c r="P318" s="10" t="str">
        <x:v>2025-10-31 00:00:00</x:v>
      </x:c>
      <x:c r="Q318" s="10" t="str">
        <x:v>Aberto</x:v>
      </x:c>
      <x:c r="R318" s="10" t="str">
        <x:v>Aqui</x:v>
      </x:c>
      <x:c r="S318" s="10" t="str">
        <x:v>PORTAL LEBÁ. Artistas negros, periféricos e favelados se manifestam sobre o massacre da Penha. Documentário. Publicado por Voz das Comunidades. Instagram: @vozdascomunidades, Rio de Janeiro, 29 out. 2025. Disponível em: https://www.instagram.com/p/DQaR1XdjRZr/. Acesso em: 31 out. 2025.</x:v>
      </x:c>
      <x:c r="T318" s="10" t="str">
        <x:v>BR-SPDIREITOVIOLESTADO_MAPEAMENTOS-NOTICIAS-MSSCPENHA.xlsx</x:v>
      </x:c>
      <x:c r="U318" s="10" t="str">
        <x:v>Geral</x:v>
      </x:c>
      <x:c r="V318" s="11" t="n">
        <x:v>63</x:v>
      </x:c>
      <x:c r="W318" s="10" t="str">
        <x:v>BR-SPDIREITOVIOLESTADO_MAPEAMENTOS-NOTICIAS-MSSCPENHA.xlsx:Geral:63</x:v>
      </x:c>
      <x:c r="X318" s="11" t="n">
        <x:f>COLUMNS(A318:S318)-COUNTBLANK(A318:S318)</x:f>
        <x:v>19</x:v>
      </x:c>
    </x:row>
    <x:row r="319" ht="24" hidden="0" customHeight="1">
      <x:c r="A319" s="10" t="str">
        <x:v>Fotografia</x:v>
      </x:c>
      <x:c r="B319" s="10" t="str">
        <x:v>Rememoração</x:v>
      </x:c>
      <x:c r="C319" s="10" t="str">
        <x:v>Manifestação artístico-cultural</x:v>
      </x:c>
      <x:c r="D319" s="10" t="str">
        <x:v>Público Mediado</x:v>
      </x:c>
      <x:c r="E319" s="10" t="str">
        <x:v>Presencial/Físico</x:v>
      </x:c>
      <x:c r="F319" s="10" t="str">
        <x:v>2025-10-29 00:00:00</x:v>
      </x:c>
      <x:c r="G319" s="11" t="n">
        <x:v>2025</x:v>
      </x:c>
      <x:c r="H319" s="10" t="str">
        <x:v>Rio de Janeiro, Brasil</x:v>
      </x:c>
      <x:c r="I319" s="10" t="str">
        <x:v>Pedro Bie</x:v>
      </x:c>
      <x:c r="J319" s="10" t="str">
        <x:v>Vila Cruzeiro, Rio de Janeiro</x:v>
      </x:c>
      <x:c r="K319" s="10" t="str">
        <x:v>Iconográfico</x:v>
      </x:c>
      <x:c r="L319" s="10" t="str">
        <x:v>Imagem (digital)</x:v>
      </x:c>
      <x:c r="M319" s="10" t="str">
        <x:v>Instagram (Pedro Bie)</x:v>
      </x:c>
      <x:c r="N319" s="10" t="str">
        <x:v>Português, Brasil</x:v>
      </x:c>
      <x:c r="O319" s="10" t="str">
        <x:v>Hiperlink</x:v>
      </x:c>
      <x:c r="P319" s="10" t="str">
        <x:v>2025-10-31 00:00:00</x:v>
      </x:c>
      <x:c r="Q319" s="10" t="str">
        <x:v>Aberto</x:v>
      </x:c>
      <x:c r="R319" s="10" t="str">
        <x:v>Aqui</x:v>
      </x:c>
      <x:c r="S319" s="10" t="str">
        <x:v>BIE, Pedro. Vila Cruzeiro, Rio de Janeiro [Fotografias]. Publicado por Voz das Comunidades. Instagram: @vozdascomunidades, Rio de Janeiro, 29 out. 2025. Disponível em: https://www.instagram.com/p/DQaSn8Tj3CY/?img_index=5. Acesso em: 31 out. 2025.</x:v>
      </x:c>
      <x:c r="T319" s="10" t="str">
        <x:v>BR-SPDIREITOVIOLESTADO_MAPEAMENTOS-NOTICIAS-MSSCPENHA.xlsx</x:v>
      </x:c>
      <x:c r="U319" s="10" t="str">
        <x:v>Geral</x:v>
      </x:c>
      <x:c r="V319" s="11" t="n">
        <x:v>64</x:v>
      </x:c>
      <x:c r="W319" s="10" t="str">
        <x:v>BR-SPDIREITOVIOLESTADO_MAPEAMENTOS-NOTICIAS-MSSCPENHA.xlsx:Geral:64</x:v>
      </x:c>
      <x:c r="X319" s="11" t="n">
        <x:f>COLUMNS(A319:S319)-COUNTBLANK(A319:S319)</x:f>
        <x:v>19</x:v>
      </x:c>
    </x:row>
    <x:row r="320" ht="24" hidden="0" customHeight="1">
      <x:c r="A320" s="10" t="str">
        <x:v>Reportagem</x:v>
      </x:c>
      <x:c r="B320" s="10" t="str">
        <x:v>Difusão</x:v>
      </x:c>
      <x:c r="C320" s="10" t="str">
        <x:v>Produção midiática</x:v>
      </x:c>
      <x:c r="D320" s="10" t="str">
        <x:v>Público Mediado</x:v>
      </x:c>
      <x:c r="E320" s="10" t="str">
        <x:v>Midiático</x:v>
      </x:c>
      <x:c r="F320" s="10" t="str">
        <x:v>30/10/2025</x:v>
      </x:c>
      <x:c r="G320" s="11" t="n">
        <x:v>2025</x:v>
      </x:c>
      <x:c r="H320" s="10" t="str">
        <x:v>Rio de Janeiro, Brasil</x:v>
      </x:c>
      <x:c r="I320" s="10" t="str">
        <x:v>Voz das Comunidades</x:v>
      </x:c>
      <x:c r="J320" s="10" t="str">
        <x:v>No dia 28/10, por volta das 21h, Douglas Christian foi baleado por policiais em frente ao condomínio do Prev, sem qualquer abordagem, perseguição ou resistência</x:v>
      </x:c>
      <x:c r="K320" s="10" t="str">
        <x:v>Textual</x:v>
      </x:c>
      <x:c r="L320" s="10" t="str">
        <x:v>Texto (digital)</x:v>
      </x:c>
      <x:c r="M320" s="10" t="str">
        <x:v>Instagram (Voz das Comunidades)</x:v>
      </x:c>
      <x:c r="N320" s="10" t="str">
        <x:v>Português, Brasil</x:v>
      </x:c>
      <x:c r="O320" s="10" t="str">
        <x:v>Hiperlink</x:v>
      </x:c>
      <x:c r="P320" s="10" t="str">
        <x:v>2025-10-31 00:00:00</x:v>
      </x:c>
      <x:c r="Q320" s="10" t="str">
        <x:v>Aberto</x:v>
      </x:c>
      <x:c r="R320" s="10" t="str">
        <x:v>Aqui</x:v>
      </x:c>
      <x:c r="S320" s="10" t="str">
        <x:v>VOZ DAS COMUNIDADES. No dia 28/10, por volta das 21h, Douglas Christian foi baleado por policiais em frente ao condomínio do Prev, sem qualquer abordagem, perseguição ou resistência. Instagram: @vozdascomunidades, Rio de Janeiro, 30 out. 2025. Disponível em: https://www.instagram.com/p/DQb0QqujVtm/. Acesso em: 31 out. 2025.</x:v>
      </x:c>
      <x:c r="T320" s="10" t="str">
        <x:v>BR-SPDIREITOVIOLESTADO_MAPEAMENTOS-NOTICIAS-MSSCPENHA.xlsx</x:v>
      </x:c>
      <x:c r="U320" s="10" t="str">
        <x:v>Geral</x:v>
      </x:c>
      <x:c r="V320" s="11" t="n">
        <x:v>65</x:v>
      </x:c>
      <x:c r="W320" s="10" t="str">
        <x:v>BR-SPDIREITOVIOLESTADO_MAPEAMENTOS-NOTICIAS-MSSCPENHA.xlsx:Geral:65</x:v>
      </x:c>
      <x:c r="X320" s="11" t="n">
        <x:f>COLUMNS(A320:S320)-COUNTBLANK(A320:S320)</x:f>
        <x:v>19</x:v>
      </x:c>
    </x:row>
    <x:row r="321" ht="36" hidden="0" customHeight="1">
      <x:c r="A321" s="10" t="str">
        <x:v>Reportagem</x:v>
      </x:c>
      <x:c r="B321" s="10" t="str">
        <x:v>Difusão</x:v>
      </x:c>
      <x:c r="C321" s="10" t="str">
        <x:v>Produção midiática</x:v>
      </x:c>
      <x:c r="D321" s="10" t="str">
        <x:v>Público Mediado</x:v>
      </x:c>
      <x:c r="E321" s="10" t="str">
        <x:v>Midiático</x:v>
      </x:c>
      <x:c r="F321" s="10" t="str">
        <x:v>30/10/2025</x:v>
      </x:c>
      <x:c r="G321" s="11" t="n">
        <x:v>2025</x:v>
      </x:c>
      <x:c r="H321" s="10" t="str">
        <x:v>Rio de Janeiro, Brasil</x:v>
      </x:c>
      <x:c r="I321" s="10" t="str">
        <x:v>Voz das Comunidades</x:v>
      </x:c>
      <x:c r="J321" s="10" t="str">
        <x:v>Depois do CPX do Alemão e da Penha viverem um dia de puro caos, que marcou profundamente esses territórios, ainda é impossível medir o tamanho dos danos que ficaram</x:v>
      </x:c>
      <x:c r="K321" s="10" t="str">
        <x:v>Textual</x:v>
      </x:c>
      <x:c r="L321" s="10" t="str">
        <x:v>Texto (digital)</x:v>
      </x:c>
      <x:c r="M321" s="10" t="str">
        <x:v>Instagram (Voz das Comunidades)</x:v>
      </x:c>
      <x:c r="N321" s="10" t="str">
        <x:v>Português, Brasil</x:v>
      </x:c>
      <x:c r="O321" s="10" t="str">
        <x:v>Hiperlink</x:v>
      </x:c>
      <x:c r="P321" s="10" t="str">
        <x:v>2025-10-31 00:00:00</x:v>
      </x:c>
      <x:c r="Q321" s="10" t="str">
        <x:v>Aberto</x:v>
      </x:c>
      <x:c r="R321" s="10" t="str">
        <x:v>Aqui</x:v>
      </x:c>
      <x:c r="S321" s="10" t="str">
        <x:v>VOZ DAS COMUNIDADES. Depois do CPX do Alemão e da Penha viverem um dia de puro caos, que marcou profundamente esses territórios, ainda é impossível medir o tamanho dos danos que ficaram. Instagram: @vozdascomunidades, Rio de Janeiro, 30 out. 2025. Disponível em: https://www.instagram.com/p/DQb48d3jpb5/. Acesso em: 31 out. 2025.</x:v>
      </x:c>
      <x:c r="T321" s="10" t="str">
        <x:v>BR-SPDIREITOVIOLESTADO_MAPEAMENTOS-NOTICIAS-MSSCPENHA.xlsx</x:v>
      </x:c>
      <x:c r="U321" s="10" t="str">
        <x:v>Geral</x:v>
      </x:c>
      <x:c r="V321" s="11" t="n">
        <x:v>66</x:v>
      </x:c>
      <x:c r="W321" s="10" t="str">
        <x:v>BR-SPDIREITOVIOLESTADO_MAPEAMENTOS-NOTICIAS-MSSCPENHA.xlsx:Geral:66</x:v>
      </x:c>
      <x:c r="X321" s="11" t="n">
        <x:f>COLUMNS(A321:S321)-COUNTBLANK(A321:S321)</x:f>
        <x:v>19</x:v>
      </x:c>
    </x:row>
    <x:row r="322" ht="24" hidden="0" customHeight="1">
      <x:c r="A322" s="10" t="str">
        <x:v>Coletiva de imprensa</x:v>
      </x:c>
      <x:c r="B322" s="10" t="str">
        <x:v>Rememoração</x:v>
      </x:c>
      <x:c r="C322" s="10" t="str">
        <x:v>Produção midiática</x:v>
      </x:c>
      <x:c r="D322" s="10" t="str">
        <x:v>Público Imediato</x:v>
      </x:c>
      <x:c r="E322" s="10" t="str">
        <x:v>Presencial/Físico</x:v>
      </x:c>
      <x:c r="F322" s="10" t="str">
        <x:v>2025-10-30 00:00:00</x:v>
      </x:c>
      <x:c r="G322" s="11" t="n">
        <x:v>2025</x:v>
      </x:c>
      <x:c r="H322" s="10" t="str">
        <x:v>Rio de Janeiro, Brasil</x:v>
      </x:c>
      <x:c r="I322" s="10" t="str">
        <x:v>Voz das Comunidades</x:v>
      </x:c>
      <x:c r="J322" s="10" t="str">
        <x:v>Ministra @macaeevaristo participou de coletiva no Rio após a megaoperação nos Complexos da Penha e do Alemão</x:v>
      </x:c>
      <x:c r="K322" s="10" t="str">
        <x:v>Audiovisual</x:v>
      </x:c>
      <x:c r="L322" s="10" t="str">
        <x:v>Vídeo (digital)</x:v>
      </x:c>
      <x:c r="M322" s="10" t="str">
        <x:v>Instagram (Voz das Comunidades)</x:v>
      </x:c>
      <x:c r="N322" s="10" t="str">
        <x:v>Português, Brasil</x:v>
      </x:c>
      <x:c r="O322" s="10" t="str">
        <x:v>Hiperlink</x:v>
      </x:c>
      <x:c r="P322" s="10" t="str">
        <x:v>2025-10-31 00:00:00</x:v>
      </x:c>
      <x:c r="Q322" s="10" t="str">
        <x:v>Aberto</x:v>
      </x:c>
      <x:c r="R322" s="10" t="str">
        <x:v>Aqui</x:v>
      </x:c>
      <x:c r="S322" s="10" t="str">
        <x:v>VOZ DAS COMUNIDADES. Ministra @macaeevaristo participou de coletiva no Rio após a megaoperação nos Complexos da Penha e do Alemão. Vídeo. Instagram: @vozdascomunidades, Rio de Janeiro, 30 out. 2025. Disponível em: https://www.instagram.com/p/DQcUlQ8kfgN/. Acesso em: 31 out. 2025.</x:v>
      </x:c>
      <x:c r="T322" s="10" t="str">
        <x:v>BR-SPDIREITOVIOLESTADO_MAPEAMENTOS-NOTICIAS-MSSCPENHA.xlsx</x:v>
      </x:c>
      <x:c r="U322" s="10" t="str">
        <x:v>Geral</x:v>
      </x:c>
      <x:c r="V322" s="11" t="n">
        <x:v>67</x:v>
      </x:c>
      <x:c r="W322" s="10" t="str">
        <x:v>BR-SPDIREITOVIOLESTADO_MAPEAMENTOS-NOTICIAS-MSSCPENHA.xlsx:Geral:67</x:v>
      </x:c>
      <x:c r="X322" s="11" t="n">
        <x:f>COLUMNS(A322:S322)-COUNTBLANK(A322:S322)</x:f>
        <x:v>19</x:v>
      </x:c>
    </x:row>
    <x:row r="323" ht="84" hidden="0" customHeight="1">
      <x:c r="A323" s="10" t="str">
        <x:v>Ato</x:v>
      </x:c>
      <x:c r="B323" s="10" t="str">
        <x:v>Rememoração</x:v>
      </x:c>
      <x:c r="C323" s="10" t="str"/>
      <x:c r="D323" s="10" t="str">
        <x:v>Público Imediato</x:v>
      </x:c>
      <x:c r="E323" s="10" t="str">
        <x:v>Presencial/Físico</x:v>
      </x:c>
      <x:c r="F323" s="10" t="str">
        <x:v>2025-10-30 00:00:00</x:v>
      </x:c>
      <x:c r="G323" s="11" t="n">
        <x:v>2025</x:v>
      </x:c>
      <x:c r="H323" s="10" t="str">
        <x:v>Rio de Janeiro, Brasil</x:v>
      </x:c>
      <x:c r="I323" s="10" t="str">
        <x:v>Coletivo Juntos, Fórum do Plano de Ação Popular CPX, ONG Instituto Papo Reto, CEM Serra da Misericórdia, Comunidade Frente Penha, Voz das Comunidades, ONG Raízes em Movimento, ativistas locais dos Complexos da Penha e Alemão se juntam aos familiares de vítimas</x:v>
      </x:c>
      <x:c r="J323" s="10" t="str">
        <x:v>ATO CHEGA DE CHACINA! Fora Cláudio Castro</x:v>
      </x:c>
      <x:c r="K323" s="10" t="str">
        <x:v>Iconográfico</x:v>
      </x:c>
      <x:c r="L323" s="10" t="str">
        <x:v>Texto (digital), Imagem (digital)</x:v>
      </x:c>
      <x:c r="M323" s="10" t="str">
        <x:v>Instagram (Voz das Comunidades)</x:v>
      </x:c>
      <x:c r="N323" s="10" t="str">
        <x:v>Português, Brasil</x:v>
      </x:c>
      <x:c r="O323" s="10" t="str">
        <x:v>Hiperlink</x:v>
      </x:c>
      <x:c r="P323" s="10" t="str">
        <x:v>2025-10-31 00:00:00</x:v>
      </x:c>
      <x:c r="Q323" s="10" t="str">
        <x:v>Aberto</x:v>
      </x:c>
      <x:c r="R323" s="10" t="str">
        <x:v>Aqui</x:v>
      </x:c>
      <x:c r="S323" s="10" t="str">
        <x:v>COLETIVO JUNTOS. ATO CHEGA DE CHACINA! Fora Cláudio Castro. Convocação. Instagram: @vozdascomunidades, Rio de Janeiro, 30 out. 2025. Disponível em: https://www.instagram.com/p/DQcWgNhDvVy/. Acesso em: 31 out. 2025.</x:v>
      </x:c>
      <x:c r="T323" s="10" t="str">
        <x:v>BR-SPDIREITOVIOLESTADO_MAPEAMENTOS-NOTICIAS-MSSCPENHA.xlsx</x:v>
      </x:c>
      <x:c r="U323" s="10" t="str">
        <x:v>Geral</x:v>
      </x:c>
      <x:c r="V323" s="11" t="n">
        <x:v>68</x:v>
      </x:c>
      <x:c r="W323" s="10" t="str">
        <x:v>BR-SPDIREITOVIOLESTADO_MAPEAMENTOS-NOTICIAS-MSSCPENHA.xlsx:Geral:68</x:v>
      </x:c>
      <x:c r="X323" s="11" t="n">
        <x:f>COLUMNS(A323:S323)-COUNTBLANK(A323:S323)</x:f>
        <x:v>18</x:v>
      </x:c>
    </x:row>
    <x:row r="324" ht="24" hidden="0" customHeight="1">
      <x:c r="A324" s="10" t="str">
        <x:v>Reportagem</x:v>
      </x:c>
      <x:c r="B324" s="10" t="str">
        <x:v>Difusão</x:v>
      </x:c>
      <x:c r="C324" s="10" t="str">
        <x:v>Produção midiática</x:v>
      </x:c>
      <x:c r="D324" s="10" t="str">
        <x:v>Público Mediado</x:v>
      </x:c>
      <x:c r="E324" s="10" t="str">
        <x:v>Midiático</x:v>
      </x:c>
      <x:c r="F324" s="10" t="str">
        <x:v>31/10/2025</x:v>
      </x:c>
      <x:c r="G324" s="11" t="n">
        <x:v>2025</x:v>
      </x:c>
      <x:c r="H324" s="10" t="str">
        <x:v>Rio de Janeiro, Brasil</x:v>
      </x:c>
      <x:c r="I324" s="10" t="str">
        <x:v>Instituto Marielle Franco</x:v>
      </x:c>
      <x:c r="J324" s="10" t="str">
        <x:v>Marielle é semente! Quem buscou seu silêncio ainda escuta sua pergunta ecoando: QUANTOS MAIS TEM QUE MORRER PRA ESSA GUERRA ACABAR?</x:v>
      </x:c>
      <x:c r="K324" s="10" t="str">
        <x:v>Textual, Audiovisual</x:v>
      </x:c>
      <x:c r="L324" s="10" t="str">
        <x:v>Vídeo (digital)</x:v>
      </x:c>
      <x:c r="M324" s="10" t="str">
        <x:v>Instagram (Voz das Comunidades)</x:v>
      </x:c>
      <x:c r="N324" s="10" t="str">
        <x:v>Português, Brasil</x:v>
      </x:c>
      <x:c r="O324" s="10" t="str">
        <x:v>Hiperlink</x:v>
      </x:c>
      <x:c r="P324" s="10" t="str">
        <x:v>2025-10-31 00:00:00</x:v>
      </x:c>
      <x:c r="Q324" s="10" t="str">
        <x:v>Aberto</x:v>
      </x:c>
      <x:c r="R324" s="10" t="str">
        <x:v>Aqui</x:v>
      </x:c>
      <x:c r="S324" s="10" t="str">
        <x:v>INSTITUTO MARIELLE FRANCO. Marielle é semente! Quem buscou seu silêncio ainda escuta sua pergunta ecoando: QUANTOS MAIS TEM QUE MORRER PRA ESSA GUERRA ACABAR?. Vídeo. Publicado por Voz das Comunidades. Instagram: @vozdascomunidades, Rio de Janeiro, 31 out. 2025. Disponível em: https://www.instagram.com/p/DQcUlQ8kfgN/. Acesso em: 31 out. 2025.</x:v>
      </x:c>
      <x:c r="T324" s="10" t="str">
        <x:v>BR-SPDIREITOVIOLESTADO_MAPEAMENTOS-NOTICIAS-MSSCPENHA.xlsx</x:v>
      </x:c>
      <x:c r="U324" s="10" t="str">
        <x:v>Geral</x:v>
      </x:c>
      <x:c r="V324" s="11" t="n">
        <x:v>69</x:v>
      </x:c>
      <x:c r="W324" s="10" t="str">
        <x:v>BR-SPDIREITOVIOLESTADO_MAPEAMENTOS-NOTICIAS-MSSCPENHA.xlsx:Geral:69</x:v>
      </x:c>
      <x:c r="X324" s="11" t="n">
        <x:f>COLUMNS(A324:S324)-COUNTBLANK(A324:S324)</x:f>
        <x:v>19</x:v>
      </x:c>
    </x:row>
    <x:row r="325" ht="24" hidden="0" customHeight="1">
      <x:c r="A325" s="10" t="str">
        <x:v>Fotografia</x:v>
      </x:c>
      <x:c r="B325" s="10" t="str">
        <x:v>Rememoração</x:v>
      </x:c>
      <x:c r="C325" s="10" t="str">
        <x:v>Manifestação artístico-cultural</x:v>
      </x:c>
      <x:c r="D325" s="10" t="str">
        <x:v>Público Mediado</x:v>
      </x:c>
      <x:c r="E325" s="10" t="str">
        <x:v>Presencial/Físico</x:v>
      </x:c>
      <x:c r="F325" s="10" t="str">
        <x:v>2025-10-31 00:00:00</x:v>
      </x:c>
      <x:c r="G325" s="11" t="n">
        <x:v>2025</x:v>
      </x:c>
      <x:c r="H325" s="10" t="str">
        <x:v>Rio de Janeiro, Brasil</x:v>
      </x:c>
      <x:c r="I325" s="10" t="str">
        <x:v>Mídia Ninja</x:v>
      </x:c>
      <x:c r="J325" s="10" t="str">
        <x:v>CLÁUDIO CASTRO INIMIGO DO POVO!</x:v>
      </x:c>
      <x:c r="K325" s="10" t="str">
        <x:v>Iconográfico</x:v>
      </x:c>
      <x:c r="L325" s="10" t="str">
        <x:v>Imagem (digital), Texto (digital)</x:v>
      </x:c>
      <x:c r="M325" s="10" t="str">
        <x:v>Instagram (Mídia Ninja)</x:v>
      </x:c>
      <x:c r="N325" s="10" t="str">
        <x:v>Português, Brasil</x:v>
      </x:c>
      <x:c r="O325" s="10" t="str">
        <x:v>Hiperlink</x:v>
      </x:c>
      <x:c r="P325" s="10" t="str">
        <x:v>2025-10-31 00:00:00</x:v>
      </x:c>
      <x:c r="Q325" s="10" t="str">
        <x:v>Aberto</x:v>
      </x:c>
      <x:c r="R325" s="10" t="str">
        <x:v>Aqui</x:v>
      </x:c>
      <x:c r="S325" s="10" t="str">
        <x:v>MÍDIA NINJA. CLÁUDIO CASTRO INIMIGO DO POVO!. Fotografia. Publicado por Voz das Comunidades. Instagram: @vozdascomunidades, Rio de Janeiro, 31 out. 2025. Disponível em: https://www.instagram.com/p/DQfRoHoAZon/?img_index=4. Acesso em: 31 out. 2025.</x:v>
      </x:c>
      <x:c r="T325" s="10" t="str">
        <x:v>BR-SPDIREITOVIOLESTADO_MAPEAMENTOS-NOTICIAS-MSSCPENHA.xlsx</x:v>
      </x:c>
      <x:c r="U325" s="10" t="str">
        <x:v>Geral</x:v>
      </x:c>
      <x:c r="V325" s="11" t="n">
        <x:v>70</x:v>
      </x:c>
      <x:c r="W325" s="10" t="str">
        <x:v>BR-SPDIREITOVIOLESTADO_MAPEAMENTOS-NOTICIAS-MSSCPENHA.xlsx:Geral:70</x:v>
      </x:c>
      <x:c r="X325" s="11" t="n">
        <x:f>COLUMNS(A325:S325)-COUNTBLANK(A325:S325)</x:f>
        <x:v>19</x:v>
      </x:c>
    </x:row>
    <x:row r="326" ht="24" hidden="0" customHeight="1">
      <x:c r="A326" s="10" t="str">
        <x:v>Notícia</x:v>
      </x:c>
      <x:c r="B326" s="10" t="str">
        <x:v>Difusão</x:v>
      </x:c>
      <x:c r="C326" s="10" t="str">
        <x:v>Produção midiática</x:v>
      </x:c>
      <x:c r="D326" s="10" t="str">
        <x:v>Público Mediado</x:v>
      </x:c>
      <x:c r="E326" s="10" t="str">
        <x:v>Midiático</x:v>
      </x:c>
      <x:c r="F326" s="10" t="str">
        <x:v>31/10/2025</x:v>
      </x:c>
      <x:c r="G326" s="11" t="n">
        <x:v>2025</x:v>
      </x:c>
      <x:c r="H326" s="10" t="str">
        <x:v>Rio de Janeiro, Brasil</x:v>
      </x:c>
      <x:c r="I326" s="10" t="str">
        <x:v>Instituto Marielle Franco</x:v>
      </x:c>
      <x:c r="J326" s="10" t="str">
        <x:v>O povo pede por dignidade! Chega de extermínio.</x:v>
      </x:c>
      <x:c r="K326" s="10" t="str">
        <x:v>Hemerográfico</x:v>
      </x:c>
      <x:c r="L326" s="10" t="str">
        <x:v>Texto (digital)</x:v>
      </x:c>
      <x:c r="M326" s="10" t="str">
        <x:v>Instagram (Instituto Marielle Franco)</x:v>
      </x:c>
      <x:c r="N326" s="10" t="str">
        <x:v>Português, Brasil</x:v>
      </x:c>
      <x:c r="O326" s="10" t="str">
        <x:v>Hiperlink</x:v>
      </x:c>
      <x:c r="P326" s="10" t="str">
        <x:v>2025-10-31 00:00:00</x:v>
      </x:c>
      <x:c r="Q326" s="10" t="str">
        <x:v>Aberto</x:v>
      </x:c>
      <x:c r="R326" s="10" t="str">
        <x:v>Aqui</x:v>
      </x:c>
      <x:c r="S326" s="10" t="str">
        <x:v>MARTINS, Ana Paula; INSTITUTO MARIELLE FRANCO. O povo pede por dignidade! Chega de extermínio. Vídeo. Publicado por Voz das Comunidades. Instagram: @vozdascomunidades, Rio de Janeiro, 31 out. 2025. Disponível em: https://www.instagram.com/p/DQfMi2uksI5/. Acesso em: 31 out. 2025.</x:v>
      </x:c>
      <x:c r="T326" s="10" t="str">
        <x:v>BR-SPDIREITOVIOLESTADO_MAPEAMENTOS-NOTICIAS-MSSCPENHA.xlsx</x:v>
      </x:c>
      <x:c r="U326" s="10" t="str">
        <x:v>Geral</x:v>
      </x:c>
      <x:c r="V326" s="11" t="n">
        <x:v>71</x:v>
      </x:c>
      <x:c r="W326" s="10" t="str">
        <x:v>BR-SPDIREITOVIOLESTADO_MAPEAMENTOS-NOTICIAS-MSSCPENHA.xlsx:Geral:71</x:v>
      </x:c>
      <x:c r="X326" s="11" t="n">
        <x:f>COLUMNS(A326:S326)-COUNTBLANK(A326:S326)</x:f>
        <x:v>19</x:v>
      </x:c>
    </x:row>
    <x:row r="327" ht="24" hidden="0" customHeight="1">
      <x:c r="A327" s="10" t="str">
        <x:v>Fotografia</x:v>
      </x:c>
      <x:c r="B327" s="10" t="str">
        <x:v>Rememoração</x:v>
      </x:c>
      <x:c r="C327" s="10" t="str">
        <x:v>Manifestação artístico-cultural</x:v>
      </x:c>
      <x:c r="D327" s="10" t="str">
        <x:v>Público Mediado</x:v>
      </x:c>
      <x:c r="E327" s="10" t="str">
        <x:v>Presencial/Físico</x:v>
      </x:c>
      <x:c r="F327" s="10" t="str">
        <x:v>2025-10-31 00:00:00</x:v>
      </x:c>
      <x:c r="G327" s="11" t="n">
        <x:v>2025</x:v>
      </x:c>
      <x:c r="H327" s="10" t="str">
        <x:v>Rio de Janeiro, Brasil</x:v>
      </x:c>
      <x:c r="I327" s="10" t="str">
        <x:v>Uendell Vinícius</x:v>
      </x:c>
      <x:c r="J327" s="10" t="str"/>
      <x:c r="K327" s="10" t="str">
        <x:v>Iconográfico</x:v>
      </x:c>
      <x:c r="L327" s="10" t="str">
        <x:v>Imagem (digital)</x:v>
      </x:c>
      <x:c r="M327" s="10" t="str">
        <x:v>Instagram (Voz das Comunidades)</x:v>
      </x:c>
      <x:c r="N327" s="10" t="str">
        <x:v>Português, Brasil</x:v>
      </x:c>
      <x:c r="O327" s="10" t="str">
        <x:v>Hiperlink</x:v>
      </x:c>
      <x:c r="P327" s="10" t="str">
        <x:v>2025-10-31 00:00:00</x:v>
      </x:c>
      <x:c r="Q327" s="10" t="str">
        <x:v>Aberto</x:v>
      </x:c>
      <x:c r="R327" s="10" t="str">
        <x:v>Aqui</x:v>
      </x:c>
      <x:c r="S327" s="10" t="str">
        <x:v>VINÍCIUS, Uendell. [Fotografia]. Publicado por Voz das Comunidades. Instagram: @vozdascomunidades, Rio de Janeiro, 31 out. 2025. Disponível em: https://www.instagram.com/p/DQfKUPGD073/. Acesso em: 31 out. 2025.</x:v>
      </x:c>
      <x:c r="T327" s="10" t="str">
        <x:v>BR-SPDIREITOVIOLESTADO_MAPEAMENTOS-NOTICIAS-MSSCPENHA.xlsx</x:v>
      </x:c>
      <x:c r="U327" s="10" t="str">
        <x:v>Geral</x:v>
      </x:c>
      <x:c r="V327" s="11" t="n">
        <x:v>72</x:v>
      </x:c>
      <x:c r="W327" s="10" t="str">
        <x:v>BR-SPDIREITOVIOLESTADO_MAPEAMENTOS-NOTICIAS-MSSCPENHA.xlsx:Geral:72</x:v>
      </x:c>
      <x:c r="X327" s="11" t="n">
        <x:f>COLUMNS(A327:S327)-COUNTBLANK(A327:S327)</x:f>
        <x:v>18</x:v>
      </x:c>
    </x:row>
    <x:row r="328" ht="24" hidden="0" customHeight="1">
      <x:c r="A328" s="10" t="str">
        <x:v>Fotografia</x:v>
      </x:c>
      <x:c r="B328" s="10" t="str">
        <x:v>Rememoração</x:v>
      </x:c>
      <x:c r="C328" s="10" t="str">
        <x:v>Manifestação artístico-cultural</x:v>
      </x:c>
      <x:c r="D328" s="10" t="str">
        <x:v>Público Mediado</x:v>
      </x:c>
      <x:c r="E328" s="10" t="str">
        <x:v>Presencial/Físico</x:v>
      </x:c>
      <x:c r="F328" s="10" t="str">
        <x:v>2025-10-31 00:00:00</x:v>
      </x:c>
      <x:c r="G328" s="11" t="n">
        <x:v>2025</x:v>
      </x:c>
      <x:c r="H328" s="10" t="str">
        <x:v>Rio de Janeiro, Brasil</x:v>
      </x:c>
      <x:c r="I328" s="10" t="str">
        <x:v>Uendell Vinícius</x:v>
      </x:c>
      <x:c r="J328" s="10" t="str">
        <x:v>Em protesto pacífico e de paz: A favela quer viver!</x:v>
      </x:c>
      <x:c r="K328" s="10" t="str">
        <x:v>Iconográfico</x:v>
      </x:c>
      <x:c r="L328" s="10" t="str">
        <x:v>Imagem (digital)</x:v>
      </x:c>
      <x:c r="M328" s="10" t="str">
        <x:v>Instagram (Voz das Comunidades)</x:v>
      </x:c>
      <x:c r="N328" s="10" t="str">
        <x:v>Português, Brasil</x:v>
      </x:c>
      <x:c r="O328" s="10" t="str">
        <x:v>Hiperlink</x:v>
      </x:c>
      <x:c r="P328" s="10" t="str">
        <x:v>2025-10-31 00:00:00</x:v>
      </x:c>
      <x:c r="Q328" s="10" t="str">
        <x:v>Aberto</x:v>
      </x:c>
      <x:c r="R328" s="10" t="str">
        <x:v>Aqui</x:v>
      </x:c>
      <x:c r="S328" s="10" t="str">
        <x:v>VINÍCIUS, Uendell. Em protesto pacífico e de paz: A favela quer viver!. Fotografia. Publicado por Voz das Comunidades. Instagram: @vozdascomunidades, Rio de Janeiro, 31 out. 2025. Disponível em: https://www.instagram.com/p/DQfH5EAEtq_/?img_index=4. Acesso em: 31 out. 2025.</x:v>
      </x:c>
      <x:c r="T328" s="10" t="str">
        <x:v>BR-SPDIREITOVIOLESTADO_MAPEAMENTOS-NOTICIAS-MSSCPENHA.xlsx</x:v>
      </x:c>
      <x:c r="U328" s="10" t="str">
        <x:v>Geral</x:v>
      </x:c>
      <x:c r="V328" s="11" t="n">
        <x:v>73</x:v>
      </x:c>
      <x:c r="W328" s="10" t="str">
        <x:v>BR-SPDIREITOVIOLESTADO_MAPEAMENTOS-NOTICIAS-MSSCPENHA.xlsx:Geral:73</x:v>
      </x:c>
      <x:c r="X328" s="11" t="n">
        <x:f>COLUMNS(A328:S328)-COUNTBLANK(A328:S328)</x:f>
        <x:v>19</x:v>
      </x:c>
    </x:row>
    <x:row r="329" ht="24" hidden="0" customHeight="1">
      <x:c r="A329" s="10" t="str">
        <x:v>Fotografia</x:v>
      </x:c>
      <x:c r="B329" s="10" t="str">
        <x:v>Rememoração</x:v>
      </x:c>
      <x:c r="C329" s="10" t="str">
        <x:v>Manifestação artístico-cultural</x:v>
      </x:c>
      <x:c r="D329" s="10" t="str">
        <x:v>Público Mediado</x:v>
      </x:c>
      <x:c r="E329" s="10" t="str">
        <x:v>Presencial/Físico</x:v>
      </x:c>
      <x:c r="F329" s="10" t="str">
        <x:v>2025-11-01 00:00:00</x:v>
      </x:c>
      <x:c r="G329" s="11" t="n">
        <x:v>2025</x:v>
      </x:c>
      <x:c r="H329" s="10" t="str">
        <x:v>Rio de Janeiro, Brasil</x:v>
      </x:c>
      <x:c r="I329" s="10" t="str">
        <x:v>Ana Paula Martins</x:v>
      </x:c>
      <x:c r="J329" s="10" t="str">
        <x:v>Não há inocência para quem mora na favela</x:v>
      </x:c>
      <x:c r="K329" s="10" t="str">
        <x:v>Iconográfico</x:v>
      </x:c>
      <x:c r="L329" s="10" t="str">
        <x:v>Imagem (digital)</x:v>
      </x:c>
      <x:c r="M329" s="10" t="str">
        <x:v>Instagram (Voz das Comunidades)</x:v>
      </x:c>
      <x:c r="N329" s="10" t="str">
        <x:v>Português, Brasil</x:v>
      </x:c>
      <x:c r="O329" s="10" t="str">
        <x:v>Hiperlink</x:v>
      </x:c>
      <x:c r="P329" s="10" t="str">
        <x:v>2025-11-02 00:00:00</x:v>
      </x:c>
      <x:c r="Q329" s="10" t="str">
        <x:v>Aberto</x:v>
      </x:c>
      <x:c r="R329" s="10" t="str">
        <x:v>Aqui</x:v>
      </x:c>
      <x:c r="S329" s="10" t="str">
        <x:v>MARTINS, Ana Paula. Não há inocência para quem mora na favela (...). Fotografia. Publicado por Voz das Comunidades. Instagram: @vozdascomunidades, Rio de Janeiro, 31 out. 2025. Disponível em: https://www.instagram.com/p/DQfG635EmiD/?img_index=4. Acesso em: 31 out. 2025.</x:v>
      </x:c>
      <x:c r="T329" s="10" t="str">
        <x:v>BR-SPDIREITOVIOLESTADO_MAPEAMENTOS-NOTICIAS-MSSCPENHA.xlsx</x:v>
      </x:c>
      <x:c r="U329" s="10" t="str">
        <x:v>Geral</x:v>
      </x:c>
      <x:c r="V329" s="11" t="n">
        <x:v>74</x:v>
      </x:c>
      <x:c r="W329" s="10" t="str">
        <x:v>BR-SPDIREITOVIOLESTADO_MAPEAMENTOS-NOTICIAS-MSSCPENHA.xlsx:Geral:74</x:v>
      </x:c>
      <x:c r="X329" s="11" t="n">
        <x:f>COLUMNS(A329:S329)-COUNTBLANK(A329:S329)</x:f>
        <x:v>19</x:v>
      </x:c>
    </x:row>
    <x:row r="330" ht="24" hidden="0" customHeight="1">
      <x:c r="A330" s="10" t="str">
        <x:v>Faixa/Cartaz</x:v>
      </x:c>
      <x:c r="B330" s="10" t="str">
        <x:v>Rememoração</x:v>
      </x:c>
      <x:c r="C330" s="10" t="str"/>
      <x:c r="D330" s="10" t="str">
        <x:v>Público Imediato</x:v>
      </x:c>
      <x:c r="E330" s="10" t="str">
        <x:v>Presencial/Físico</x:v>
      </x:c>
      <x:c r="F330" s="10" t="str">
        <x:v>2025-10-31 00:00:00</x:v>
      </x:c>
      <x:c r="G330" s="11" t="n">
        <x:v>2025</x:v>
      </x:c>
      <x:c r="H330" s="10" t="str">
        <x:v>Rio de Janeiro, Brasil</x:v>
      </x:c>
      <x:c r="I330" s="10" t="str">
        <x:v>Renato Silva (Voz das Comunidades)</x:v>
      </x:c>
      <x:c r="J330" s="10" t="str">
        <x:v>“Fora Cláudio Castro. Chega de matança nas favelas”</x:v>
      </x:c>
      <x:c r="K330" s="10" t="str">
        <x:v>Iconográfico</x:v>
      </x:c>
      <x:c r="L330" s="10" t="str">
        <x:v>Manuscrito</x:v>
      </x:c>
      <x:c r="M330" s="10" t="str">
        <x:v>Instagram (Voz das Comunidades)</x:v>
      </x:c>
      <x:c r="N330" s="10" t="str">
        <x:v>Português, Brasil</x:v>
      </x:c>
      <x:c r="O330" s="10" t="str">
        <x:v>Hiperlink</x:v>
      </x:c>
      <x:c r="P330" s="10" t="str">
        <x:v>2025-11-02 00:00:00</x:v>
      </x:c>
      <x:c r="Q330" s="10" t="str">
        <x:v>Aberto</x:v>
      </x:c>
      <x:c r="R330" s="10" t="str">
        <x:v>Aqui</x:v>
      </x:c>
      <x:c r="S330" s="10" t="str">
        <x:v>SILVA, Renato. No mesmo ponto onde corpos foram deixados na quarta-feira (29), moradores estenderam uma faixa com os dizeres: “Fora Cláudio Castro. Chega de matança nas favelas”. Fotografia. Publicado por Voz das Comunidades. Instagram: @vozdascomunidades, Rio de Janeiro, 31 out. 2025. Disponível em: https://www.instagram.com/p/DQfFyC4EdPO/?img_index=4. Acesso em: 31 out. 2025.</x:v>
      </x:c>
      <x:c r="T330" s="10" t="str">
        <x:v>BR-SPDIREITOVIOLESTADO_MAPEAMENTOS-NOTICIAS-MSSCPENHA.xlsx</x:v>
      </x:c>
      <x:c r="U330" s="10" t="str">
        <x:v>Geral</x:v>
      </x:c>
      <x:c r="V330" s="11" t="n">
        <x:v>75</x:v>
      </x:c>
      <x:c r="W330" s="10" t="str">
        <x:v>BR-SPDIREITOVIOLESTADO_MAPEAMENTOS-NOTICIAS-MSSCPENHA.xlsx:Geral:75</x:v>
      </x:c>
      <x:c r="X330" s="11" t="n">
        <x:f>COLUMNS(A330:S330)-COUNTBLANK(A330:S330)</x:f>
        <x:v>18</x:v>
      </x:c>
    </x:row>
    <x:row r="331" ht="24" hidden="0" customHeight="1">
      <x:c r="A331" s="10" t="str">
        <x:v>Fotografia</x:v>
      </x:c>
      <x:c r="B331" s="10" t="str">
        <x:v>Rememoração</x:v>
      </x:c>
      <x:c r="C331" s="10" t="str">
        <x:v>Manifestação artístico-cultural</x:v>
      </x:c>
      <x:c r="D331" s="10" t="str">
        <x:v>Público Mediado</x:v>
      </x:c>
      <x:c r="E331" s="10" t="str">
        <x:v>Presencial/Físico</x:v>
      </x:c>
      <x:c r="F331" s="10" t="str">
        <x:v>2025-10-31 00:00:00</x:v>
      </x:c>
      <x:c r="G331" s="11" t="n">
        <x:v>2025</x:v>
      </x:c>
      <x:c r="H331" s="10" t="str">
        <x:v>Rio de Janeiro, Brasil</x:v>
      </x:c>
      <x:c r="I331" s="10" t="str">
        <x:v>Luiza Arruda</x:v>
      </x:c>
      <x:c r="J331" s="10" t="str">
        <x:v>Chega de Massacre</x:v>
      </x:c>
      <x:c r="K331" s="10" t="str">
        <x:v>Iconográfico</x:v>
      </x:c>
      <x:c r="L331" s="10" t="str">
        <x:v>Imagem (digital)</x:v>
      </x:c>
      <x:c r="M331" s="10" t="str">
        <x:v>Instagram (Voz das Comunidades)</x:v>
      </x:c>
      <x:c r="N331" s="10" t="str">
        <x:v>Português, Brasil</x:v>
      </x:c>
      <x:c r="O331" s="10" t="str">
        <x:v>Hiperlink</x:v>
      </x:c>
      <x:c r="P331" s="10" t="str">
        <x:v>2025-11-02 00:00:00</x:v>
      </x:c>
      <x:c r="Q331" s="10" t="str">
        <x:v>Aberto</x:v>
      </x:c>
      <x:c r="R331" s="10" t="str">
        <x:v>Aqui</x:v>
      </x:c>
      <x:c r="S331" s="10" t="str">
        <x:v>ARRUDA, Luiza. Chega de Massacre. Fotografia. Publicado por Voz das Comunidades. Instagram: @vozdascomunidades, Rio de Janeiro, 31 out. 2025. Disponível em: https://www.instagram.com/p/DQfDE3zjxSK/?img_index=4. Acesso em: 31 out. 2025.</x:v>
      </x:c>
      <x:c r="T331" s="10" t="str">
        <x:v>BR-SPDIREITOVIOLESTADO_MAPEAMENTOS-NOTICIAS-MSSCPENHA.xlsx</x:v>
      </x:c>
      <x:c r="U331" s="10" t="str">
        <x:v>Geral</x:v>
      </x:c>
      <x:c r="V331" s="11" t="n">
        <x:v>76</x:v>
      </x:c>
      <x:c r="W331" s="10" t="str">
        <x:v>BR-SPDIREITOVIOLESTADO_MAPEAMENTOS-NOTICIAS-MSSCPENHA.xlsx:Geral:76</x:v>
      </x:c>
      <x:c r="X331" s="11" t="n">
        <x:f>COLUMNS(A331:S331)-COUNTBLANK(A331:S331)</x:f>
        <x:v>19</x:v>
      </x:c>
    </x:row>
    <x:row r="332" ht="15" hidden="0" customHeight="1">
      <x:c r="A332" s="10" t="str">
        <x:v>Vídeo</x:v>
      </x:c>
      <x:c r="B332" s="10" t="str">
        <x:v>Rememoração</x:v>
      </x:c>
      <x:c r="C332" s="10" t="str">
        <x:v>Produção midiática</x:v>
      </x:c>
      <x:c r="D332" s="10" t="str">
        <x:v>Público Mediado</x:v>
      </x:c>
      <x:c r="E332" s="10" t="str">
        <x:v>Midiático</x:v>
      </x:c>
      <x:c r="F332" s="10" t="str">
        <x:v>2025-10-31 00:00:00</x:v>
      </x:c>
      <x:c r="G332" s="11" t="n">
        <x:v>2025</x:v>
      </x:c>
      <x:c r="H332" s="10" t="str">
        <x:v>Rio de Janeiro, Brasil</x:v>
      </x:c>
      <x:c r="I332" s="10" t="str">
        <x:v>Voz das Comunidades</x:v>
      </x:c>
      <x:c r="J332" s="10" t="str"/>
      <x:c r="K332" s="10" t="str">
        <x:v>Audiovisual</x:v>
      </x:c>
      <x:c r="L332" s="10" t="str">
        <x:v>Vídeo (digital)</x:v>
      </x:c>
      <x:c r="M332" s="10" t="str">
        <x:v>Instagram (Voz das Comunidades)</x:v>
      </x:c>
      <x:c r="N332" s="10" t="str">
        <x:v>Português, Brasil</x:v>
      </x:c>
      <x:c r="O332" s="10" t="str">
        <x:v>Hiperlink</x:v>
      </x:c>
      <x:c r="P332" s="10" t="str">
        <x:v>2025-11-02 00:00:00</x:v>
      </x:c>
      <x:c r="Q332" s="10" t="str">
        <x:v>Aberto</x:v>
      </x:c>
      <x:c r="R332" s="10" t="str">
        <x:v>Aqui</x:v>
      </x:c>
      <x:c r="S332" s="10" t="str">
        <x:v>VOZ DAS COMUNIDADES. [Vídeo no Instagram], 31 out. 2025. Rio de Janeiro. Disponível em: https://www.instagram.com/p/DQfDCJ7kbbX/. Acesso em: 2 out. 2025.</x:v>
      </x:c>
      <x:c r="T332" s="10" t="str">
        <x:v>BR-SPDIREITOVIOLESTADO_MAPEAMENTOS-NOTICIAS-MSSCPENHA.xlsx</x:v>
      </x:c>
      <x:c r="U332" s="10" t="str">
        <x:v>Geral</x:v>
      </x:c>
      <x:c r="V332" s="11" t="n">
        <x:v>77</x:v>
      </x:c>
      <x:c r="W332" s="10" t="str">
        <x:v>BR-SPDIREITOVIOLESTADO_MAPEAMENTOS-NOTICIAS-MSSCPENHA.xlsx:Geral:77</x:v>
      </x:c>
      <x:c r="X332" s="11" t="n">
        <x:f>COLUMNS(A332:S332)-COUNTBLANK(A332:S332)</x:f>
        <x:v>18</x:v>
      </x:c>
    </x:row>
    <x:row r="333" ht="15" hidden="0" customHeight="1">
      <x:c r="A333" s="10" t="str">
        <x:v>Fotografia</x:v>
      </x:c>
      <x:c r="B333" s="10" t="str">
        <x:v>Rememoração</x:v>
      </x:c>
      <x:c r="C333" s="10" t="str">
        <x:v>Manifestação artístico-cultural</x:v>
      </x:c>
      <x:c r="D333" s="10" t="str">
        <x:v>Público Mediado</x:v>
      </x:c>
      <x:c r="E333" s="10" t="str">
        <x:v>Presencial/Físico</x:v>
      </x:c>
      <x:c r="F333" s="10" t="str">
        <x:v>2025-10-31 00:00:00</x:v>
      </x:c>
      <x:c r="G333" s="11" t="n">
        <x:v>2025</x:v>
      </x:c>
      <x:c r="H333" s="10" t="str">
        <x:v>Rio de Janeiro, Brasil</x:v>
      </x:c>
      <x:c r="I333" s="10" t="str">
        <x:v>Narra</x:v>
      </x:c>
      <x:c r="J333" s="10" t="str">
        <x:v>A favela quer viver!</x:v>
      </x:c>
      <x:c r="K333" s="10" t="str">
        <x:v>Iconográfico</x:v>
      </x:c>
      <x:c r="L333" s="10" t="str">
        <x:v>Imagem (digital)</x:v>
      </x:c>
      <x:c r="M333" s="10" t="str">
        <x:v>Instagram (Narra)</x:v>
      </x:c>
      <x:c r="N333" s="10" t="str">
        <x:v>Português, Brasil</x:v>
      </x:c>
      <x:c r="O333" s="10" t="str">
        <x:v>Hiperlink</x:v>
      </x:c>
      <x:c r="P333" s="10" t="str">
        <x:v>2025-11-02 00:00:00</x:v>
      </x:c>
      <x:c r="Q333" s="10" t="str">
        <x:v>Aberto</x:v>
      </x:c>
      <x:c r="R333" s="10" t="str">
        <x:v>Aqui</x:v>
      </x:c>
      <x:c r="S333" s="10" t="str">
        <x:v>NARRA. A favela quer viver! Fotografias. Instagram, Rio de Janeiro, 1 nov. 2025. Disponível em: https://www.instagram.com/p/DQfoRKZDZ9J. Acesso em: 2 nov. 2025</x:v>
      </x:c>
      <x:c r="T333" s="10" t="str">
        <x:v>BR-SPDIREITOVIOLESTADO_MAPEAMENTOS-NOTICIAS-MSSCPENHA.xlsx</x:v>
      </x:c>
      <x:c r="U333" s="10" t="str">
        <x:v>Geral</x:v>
      </x:c>
      <x:c r="V333" s="11" t="n">
        <x:v>78</x:v>
      </x:c>
      <x:c r="W333" s="10" t="str">
        <x:v>BR-SPDIREITOVIOLESTADO_MAPEAMENTOS-NOTICIAS-MSSCPENHA.xlsx:Geral:78</x:v>
      </x:c>
      <x:c r="X333" s="11" t="n">
        <x:f>COLUMNS(A333:S333)-COUNTBLANK(A333:S333)</x:f>
        <x:v>19</x:v>
      </x:c>
    </x:row>
    <x:row r="334" ht="24" hidden="0" customHeight="1">
      <x:c r="A334" s="10" t="str">
        <x:v>Notícia</x:v>
      </x:c>
      <x:c r="B334" s="10" t="str">
        <x:v>Difusão</x:v>
      </x:c>
      <x:c r="C334" s="10" t="str">
        <x:v>Produção midiática</x:v>
      </x:c>
      <x:c r="D334" s="10" t="str">
        <x:v>Público Mediado</x:v>
      </x:c>
      <x:c r="E334" s="10" t="str">
        <x:v>Midiático</x:v>
      </x:c>
      <x:c r="F334" s="10" t="str">
        <x:v>29/10/2025</x:v>
      </x:c>
      <x:c r="G334" s="11" t="n">
        <x:v>2025</x:v>
      </x:c>
      <x:c r="H334" s="10" t="str">
        <x:v>São Paulo, Brasil</x:v>
      </x:c>
      <x:c r="I334" s="10" t="str">
        <x:v>Kintê Notícias</x:v>
      </x:c>
      <x:c r="J334" s="10" t="str">
        <x:v>O massacre da Penha é a velha política da morte que tem endereço certo</x:v>
      </x:c>
      <x:c r="K334" s="10" t="str">
        <x:v>Hemerográfico</x:v>
      </x:c>
      <x:c r="L334" s="10" t="str">
        <x:v>Texto (digital)</x:v>
      </x:c>
      <x:c r="M334" s="10" t="str">
        <x:v>Kintê Notícias</x:v>
      </x:c>
      <x:c r="N334" s="10" t="str">
        <x:v>Português, Brasil</x:v>
      </x:c>
      <x:c r="O334" s="10" t="str">
        <x:v>"Operação contenção" no Google</x:v>
      </x:c>
      <x:c r="P334" s="10" t="str">
        <x:v>2025-11-02 00:00:00</x:v>
      </x:c>
      <x:c r="Q334" s="10" t="str">
        <x:v>Aberto</x:v>
      </x:c>
      <x:c r="R334" s="10" t="str">
        <x:v>Aqui</x:v>
      </x:c>
      <x:c r="S334" s="10" t="str">
        <x:v>MOTTA, Rebeca. O massacre da Penha é a velha política da morte que tem endereço certo. Kintê Notícias, São Paulo, 29 out. 2025. Disponível em: https://kintenoticias.com.br/cidade/o-massacre-da-penha-e-a-velha-politica-da-morte-que-tem-endereco-certo. Acesso em: 2 nov. 2025.</x:v>
      </x:c>
      <x:c r="T334" s="10" t="str">
        <x:v>BR-SPDIREITOVIOLESTADO_MAPEAMENTOS-NOTICIAS-MSSCPENHA.xlsx</x:v>
      </x:c>
      <x:c r="U334" s="10" t="str">
        <x:v>Geral</x:v>
      </x:c>
      <x:c r="V334" s="11" t="n">
        <x:v>79</x:v>
      </x:c>
      <x:c r="W334" s="10" t="str">
        <x:v>BR-SPDIREITOVIOLESTADO_MAPEAMENTOS-NOTICIAS-MSSCPENHA.xlsx:Geral:79</x:v>
      </x:c>
      <x:c r="X334" s="11" t="n">
        <x:f>COLUMNS(A334:S334)-COUNTBLANK(A334:S334)</x:f>
        <x:v>19</x:v>
      </x:c>
    </x:row>
    <x:row r="335" ht="24" hidden="0" customHeight="1">
      <x:c r="A335" s="10" t="str">
        <x:v>Nota de repúdio</x:v>
      </x:c>
      <x:c r="B335" s="10" t="str">
        <x:v>Rememoração</x:v>
      </x:c>
      <x:c r="C335" s="10" t="str"/>
      <x:c r="D335" s="10" t="str">
        <x:v>Público Mediado</x:v>
      </x:c>
      <x:c r="E335" s="10" t="str"/>
      <x:c r="F335" s="10" t="str">
        <x:v>2025-10-30 00:00:00</x:v>
      </x:c>
      <x:c r="G335" s="11" t="n">
        <x:v>2025</x:v>
      </x:c>
      <x:c r="H335" s="10" t="str">
        <x:v>Rio de Janeiro, Brasil</x:v>
      </x:c>
      <x:c r="I335" s="10" t="str">
        <x:v>Associação dos Docentes da Universidade Federal de Uberlândia - ADUFU</x:v>
      </x:c>
      <x:c r="J335" s="10" t="str">
        <x:v>Nota de repúdio da ADUFU à operação deflagrada pelo governador Cláudio Castro no Rio de Janeiro</x:v>
      </x:c>
      <x:c r="K335" s="10" t="str">
        <x:v>Textual</x:v>
      </x:c>
      <x:c r="L335" s="10" t="str">
        <x:v>Texto (digital)</x:v>
      </x:c>
      <x:c r="M335" s="10" t="str">
        <x:v>ADUFU</x:v>
      </x:c>
      <x:c r="N335" s="10" t="str">
        <x:v>Português, Brasil</x:v>
      </x:c>
      <x:c r="O335" s="10" t="str">
        <x:v>"Operação contenção" no Google</x:v>
      </x:c>
      <x:c r="P335" s="10" t="str">
        <x:v>2025-11-02 00:00:00</x:v>
      </x:c>
      <x:c r="Q335" s="10" t="str">
        <x:v>Aberto</x:v>
      </x:c>
      <x:c r="R335" s="10" t="str">
        <x:v>Aqui</x:v>
      </x:c>
      <x:c r="S335" s="10" t="str">
        <x:v>ASSOCIAÇÃO DOS DOCENTES DA UNIVERSIDADE FEDERAL DE UBERLÂNDIA – ADUFU. Nota de repúdio da ADUFU à operação deflagrada pelo governador Cláudio Castro no Rio de Janeiro. ADUFU, 30 out. 2025. Disponível em: https://adufu.org.br/nota-de-repudio-da-adufu-a-operacao-deflagrada-pelo-governador-claudio-castro-no-rio-de-janeiro. Acesso em: 2 nov. 2025.</x:v>
      </x:c>
      <x:c r="T335" s="10" t="str">
        <x:v>BR-SPDIREITOVIOLESTADO_MAPEAMENTOS-NOTICIAS-MSSCPENHA.xlsx</x:v>
      </x:c>
      <x:c r="U335" s="10" t="str">
        <x:v>Geral</x:v>
      </x:c>
      <x:c r="V335" s="11" t="n">
        <x:v>80</x:v>
      </x:c>
      <x:c r="W335" s="10" t="str">
        <x:v>BR-SPDIREITOVIOLESTADO_MAPEAMENTOS-NOTICIAS-MSSCPENHA.xlsx:Geral:80</x:v>
      </x:c>
      <x:c r="X335" s="11" t="n">
        <x:f>COLUMNS(A335:S335)-COUNTBLANK(A335:S335)</x:f>
        <x:v>17</x:v>
      </x:c>
    </x:row>
    <x:row r="336" ht="15" hidden="0" customHeight="1">
      <x:c r="A336" s="10" t="str">
        <x:v>Verbete</x:v>
      </x:c>
      <x:c r="B336" s="10" t="str">
        <x:v>Difusão</x:v>
      </x:c>
      <x:c r="C336" s="10" t="str"/>
      <x:c r="D336" s="10" t="str">
        <x:v>Público Mediado</x:v>
      </x:c>
      <x:c r="E336" s="10" t="str">
        <x:v>Virtual</x:v>
      </x:c>
      <x:c r="F336" s="10" t="str">
        <x:v>02/11/2025</x:v>
      </x:c>
      <x:c r="G336" s="11" t="n">
        <x:v>2025</x:v>
      </x:c>
      <x:c r="H336" s="10" t="str">
        <x:v>Sem local</x:v>
      </x:c>
      <x:c r="I336" s="10" t="str">
        <x:v>Wikipedia</x:v>
      </x:c>
      <x:c r="J336" s="10" t="str">
        <x:v>Operação Contenção</x:v>
      </x:c>
      <x:c r="K336" s="10" t="str">
        <x:v>Textual</x:v>
      </x:c>
      <x:c r="L336" s="10" t="str">
        <x:v>Texto (digital)</x:v>
      </x:c>
      <x:c r="M336" s="10" t="str">
        <x:v>Wikipedia</x:v>
      </x:c>
      <x:c r="N336" s="10" t="str">
        <x:v>Português, Brasil</x:v>
      </x:c>
      <x:c r="O336" s="10" t="str">
        <x:v>"Operação contenção" no Google</x:v>
      </x:c>
      <x:c r="P336" s="10" t="str">
        <x:v>2025-11-02 00:00:00</x:v>
      </x:c>
      <x:c r="Q336" s="10" t="str">
        <x:v>Aberto</x:v>
      </x:c>
      <x:c r="R336" s="10" t="str">
        <x:v>Aqui</x:v>
      </x:c>
      <x:c r="S336" s="10" t="str">
        <x:v>WIKIPÉDIA. Operação Contenção. Wikipédia: a enciclopédia livre, [s. l.], 2 nov. 2025. Disponível em: https://pt.wikipedia.org/wiki/Opera%C3%A7%C3%A3o_Conten%C3%A7%C3%A3o. Acesso em: 2 nov. 2025.</x:v>
      </x:c>
      <x:c r="T336" s="10" t="str">
        <x:v>BR-SPDIREITOVIOLESTADO_MAPEAMENTOS-NOTICIAS-MSSCPENHA.xlsx</x:v>
      </x:c>
      <x:c r="U336" s="10" t="str">
        <x:v>Geral</x:v>
      </x:c>
      <x:c r="V336" s="11" t="n">
        <x:v>81</x:v>
      </x:c>
      <x:c r="W336" s="10" t="str">
        <x:v>BR-SPDIREITOVIOLESTADO_MAPEAMENTOS-NOTICIAS-MSSCPENHA.xlsx:Geral:81</x:v>
      </x:c>
      <x:c r="X336" s="11" t="n">
        <x:f>COLUMNS(A336:S336)-COUNTBLANK(A336:S336)</x:f>
        <x:v>18</x:v>
      </x:c>
    </x:row>
    <x:row r="337" ht="24" hidden="0" customHeight="1">
      <x:c r="A337" s="10" t="str">
        <x:v>Notícia</x:v>
      </x:c>
      <x:c r="B337" s="10" t="str">
        <x:v>Difusão</x:v>
      </x:c>
      <x:c r="C337" s="10" t="str">
        <x:v>Produção midiática</x:v>
      </x:c>
      <x:c r="D337" s="10" t="str">
        <x:v>Público Mediado</x:v>
      </x:c>
      <x:c r="E337" s="10" t="str">
        <x:v>Midiático</x:v>
      </x:c>
      <x:c r="F337" s="10" t="str">
        <x:v>28/10/2025</x:v>
      </x:c>
      <x:c r="G337" s="11" t="n">
        <x:v>2025</x:v>
      </x:c>
      <x:c r="H337" s="10" t="str">
        <x:v>Rio de Janeiro, Brasil</x:v>
      </x:c>
      <x:c r="I337" s="10" t="str">
        <x:v>Portal do Governo do Estado do Rio de Janeiro</x:v>
      </x:c>
      <x:c r="J337" s="10" t="str">
        <x:v>Governo do Estado comanda maior operação de segurança em 15 anos e reforça combate ao narcoterrorismo</x:v>
      </x:c>
      <x:c r="K337" s="10" t="str">
        <x:v>Hemerográfico</x:v>
      </x:c>
      <x:c r="L337" s="10" t="str">
        <x:v>Texto (digital)</x:v>
      </x:c>
      <x:c r="M337" s="10" t="str">
        <x:v>Portal do Governo do Estado do Rio de Janeiro</x:v>
      </x:c>
      <x:c r="N337" s="10" t="str">
        <x:v>Português, Brasil</x:v>
      </x:c>
      <x:c r="O337" s="10" t="str">
        <x:v>"Operação contenção" no Google</x:v>
      </x:c>
      <x:c r="P337" s="10" t="str">
        <x:v>2025-11-02 00:00:00</x:v>
      </x:c>
      <x:c r="Q337" s="10" t="str">
        <x:v>Aberto</x:v>
      </x:c>
      <x:c r="R337" s="10" t="str">
        <x:v>Aqui</x:v>
      </x:c>
      <x:c r="S337" s="10" t="str">
        <x:v>GOVERNO DO ESTADO. Governo do Estado comanda maior operação de segurança em 15 anos e reforça combate ao narcoterrorismo. Portal do Governo do Estado do Rio de Janeiro, Rio de Janeiro, 28 out. 2025. Disponível em: https://www.rj.gov.br/noticias/governo-do-estado-comanda-maior-operacao-de-seguranca-em-15-anos-e-reforca-combate-ao-narcoterrorismo7327. Acesso em: 2 nov. 2025.</x:v>
      </x:c>
      <x:c r="T337" s="10" t="str">
        <x:v>BR-SPDIREITOVIOLESTADO_MAPEAMENTOS-NOTICIAS-MSSCPENHA.xlsx</x:v>
      </x:c>
      <x:c r="U337" s="10" t="str">
        <x:v>Geral</x:v>
      </x:c>
      <x:c r="V337" s="11" t="n">
        <x:v>82</x:v>
      </x:c>
      <x:c r="W337" s="10" t="str">
        <x:v>BR-SPDIREITOVIOLESTADO_MAPEAMENTOS-NOTICIAS-MSSCPENHA.xlsx:Geral:82</x:v>
      </x:c>
      <x:c r="X337" s="11" t="n">
        <x:f>COLUMNS(A337:S337)-COUNTBLANK(A337:S337)</x:f>
        <x:v>19</x:v>
      </x:c>
    </x:row>
    <x:row r="338" ht="24" hidden="0" customHeight="1">
      <x:c r="A338" s="10" t="str">
        <x:v>Notícia</x:v>
      </x:c>
      <x:c r="B338" s="10" t="str">
        <x:v>Difusão</x:v>
      </x:c>
      <x:c r="C338" s="10" t="str">
        <x:v>Produção midiática</x:v>
      </x:c>
      <x:c r="D338" s="10" t="str">
        <x:v>Público Mediado</x:v>
      </x:c>
      <x:c r="E338" s="10" t="str">
        <x:v>Midiático</x:v>
      </x:c>
      <x:c r="F338" s="10" t="str">
        <x:v>29/10/2025</x:v>
      </x:c>
      <x:c r="G338" s="11" t="n">
        <x:v>2025</x:v>
      </x:c>
      <x:c r="H338" s="10" t="str">
        <x:v>São Paulo, Brasil</x:v>
      </x:c>
      <x:c r="I338" s="10" t="str">
        <x:v>Central Única dos Trabalhadores (CUT)</x:v>
      </x:c>
      <x:c r="J338" s="10" t="str">
        <x:v>CUT repudia Operação Contenção que deixou dezenas de mortos no RJ</x:v>
      </x:c>
      <x:c r="K338" s="10" t="str">
        <x:v>Hemerográfico</x:v>
      </x:c>
      <x:c r="L338" s="10" t="str">
        <x:v>Texto (digital)</x:v>
      </x:c>
      <x:c r="M338" s="10" t="str">
        <x:v>Central Única dos Trabalhadores (CUT)</x:v>
      </x:c>
      <x:c r="N338" s="10" t="str">
        <x:v>Português, Brasil</x:v>
      </x:c>
      <x:c r="O338" s="10" t="str">
        <x:v>"Operação contenção" no Google</x:v>
      </x:c>
      <x:c r="P338" s="10" t="str">
        <x:v>2025-11-02 00:00:00</x:v>
      </x:c>
      <x:c r="Q338" s="10" t="str">
        <x:v>Aberto</x:v>
      </x:c>
      <x:c r="R338" s="10" t="str">
        <x:v>Aqui</x:v>
      </x:c>
      <x:c r="S338" s="10" t="str">
        <x:v>CENTRAL ÚNICA DOS TRABALHADORES – CUT. CUT repudia Operação Contenção que deixou dezenas de mortos no RJ. CUT, São Paulo, 29 out. 2025. Disponível em: https://www.cut.org.br/noticias/cut-repudia-operacao-contencao-que-deixou-dezenas-de-mortos-no-rj-ce34. Acesso em: 2 nov. 2025.</x:v>
      </x:c>
      <x:c r="T338" s="10" t="str">
        <x:v>BR-SPDIREITOVIOLESTADO_MAPEAMENTOS-NOTICIAS-MSSCPENHA.xlsx</x:v>
      </x:c>
      <x:c r="U338" s="10" t="str">
        <x:v>Geral</x:v>
      </x:c>
      <x:c r="V338" s="11" t="n">
        <x:v>83</x:v>
      </x:c>
      <x:c r="W338" s="10" t="str">
        <x:v>BR-SPDIREITOVIOLESTADO_MAPEAMENTOS-NOTICIAS-MSSCPENHA.xlsx:Geral:83</x:v>
      </x:c>
      <x:c r="X338" s="11" t="n">
        <x:f>COLUMNS(A338:S338)-COUNTBLANK(A338:S338)</x:f>
        <x:v>19</x:v>
      </x:c>
    </x:row>
    <x:row r="339" ht="24" hidden="0" customHeight="1">
      <x:c r="A339" s="10" t="str">
        <x:v>Notícia</x:v>
      </x:c>
      <x:c r="B339" s="10" t="str">
        <x:v>Difusão</x:v>
      </x:c>
      <x:c r="C339" s="10" t="str">
        <x:v>Produção midiática</x:v>
      </x:c>
      <x:c r="D339" s="10" t="str">
        <x:v>Público Mediado</x:v>
      </x:c>
      <x:c r="E339" s="10" t="str">
        <x:v>Midiático</x:v>
      </x:c>
      <x:c r="F339" s="10" t="str">
        <x:v>30/10/2025</x:v>
      </x:c>
      <x:c r="G339" s="11" t="n">
        <x:v>2025</x:v>
      </x:c>
      <x:c r="H339" s="10" t="str">
        <x:v>São Paulo, Brasil</x:v>
      </x:c>
      <x:c r="I339" s="10" t="str">
        <x:v>Agência Brasil</x:v>
      </x:c>
      <x:c r="J339" s="10" t="str">
        <x:v>Letalidade da Operação Contenção desrespeita comunidades, dizem ONGs</x:v>
      </x:c>
      <x:c r="K339" s="10" t="str">
        <x:v>Hemerográfico</x:v>
      </x:c>
      <x:c r="L339" s="10" t="str">
        <x:v>Texto (digital)</x:v>
      </x:c>
      <x:c r="M339" s="10" t="str">
        <x:v>Agência Brasil</x:v>
      </x:c>
      <x:c r="N339" s="10" t="str">
        <x:v>Português, Brasil</x:v>
      </x:c>
      <x:c r="O339" s="10" t="str">
        <x:v>"Operação contenção" no Google</x:v>
      </x:c>
      <x:c r="P339" s="10" t="str">
        <x:v>2025-11-02 00:00:00</x:v>
      </x:c>
      <x:c r="Q339" s="10" t="str">
        <x:v>Aberto</x:v>
      </x:c>
      <x:c r="R339" s="10" t="str">
        <x:v>Aqui</x:v>
      </x:c>
      <x:c r="S339" s="10" t="str">
        <x:v>JERÔNYMO, Guilherme. Letalidade da Operação Contenção desrespeita comunidades, dizem ONGs. Agência Brasil, São Paulo, 30 out. 2025. Disponível em: https://agenciabrasil.ebc.com.br/direitos-humanos/noticia/2025-10/letalidade-da-operacao-contencao-desrespeita-comunidades-dizem-ongs. Acesso em: 2 nov. 2025.</x:v>
      </x:c>
      <x:c r="T339" s="10" t="str">
        <x:v>BR-SPDIREITOVIOLESTADO_MAPEAMENTOS-NOTICIAS-MSSCPENHA.xlsx</x:v>
      </x:c>
      <x:c r="U339" s="10" t="str">
        <x:v>Geral</x:v>
      </x:c>
      <x:c r="V339" s="11" t="n">
        <x:v>84</x:v>
      </x:c>
      <x:c r="W339" s="10" t="str">
        <x:v>BR-SPDIREITOVIOLESTADO_MAPEAMENTOS-NOTICIAS-MSSCPENHA.xlsx:Geral:84</x:v>
      </x:c>
      <x:c r="X339" s="11" t="n">
        <x:f>COLUMNS(A339:S339)-COUNTBLANK(A339:S339)</x:f>
        <x:v>19</x:v>
      </x:c>
    </x:row>
    <x:row r="340" ht="24" hidden="0" customHeight="1">
      <x:c r="A340" s="10" t="str">
        <x:v>Notícia</x:v>
      </x:c>
      <x:c r="B340" s="10" t="str">
        <x:v>Difusão</x:v>
      </x:c>
      <x:c r="C340" s="10" t="str">
        <x:v>Produção midiática</x:v>
      </x:c>
      <x:c r="D340" s="10" t="str">
        <x:v>Público Mediado</x:v>
      </x:c>
      <x:c r="E340" s="10" t="str">
        <x:v>Midiático</x:v>
      </x:c>
      <x:c r="F340" s="10" t="str">
        <x:v>28/10/2025</x:v>
      </x:c>
      <x:c r="G340" s="11" t="n">
        <x:v>2025</x:v>
      </x:c>
      <x:c r="H340" s="10" t="str">
        <x:v>Rio de Janeiro, Brasil</x:v>
      </x:c>
      <x:c r="I340" s="10" t="str">
        <x:v>Agência Brasil</x:v>
      </x:c>
      <x:c r="J340" s="10" t="str">
        <x:v>Operação no Rio é a maior em 15 anos e a mais letal no estado</x:v>
      </x:c>
      <x:c r="K340" s="10" t="str">
        <x:v>Hemerográfico</x:v>
      </x:c>
      <x:c r="L340" s="10" t="str">
        <x:v>Texto (digital)</x:v>
      </x:c>
      <x:c r="M340" s="10" t="str">
        <x:v>Agência Brasil</x:v>
      </x:c>
      <x:c r="N340" s="10" t="str">
        <x:v>Português, Brasil</x:v>
      </x:c>
      <x:c r="O340" s="10" t="str">
        <x:v>"Operação contenção" no Google</x:v>
      </x:c>
      <x:c r="P340" s="10" t="str">
        <x:v>2025-11-02 00:00:00</x:v>
      </x:c>
      <x:c r="Q340" s="10" t="str">
        <x:v>Aberto</x:v>
      </x:c>
      <x:c r="R340" s="10" t="str">
        <x:v>Aqui</x:v>
      </x:c>
      <x:c r="S340" s="10" t="str">
        <x:v>TOKARNIA, Mariana. Operação no Rio é a maior em 15 anos e a mais letal no estado. Agência Brasil, Rio de Janeiro, 28 out. 2025. Disponível em: https://agenciabrasil.ebc.com.br/geral/noticia/2025-10/acao-no-rio-e-maior-em-15-anos-e-mais-letal. Acesso em: 2 nov. 2025.</x:v>
      </x:c>
      <x:c r="T340" s="10" t="str">
        <x:v>BR-SPDIREITOVIOLESTADO_MAPEAMENTOS-NOTICIAS-MSSCPENHA.xlsx</x:v>
      </x:c>
      <x:c r="U340" s="10" t="str">
        <x:v>Geral</x:v>
      </x:c>
      <x:c r="V340" s="11" t="n">
        <x:v>85</x:v>
      </x:c>
      <x:c r="W340" s="10" t="str">
        <x:v>BR-SPDIREITOVIOLESTADO_MAPEAMENTOS-NOTICIAS-MSSCPENHA.xlsx:Geral:85</x:v>
      </x:c>
      <x:c r="X340" s="11" t="n">
        <x:f>COLUMNS(A340:S340)-COUNTBLANK(A340:S340)</x:f>
        <x:v>19</x:v>
      </x:c>
    </x:row>
    <x:row r="341" ht="24" hidden="0" customHeight="1">
      <x:c r="A341" s="10" t="str">
        <x:v>Notícia</x:v>
      </x:c>
      <x:c r="B341" s="10" t="str">
        <x:v>Difusão</x:v>
      </x:c>
      <x:c r="C341" s="10" t="str">
        <x:v>Produção midiática</x:v>
      </x:c>
      <x:c r="D341" s="10" t="str">
        <x:v>Público Mediado</x:v>
      </x:c>
      <x:c r="E341" s="10" t="str">
        <x:v>Midiático</x:v>
      </x:c>
      <x:c r="F341" s="10" t="str">
        <x:v>29/10/2025</x:v>
      </x:c>
      <x:c r="G341" s="11" t="n">
        <x:v>2025</x:v>
      </x:c>
      <x:c r="H341" s="10" t="str">
        <x:v>São Paulo, Brasil</x:v>
      </x:c>
      <x:c r="I341" s="10" t="str">
        <x:v>CNN Brasil</x:v>
      </x:c>
      <x:c r="J341" s="10" t="str">
        <x:v>Entenda como Operação Contenção se tornou a mais letal da história do RJ</x:v>
      </x:c>
      <x:c r="K341" s="10" t="str">
        <x:v>Hemerográfico</x:v>
      </x:c>
      <x:c r="L341" s="10" t="str">
        <x:v>Texto (digital)</x:v>
      </x:c>
      <x:c r="M341" s="10" t="str">
        <x:v>CNN Brasil</x:v>
      </x:c>
      <x:c r="N341" s="10" t="str">
        <x:v>Português, Brasil</x:v>
      </x:c>
      <x:c r="O341" s="10" t="str">
        <x:v>"Operação contenção" no Google</x:v>
      </x:c>
      <x:c r="P341" s="10" t="str">
        <x:v>2025-11-02 00:00:00</x:v>
      </x:c>
      <x:c r="Q341" s="10" t="str">
        <x:v>Aberto</x:v>
      </x:c>
      <x:c r="R341" s="10" t="str">
        <x:v>Aqui</x:v>
      </x:c>
      <x:c r="S341" s="10" t="str">
        <x:v>SOUZA, Beto. Entenda como Operação Contenção se tornou a mais letal da história do RJ. CNN Brasil, São Paulo, 29 out. 2025. Disponível em: https://www.cnnbrasil.com.br/nacional/sudeste/rj/entenda-como-operacao-contencao-se-tornou-a-mais-letal-da-historia-do-rj-2/. Acesso em: 2 nov. 2025.</x:v>
      </x:c>
      <x:c r="T341" s="10" t="str">
        <x:v>BR-SPDIREITOVIOLESTADO_MAPEAMENTOS-NOTICIAS-MSSCPENHA.xlsx</x:v>
      </x:c>
      <x:c r="U341" s="10" t="str">
        <x:v>Geral</x:v>
      </x:c>
      <x:c r="V341" s="11" t="n">
        <x:v>86</x:v>
      </x:c>
      <x:c r="W341" s="10" t="str">
        <x:v>BR-SPDIREITOVIOLESTADO_MAPEAMENTOS-NOTICIAS-MSSCPENHA.xlsx:Geral:86</x:v>
      </x:c>
      <x:c r="X341" s="11" t="n">
        <x:f>COLUMNS(A341:S341)-COUNTBLANK(A341:S341)</x:f>
        <x:v>19</x:v>
      </x:c>
    </x:row>
    <x:row r="342" ht="24" hidden="0" customHeight="1">
      <x:c r="A342" s="10" t="str">
        <x:v>Notícia</x:v>
      </x:c>
      <x:c r="B342" s="10" t="str">
        <x:v>Difusão</x:v>
      </x:c>
      <x:c r="C342" s="10" t="str">
        <x:v>Produção midiática</x:v>
      </x:c>
      <x:c r="D342" s="10" t="str">
        <x:v>Público Mediado</x:v>
      </x:c>
      <x:c r="E342" s="10" t="str">
        <x:v>Midiático</x:v>
      </x:c>
      <x:c r="F342" s="10" t="str">
        <x:v>29/10/2025</x:v>
      </x:c>
      <x:c r="G342" s="11" t="n">
        <x:v>2025</x:v>
      </x:c>
      <x:c r="H342" s="10" t="str">
        <x:v>São Paulo, Brasil</x:v>
      </x:c>
      <x:c r="I342" s="10" t="str">
        <x:v>Folha de S. Paulo</x:v>
      </x:c>
      <x:c r="J342" s="10" t="str">
        <x:v>Decisão que embasou Operação Contenção cita rotina de tortura e controle armado no Complexo da Penha</x:v>
      </x:c>
      <x:c r="K342" s="10" t="str">
        <x:v>Hemerográfico</x:v>
      </x:c>
      <x:c r="L342" s="10" t="str">
        <x:v>Texto (digital)</x:v>
      </x:c>
      <x:c r="M342" s="10" t="str">
        <x:v>Folha de S. Paulo</x:v>
      </x:c>
      <x:c r="N342" s="10" t="str">
        <x:v>Português, Brasil</x:v>
      </x:c>
      <x:c r="O342" s="10" t="str">
        <x:v>"Operação contenção" no Google</x:v>
      </x:c>
      <x:c r="P342" s="10" t="str">
        <x:v>2025-11-02 00:00:00</x:v>
      </x:c>
      <x:c r="Q342" s="10" t="str">
        <x:v>Acesso restrito</x:v>
      </x:c>
      <x:c r="R342" s="10" t="str">
        <x:v>Aqui</x:v>
      </x:c>
      <x:c r="S342" s="10" t="str">
        <x:v>SOUSA, Aléxia; PAMPLONA, Nicola. Decisão que embasou Operação Contenção cita rotina de tortura e controle armado no Complexo da Penha. Folha de S. Paulo, São Paulo, 29 out. 2025. Disponível em: https://www1.folha.uol.com.br/cotidiano/2025/10/decisao-que-embasou-operacao-contencao-cita-rotina-de-tortura-e-controle-armado-no-complexo-da-penha.shtml. Acesso em: 2 nov. 2025.</x:v>
      </x:c>
      <x:c r="T342" s="10" t="str">
        <x:v>BR-SPDIREITOVIOLESTADO_MAPEAMENTOS-NOTICIAS-MSSCPENHA.xlsx</x:v>
      </x:c>
      <x:c r="U342" s="10" t="str">
        <x:v>Geral</x:v>
      </x:c>
      <x:c r="V342" s="11" t="n">
        <x:v>87</x:v>
      </x:c>
      <x:c r="W342" s="10" t="str">
        <x:v>BR-SPDIREITOVIOLESTADO_MAPEAMENTOS-NOTICIAS-MSSCPENHA.xlsx:Geral:87</x:v>
      </x:c>
      <x:c r="X342" s="11" t="n">
        <x:f>COLUMNS(A342:S342)-COUNTBLANK(A342:S342)</x:f>
        <x:v>19</x:v>
      </x:c>
    </x:row>
    <x:row r="343" ht="36" hidden="0" customHeight="1">
      <x:c r="A343" s="10" t="str">
        <x:v>Notícia</x:v>
      </x:c>
      <x:c r="B343" s="10" t="str">
        <x:v>Difusão</x:v>
      </x:c>
      <x:c r="C343" s="10" t="str">
        <x:v>Produção midiática</x:v>
      </x:c>
      <x:c r="D343" s="10" t="str">
        <x:v>Público Mediado</x:v>
      </x:c>
      <x:c r="E343" s="10" t="str">
        <x:v>Midiático</x:v>
      </x:c>
      <x:c r="F343" s="10" t="str">
        <x:v>29/10/2025</x:v>
      </x:c>
      <x:c r="G343" s="11" t="n">
        <x:v>2025</x:v>
      </x:c>
      <x:c r="H343" s="10" t="str">
        <x:v>Rio de Janeiro, Brasil</x:v>
      </x:c>
      <x:c r="I343" s="10" t="str">
        <x:v>Portal do Governo do Estado do Rio de Janeiro</x:v>
      </x:c>
      <x:c r="J343" s="10" t="str">
        <x:v>Governo do Estado realiza maior operação policial da história e apreende quase 100 fuzis em um único dia nos complexos do Alemão e da Penha</x:v>
      </x:c>
      <x:c r="K343" s="10" t="str">
        <x:v>Hemerográfico</x:v>
      </x:c>
      <x:c r="L343" s="10" t="str">
        <x:v>Texto (digital)</x:v>
      </x:c>
      <x:c r="M343" s="10" t="str">
        <x:v>Portal do Governo do Estado do Rio de Janeiro</x:v>
      </x:c>
      <x:c r="N343" s="10" t="str">
        <x:v>Português, Brasil</x:v>
      </x:c>
      <x:c r="O343" s="10" t="str">
        <x:v>"Operação contenção" no Google</x:v>
      </x:c>
      <x:c r="P343" s="10" t="str">
        <x:v>2025-11-02 00:00:00</x:v>
      </x:c>
      <x:c r="Q343" s="10" t="str">
        <x:v>Aberto</x:v>
      </x:c>
      <x:c r="R343" s="10" t="str">
        <x:v>Aqui</x:v>
      </x:c>
      <x:c r="S343" s="10" t="str">
        <x:v>GOVERNO DO ESTADO. Governo do Estado realiza maior operação policial da história e apreende quase 100 fuzis em um único dia nos complexos do Alemão e da Penha. Portal do Governo do Estado do Rio de Janeiro, Rio de Janeiro, 29 out. 2025. Disponível em: https://www.rj.gov.br/noticias/governo-do-estado-realiza-maior-operacao-policial-da-historia-e-apreende-quase-100-fuzis-em-um-unico-dia-nos-complexos-do-alemao-e-da-penha4219. Acesso em: 2 nov. 2025.</x:v>
      </x:c>
      <x:c r="T343" s="10" t="str">
        <x:v>BR-SPDIREITOVIOLESTADO_MAPEAMENTOS-NOTICIAS-MSSCPENHA.xlsx</x:v>
      </x:c>
      <x:c r="U343" s="10" t="str">
        <x:v>Geral</x:v>
      </x:c>
      <x:c r="V343" s="11" t="n">
        <x:v>88</x:v>
      </x:c>
      <x:c r="W343" s="10" t="str">
        <x:v>BR-SPDIREITOVIOLESTADO_MAPEAMENTOS-NOTICIAS-MSSCPENHA.xlsx:Geral:88</x:v>
      </x:c>
      <x:c r="X343" s="11" t="n">
        <x:f>COLUMNS(A343:S343)-COUNTBLANK(A343:S343)</x:f>
        <x:v>19</x:v>
      </x:c>
    </x:row>
    <x:row r="344" ht="24" hidden="0" customHeight="1">
      <x:c r="A344" s="10" t="str">
        <x:v>Notícia</x:v>
      </x:c>
      <x:c r="B344" s="10" t="str">
        <x:v>Difusão</x:v>
      </x:c>
      <x:c r="C344" s="10" t="str">
        <x:v>Produção midiática</x:v>
      </x:c>
      <x:c r="D344" s="10" t="str">
        <x:v>Público Mediado</x:v>
      </x:c>
      <x:c r="E344" s="10" t="str">
        <x:v>Midiático</x:v>
      </x:c>
      <x:c r="F344" s="10" t="str">
        <x:v>30/10/2025</x:v>
      </x:c>
      <x:c r="G344" s="11" t="n">
        <x:v>2025</x:v>
      </x:c>
      <x:c r="H344" s="10" t="str">
        <x:v>Distrito Federal, Brasil</x:v>
      </x:c>
      <x:c r="I344" s="10" t="str">
        <x:v>Agência Brasil</x:v>
      </x:c>
      <x:c r="J344" s="10" t="str">
        <x:v>DPU pede para acompanhar perícia de mortos após operação no Rio</x:v>
      </x:c>
      <x:c r="K344" s="10" t="str">
        <x:v>Hemerográfico</x:v>
      </x:c>
      <x:c r="L344" s="10" t="str">
        <x:v>Texto (digital)</x:v>
      </x:c>
      <x:c r="M344" s="10" t="str">
        <x:v>Agência Brasil</x:v>
      </x:c>
      <x:c r="N344" s="10" t="str">
        <x:v>Português, Brasil</x:v>
      </x:c>
      <x:c r="O344" s="10" t="str">
        <x:v>"Operação contenção" no Google</x:v>
      </x:c>
      <x:c r="P344" s="10" t="str">
        <x:v>2025-11-02 00:00:00</x:v>
      </x:c>
      <x:c r="Q344" s="10" t="str">
        <x:v>Aberto</x:v>
      </x:c>
      <x:c r="R344" s="10" t="str">
        <x:v>Aqui</x:v>
      </x:c>
      <x:c r="S344" s="10" t="str">
        <x:v>RICHTER, Andre. DPU pede para acompanhar perícia de mortos após operação no Rio. Agência Brasil, Brasília, 30 out. 2025. Disponível em: https://agenciabrasil.ebc.com.br/justica/noticia/2025-10/dpu-pede-para-acompanhar-pericia-de-mortos-na-operacao-contencao. Acesso em: 2 nov. 2025.</x:v>
      </x:c>
      <x:c r="T344" s="10" t="str">
        <x:v>BR-SPDIREITOVIOLESTADO_MAPEAMENTOS-NOTICIAS-MSSCPENHA.xlsx</x:v>
      </x:c>
      <x:c r="U344" s="10" t="str">
        <x:v>Geral</x:v>
      </x:c>
      <x:c r="V344" s="11" t="n">
        <x:v>89</x:v>
      </x:c>
      <x:c r="W344" s="10" t="str">
        <x:v>BR-SPDIREITOVIOLESTADO_MAPEAMENTOS-NOTICIAS-MSSCPENHA.xlsx:Geral:89</x:v>
      </x:c>
      <x:c r="X344" s="11" t="n">
        <x:f>COLUMNS(A344:S344)-COUNTBLANK(A344:S344)</x:f>
        <x:v>19</x:v>
      </x:c>
    </x:row>
    <x:row r="345" ht="24" hidden="0" customHeight="1">
      <x:c r="A345" s="10" t="str">
        <x:v>Notícia</x:v>
      </x:c>
      <x:c r="B345" s="10" t="str">
        <x:v>Difusão</x:v>
      </x:c>
      <x:c r="C345" s="10" t="str">
        <x:v>Produção midiática</x:v>
      </x:c>
      <x:c r="D345" s="10" t="str">
        <x:v>Público Mediado</x:v>
      </x:c>
      <x:c r="E345" s="10" t="str">
        <x:v>Midiático</x:v>
      </x:c>
      <x:c r="F345" s="10" t="str">
        <x:v>29/10/2025</x:v>
      </x:c>
      <x:c r="G345" s="11" t="n">
        <x:v>2025</x:v>
      </x:c>
      <x:c r="H345" s="10" t="str">
        <x:v>Rio de Janeiro, Brasil</x:v>
      </x:c>
      <x:c r="I345" s="10" t="str">
        <x:v>Agência Brasil</x:v>
      </x:c>
      <x:c r="J345" s="10" t="str">
        <x:v>Governo do Rio estima 119 mortes; moradores retiram corpos da mata</x:v>
      </x:c>
      <x:c r="K345" s="10" t="str">
        <x:v>Hemerográfico</x:v>
      </x:c>
      <x:c r="L345" s="10" t="str">
        <x:v>Texto (digital)</x:v>
      </x:c>
      <x:c r="M345" s="10" t="str">
        <x:v>Agência Brasil</x:v>
      </x:c>
      <x:c r="N345" s="10" t="str">
        <x:v>Português, Brasil</x:v>
      </x:c>
      <x:c r="O345" s="10" t="str">
        <x:v>"Operação contenção" no Google</x:v>
      </x:c>
      <x:c r="P345" s="10" t="str">
        <x:v>2025-11-02 00:00:00</x:v>
      </x:c>
      <x:c r="Q345" s="10" t="str">
        <x:v>Aberto</x:v>
      </x:c>
      <x:c r="R345" s="10" t="str">
        <x:v>Aqui</x:v>
      </x:c>
      <x:c r="S345" s="10" t="str">
        <x:v>TOKARNIA, Mariana. Governo do Rio estima 119 mortes; moradores retiram corpos da mata. Agência Brasil, Rio de Janeiro, 29 out. 2025. Disponível em: https://agenciabrasil.ebc.com.br/geral/noticia/2025-10/governo-do-rio-contabiliza-119-mortes-moradores-retiram-corpos-da-mata. Acesso em: 2 nov. 2025.</x:v>
      </x:c>
      <x:c r="T345" s="10" t="str">
        <x:v>BR-SPDIREITOVIOLESTADO_MAPEAMENTOS-NOTICIAS-MSSCPENHA.xlsx</x:v>
      </x:c>
      <x:c r="U345" s="10" t="str">
        <x:v>Geral</x:v>
      </x:c>
      <x:c r="V345" s="11" t="n">
        <x:v>90</x:v>
      </x:c>
      <x:c r="W345" s="10" t="str">
        <x:v>BR-SPDIREITOVIOLESTADO_MAPEAMENTOS-NOTICIAS-MSSCPENHA.xlsx:Geral:90</x:v>
      </x:c>
      <x:c r="X345" s="11" t="n">
        <x:f>COLUMNS(A345:S345)-COUNTBLANK(A345:S345)</x:f>
        <x:v>19</x:v>
      </x:c>
    </x:row>
    <x:row r="346" ht="24" hidden="0" customHeight="1">
      <x:c r="A346" s="10" t="str">
        <x:v>Notícia</x:v>
      </x:c>
      <x:c r="B346" s="10" t="str">
        <x:v>Difusão</x:v>
      </x:c>
      <x:c r="C346" s="10" t="str">
        <x:v>Produção midiática</x:v>
      </x:c>
      <x:c r="D346" s="10" t="str">
        <x:v>Público Mediado</x:v>
      </x:c>
      <x:c r="E346" s="10" t="str">
        <x:v>Midiático</x:v>
      </x:c>
      <x:c r="F346" s="10" t="str">
        <x:v>28/10/2025</x:v>
      </x:c>
      <x:c r="G346" s="11" t="n">
        <x:v>2025</x:v>
      </x:c>
      <x:c r="H346" s="10" t="str">
        <x:v>Rio de Janeiro, Brasil</x:v>
      </x:c>
      <x:c r="I346" s="10" t="str">
        <x:v>Agência Brasil</x:v>
      </x:c>
      <x:c r="J346" s="10" t="str">
        <x:v>Operação Contenção: Ferj adia partidas da Série B1 do Carioca</x:v>
      </x:c>
      <x:c r="K346" s="10" t="str">
        <x:v>Hemerográfico</x:v>
      </x:c>
      <x:c r="L346" s="10" t="str">
        <x:v>Texto (digital)</x:v>
      </x:c>
      <x:c r="M346" s="10" t="str">
        <x:v>Agência Brasil</x:v>
      </x:c>
      <x:c r="N346" s="10" t="str">
        <x:v>Português, Brasil</x:v>
      </x:c>
      <x:c r="O346" s="10" t="str">
        <x:v>"Operação contenção" no Google</x:v>
      </x:c>
      <x:c r="P346" s="10" t="str">
        <x:v>2025-11-02 00:00:00</x:v>
      </x:c>
      <x:c r="Q346" s="10" t="str">
        <x:v>Aberto</x:v>
      </x:c>
      <x:c r="R346" s="10" t="str">
        <x:v>Aqui</x:v>
      </x:c>
      <x:c r="S346" s="10" t="str">
        <x:v>LISBOA, Fábio. Operação Contenção: Ferj adia partidas da Série B1 do Carioca. Agência Brasil, Rio de Janeiro, 28 out. 2025. Disponível em: https://agenciabrasil.ebc.com.br/geral/noticia/2025-10/operacao-contencao-ferj-adia-partidas-da-serie-b1-do-carioca. Acesso em: 2 nov. 2025.</x:v>
      </x:c>
      <x:c r="T346" s="10" t="str">
        <x:v>BR-SPDIREITOVIOLESTADO_MAPEAMENTOS-NOTICIAS-MSSCPENHA.xlsx</x:v>
      </x:c>
      <x:c r="U346" s="10" t="str">
        <x:v>Geral</x:v>
      </x:c>
      <x:c r="V346" s="11" t="n">
        <x:v>91</x:v>
      </x:c>
      <x:c r="W346" s="10" t="str">
        <x:v>BR-SPDIREITOVIOLESTADO_MAPEAMENTOS-NOTICIAS-MSSCPENHA.xlsx:Geral:91</x:v>
      </x:c>
      <x:c r="X346" s="11" t="n">
        <x:f>COLUMNS(A346:S346)-COUNTBLANK(A346:S346)</x:f>
        <x:v>19</x:v>
      </x:c>
    </x:row>
    <x:row r="347" ht="24" hidden="0" customHeight="1">
      <x:c r="A347" s="10" t="str">
        <x:v>Notícia</x:v>
      </x:c>
      <x:c r="B347" s="10" t="str">
        <x:v>Difusão</x:v>
      </x:c>
      <x:c r="C347" s="10" t="str">
        <x:v>Produção midiática</x:v>
      </x:c>
      <x:c r="D347" s="10" t="str">
        <x:v>Público Mediado</x:v>
      </x:c>
      <x:c r="E347" s="10" t="str">
        <x:v>Midiático</x:v>
      </x:c>
      <x:c r="F347" s="10" t="str">
        <x:v>31/10/2025</x:v>
      </x:c>
      <x:c r="G347" s="11" t="n">
        <x:v>2025</x:v>
      </x:c>
      <x:c r="H347" s="10" t="str">
        <x:v>Rio de Janeiro, Brasil</x:v>
      </x:c>
      <x:c r="I347" s="10" t="str">
        <x:v>Agência Brasil</x:v>
      </x:c>
      <x:c r="J347" s="10" t="str">
        <x:v>Megaoperação no Rio cumpriu 20 dos 100 mandados de prisão pretendidos</x:v>
      </x:c>
      <x:c r="K347" s="10" t="str">
        <x:v>Hemerográfico</x:v>
      </x:c>
      <x:c r="L347" s="10" t="str">
        <x:v>Texto (digital)</x:v>
      </x:c>
      <x:c r="M347" s="10" t="str">
        <x:v>Agência Brasil</x:v>
      </x:c>
      <x:c r="N347" s="10" t="str">
        <x:v>Português, Brasil</x:v>
      </x:c>
      <x:c r="O347" s="10" t="str">
        <x:v>"Operação contenção" no Google</x:v>
      </x:c>
      <x:c r="P347" s="10" t="str">
        <x:v>2025-11-02 00:00:00</x:v>
      </x:c>
      <x:c r="Q347" s="10" t="str">
        <x:v>Aberto</x:v>
      </x:c>
      <x:c r="R347" s="10" t="str">
        <x:v>Aqui</x:v>
      </x:c>
      <x:c r="S347" s="10" t="str">
        <x:v>TOKARNIA, Mariana. Megaoperação no Rio cumpriu 20 dos 100 mandados de prisão pretendidos. Agência Brasil, Rio de Janeiro, 31 out. 2025. Disponível em: https://agenciabrasil.ebc.com.br/direitos-humanos/noticia/2025-10/megaoperacao-no-rio-cumpriu-20-dos-100-mandados-de-prisao-pretendidos. Acesso em: 2 nov. 2025.</x:v>
      </x:c>
      <x:c r="T347" s="10" t="str">
        <x:v>BR-SPDIREITOVIOLESTADO_MAPEAMENTOS-NOTICIAS-MSSCPENHA.xlsx</x:v>
      </x:c>
      <x:c r="U347" s="10" t="str">
        <x:v>Geral</x:v>
      </x:c>
      <x:c r="V347" s="11" t="n">
        <x:v>92</x:v>
      </x:c>
      <x:c r="W347" s="10" t="str">
        <x:v>BR-SPDIREITOVIOLESTADO_MAPEAMENTOS-NOTICIAS-MSSCPENHA.xlsx:Geral:92</x:v>
      </x:c>
      <x:c r="X347" s="11" t="n">
        <x:f>COLUMNS(A347:S347)-COUNTBLANK(A347:S347)</x:f>
        <x:v>19</x:v>
      </x:c>
    </x:row>
    <x:row r="348" ht="24" hidden="0" customHeight="1">
      <x:c r="A348" s="10" t="str">
        <x:v>Notícia</x:v>
      </x:c>
      <x:c r="B348" s="10" t="str">
        <x:v>Difusão</x:v>
      </x:c>
      <x:c r="C348" s="10" t="str">
        <x:v>Produção midiática</x:v>
      </x:c>
      <x:c r="D348" s="10" t="str">
        <x:v>Público Mediado</x:v>
      </x:c>
      <x:c r="E348" s="10" t="str">
        <x:v>Midiático</x:v>
      </x:c>
      <x:c r="F348" s="10" t="str">
        <x:v>31/10/2025</x:v>
      </x:c>
      <x:c r="G348" s="11" t="n">
        <x:v>2025</x:v>
      </x:c>
      <x:c r="H348" s="10" t="str">
        <x:v>Rio de Janeiro, Brasil</x:v>
      </x:c>
      <x:c r="I348" s="10" t="str">
        <x:v>Agência Brasil</x:v>
      </x:c>
      <x:c r="J348" s="10" t="str">
        <x:v>MPRJ faz perícia independente em vítimas da Operação Contenção</x:v>
      </x:c>
      <x:c r="K348" s="10" t="str">
        <x:v>Hemerográfico</x:v>
      </x:c>
      <x:c r="L348" s="10" t="str">
        <x:v>Texto (digital)</x:v>
      </x:c>
      <x:c r="M348" s="10" t="str">
        <x:v>Agência Brasil</x:v>
      </x:c>
      <x:c r="N348" s="10" t="str">
        <x:v>Português, Brasil</x:v>
      </x:c>
      <x:c r="O348" s="10" t="str">
        <x:v>"Operação contenção" no Google</x:v>
      </x:c>
      <x:c r="P348" s="10" t="str">
        <x:v>2025-11-02 00:00:00</x:v>
      </x:c>
      <x:c r="Q348" s="10" t="str">
        <x:v>Aberto</x:v>
      </x:c>
      <x:c r="R348" s="10" t="str">
        <x:v>Aqui</x:v>
      </x:c>
      <x:c r="S348" s="10" t="str">
        <x:v>AGÊNCIA BRASIL. MPRJ faz perícia independente em vítimas da Operação Contenção. Agência Brasil, Rio de Janeiro, 31 out. 2025. Disponível em: https://agenciabrasil.ebc.com.br/direitos-humanos/noticia/2025-10/mprj-faz-pericia-independente-em-vitimas-da-operacao-contenção. Acesso em: 2 nov. 2025.</x:v>
      </x:c>
      <x:c r="T348" s="10" t="str">
        <x:v>BR-SPDIREITOVIOLESTADO_MAPEAMENTOS-NOTICIAS-MSSCPENHA.xlsx</x:v>
      </x:c>
      <x:c r="U348" s="10" t="str">
        <x:v>Geral</x:v>
      </x:c>
      <x:c r="V348" s="11" t="n">
        <x:v>93</x:v>
      </x:c>
      <x:c r="W348" s="10" t="str">
        <x:v>BR-SPDIREITOVIOLESTADO_MAPEAMENTOS-NOTICIAS-MSSCPENHA.xlsx:Geral:93</x:v>
      </x:c>
      <x:c r="X348" s="11" t="n">
        <x:f>COLUMNS(A348:S348)-COUNTBLANK(A348:S348)</x:f>
        <x:v>19</x:v>
      </x:c>
    </x:row>
    <x:row r="349" ht="24" hidden="0" customHeight="1">
      <x:c r="A349" s="10" t="str">
        <x:v>Notícia</x:v>
      </x:c>
      <x:c r="B349" s="10" t="str">
        <x:v>Difusão</x:v>
      </x:c>
      <x:c r="C349" s="10" t="str">
        <x:v>Produção midiática</x:v>
      </x:c>
      <x:c r="D349" s="10" t="str">
        <x:v>Público Mediado</x:v>
      </x:c>
      <x:c r="E349" s="10" t="str">
        <x:v>Midiático</x:v>
      </x:c>
      <x:c r="F349" s="10" t="str">
        <x:v>30/10/2025</x:v>
      </x:c>
      <x:c r="G349" s="11" t="n">
        <x:v>2025</x:v>
      </x:c>
      <x:c r="H349" s="10" t="str">
        <x:v>Rio de Janeiro, Brasil</x:v>
      </x:c>
      <x:c r="I349" s="10" t="str">
        <x:v>Agência Brasil</x:v>
      </x:c>
      <x:c r="J349" s="10" t="str">
        <x:v>IML do Rio identifica 100 dos 121 mortos na Operação Contenção</x:v>
      </x:c>
      <x:c r="K349" s="10" t="str">
        <x:v>Hemerográfico</x:v>
      </x:c>
      <x:c r="L349" s="10" t="str">
        <x:v>Texto (digital)</x:v>
      </x:c>
      <x:c r="M349" s="10" t="str">
        <x:v>Agência Brasil</x:v>
      </x:c>
      <x:c r="N349" s="10" t="str">
        <x:v>Português, Brasil</x:v>
      </x:c>
      <x:c r="O349" s="10" t="str">
        <x:v>"Operação contenção" no Google</x:v>
      </x:c>
      <x:c r="P349" s="10" t="str">
        <x:v>2025-11-02 00:00:00</x:v>
      </x:c>
      <x:c r="Q349" s="10" t="str">
        <x:v>Aberto</x:v>
      </x:c>
      <x:c r="R349" s="10" t="str">
        <x:v>Aqui</x:v>
      </x:c>
      <x:c r="S349" s="10" t="str">
        <x:v>FREIRE, Tâmara. IML do Rio identifica 100 dos 121 mortos na Operação Contenção. Agência Brasil, Rio de Janeiro, 30 out. 2025. Disponível em: https://agenciabrasil.ebc.com.br/geral/noticia/2025-10/iml-do-rio-identifica-100-dos-121-mortos-na-operacao-contencao. Acesso em: 2 nov. 2025.</x:v>
      </x:c>
      <x:c r="T349" s="10" t="str">
        <x:v>BR-SPDIREITOVIOLESTADO_MAPEAMENTOS-NOTICIAS-MSSCPENHA.xlsx</x:v>
      </x:c>
      <x:c r="U349" s="10" t="str">
        <x:v>Geral</x:v>
      </x:c>
      <x:c r="V349" s="11" t="n">
        <x:v>94</x:v>
      </x:c>
      <x:c r="W349" s="10" t="str">
        <x:v>BR-SPDIREITOVIOLESTADO_MAPEAMENTOS-NOTICIAS-MSSCPENHA.xlsx:Geral:94</x:v>
      </x:c>
      <x:c r="X349" s="11" t="n">
        <x:f>COLUMNS(A349:S349)-COUNTBLANK(A349:S349)</x:f>
        <x:v>19</x:v>
      </x:c>
    </x:row>
    <x:row r="350" ht="24" hidden="0" customHeight="1">
      <x:c r="A350" s="10" t="str">
        <x:v>Notícia</x:v>
      </x:c>
      <x:c r="B350" s="10" t="str">
        <x:v>Difusão</x:v>
      </x:c>
      <x:c r="C350" s="10" t="str">
        <x:v>Produção midiática</x:v>
      </x:c>
      <x:c r="D350" s="10" t="str">
        <x:v>Público Mediado</x:v>
      </x:c>
      <x:c r="E350" s="10" t="str">
        <x:v>Midiático</x:v>
      </x:c>
      <x:c r="F350" s="10" t="str">
        <x:v>29/10/2025</x:v>
      </x:c>
      <x:c r="G350" s="11" t="n">
        <x:v>2025</x:v>
      </x:c>
      <x:c r="H350" s="10" t="str">
        <x:v>Rio de Janeiro, Brasil</x:v>
      </x:c>
      <x:c r="I350" s="10" t="str">
        <x:v>Agência Brasil</x:v>
      </x:c>
      <x:c r="J350" s="10" t="str">
        <x:v>MP do Rio pede câmeras usadas por policiais em Operação Contenção</x:v>
      </x:c>
      <x:c r="K350" s="10" t="str">
        <x:v>Hemerográfico</x:v>
      </x:c>
      <x:c r="L350" s="10" t="str">
        <x:v>Texto (digital)</x:v>
      </x:c>
      <x:c r="M350" s="10" t="str">
        <x:v>Agência Brasil</x:v>
      </x:c>
      <x:c r="N350" s="10" t="str">
        <x:v>Português, Brasil</x:v>
      </x:c>
      <x:c r="O350" s="10" t="str">
        <x:v>"Operação contenção" no Google</x:v>
      </x:c>
      <x:c r="P350" s="10" t="str">
        <x:v>2025-11-02 00:00:00</x:v>
      </x:c>
      <x:c r="Q350" s="10" t="str">
        <x:v>Aberto</x:v>
      </x:c>
      <x:c r="R350" s="10" t="str">
        <x:v>Aqui</x:v>
      </x:c>
      <x:c r="S350" s="10" t="str">
        <x:v>CORRÊA, Douglas. MP do Rio pede câmeras usadas por policiais em Operação Contenção. Agência Brasil, Rio de Janeiro, 29 out. 2025. Disponível em: https://agenciabrasil.ebc.com.br/geral/noticia/2025-10/mp-pediu-cameras-corporais-usadas-por-policiais-e-acao-no-rio. Acesso em: 2 nov. 2025.</x:v>
      </x:c>
      <x:c r="T350" s="10" t="str">
        <x:v>BR-SPDIREITOVIOLESTADO_MAPEAMENTOS-NOTICIAS-MSSCPENHA.xlsx</x:v>
      </x:c>
      <x:c r="U350" s="10" t="str">
        <x:v>Geral</x:v>
      </x:c>
      <x:c r="V350" s="11" t="n">
        <x:v>95</x:v>
      </x:c>
      <x:c r="W350" s="10" t="str">
        <x:v>BR-SPDIREITOVIOLESTADO_MAPEAMENTOS-NOTICIAS-MSSCPENHA.xlsx:Geral:95</x:v>
      </x:c>
      <x:c r="X350" s="11" t="n">
        <x:f>COLUMNS(A350:S350)-COUNTBLANK(A350:S350)</x:f>
        <x:v>19</x:v>
      </x:c>
    </x:row>
    <x:row r="351" ht="24" hidden="0" customHeight="1">
      <x:c r="A351" s="10" t="str">
        <x:v>Notícia</x:v>
      </x:c>
      <x:c r="B351" s="10" t="str">
        <x:v>Difusão</x:v>
      </x:c>
      <x:c r="C351" s="10" t="str">
        <x:v>Produção midiática</x:v>
      </x:c>
      <x:c r="D351" s="10" t="str">
        <x:v>Público Mediado</x:v>
      </x:c>
      <x:c r="E351" s="10" t="str">
        <x:v>Midiático</x:v>
      </x:c>
      <x:c r="F351" s="10" t="str">
        <x:v>29/10/2025</x:v>
      </x:c>
      <x:c r="G351" s="11" t="n">
        <x:v>2025</x:v>
      </x:c>
      <x:c r="H351" s="10" t="str">
        <x:v>Rio de Janeiro, Brasil</x:v>
      </x:c>
      <x:c r="I351" s="10" t="str">
        <x:v>Agência Brasil</x:v>
      </x:c>
      <x:c r="J351" s="10" t="str">
        <x:v>MPRJ envia técnicos periciais independentes ao IML após ação policial</x:v>
      </x:c>
      <x:c r="K351" s="10" t="str">
        <x:v>Hemerográfico</x:v>
      </x:c>
      <x:c r="L351" s="10" t="str">
        <x:v>Texto (digital)</x:v>
      </x:c>
      <x:c r="M351" s="10" t="str">
        <x:v>Agência Brasil</x:v>
      </x:c>
      <x:c r="N351" s="10" t="str">
        <x:v>Português, Brasil</x:v>
      </x:c>
      <x:c r="O351" s="10" t="str">
        <x:v>"Operação contenção" no Google</x:v>
      </x:c>
      <x:c r="P351" s="10" t="str">
        <x:v>2025-11-02 00:00:00</x:v>
      </x:c>
      <x:c r="Q351" s="10" t="str">
        <x:v>Aberto</x:v>
      </x:c>
      <x:c r="R351" s="10" t="str">
        <x:v>Aqui</x:v>
      </x:c>
      <x:c r="S351" s="10" t="str">
        <x:v>GANDRA, Alana. MPRJ envia técnicos periciais independentes ao IML após ação policial. Agência Brasil, Rio de Janeiro, 29 out. 2025. Disponível em: https://agenciabrasil.ebc.com.br/justica/noticia/2025-10/mprj-envia-tecnicos-periciais-independentes-ao-iml-apos-acao-policial. Acesso em: 2 nov. 2025.</x:v>
      </x:c>
      <x:c r="T351" s="10" t="str">
        <x:v>BR-SPDIREITOVIOLESTADO_MAPEAMENTOS-NOTICIAS-MSSCPENHA.xlsx</x:v>
      </x:c>
      <x:c r="U351" s="10" t="str">
        <x:v>Geral</x:v>
      </x:c>
      <x:c r="V351" s="11" t="n">
        <x:v>96</x:v>
      </x:c>
      <x:c r="W351" s="10" t="str">
        <x:v>BR-SPDIREITOVIOLESTADO_MAPEAMENTOS-NOTICIAS-MSSCPENHA.xlsx:Geral:96</x:v>
      </x:c>
      <x:c r="X351" s="11" t="n">
        <x:f>COLUMNS(A351:S351)-COUNTBLANK(A351:S351)</x:f>
        <x:v>19</x:v>
      </x:c>
    </x:row>
    <x:row r="352" ht="24" hidden="0" customHeight="1">
      <x:c r="A352" s="10" t="str">
        <x:v>Notícia</x:v>
      </x:c>
      <x:c r="B352" s="10" t="str">
        <x:v>Difusão</x:v>
      </x:c>
      <x:c r="C352" s="10" t="str">
        <x:v>Produção midiática</x:v>
      </x:c>
      <x:c r="D352" s="10" t="str">
        <x:v>Público Mediado</x:v>
      </x:c>
      <x:c r="E352" s="10" t="str">
        <x:v>Midiático</x:v>
      </x:c>
      <x:c r="F352" s="10" t="str">
        <x:v>29/10/2025</x:v>
      </x:c>
      <x:c r="G352" s="11" t="n">
        <x:v>2025</x:v>
      </x:c>
      <x:c r="H352" s="10" t="str">
        <x:v>Distrito Federal, Brasil</x:v>
      </x:c>
      <x:c r="I352" s="10" t="str">
        <x:v>Agência Brasil</x:v>
      </x:c>
      <x:c r="J352" s="10" t="str">
        <x:v>Lula reúne ministros no Alvorada e discute operação policial no Rio</x:v>
      </x:c>
      <x:c r="K352" s="10" t="str">
        <x:v>Hemerográfico</x:v>
      </x:c>
      <x:c r="L352" s="10" t="str">
        <x:v>Texto (digital)</x:v>
      </x:c>
      <x:c r="M352" s="10" t="str">
        <x:v>Agência Brasil</x:v>
      </x:c>
      <x:c r="N352" s="10" t="str">
        <x:v>Português, Brasil</x:v>
      </x:c>
      <x:c r="O352" s="10" t="str">
        <x:v>"Operação contenção" no Google</x:v>
      </x:c>
      <x:c r="P352" s="10" t="str">
        <x:v>2025-11-02 00:00:00</x:v>
      </x:c>
      <x:c r="Q352" s="10" t="str">
        <x:v>Aberto</x:v>
      </x:c>
      <x:c r="R352" s="10" t="str">
        <x:v>Aqui</x:v>
      </x:c>
      <x:c r="S352" s="10" t="str">
        <x:v>VERDÉLIO, Andreia. Lula reúne ministros no Alvorada e discute operação policial no Rio. Agência Brasil, Brasília, 29 out. 2025. Disponível em: https://agenciabrasil.ebc.com.br/politica/noticia/2025-10/lula-reune-ministros-no-alvorada-e-discute-operacao-contencao. Acesso em: 2 nov. 2025.</x:v>
      </x:c>
      <x:c r="T352" s="10" t="str">
        <x:v>BR-SPDIREITOVIOLESTADO_MAPEAMENTOS-NOTICIAS-MSSCPENHA.xlsx</x:v>
      </x:c>
      <x:c r="U352" s="10" t="str">
        <x:v>Geral</x:v>
      </x:c>
      <x:c r="V352" s="11" t="n">
        <x:v>97</x:v>
      </x:c>
      <x:c r="W352" s="10" t="str">
        <x:v>BR-SPDIREITOVIOLESTADO_MAPEAMENTOS-NOTICIAS-MSSCPENHA.xlsx:Geral:97</x:v>
      </x:c>
      <x:c r="X352" s="11" t="n">
        <x:f>COLUMNS(A352:S352)-COUNTBLANK(A352:S352)</x:f>
        <x:v>19</x:v>
      </x:c>
    </x:row>
    <x:row r="353" ht="24" hidden="0" customHeight="1">
      <x:c r="A353" s="10" t="str">
        <x:v>Notícia</x:v>
      </x:c>
      <x:c r="B353" s="10" t="str">
        <x:v>Difusão</x:v>
      </x:c>
      <x:c r="C353" s="10" t="str">
        <x:v>Produção midiática</x:v>
      </x:c>
      <x:c r="D353" s="10" t="str">
        <x:v>Público Mediado</x:v>
      </x:c>
      <x:c r="E353" s="10" t="str">
        <x:v>Midiático</x:v>
      </x:c>
      <x:c r="F353" s="10" t="str">
        <x:v>31/10/2025</x:v>
      </x:c>
      <x:c r="G353" s="11" t="n">
        <x:v>2025</x:v>
      </x:c>
      <x:c r="H353" s="10" t="str">
        <x:v>Paraná, Brasil</x:v>
      </x:c>
      <x:c r="I353" s="10" t="str">
        <x:v>Gazeta do Povo</x:v>
      </x:c>
      <x:c r="J353" s="10" t="str">
        <x:v>Da Operação Arcanjo à Operação Contenção: acertos e falhas no enfrentamento ao crime organizado</x:v>
      </x:c>
      <x:c r="K353" s="10" t="str">
        <x:v>Hemerográfico</x:v>
      </x:c>
      <x:c r="L353" s="10" t="str">
        <x:v>Texto (digital)</x:v>
      </x:c>
      <x:c r="M353" s="10" t="str">
        <x:v>Gazeta do Povo</x:v>
      </x:c>
      <x:c r="N353" s="10" t="str">
        <x:v>Português, Brasil</x:v>
      </x:c>
      <x:c r="O353" s="10" t="str">
        <x:v>"Operação contenção" no Google</x:v>
      </x:c>
      <x:c r="P353" s="10" t="str">
        <x:v>2025-11-02 00:00:00</x:v>
      </x:c>
      <x:c r="Q353" s="10" t="str">
        <x:v>Acesso restrito</x:v>
      </x:c>
      <x:c r="R353" s="10" t="str">
        <x:v>Aqui</x:v>
      </x:c>
      <x:c r="S353" s="10" t="str">
        <x:v>MONTENEGRO, Fernando G. Da Operação Arcanjo à Operação Contenção: acertos e falhas no enfrentamento ao crime organizado. Gazeta do Povo, Curitiba, 31 out. 2025. Disponível em: https://www.gazetadopovo.com.br/opiniao/artigos/operacao-arcanjo-operacao-contencao-acertos-falhas-enfrentamento-crime-organizado/. Acesso em: 2 nov. 2025.</x:v>
      </x:c>
      <x:c r="T353" s="10" t="str">
        <x:v>BR-SPDIREITOVIOLESTADO_MAPEAMENTOS-NOTICIAS-MSSCPENHA.xlsx</x:v>
      </x:c>
      <x:c r="U353" s="10" t="str">
        <x:v>Geral</x:v>
      </x:c>
      <x:c r="V353" s="11" t="n">
        <x:v>98</x:v>
      </x:c>
      <x:c r="W353" s="10" t="str">
        <x:v>BR-SPDIREITOVIOLESTADO_MAPEAMENTOS-NOTICIAS-MSSCPENHA.xlsx:Geral:98</x:v>
      </x:c>
      <x:c r="X353" s="11" t="n">
        <x:f>COLUMNS(A353:S353)-COUNTBLANK(A353:S353)</x:f>
        <x:v>19</x:v>
      </x:c>
    </x:row>
    <x:row r="354" ht="24" hidden="0" customHeight="1">
      <x:c r="A354" s="10" t="str">
        <x:v>Notícia</x:v>
      </x:c>
      <x:c r="B354" s="10" t="str">
        <x:v>Difusão</x:v>
      </x:c>
      <x:c r="C354" s="10" t="str">
        <x:v>Produção midiática</x:v>
      </x:c>
      <x:c r="D354" s="10" t="str">
        <x:v>Público Mediado</x:v>
      </x:c>
      <x:c r="E354" s="10" t="str">
        <x:v>Midiático</x:v>
      </x:c>
      <x:c r="F354" s="10" t="str">
        <x:v>28/10/2025</x:v>
      </x:c>
      <x:c r="G354" s="11" t="n">
        <x:v>2025</x:v>
      </x:c>
      <x:c r="H354" s="10" t="str">
        <x:v>Pará, Brasil</x:v>
      </x:c>
      <x:c r="I354" s="10" t="str">
        <x:v>Coordenadoria de Imprensa do Tribunal de Justiça do Estado Pará</x:v>
      </x:c>
      <x:c r="J354" s="10" t="str">
        <x:v>Vara de Combate ao Crime expede alguns mandados da Operação Contenção, do RJ</x:v>
      </x:c>
      <x:c r="K354" s="10" t="str">
        <x:v>Hemerográfico</x:v>
      </x:c>
      <x:c r="L354" s="10" t="str">
        <x:v>Texto (digital)</x:v>
      </x:c>
      <x:c r="M354" s="10" t="str">
        <x:v>Coordenadoria de Imprensa do Tribunal de Justiça do Estado Pará</x:v>
      </x:c>
      <x:c r="N354" s="10" t="str">
        <x:v>Português, Brasil</x:v>
      </x:c>
      <x:c r="O354" s="10" t="str">
        <x:v>"Operação contenção" no Google</x:v>
      </x:c>
      <x:c r="P354" s="10" t="str">
        <x:v>2025-11-02 00:00:00</x:v>
      </x:c>
      <x:c r="Q354" s="10" t="str">
        <x:v>Aberto</x:v>
      </x:c>
      <x:c r="R354" s="10" t="str">
        <x:v>Aqui</x:v>
      </x:c>
      <x:c r="S354" s="10" t="str">
        <x:v>TRIBUNAL DE JUSTIÇA DO ESTADO DO PARÁ (Coordenadoria de Imprensa). Vara de Combate ao Crime expede alguns mandados da Operação Contenção, do RJ. Tribunal de Justiça do Estado Pará. Belém, 28 out. 2025. Disponível em: https://www.tjpa.jus.br/PortalExterno/imprensa/noticias/Informes/2381185-tjpa-expede-mandados-no-ambito-da-operacao-contencao-deflagrada-no-rj.xhtml. Acesso em: 2 nov. 2025.</x:v>
      </x:c>
      <x:c r="T354" s="10" t="str">
        <x:v>BR-SPDIREITOVIOLESTADO_MAPEAMENTOS-NOTICIAS-MSSCPENHA.xlsx</x:v>
      </x:c>
      <x:c r="U354" s="10" t="str">
        <x:v>Geral</x:v>
      </x:c>
      <x:c r="V354" s="11" t="n">
        <x:v>99</x:v>
      </x:c>
      <x:c r="W354" s="10" t="str">
        <x:v>BR-SPDIREITOVIOLESTADO_MAPEAMENTOS-NOTICIAS-MSSCPENHA.xlsx:Geral:99</x:v>
      </x:c>
      <x:c r="X354" s="11" t="n">
        <x:f>COLUMNS(A354:S354)-COUNTBLANK(A354:S354)</x:f>
        <x:v>19</x:v>
      </x:c>
    </x:row>
    <x:row r="355" ht="24" hidden="0" customHeight="1">
      <x:c r="A355" s="10" t="str">
        <x:v>Notícia</x:v>
      </x:c>
      <x:c r="B355" s="10" t="str">
        <x:v>Difusão</x:v>
      </x:c>
      <x:c r="C355" s="10" t="str">
        <x:v>Produção midiática</x:v>
      </x:c>
      <x:c r="D355" s="10" t="str">
        <x:v>Público Mediado</x:v>
      </x:c>
      <x:c r="E355" s="10" t="str">
        <x:v>Midiático</x:v>
      </x:c>
      <x:c r="F355" s="10" t="str">
        <x:v>31/10/2025</x:v>
      </x:c>
      <x:c r="G355" s="11" t="n">
        <x:v>2025</x:v>
      </x:c>
      <x:c r="H355" s="10" t="str">
        <x:v>Rio de Janeiro, Brasil</x:v>
      </x:c>
      <x:c r="I355" s="10" t="str">
        <x:v>Agência Brasil</x:v>
      </x:c>
      <x:c r="J355" s="10" t="str">
        <x:v>Moradores de favelas protestam no Rio após megaoperação com 121 mortos</x:v>
      </x:c>
      <x:c r="K355" s="10" t="str">
        <x:v>Hemerográfico</x:v>
      </x:c>
      <x:c r="L355" s="10" t="str">
        <x:v>Texto (digital)</x:v>
      </x:c>
      <x:c r="M355" s="10" t="str">
        <x:v>Agência Brasil</x:v>
      </x:c>
      <x:c r="N355" s="10" t="str">
        <x:v>Português, Brasil</x:v>
      </x:c>
      <x:c r="O355" s="10" t="str">
        <x:v>"Operação contenção" no Google</x:v>
      </x:c>
      <x:c r="P355" s="10" t="str">
        <x:v>2025-11-02 00:00:00</x:v>
      </x:c>
      <x:c r="Q355" s="10" t="str">
        <x:v>Aberto</x:v>
      </x:c>
      <x:c r="R355" s="10" t="str">
        <x:v>Aqui</x:v>
      </x:c>
      <x:c r="S355" s="10" t="str">
        <x:v>FREIRE, Tâmara. Moradores de favelas protestam no Rio após megaoperação com 121 mortos. Agência Brasil, Rio de Janeiro, 31 out. 2025. Disponível em: https://agenciabrasil.ebc.com.br/direitos-humanos/noticia/2025-10/moradores-fazem-protesto-no-rio-apos-megaoperacao-com-121-mortos. Acesso em: 2 nov. 2025.</x:v>
      </x:c>
      <x:c r="T355" s="10" t="str">
        <x:v>BR-SPDIREITOVIOLESTADO_MAPEAMENTOS-NOTICIAS-MSSCPENHA.xlsx</x:v>
      </x:c>
      <x:c r="U355" s="10" t="str">
        <x:v>Geral</x:v>
      </x:c>
      <x:c r="V355" s="11" t="n">
        <x:v>100</x:v>
      </x:c>
      <x:c r="W355" s="10" t="str">
        <x:v>BR-SPDIREITOVIOLESTADO_MAPEAMENTOS-NOTICIAS-MSSCPENHA.xlsx:Geral:100</x:v>
      </x:c>
      <x:c r="X355" s="11" t="n">
        <x:f>COLUMNS(A355:S355)-COUNTBLANK(A355:S355)</x:f>
        <x:v>19</x:v>
      </x:c>
    </x:row>
    <x:row r="356" ht="24" hidden="0" customHeight="1">
      <x:c r="A356" s="10" t="str">
        <x:v>Notícia</x:v>
      </x:c>
      <x:c r="B356" s="10" t="str">
        <x:v>Difusão</x:v>
      </x:c>
      <x:c r="C356" s="10" t="str">
        <x:v>Produção midiática</x:v>
      </x:c>
      <x:c r="D356" s="10" t="str">
        <x:v>Público Mediado</x:v>
      </x:c>
      <x:c r="E356" s="10" t="str">
        <x:v>Midiático</x:v>
      </x:c>
      <x:c r="F356" s="10" t="str">
        <x:v>30/10/2025</x:v>
      </x:c>
      <x:c r="G356" s="11" t="n">
        <x:v>2025</x:v>
      </x:c>
      <x:c r="H356" s="10" t="str">
        <x:v>Rio de Janeiro, Brasil</x:v>
      </x:c>
      <x:c r="I356" s="10" t="str">
        <x:v>Agência Brasil</x:v>
      </x:c>
      <x:c r="J356" s="10" t="str">
        <x:v>Força-tarefa deve identificar mortos na operação até o fim de semana</x:v>
      </x:c>
      <x:c r="K356" s="10" t="str">
        <x:v>Hemerográfico</x:v>
      </x:c>
      <x:c r="L356" s="10" t="str">
        <x:v>Texto (digital)</x:v>
      </x:c>
      <x:c r="M356" s="10" t="str">
        <x:v>Agência Brasil</x:v>
      </x:c>
      <x:c r="N356" s="10" t="str">
        <x:v>Português, Brasil</x:v>
      </x:c>
      <x:c r="O356" s="10" t="str">
        <x:v>"Operação contenção" no Google</x:v>
      </x:c>
      <x:c r="P356" s="10" t="str">
        <x:v>2025-11-02 00:00:00</x:v>
      </x:c>
      <x:c r="Q356" s="10" t="str">
        <x:v>Aberto</x:v>
      </x:c>
      <x:c r="R356" s="10" t="str">
        <x:v>Aqui</x:v>
      </x:c>
      <x:c r="S356" s="10" t="str">
        <x:v>TOKARNIA, Mariana. Força-tarefa deve identificar mortos na operação até o fim de semana. Agência Brasil, Rio de Janeiro, 30 out. 2025. Disponível em: https://agenciabrasil.ebc.com.br/direitos-humanos/noticia/2025-10/forca-tarefa-deve-identificar-mortos-na-operacao-ate-o-fim-de-semana. Acesso em: 2 nov. 2025.</x:v>
      </x:c>
      <x:c r="T356" s="10" t="str">
        <x:v>BR-SPDIREITOVIOLESTADO_MAPEAMENTOS-NOTICIAS-MSSCPENHA.xlsx</x:v>
      </x:c>
      <x:c r="U356" s="10" t="str">
        <x:v>Geral</x:v>
      </x:c>
      <x:c r="V356" s="11" t="n">
        <x:v>101</x:v>
      </x:c>
      <x:c r="W356" s="10" t="str">
        <x:v>BR-SPDIREITOVIOLESTADO_MAPEAMENTOS-NOTICIAS-MSSCPENHA.xlsx:Geral:101</x:v>
      </x:c>
      <x:c r="X356" s="11" t="n">
        <x:f>COLUMNS(A356:S356)-COUNTBLANK(A356:S356)</x:f>
        <x:v>19</x:v>
      </x:c>
    </x:row>
    <x:row r="357" ht="24" hidden="0" customHeight="1">
      <x:c r="A357" s="10" t="str">
        <x:v>Notícia</x:v>
      </x:c>
      <x:c r="B357" s="10" t="str">
        <x:v>Difusão</x:v>
      </x:c>
      <x:c r="C357" s="10" t="str">
        <x:v>Produção midiática</x:v>
      </x:c>
      <x:c r="D357" s="10" t="str">
        <x:v>Público Mediado</x:v>
      </x:c>
      <x:c r="E357" s="10" t="str">
        <x:v>Midiático</x:v>
      </x:c>
      <x:c r="F357" s="10" t="str">
        <x:v>29/10/2025</x:v>
      </x:c>
      <x:c r="G357" s="11" t="n">
        <x:v>2025</x:v>
      </x:c>
      <x:c r="H357" s="10" t="str">
        <x:v>Rio de Janeiro, Brasil</x:v>
      </x:c>
      <x:c r="I357" s="10" t="str">
        <x:v>Agência Brasil</x:v>
      </x:c>
      <x:c r="J357" s="10" t="str">
        <x:v>Moradores retiram cerca de 60 corpos em área de mata após operação</x:v>
      </x:c>
      <x:c r="K357" s="10" t="str">
        <x:v>Hemerográfico</x:v>
      </x:c>
      <x:c r="L357" s="10" t="str">
        <x:v>Texto (digital)</x:v>
      </x:c>
      <x:c r="M357" s="10" t="str">
        <x:v>Agência Brasil</x:v>
      </x:c>
      <x:c r="N357" s="10" t="str">
        <x:v>Português, Brasil</x:v>
      </x:c>
      <x:c r="O357" s="10" t="str">
        <x:v>"Operação contenção" no Google</x:v>
      </x:c>
      <x:c r="P357" s="10" t="str">
        <x:v>2025-11-02 00:00:00</x:v>
      </x:c>
      <x:c r="Q357" s="10" t="str">
        <x:v>Aberto</x:v>
      </x:c>
      <x:c r="R357" s="10" t="str">
        <x:v>Aqui</x:v>
      </x:c>
      <x:c r="S357" s="10" t="str">
        <x:v>FREIRE, Tâmara. Moradores retiram cerca de 60 corpos em área de mata após operação. Agência Brasil, Rio de Janeiro, 29 out. 2025. Disponível em: https://agenciabrasil.ebc.com.br/geral/noticia/2025-10/moradores-retiram-cerca-de-50-corpos-em-area-de-mata-apos-operacao. Acesso em: 2 nov. 2025.</x:v>
      </x:c>
      <x:c r="T357" s="10" t="str">
        <x:v>BR-SPDIREITOVIOLESTADO_MAPEAMENTOS-NOTICIAS-MSSCPENHA.xlsx</x:v>
      </x:c>
      <x:c r="U357" s="10" t="str">
        <x:v>Geral</x:v>
      </x:c>
      <x:c r="V357" s="11" t="n">
        <x:v>102</x:v>
      </x:c>
      <x:c r="W357" s="10" t="str">
        <x:v>BR-SPDIREITOVIOLESTADO_MAPEAMENTOS-NOTICIAS-MSSCPENHA.xlsx:Geral:102</x:v>
      </x:c>
      <x:c r="X357" s="11" t="n">
        <x:f>COLUMNS(A357:S357)-COUNTBLANK(A357:S357)</x:f>
        <x:v>19</x:v>
      </x:c>
    </x:row>
    <x:row r="358" ht="24" hidden="0" customHeight="1">
      <x:c r="A358" s="10" t="str">
        <x:v>Notícia</x:v>
      </x:c>
      <x:c r="B358" s="10" t="str">
        <x:v>Difusão</x:v>
      </x:c>
      <x:c r="C358" s="10" t="str">
        <x:v>Produção midiática</x:v>
      </x:c>
      <x:c r="D358" s="10" t="str">
        <x:v>Público Mediado</x:v>
      </x:c>
      <x:c r="E358" s="10" t="str">
        <x:v>Midiático</x:v>
      </x:c>
      <x:c r="F358" s="10" t="str">
        <x:v>02/11/2025</x:v>
      </x:c>
      <x:c r="G358" s="11" t="n">
        <x:v>2025</x:v>
      </x:c>
      <x:c r="H358" s="10" t="str">
        <x:v>Distrito Federal, Brasil</x:v>
      </x:c>
      <x:c r="I358" s="10" t="str">
        <x:v>Agência Brasil</x:v>
      </x:c>
      <x:c r="J358" s="10" t="str">
        <x:v>STF determina preservação de provas da Operação Contenção, no Rio</x:v>
      </x:c>
      <x:c r="K358" s="10" t="str">
        <x:v>Hemerográfico</x:v>
      </x:c>
      <x:c r="L358" s="10" t="str">
        <x:v>Texto (digital)</x:v>
      </x:c>
      <x:c r="M358" s="10" t="str">
        <x:v>Agência Brasil</x:v>
      </x:c>
      <x:c r="N358" s="10" t="str">
        <x:v>Português, Brasil</x:v>
      </x:c>
      <x:c r="O358" s="10" t="str">
        <x:v>"Operação contenção" no Google</x:v>
      </x:c>
      <x:c r="P358" s="10" t="str">
        <x:v>2025-11-02 00:00:00</x:v>
      </x:c>
      <x:c r="Q358" s="10" t="str">
        <x:v>Aberto</x:v>
      </x:c>
      <x:c r="R358" s="10" t="str">
        <x:v>Aqui</x:v>
      </x:c>
      <x:c r="S358" s="10" t="str">
        <x:v>EL GHAOURI, Oussama. STF determina preservação de provas da Operação Contenção, no Rio. Rádio Nacional, Brasília, 2 nov. 2025. Disponível em: https://agenciabrasil.ebc.com.br/radioagencia-nacional/justica/audio/2025-11/stf-determina-preservacao-de-provas-da-operacao-contencao-no-rio. Acesso em: 2 nov. 2025.</x:v>
      </x:c>
      <x:c r="T358" s="10" t="str">
        <x:v>BR-SPDIREITOVIOLESTADO_MAPEAMENTOS-NOTICIAS-MSSCPENHA.xlsx</x:v>
      </x:c>
      <x:c r="U358" s="10" t="str">
        <x:v>Geral</x:v>
      </x:c>
      <x:c r="V358" s="11" t="n">
        <x:v>103</x:v>
      </x:c>
      <x:c r="W358" s="10" t="str">
        <x:v>BR-SPDIREITOVIOLESTADO_MAPEAMENTOS-NOTICIAS-MSSCPENHA.xlsx:Geral:103</x:v>
      </x:c>
      <x:c r="X358" s="11" t="n">
        <x:f>COLUMNS(A358:S358)-COUNTBLANK(A358:S358)</x:f>
        <x:v>19</x:v>
      </x:c>
    </x:row>
    <x:row r="359" ht="36" hidden="0" customHeight="1">
      <x:c r="A359" s="10" t="str">
        <x:v>Notícia</x:v>
      </x:c>
      <x:c r="B359" s="10" t="str">
        <x:v>Difusão</x:v>
      </x:c>
      <x:c r="C359" s="10" t="str">
        <x:v>Produção midiática</x:v>
      </x:c>
      <x:c r="D359" s="10" t="str">
        <x:v>Público Mediado</x:v>
      </x:c>
      <x:c r="E359" s="10" t="str">
        <x:v>Midiático</x:v>
      </x:c>
      <x:c r="F359" s="10" t="str">
        <x:v>29/10/2025</x:v>
      </x:c>
      <x:c r="G359" s="11" t="n">
        <x:v>2025</x:v>
      </x:c>
      <x:c r="H359" s="10" t="str">
        <x:v>Rio de Janeiro, Brasil</x:v>
      </x:c>
      <x:c r="I359" s="10" t="str">
        <x:v>Portal do Governo do Estado do Rio de Janeiro</x:v>
      </x:c>
      <x:c r="J359" s="10" t="str">
        <x:v>Cláudio Castro agradece apoio de governadores após Operação Contenção e prega integração para vencer o crime organizado: 'soma ou suma'</x:v>
      </x:c>
      <x:c r="K359" s="10" t="str">
        <x:v>Hemerográfico</x:v>
      </x:c>
      <x:c r="L359" s="10" t="str">
        <x:v>Texto (digital)</x:v>
      </x:c>
      <x:c r="M359" s="10" t="str">
        <x:v>Portal do Governo do Estado do Rio de Janeiro</x:v>
      </x:c>
      <x:c r="N359" s="10" t="str">
        <x:v>Português, Brasil</x:v>
      </x:c>
      <x:c r="O359" s="10" t="str">
        <x:v>"Operação contenção" no Google</x:v>
      </x:c>
      <x:c r="P359" s="10" t="str">
        <x:v>2025-11-02 00:00:00</x:v>
      </x:c>
      <x:c r="Q359" s="10" t="str">
        <x:v>Aberto</x:v>
      </x:c>
      <x:c r="R359" s="10" t="str">
        <x:v>Aqui</x:v>
      </x:c>
      <x:c r="S359" s="10" t="str">
        <x:v>GOVERNO DO ESTADO. Cláudio Castro agradece apoio de governadores após Operação Contenção e prega integração para vencer o crime organizado: 'soma ou suma'. Portal do Governo do Estado do Rio de Janeiro, Rio de Janeiro, 29 out. 2025. Disponível em: https://www.rj.gov.br/noticias/claudio-castro-agradece-apoio-de-governadores-apos-operacao-contencao-e-prega-integracao-para-vencer-o-crime-organizado-soma-ou-suma4809. Acesso em: 2 nov. 2025.</x:v>
      </x:c>
      <x:c r="T359" s="10" t="str">
        <x:v>BR-SPDIREITOVIOLESTADO_MAPEAMENTOS-NOTICIAS-MSSCPENHA.xlsx</x:v>
      </x:c>
      <x:c r="U359" s="10" t="str">
        <x:v>Geral</x:v>
      </x:c>
      <x:c r="V359" s="11" t="n">
        <x:v>104</x:v>
      </x:c>
      <x:c r="W359" s="10" t="str">
        <x:v>BR-SPDIREITOVIOLESTADO_MAPEAMENTOS-NOTICIAS-MSSCPENHA.xlsx:Geral:104</x:v>
      </x:c>
      <x:c r="X359" s="11" t="n">
        <x:f>COLUMNS(A359:S359)-COUNTBLANK(A359:S359)</x:f>
        <x:v>19</x:v>
      </x:c>
    </x:row>
    <x:row r="360" ht="24" hidden="0" customHeight="1">
      <x:c r="A360" s="10" t="str">
        <x:v>Notícia</x:v>
      </x:c>
      <x:c r="B360" s="10" t="str">
        <x:v>Difusão</x:v>
      </x:c>
      <x:c r="C360" s="10" t="str">
        <x:v>Produção midiática</x:v>
      </x:c>
      <x:c r="D360" s="10" t="str">
        <x:v>Público Mediado</x:v>
      </x:c>
      <x:c r="E360" s="10" t="str">
        <x:v>Midiático</x:v>
      </x:c>
      <x:c r="F360" s="10" t="str">
        <x:v>02/11/2025</x:v>
      </x:c>
      <x:c r="G360" s="11" t="n">
        <x:v>2025</x:v>
      </x:c>
      <x:c r="H360" s="10" t="str">
        <x:v>Rio de Janeiro, Brasil</x:v>
      </x:c>
      <x:c r="I360" s="10" t="str">
        <x:v>Brasil de Fato</x:v>
      </x:c>
      <x:c r="J360" s="10" t="str">
        <x:v>STF: Alexandre de Moraes determina preservação de provas relacionadas à Operação Contenção</x:v>
      </x:c>
      <x:c r="K360" s="10" t="str">
        <x:v>Hemerográfico</x:v>
      </x:c>
      <x:c r="L360" s="10" t="str">
        <x:v>Texto (digital)</x:v>
      </x:c>
      <x:c r="M360" s="10" t="str">
        <x:v>Brasil de Fato</x:v>
      </x:c>
      <x:c r="N360" s="10" t="str">
        <x:v>Português, Brasil</x:v>
      </x:c>
      <x:c r="O360" s="10" t="str">
        <x:v>"Operação contenção" no Google</x:v>
      </x:c>
      <x:c r="P360" s="10" t="str">
        <x:v>2025-11-02 00:00:00</x:v>
      </x:c>
      <x:c r="Q360" s="10" t="str">
        <x:v>Aberto</x:v>
      </x:c>
      <x:c r="R360" s="10" t="str">
        <x:v>Aqui</x:v>
      </x:c>
      <x:c r="S360" s="10" t="str">
        <x:v>BRASIL DE FATO. STF: Alexandre de Moraes determina preservação de provas relacionadas à Operação Contenção. Brasil de Fato, Rio de Janeiro, 2 nov. 2025. Disponível em: https://www.brasildefato.com.br/2025/11/02/stf-alexandre-de-moraes-determina-preservacao-de-provas-relacionadas-a-operacao-contencao/. Acesso em: 3 nov. 2025.</x:v>
      </x:c>
      <x:c r="T360" s="10" t="str">
        <x:v>BR-SPDIREITOVIOLESTADO_MAPEAMENTOS-NOTICIAS-MSSCPENHA.xlsx</x:v>
      </x:c>
      <x:c r="U360" s="10" t="str">
        <x:v>Geral</x:v>
      </x:c>
      <x:c r="V360" s="11" t="n">
        <x:v>105</x:v>
      </x:c>
      <x:c r="W360" s="10" t="str">
        <x:v>BR-SPDIREITOVIOLESTADO_MAPEAMENTOS-NOTICIAS-MSSCPENHA.xlsx:Geral:105</x:v>
      </x:c>
      <x:c r="X360" s="11" t="n">
        <x:f>COLUMNS(A360:S360)-COUNTBLANK(A360:S360)</x:f>
        <x:v>19</x:v>
      </x:c>
    </x:row>
    <x:row r="361" ht="24" hidden="0" customHeight="1">
      <x:c r="A361" s="10" t="str">
        <x:v>Notícia</x:v>
      </x:c>
      <x:c r="B361" s="10" t="str">
        <x:v>Difusão</x:v>
      </x:c>
      <x:c r="C361" s="10" t="str">
        <x:v>Produção midiática</x:v>
      </x:c>
      <x:c r="D361" s="10" t="str">
        <x:v>Público Mediado</x:v>
      </x:c>
      <x:c r="E361" s="10" t="str">
        <x:v>Midiático</x:v>
      </x:c>
      <x:c r="F361" s="10" t="str">
        <x:v>31/10/2025</x:v>
      </x:c>
      <x:c r="G361" s="11" t="n">
        <x:v>2025</x:v>
      </x:c>
      <x:c r="H361" s="10" t="str">
        <x:v>Rio de Janeiro, Brasil</x:v>
      </x:c>
      <x:c r="I361" s="10" t="str">
        <x:v>Ordem dos Advogados do Rio de Janeiro</x:v>
      </x:c>
      <x:c r="J361" s="10" t="str">
        <x:v>OABRJ cria observatório para acompanhar desdobramentos da ‘Operação Contenção’</x:v>
      </x:c>
      <x:c r="K361" s="10" t="str">
        <x:v>Hemerográfico</x:v>
      </x:c>
      <x:c r="L361" s="10" t="str">
        <x:v>Texto (digital)</x:v>
      </x:c>
      <x:c r="M361" s="10" t="str">
        <x:v>Ordem dos Advogados do Rio de Janeiro</x:v>
      </x:c>
      <x:c r="N361" s="10" t="str">
        <x:v>Português, Brasil</x:v>
      </x:c>
      <x:c r="O361" s="10" t="str">
        <x:v>"Operação contenção" no Google</x:v>
      </x:c>
      <x:c r="P361" s="10" t="str">
        <x:v>2025-11-02 00:00:00</x:v>
      </x:c>
      <x:c r="Q361" s="10" t="str">
        <x:v>Aberto</x:v>
      </x:c>
      <x:c r="R361" s="10" t="str">
        <x:v>Aqui</x:v>
      </x:c>
      <x:c r="S361" s="10" t="str">
        <x:v>BRANDÃO, Ana Júlia. OABRJ cria observatório para acompanhar desdobramentos da ‘Operação Contenção’. OABRJ, Rio de Janeiro, 31 out. 2025. Disponível em: https://oabrj.org.br/noticias/oabrj-cria-observatorio-acompanhar-desdobramentos-operacao-contencao. Acesso em: 3 nov. 2025.</x:v>
      </x:c>
      <x:c r="T361" s="10" t="str">
        <x:v>BR-SPDIREITOVIOLESTADO_MAPEAMENTOS-NOTICIAS-MSSCPENHA.xlsx</x:v>
      </x:c>
      <x:c r="U361" s="10" t="str">
        <x:v>Geral</x:v>
      </x:c>
      <x:c r="V361" s="11" t="n">
        <x:v>106</x:v>
      </x:c>
      <x:c r="W361" s="10" t="str">
        <x:v>BR-SPDIREITOVIOLESTADO_MAPEAMENTOS-NOTICIAS-MSSCPENHA.xlsx:Geral:106</x:v>
      </x:c>
      <x:c r="X361" s="11" t="n">
        <x:f>COLUMNS(A361:S361)-COUNTBLANK(A361:S361)</x:f>
        <x:v>19</x:v>
      </x:c>
    </x:row>
    <x:row r="362" ht="24" hidden="0" customHeight="1">
      <x:c r="A362" s="10" t="str">
        <x:v>Notícia</x:v>
      </x:c>
      <x:c r="B362" s="10" t="str">
        <x:v>Difusão</x:v>
      </x:c>
      <x:c r="C362" s="10" t="str">
        <x:v>Produção midiática</x:v>
      </x:c>
      <x:c r="D362" s="10" t="str">
        <x:v>Público Mediado</x:v>
      </x:c>
      <x:c r="E362" s="10" t="str">
        <x:v>Midiático</x:v>
      </x:c>
      <x:c r="F362" s="10" t="str">
        <x:v>02/11/2025</x:v>
      </x:c>
      <x:c r="G362" s="11" t="n">
        <x:v>2025</x:v>
      </x:c>
      <x:c r="H362" s="10" t="str">
        <x:v>Rio de Janeiro, Brasil</x:v>
      </x:c>
      <x:c r="I362" s="10" t="str">
        <x:v>Agência Brasil</x:v>
      </x:c>
      <x:c r="J362" s="10" t="str">
        <x:v>Mãe denuncia execução em operação e cobra políticas para a juventude</x:v>
      </x:c>
      <x:c r="K362" s="10" t="str">
        <x:v>Hemerográfico</x:v>
      </x:c>
      <x:c r="L362" s="10" t="str">
        <x:v>Texto (digital)</x:v>
      </x:c>
      <x:c r="M362" s="10" t="str">
        <x:v>Agência Brasil</x:v>
      </x:c>
      <x:c r="N362" s="10" t="str">
        <x:v>Português, Brasil</x:v>
      </x:c>
      <x:c r="O362" s="10" t="str">
        <x:v>"Operação contenção" no Google</x:v>
      </x:c>
      <x:c r="P362" s="10" t="str">
        <x:v>2025-11-02 00:00:00</x:v>
      </x:c>
      <x:c r="Q362" s="10" t="str">
        <x:v>Aberto</x:v>
      </x:c>
      <x:c r="R362" s="10" t="str">
        <x:v>Aqui</x:v>
      </x:c>
      <x:c r="S362" s="10" t="str">
        <x:v>VIEIRA, Isabela. Mãe denuncia execução em operação e cobra políticas para a juventude. Agência Brasil, Rio de Janeiro, 2 nov. 2025. Disponível em: https://agenciabrasil.ebc.com.br/direitos-humanos/noticia/2025-11/mae-denuncia-execucao-em-operacao-e-cobra-politicas-para-juventude. Acesso em: 3 nov. 2025.</x:v>
      </x:c>
      <x:c r="T362" s="10" t="str">
        <x:v>BR-SPDIREITOVIOLESTADO_MAPEAMENTOS-NOTICIAS-MSSCPENHA.xlsx</x:v>
      </x:c>
      <x:c r="U362" s="10" t="str">
        <x:v>Geral</x:v>
      </x:c>
      <x:c r="V362" s="11" t="n">
        <x:v>107</x:v>
      </x:c>
      <x:c r="W362" s="10" t="str">
        <x:v>BR-SPDIREITOVIOLESTADO_MAPEAMENTOS-NOTICIAS-MSSCPENHA.xlsx:Geral:107</x:v>
      </x:c>
      <x:c r="X362" s="11" t="n">
        <x:f>COLUMNS(A362:S362)-COUNTBLANK(A362:S362)</x:f>
        <x:v>19</x:v>
      </x:c>
    </x:row>
    <x:row r="363" ht="24" hidden="0" customHeight="1">
      <x:c r="A363" s="10" t="str">
        <x:v>Notícia</x:v>
      </x:c>
      <x:c r="B363" s="10" t="str">
        <x:v>Difusão</x:v>
      </x:c>
      <x:c r="C363" s="10" t="str">
        <x:v>Produção midiática</x:v>
      </x:c>
      <x:c r="D363" s="10" t="str">
        <x:v>Público Mediado</x:v>
      </x:c>
      <x:c r="E363" s="10" t="str">
        <x:v>Midiático</x:v>
      </x:c>
      <x:c r="F363" s="10" t="str">
        <x:v>30/10/2025</x:v>
      </x:c>
      <x:c r="G363" s="11" t="n">
        <x:v>2025</x:v>
      </x:c>
      <x:c r="H363" s="10" t="str">
        <x:v>São Paulo, Brasil</x:v>
      </x:c>
      <x:c r="I363" s="10" t="str">
        <x:v>O Estado de S. Paulo</x:v>
      </x:c>
      <x:c r="J363" s="10" t="str">
        <x:v>Operação Contenção: Defensoria questiona perícia oficial e pede ao STF laudos paralelos em corpos</x:v>
      </x:c>
      <x:c r="K363" s="10" t="str">
        <x:v>Hemerográfico</x:v>
      </x:c>
      <x:c r="L363" s="10" t="str">
        <x:v>Texto (digital)</x:v>
      </x:c>
      <x:c r="M363" s="10" t="str">
        <x:v>O Estado de S. Paulo</x:v>
      </x:c>
      <x:c r="N363" s="10" t="str">
        <x:v>Português, Brasil</x:v>
      </x:c>
      <x:c r="O363" s="10" t="str">
        <x:v>"Operação contenção" no Google</x:v>
      </x:c>
      <x:c r="P363" s="10" t="str">
        <x:v>2025-11-02 00:00:00</x:v>
      </x:c>
      <x:c r="Q363" s="10" t="str">
        <x:v>Acesso restrito</x:v>
      </x:c>
      <x:c r="R363" s="10" t="str">
        <x:v>Aqui</x:v>
      </x:c>
      <x:c r="S363" s="10" t="str">
        <x:v>MOTTA, Rayssa. Operação Contenção: Defensoria questiona perícia oficial e pede ao STF laudos paralelos em corpos. Estadão, São Paulo, 30 out. 2025. Disponível em: https://www.estadao.com.br/politica/blog-do-fausto-macedo/defensoria-publica-rio-stf-imparcialidade-pericia-oficial-corpos-operacao/. Acesso em: 3 nov. 2025.</x:v>
      </x:c>
      <x:c r="T363" s="10" t="str">
        <x:v>BR-SPDIREITOVIOLESTADO_MAPEAMENTOS-NOTICIAS-MSSCPENHA.xlsx</x:v>
      </x:c>
      <x:c r="U363" s="10" t="str">
        <x:v>Geral</x:v>
      </x:c>
      <x:c r="V363" s="11" t="n">
        <x:v>108</x:v>
      </x:c>
      <x:c r="W363" s="10" t="str">
        <x:v>BR-SPDIREITOVIOLESTADO_MAPEAMENTOS-NOTICIAS-MSSCPENHA.xlsx:Geral:108</x:v>
      </x:c>
      <x:c r="X363" s="11" t="n">
        <x:f>COLUMNS(A363:S363)-COUNTBLANK(A363:S363)</x:f>
        <x:v>19</x:v>
      </x:c>
    </x:row>
    <x:row r="364" ht="24" hidden="0" customHeight="1">
      <x:c r="A364" s="10" t="str">
        <x:v>Artigo de opinião</x:v>
      </x:c>
      <x:c r="B364" s="10" t="str">
        <x:v>Difusão</x:v>
      </x:c>
      <x:c r="C364" s="10" t="str">
        <x:v>Produção midiática</x:v>
      </x:c>
      <x:c r="D364" s="10" t="str">
        <x:v>Público Mediado</x:v>
      </x:c>
      <x:c r="E364" s="10" t="str">
        <x:v>Midiático</x:v>
      </x:c>
      <x:c r="F364" s="10" t="str">
        <x:v>30/10/2025</x:v>
      </x:c>
      <x:c r="G364" s="11" t="n">
        <x:v>2025</x:v>
      </x:c>
      <x:c r="H364" s="10" t="str">
        <x:v>Distrito Federal, Brasil</x:v>
      </x:c>
      <x:c r="I364" s="10" t="str">
        <x:v>Brasil de Fato</x:v>
      </x:c>
      <x:c r="J364" s="10" t="str">
        <x:v>Operação Contenção e Carbono Oculto expõe projetos distintos de país e a escolha está diante de nós</x:v>
      </x:c>
      <x:c r="K364" s="10" t="str">
        <x:v>Hemerográfico</x:v>
      </x:c>
      <x:c r="L364" s="10" t="str">
        <x:v>Texto (digital)</x:v>
      </x:c>
      <x:c r="M364" s="10" t="str">
        <x:v>Brasil de Fato</x:v>
      </x:c>
      <x:c r="N364" s="10" t="str">
        <x:v>Português, Brasil</x:v>
      </x:c>
      <x:c r="O364" s="10" t="str">
        <x:v>"Operação contenção" no Google</x:v>
      </x:c>
      <x:c r="P364" s="10" t="str">
        <x:v>2025-11-02 00:00:00</x:v>
      </x:c>
      <x:c r="Q364" s="10" t="str">
        <x:v>Aberto</x:v>
      </x:c>
      <x:c r="R364" s="10" t="str">
        <x:v>Aqui</x:v>
      </x:c>
      <x:c r="S364" s="10" t="str">
        <x:v>ELIAS, Gabriel. Operação Contenção e Carbono Oculto expõe projetos distintos de país e a escolha está diante de nós. Brasil de Fato, Brasília, 30 out. 2025. Disponível em: https://www.brasildefato.com.br/2025/10/30/operacao-contencao-e-carbono-oculto-expoe-projetos-distintos-de-pais-e-a-escolha-esta-diante-de-nos/. Acesso em: 3 nov. 2025.</x:v>
      </x:c>
      <x:c r="T364" s="10" t="str">
        <x:v>BR-SPDIREITOVIOLESTADO_MAPEAMENTOS-NOTICIAS-MSSCPENHA.xlsx</x:v>
      </x:c>
      <x:c r="U364" s="10" t="str">
        <x:v>Geral</x:v>
      </x:c>
      <x:c r="V364" s="11" t="n">
        <x:v>109</x:v>
      </x:c>
      <x:c r="W364" s="10" t="str">
        <x:v>BR-SPDIREITOVIOLESTADO_MAPEAMENTOS-NOTICIAS-MSSCPENHA.xlsx:Geral:109</x:v>
      </x:c>
      <x:c r="X364" s="11" t="n">
        <x:f>COLUMNS(A364:S364)-COUNTBLANK(A364:S364)</x:f>
        <x:v>19</x:v>
      </x:c>
    </x:row>
    <x:row r="365" ht="24" hidden="0" customHeight="1">
      <x:c r="A365" s="10" t="str">
        <x:v>Fotografia</x:v>
      </x:c>
      <x:c r="B365" s="10" t="str">
        <x:v>Rememoração</x:v>
      </x:c>
      <x:c r="C365" s="10" t="str">
        <x:v>Manifestação artístico-cultural</x:v>
      </x:c>
      <x:c r="D365" s="10" t="str">
        <x:v>Público Mediado</x:v>
      </x:c>
      <x:c r="E365" s="10" t="str">
        <x:v>Presencial/Físico</x:v>
      </x:c>
      <x:c r="F365" s="10" t="str">
        <x:v>2025-11-01 00:00:00</x:v>
      </x:c>
      <x:c r="G365" s="11" t="n">
        <x:v>2025</x:v>
      </x:c>
      <x:c r="H365" s="10" t="str">
        <x:v>Rio de Janeiro, Brasil</x:v>
      </x:c>
      <x:c r="I365" s="10" t="str">
        <x:v>Agência Brasil</x:v>
      </x:c>
      <x:c r="J365" s="10" t="str">
        <x:v>Parente das vítimas da Operação Contenção chegando ao Instituto Médico Legal (IML) para reconhecimento dos corpos</x:v>
      </x:c>
      <x:c r="K365" s="10" t="str">
        <x:v>Hemerográfico</x:v>
      </x:c>
      <x:c r="L365" s="10" t="str">
        <x:v>Texto (digital)</x:v>
      </x:c>
      <x:c r="M365" s="10" t="str">
        <x:v>Agência Brasil</x:v>
      </x:c>
      <x:c r="N365" s="10" t="str">
        <x:v>Português, Brasil</x:v>
      </x:c>
      <x:c r="O365" s="10" t="str">
        <x:v>"Operação contenção" no Google</x:v>
      </x:c>
      <x:c r="P365" s="10" t="str">
        <x:v>2025-11-02 00:00:00</x:v>
      </x:c>
      <x:c r="Q365" s="10" t="str">
        <x:v>Aberto</x:v>
      </x:c>
      <x:c r="R365" s="10" t="str"/>
      <x:c r="S365" s="10" t="str">
        <x:v>ALVES, Joédson. Parente das vítimas da Operação Contenção chegando ao Instituto Médico Legal (IML) para reconhecimento dos corpos. Agência Brasil, fotografia, Rio de Janeiro, 1 nov. 2025. Disponível em: http://agenciabrasil.ebc.com.br/foto/2025-11/operacao-contencao-1762006040-2. Acesso em: 3 nov. 2025.</x:v>
      </x:c>
      <x:c r="T365" s="10" t="str">
        <x:v>BR-SPDIREITOVIOLESTADO_MAPEAMENTOS-NOTICIAS-MSSCPENHA.xlsx</x:v>
      </x:c>
      <x:c r="U365" s="10" t="str">
        <x:v>Geral</x:v>
      </x:c>
      <x:c r="V365" s="11" t="n">
        <x:v>110</x:v>
      </x:c>
      <x:c r="W365" s="10" t="str">
        <x:v>BR-SPDIREITOVIOLESTADO_MAPEAMENTOS-NOTICIAS-MSSCPENHA.xlsx:Geral:110</x:v>
      </x:c>
      <x:c r="X365" s="11" t="n">
        <x:f>COLUMNS(A365:S365)-COUNTBLANK(A365:S365)</x:f>
        <x:v>18</x:v>
      </x:c>
    </x:row>
    <x:row r="366" ht="24" hidden="0" customHeight="1">
      <x:c r="A366" s="10" t="str">
        <x:v>Notícia</x:v>
      </x:c>
      <x:c r="B366" s="10" t="str">
        <x:v>Difusão</x:v>
      </x:c>
      <x:c r="C366" s="10" t="str">
        <x:v>Produção midiática</x:v>
      </x:c>
      <x:c r="D366" s="10" t="str">
        <x:v>Público Mediado</x:v>
      </x:c>
      <x:c r="E366" s="10" t="str">
        <x:v>Midiático</x:v>
      </x:c>
      <x:c r="F366" s="10" t="str">
        <x:v>01/11/2025</x:v>
      </x:c>
      <x:c r="G366" s="11" t="n">
        <x:v>2025</x:v>
      </x:c>
      <x:c r="H366" s="10" t="str">
        <x:v>Rio de Janeiro, Brasil</x:v>
      </x:c>
      <x:c r="I366" s="10" t="str">
        <x:v>Agência Brasil</x:v>
      </x:c>
      <x:c r="J366" s="10" t="str">
        <x:v>Últimos corpos de pessoas assassinadas em operação no Rio deixam o IML</x:v>
      </x:c>
      <x:c r="K366" s="10" t="str">
        <x:v>Hemerográfico</x:v>
      </x:c>
      <x:c r="L366" s="10" t="str">
        <x:v>Texto (digital)</x:v>
      </x:c>
      <x:c r="M366" s="10" t="str">
        <x:v>Agência Brasil</x:v>
      </x:c>
      <x:c r="N366" s="10" t="str">
        <x:v>Português, Brasil</x:v>
      </x:c>
      <x:c r="O366" s="10" t="str">
        <x:v>"Operação contenção" no Google</x:v>
      </x:c>
      <x:c r="P366" s="10" t="str">
        <x:v>2025-11-02 00:00:00</x:v>
      </x:c>
      <x:c r="Q366" s="10" t="str">
        <x:v>Aberto</x:v>
      </x:c>
      <x:c r="R366" s="10" t="str">
        <x:v>Aqui</x:v>
      </x:c>
      <x:c r="S366" s="10" t="str">
        <x:v>VIEIRA, Isabela. Últimos corpos de pessoas assassinadas em operação no Rio deixam o IML. Agência Brasil, Rio de Janeiro, 1 nov. 2025. Disponível em: https://agenciabrasil.ebc.com.br/geral/noticia/2025-11/ultimos-corpos-de-pessoas-assassinadas-em-operacao-no-rio-deixam-o-iml. Acesso em: 3 nov. 2025.</x:v>
      </x:c>
      <x:c r="T366" s="10" t="str">
        <x:v>BR-SPDIREITOVIOLESTADO_MAPEAMENTOS-NOTICIAS-MSSCPENHA.xlsx</x:v>
      </x:c>
      <x:c r="U366" s="10" t="str">
        <x:v>Geral</x:v>
      </x:c>
      <x:c r="V366" s="11" t="n">
        <x:v>111</x:v>
      </x:c>
      <x:c r="W366" s="10" t="str">
        <x:v>BR-SPDIREITOVIOLESTADO_MAPEAMENTOS-NOTICIAS-MSSCPENHA.xlsx:Geral:111</x:v>
      </x:c>
      <x:c r="X366" s="11" t="n">
        <x:f>COLUMNS(A366:S366)-COUNTBLANK(A366:S366)</x:f>
        <x:v>19</x:v>
      </x:c>
    </x:row>
    <x:row r="367" ht="24" hidden="0" customHeight="1">
      <x:c r="A367" s="10" t="str">
        <x:v>Fotografia</x:v>
      </x:c>
      <x:c r="B367" s="10" t="str">
        <x:v>Rememoração</x:v>
      </x:c>
      <x:c r="C367" s="10" t="str">
        <x:v>Manifestação artístico-cultural</x:v>
      </x:c>
      <x:c r="D367" s="10" t="str">
        <x:v>Público Mediado</x:v>
      </x:c>
      <x:c r="E367" s="10" t="str">
        <x:v>Presencial/Físico</x:v>
      </x:c>
      <x:c r="F367" s="10" t="str">
        <x:v>2025-10-31 00:00:00</x:v>
      </x:c>
      <x:c r="G367" s="11" t="n">
        <x:v>2025</x:v>
      </x:c>
      <x:c r="H367" s="10" t="str">
        <x:v>Rio de Janeiro, Brasil</x:v>
      </x:c>
      <x:c r="I367" s="10" t="str">
        <x:v>Agência Brasil</x:v>
      </x:c>
      <x:c r="J367" s="10" t="str">
        <x:v>Sepultamento de Ravel Rios, uma das vítimas da Operação Contenção, no cemitério de Inhaúma</x:v>
      </x:c>
      <x:c r="K367" s="10" t="str">
        <x:v>Hemerográfico</x:v>
      </x:c>
      <x:c r="L367" s="10" t="str">
        <x:v>Texto (digital)</x:v>
      </x:c>
      <x:c r="M367" s="10" t="str">
        <x:v>Agência Brasil</x:v>
      </x:c>
      <x:c r="N367" s="10" t="str">
        <x:v>Português, Brasil</x:v>
      </x:c>
      <x:c r="O367" s="10" t="str">
        <x:v>"Operação contenção" no Google</x:v>
      </x:c>
      <x:c r="P367" s="10" t="str">
        <x:v>2025-11-02 00:00:00</x:v>
      </x:c>
      <x:c r="Q367" s="10" t="str">
        <x:v>Aberto</x:v>
      </x:c>
      <x:c r="R367" s="10" t="str">
        <x:v>Aqui</x:v>
      </x:c>
      <x:c r="S367" s="10" t="str">
        <x:v>ALVES, Joédson. Sepultamento de Ravel Rios, uma das vítimas da Operação Contenção, no cemitério de Inhaúma. Agência Brasil, fotografia, Rio de Janeiro, 31 out. 2025. Disponível em: https://agenciabrasil.ebc.com.br/foto/2025-10/operacao-contencao-1761939306-7. Acesso em: 3 nov. 2025.</x:v>
      </x:c>
      <x:c r="T367" s="10" t="str">
        <x:v>BR-SPDIREITOVIOLESTADO_MAPEAMENTOS-NOTICIAS-MSSCPENHA.xlsx</x:v>
      </x:c>
      <x:c r="U367" s="10" t="str">
        <x:v>Geral</x:v>
      </x:c>
      <x:c r="V367" s="11" t="n">
        <x:v>112</x:v>
      </x:c>
      <x:c r="W367" s="10" t="str">
        <x:v>BR-SPDIREITOVIOLESTADO_MAPEAMENTOS-NOTICIAS-MSSCPENHA.xlsx:Geral:112</x:v>
      </x:c>
      <x:c r="X367" s="11" t="n">
        <x:f>COLUMNS(A367:S367)-COUNTBLANK(A367:S367)</x:f>
        <x:v>19</x:v>
      </x:c>
    </x:row>
    <x:row r="368" ht="36" hidden="0" customHeight="1">
      <x:c r="A368" s="10" t="str">
        <x:v>Notícia</x:v>
      </x:c>
      <x:c r="B368" s="10" t="str">
        <x:v>Difusão</x:v>
      </x:c>
      <x:c r="C368" s="10" t="str">
        <x:v>Produção midiática</x:v>
      </x:c>
      <x:c r="D368" s="10" t="str">
        <x:v>Público Mediado</x:v>
      </x:c>
      <x:c r="E368" s="10" t="str">
        <x:v>Midiático</x:v>
      </x:c>
      <x:c r="F368" s="10" t="str">
        <x:v>29/10/2025</x:v>
      </x:c>
      <x:c r="G368" s="11" t="n">
        <x:v>2025</x:v>
      </x:c>
      <x:c r="H368" s="10" t="str">
        <x:v>São Paulo, Brasil</x:v>
      </x:c>
      <x:c r="I368" s="10" t="str">
        <x:v>Folha de S. Paulo</x:v>
      </x:c>
      <x:c r="J368" s="10" t="str">
        <x:v>Operação Contenção chega a 121 mortes e supera Carandiru como a mais letal do país</x:v>
      </x:c>
      <x:c r="K368" s="10" t="str">
        <x:v>Hemerográfico</x:v>
      </x:c>
      <x:c r="L368" s="10" t="str">
        <x:v>Texto (digital)</x:v>
      </x:c>
      <x:c r="M368" s="10" t="str">
        <x:v>Folha de S. Paulo</x:v>
      </x:c>
      <x:c r="N368" s="10" t="str">
        <x:v>Português, Brasil</x:v>
      </x:c>
      <x:c r="O368" s="10" t="str">
        <x:v>"Operação contenção" no Google</x:v>
      </x:c>
      <x:c r="P368" s="10" t="str">
        <x:v>2025-11-02 00:00:00</x:v>
      </x:c>
      <x:c r="Q368" s="10" t="str">
        <x:v>Acesso restrito</x:v>
      </x:c>
      <x:c r="R368" s="10" t="str">
        <x:v>Aqui</x:v>
      </x:c>
      <x:c r="S368" s="10" t="str">
        <x:v>LIMA NETO, Francisco; DIAS, Paulo Eduardo; CAMARGO, Cristina; FANTTI, Bruna; PAMPLONA, Nicola; KRUSE, Tulio. Operação Contenção chega a 121 mortes e supera Carandiru como a mais letal do país. Folha de S. Paulo, São Paulo, 29 out. 2025. Disponível em: https://www1.folha.uol.com.br/cotidiano/2025/10/mortes-na-operacao-contencao-chegam-a-119-afirma-governo-claudio-castro.shtml. Acesso em: 3 nov. 2025.</x:v>
      </x:c>
      <x:c r="T368" s="10" t="str">
        <x:v>BR-SPDIREITOVIOLESTADO_MAPEAMENTOS-NOTICIAS-MSSCPENHA.xlsx</x:v>
      </x:c>
      <x:c r="U368" s="10" t="str">
        <x:v>Geral</x:v>
      </x:c>
      <x:c r="V368" s="11" t="n">
        <x:v>113</x:v>
      </x:c>
      <x:c r="W368" s="10" t="str">
        <x:v>BR-SPDIREITOVIOLESTADO_MAPEAMENTOS-NOTICIAS-MSSCPENHA.xlsx:Geral:113</x:v>
      </x:c>
      <x:c r="X368" s="11" t="n">
        <x:f>COLUMNS(A368:S368)-COUNTBLANK(A368:S368)</x:f>
        <x:v>19</x:v>
      </x:c>
    </x:row>
    <x:row r="369" ht="36" hidden="0" customHeight="1">
      <x:c r="A369" s="10" t="str">
        <x:v>Notícia</x:v>
      </x:c>
      <x:c r="B369" s="10" t="str">
        <x:v>Difusão</x:v>
      </x:c>
      <x:c r="C369" s="10" t="str">
        <x:v>Produção midiática</x:v>
      </x:c>
      <x:c r="D369" s="10" t="str">
        <x:v>Público Mediado</x:v>
      </x:c>
      <x:c r="E369" s="10" t="str">
        <x:v>Midiático</x:v>
      </x:c>
      <x:c r="F369" s="10" t="str">
        <x:v>28/10/2025</x:v>
      </x:c>
      <x:c r="G369" s="11" t="n">
        <x:v>2025</x:v>
      </x:c>
      <x:c r="H369" s="10" t="str">
        <x:v>Rio de Janeiro, Brasil</x:v>
      </x:c>
      <x:c r="I369" s="10" t="str">
        <x:v>G1</x:v>
      </x:c>
      <x:c r="J369" s="10" t="str">
        <x:v>Megaoperação no Alemão e na Penha contra o CV tem 64 mortos e 81 presos; vias são fechadas em represália em todo o Grande Rio</x:v>
      </x:c>
      <x:c r="K369" s="10" t="str">
        <x:v>Hemerográfico</x:v>
      </x:c>
      <x:c r="L369" s="10" t="str">
        <x:v>Texto (digital)</x:v>
      </x:c>
      <x:c r="M369" s="10" t="str">
        <x:v>G1</x:v>
      </x:c>
      <x:c r="N369" s="10" t="str">
        <x:v>Português, Brasil</x:v>
      </x:c>
      <x:c r="O369" s="10" t="str">
        <x:v>"Operação contenção" no Google</x:v>
      </x:c>
      <x:c r="P369" s="10" t="str">
        <x:v>2025-11-03 00:00:00</x:v>
      </x:c>
      <x:c r="Q369" s="10" t="str">
        <x:v>Aberto</x:v>
      </x:c>
      <x:c r="R369" s="10" t="str">
        <x:v>Aqui</x:v>
      </x:c>
      <x:c r="S369" s="10" t="str">
        <x:v>FREIRE, Felipe; MONTEIRO, Jefferson; LEITÃO, Leslie; MADUREIRA, Lucas; BOM DIA RIO. Megaoperação no Alemão e na Penha contra o CV tem 64 mortos e 81 presos; vias são fechadas em represália em todo o Grande Rio. G1, Rio de Janeiro, 28 out. 2025. Disponível em: https://g1.globo.com/rj/rio-de-janeiro/noticia/2025/10/28/operacao-contencao-forcas-de-seguranca-tentam-cumprir-mandados-de-prisao.ghtml. Acesso em: 3 nov. 2025.</x:v>
      </x:c>
      <x:c r="T369" s="10" t="str">
        <x:v>BR-SPDIREITOVIOLESTADO_MAPEAMENTOS-NOTICIAS-MSSCPENHA.xlsx</x:v>
      </x:c>
      <x:c r="U369" s="10" t="str">
        <x:v>Geral</x:v>
      </x:c>
      <x:c r="V369" s="11" t="n">
        <x:v>114</x:v>
      </x:c>
      <x:c r="W369" s="10" t="str">
        <x:v>BR-SPDIREITOVIOLESTADO_MAPEAMENTOS-NOTICIAS-MSSCPENHA.xlsx:Geral:114</x:v>
      </x:c>
      <x:c r="X369" s="11" t="n">
        <x:f>COLUMNS(A369:S369)-COUNTBLANK(A369:S369)</x:f>
        <x:v>19</x:v>
      </x:c>
    </x:row>
    <x:row r="370" ht="24" hidden="0" customHeight="1">
      <x:c r="A370" s="10" t="str">
        <x:v>Notícia</x:v>
      </x:c>
      <x:c r="B370" s="10" t="str">
        <x:v>Difusão</x:v>
      </x:c>
      <x:c r="C370" s="10" t="str">
        <x:v>Produção midiática</x:v>
      </x:c>
      <x:c r="D370" s="10" t="str">
        <x:v>Público Mediado</x:v>
      </x:c>
      <x:c r="E370" s="10" t="str">
        <x:v>Midiático</x:v>
      </x:c>
      <x:c r="F370" s="10" t="str">
        <x:v>29/10/2025</x:v>
      </x:c>
      <x:c r="G370" s="11" t="n">
        <x:v>2025</x:v>
      </x:c>
      <x:c r="H370" s="10" t="str">
        <x:v>Rio de Janeiro, Brasil</x:v>
      </x:c>
      <x:c r="I370" s="10" t="str">
        <x:v>CNN Brasil</x:v>
      </x:c>
      <x:c r="J370" s="10" t="str">
        <x:v>Número de mortes em megaoperação no Rio passa de 130, diz defensoria</x:v>
      </x:c>
      <x:c r="K370" s="10" t="str">
        <x:v>Hemerográfico</x:v>
      </x:c>
      <x:c r="L370" s="10" t="str">
        <x:v>Texto (digital)</x:v>
      </x:c>
      <x:c r="M370" s="10" t="str">
        <x:v>CNN Brasil</x:v>
      </x:c>
      <x:c r="N370" s="10" t="str">
        <x:v>Português, Brasil</x:v>
      </x:c>
      <x:c r="O370" s="10" t="str">
        <x:v>"Operação contenção" no Google</x:v>
      </x:c>
      <x:c r="P370" s="10" t="str">
        <x:v>2025-11-03 00:00:00</x:v>
      </x:c>
      <x:c r="Q370" s="10" t="str">
        <x:v>Aberto</x:v>
      </x:c>
      <x:c r="R370" s="10" t="str">
        <x:v>Aqui</x:v>
      </x:c>
      <x:c r="S370" s="10" t="str">
        <x:v>FALCÃO, Tainá; COUTO, Camille. Número de mortes em megaoperação no Rio passa de 130, diz defensoria. CNN Brasil, Rio de Janeiro, 29 out. 2025. Disponível em: https://www.cnnbrasil.com.br/nacional/sudeste/rj/numero-de-mortes-em-megaoperacao-no-rio-passa-de-120-diz-defensoria/. Acesso em: 3 nov. 2025.</x:v>
      </x:c>
      <x:c r="T370" s="10" t="str">
        <x:v>BR-SPDIREITOVIOLESTADO_MAPEAMENTOS-NOTICIAS-MSSCPENHA.xlsx</x:v>
      </x:c>
      <x:c r="U370" s="10" t="str">
        <x:v>Geral</x:v>
      </x:c>
      <x:c r="V370" s="11" t="n">
        <x:v>115</x:v>
      </x:c>
      <x:c r="W370" s="10" t="str">
        <x:v>BR-SPDIREITOVIOLESTADO_MAPEAMENTOS-NOTICIAS-MSSCPENHA.xlsx:Geral:115</x:v>
      </x:c>
      <x:c r="X370" s="11" t="n">
        <x:f>COLUMNS(A370:S370)-COUNTBLANK(A370:S370)</x:f>
        <x:v>19</x:v>
      </x:c>
    </x:row>
    <x:row r="371" ht="24" hidden="0" customHeight="1">
      <x:c r="A371" s="10" t="str">
        <x:v>Notícia</x:v>
      </x:c>
      <x:c r="B371" s="10" t="str">
        <x:v>Difusão</x:v>
      </x:c>
      <x:c r="C371" s="10" t="str">
        <x:v>Produção midiática</x:v>
      </x:c>
      <x:c r="D371" s="10" t="str">
        <x:v>Público Mediado</x:v>
      </x:c>
      <x:c r="E371" s="10" t="str">
        <x:v>Midiático</x:v>
      </x:c>
      <x:c r="F371" s="10" t="str">
        <x:v>29/10/2025</x:v>
      </x:c>
      <x:c r="G371" s="11" t="n">
        <x:v>2025</x:v>
      </x:c>
      <x:c r="H371" s="10" t="str">
        <x:v>São Paulo, Brasil</x:v>
      </x:c>
      <x:c r="I371" s="10" t="str">
        <x:v>Exame</x:v>
      </x:c>
      <x:c r="J371" s="10" t="str">
        <x:v>Operação Contenção: 93 fuzis apreendidos têm valor estimado de R$ 5 milhões</x:v>
      </x:c>
      <x:c r="K371" s="10" t="str">
        <x:v>Hemerográfico</x:v>
      </x:c>
      <x:c r="L371" s="10" t="str">
        <x:v>Texto (digital)</x:v>
      </x:c>
      <x:c r="M371" s="10" t="str">
        <x:v>Exame</x:v>
      </x:c>
      <x:c r="N371" s="10" t="str">
        <x:v>Português, Brasil</x:v>
      </x:c>
      <x:c r="O371" s="10" t="str">
        <x:v>"Operação contenção" no Google</x:v>
      </x:c>
      <x:c r="P371" s="10" t="str">
        <x:v>2025-11-03 00:00:00</x:v>
      </x:c>
      <x:c r="Q371" s="10" t="str">
        <x:v>Aberto</x:v>
      </x:c>
      <x:c r="R371" s="10" t="str">
        <x:v>Aqui</x:v>
      </x:c>
      <x:c r="S371" s="10" t="str">
        <x:v>REDAÇÃO EXAME. Operação Contenção: 93 fuzis apreendidos têm valor estimado de R$ 5 milhões. Exame, São Paulo, 29 out. 2025. Disponível em: https://exame.com/brasil/operacao-contencao-93-fuzis-apreendidos-tem-valor-estimado-de-r-5-milhoes/. Acesso em: 3 nov. 2025.</x:v>
      </x:c>
      <x:c r="T371" s="10" t="str">
        <x:v>BR-SPDIREITOVIOLESTADO_MAPEAMENTOS-NOTICIAS-MSSCPENHA.xlsx</x:v>
      </x:c>
      <x:c r="U371" s="10" t="str">
        <x:v>Geral</x:v>
      </x:c>
      <x:c r="V371" s="11" t="n">
        <x:v>116</x:v>
      </x:c>
      <x:c r="W371" s="10" t="str">
        <x:v>BR-SPDIREITOVIOLESTADO_MAPEAMENTOS-NOTICIAS-MSSCPENHA.xlsx:Geral:116</x:v>
      </x:c>
      <x:c r="X371" s="11" t="n">
        <x:f>COLUMNS(A371:S371)-COUNTBLANK(A371:S371)</x:f>
        <x:v>19</x:v>
      </x:c>
    </x:row>
    <x:row r="372" ht="48" hidden="0" customHeight="1">
      <x:c r="A372" s="10" t="str">
        <x:v>Nota técnica</x:v>
      </x:c>
      <x:c r="B372" s="10" t="str">
        <x:v>Rememoração</x:v>
      </x:c>
      <x:c r="C372" s="10" t="str"/>
      <x:c r="D372" s="10" t="str">
        <x:v>Público Mediado</x:v>
      </x:c>
      <x:c r="E372" s="10" t="str"/>
      <x:c r="F372" s="10" t="str">
        <x:v>2025-10-30 00:00:00</x:v>
      </x:c>
      <x:c r="G372" s="11" t="n">
        <x:v>2025</x:v>
      </x:c>
      <x:c r="H372" s="10" t="str">
        <x:v>São Paulo, Brasil</x:v>
      </x:c>
      <x:c r="I372" s="10" t="str">
        <x:v>Ordem dos Advogados de São Paulo</x:v>
      </x:c>
      <x:c r="J372" s="10" t="str">
        <x:v>Comissão de Direito Internacional da OAB SP emite nota pública sobre Operação Contenção e as regras internacionais sobre uso da força</x:v>
      </x:c>
      <x:c r="K372" s="10" t="str">
        <x:v>Hemerográfico</x:v>
      </x:c>
      <x:c r="L372" s="10" t="str">
        <x:v>Texto (digital)</x:v>
      </x:c>
      <x:c r="M372" s="10" t="str">
        <x:v>Comissão de Direito Internacional da OAB SP</x:v>
      </x:c>
      <x:c r="N372" s="10" t="str">
        <x:v>Português, Brasil</x:v>
      </x:c>
      <x:c r="O372" s="10" t="str">
        <x:v>"Operação contenção" no Google</x:v>
      </x:c>
      <x:c r="P372" s="10" t="str">
        <x:v>2025-11-03 00:00:00</x:v>
      </x:c>
      <x:c r="Q372" s="10" t="str">
        <x:v>Aberto</x:v>
      </x:c>
      <x:c r="R372" s="10" t="str">
        <x:v>Aqui</x:v>
      </x:c>
      <x:c r="S372" s="10" t="str">
        <x:v>SICA, Leonardo; AMPARO, Thiago de Souza; MANTELLI, Gabriel; ALMEIDA, Julia de Moraes. Comissão de Direito Internacional da OAB SP emite nota pública sobre Operação Contenção e as regras internacionais sobre uso da força. Ordem dos Advogados do Brasil – Seção São Paulo, Comissão de Direito Internacional, São Paulo, 30 out. 2025. Disponível em: https://www.oabsp.org.br/jornaldaadvocacia/25-10-30-1012-comissao-de-direito-internacional-da-oab-emite-nota-publica-sobre-operacao-contencao-e-as-regras-internacionais-sobre-uso-da-forca. Acesso em: 3 nov. 2025.</x:v>
      </x:c>
      <x:c r="T372" s="10" t="str">
        <x:v>BR-SPDIREITOVIOLESTADO_MAPEAMENTOS-NOTICIAS-MSSCPENHA.xlsx</x:v>
      </x:c>
      <x:c r="U372" s="10" t="str">
        <x:v>Geral</x:v>
      </x:c>
      <x:c r="V372" s="11" t="n">
        <x:v>117</x:v>
      </x:c>
      <x:c r="W372" s="10" t="str">
        <x:v>BR-SPDIREITOVIOLESTADO_MAPEAMENTOS-NOTICIAS-MSSCPENHA.xlsx:Geral:117</x:v>
      </x:c>
      <x:c r="X372" s="11" t="n">
        <x:f>COLUMNS(A372:S372)-COUNTBLANK(A372:S372)</x:f>
        <x:v>17</x:v>
      </x:c>
    </x:row>
    <x:row r="373" ht="24" hidden="0" customHeight="1">
      <x:c r="A373" s="10" t="str">
        <x:v>Notícia</x:v>
      </x:c>
      <x:c r="B373" s="10" t="str">
        <x:v>Difusão</x:v>
      </x:c>
      <x:c r="C373" s="10" t="str">
        <x:v>Produção midiática</x:v>
      </x:c>
      <x:c r="D373" s="10" t="str">
        <x:v>Público Mediado</x:v>
      </x:c>
      <x:c r="E373" s="10" t="str">
        <x:v>Midiático</x:v>
      </x:c>
      <x:c r="F373" s="10" t="str">
        <x:v>31/10/2025</x:v>
      </x:c>
      <x:c r="G373" s="11" t="n">
        <x:v>2025</x:v>
      </x:c>
      <x:c r="H373" s="10" t="str">
        <x:v>Distrito Federal, Brasil</x:v>
      </x:c>
      <x:c r="I373" s="10" t="str">
        <x:v>Agência Brasil</x:v>
      </x:c>
      <x:c r="J373" s="10" t="str">
        <x:v>Faixa em manifestação contra a operação policial Contenção no Rio de Janeiro</x:v>
      </x:c>
      <x:c r="K373" s="10" t="str">
        <x:v>Hemerográfico</x:v>
      </x:c>
      <x:c r="L373" s="10" t="str">
        <x:v>Texto (digital)</x:v>
      </x:c>
      <x:c r="M373" s="10" t="str">
        <x:v>Agência Brasil</x:v>
      </x:c>
      <x:c r="N373" s="10" t="str">
        <x:v>Português, Brasil</x:v>
      </x:c>
      <x:c r="O373" s="10" t="str">
        <x:v>"Operação contenção" no Google</x:v>
      </x:c>
      <x:c r="P373" s="10" t="str">
        <x:v>2025-11-03 00:00:00</x:v>
      </x:c>
      <x:c r="Q373" s="10" t="str">
        <x:v>Aberto</x:v>
      </x:c>
      <x:c r="R373" s="10" t="str"/>
      <x:c r="S373" s="10" t="str">
        <x:v>CAMPANATO, Valter. Faixa em manifestação contra a operação policial Contenção no Rio de Janeiro. Agência Brasil, fotografia, Brasília, 31 out. 2025. Disponível em: http://agenciabrasil.ebc.com.br/foto/2025-10/manifestacao-conta-operacao-contencao-1761948860-2. Acesso em: 3 nov. 2025.</x:v>
      </x:c>
      <x:c r="T373" s="10" t="str">
        <x:v>BR-SPDIREITOVIOLESTADO_MAPEAMENTOS-NOTICIAS-MSSCPENHA.xlsx</x:v>
      </x:c>
      <x:c r="U373" s="10" t="str">
        <x:v>Geral</x:v>
      </x:c>
      <x:c r="V373" s="11" t="n">
        <x:v>118</x:v>
      </x:c>
      <x:c r="W373" s="10" t="str">
        <x:v>BR-SPDIREITOVIOLESTADO_MAPEAMENTOS-NOTICIAS-MSSCPENHA.xlsx:Geral:118</x:v>
      </x:c>
      <x:c r="X373" s="11" t="n">
        <x:f>COLUMNS(A373:S373)-COUNTBLANK(A373:S373)</x:f>
        <x:v>18</x:v>
      </x:c>
    </x:row>
    <x:row r="374" ht="24" hidden="0" customHeight="1">
      <x:c r="A374" s="10" t="str">
        <x:v>Notícia</x:v>
      </x:c>
      <x:c r="B374" s="10" t="str">
        <x:v>Difusão</x:v>
      </x:c>
      <x:c r="C374" s="10" t="str">
        <x:v>Produção midiática</x:v>
      </x:c>
      <x:c r="D374" s="10" t="str">
        <x:v>Público Mediado</x:v>
      </x:c>
      <x:c r="E374" s="10" t="str">
        <x:v>Midiático</x:v>
      </x:c>
      <x:c r="F374" s="10" t="str">
        <x:v>28/10/2025</x:v>
      </x:c>
      <x:c r="G374" s="11" t="n">
        <x:v>2025</x:v>
      </x:c>
      <x:c r="H374" s="10" t="str">
        <x:v>Rio de Janeiro, Brasil</x:v>
      </x:c>
      <x:c r="I374" s="10" t="str">
        <x:v>Agência Brasil</x:v>
      </x:c>
      <x:c r="J374" s="10" t="str">
        <x:v>Ação no RJ é cortina de fumaça e expõe população, dizem especialistas</x:v>
      </x:c>
      <x:c r="K374" s="10" t="str">
        <x:v>Hemerográfico</x:v>
      </x:c>
      <x:c r="L374" s="10" t="str">
        <x:v>Texto (digital)</x:v>
      </x:c>
      <x:c r="M374" s="10" t="str">
        <x:v>Agência Brasil</x:v>
      </x:c>
      <x:c r="N374" s="10" t="str">
        <x:v>Português, Brasil</x:v>
      </x:c>
      <x:c r="O374" s="10" t="str">
        <x:v>"Operação contenção" no Google</x:v>
      </x:c>
      <x:c r="P374" s="10" t="str">
        <x:v>2025-11-03 00:00:00</x:v>
      </x:c>
      <x:c r="Q374" s="10" t="str">
        <x:v>Aberto</x:v>
      </x:c>
      <x:c r="R374" s="10" t="str">
        <x:v>Aqui</x:v>
      </x:c>
      <x:c r="S374" s="10" t="str">
        <x:v>TOKARNIA, Mariana. Ação no RJ é cortina de fumaça e expõe população, dizem especialistas. Agência Brasil, Rio de Janeiro, 28 out. 2025. Disponível em: https://agenciabrasil.ebc.com.br/geral/noticia/2025-10/operacao-no-rio-e-cortina-de-fumaca-e-expoe-populacao-linha-de-tiro-dizem-especialistas. Acesso em: 3 nov. 2025.</x:v>
      </x:c>
      <x:c r="T374" s="10" t="str">
        <x:v>BR-SPDIREITOVIOLESTADO_MAPEAMENTOS-NOTICIAS-MSSCPENHA.xlsx</x:v>
      </x:c>
      <x:c r="U374" s="10" t="str">
        <x:v>Geral</x:v>
      </x:c>
      <x:c r="V374" s="11" t="n">
        <x:v>119</x:v>
      </x:c>
      <x:c r="W374" s="10" t="str">
        <x:v>BR-SPDIREITOVIOLESTADO_MAPEAMENTOS-NOTICIAS-MSSCPENHA.xlsx:Geral:119</x:v>
      </x:c>
      <x:c r="X374" s="11" t="n">
        <x:f>COLUMNS(A374:S374)-COUNTBLANK(A374:S374)</x:f>
        <x:v>19</x:v>
      </x:c>
    </x:row>
    <x:row r="375" ht="24" hidden="0" customHeight="1">
      <x:c r="A375" s="10" t="str">
        <x:v>Notícia</x:v>
      </x:c>
      <x:c r="B375" s="10" t="str">
        <x:v>Difusão</x:v>
      </x:c>
      <x:c r="C375" s="10" t="str">
        <x:v>Produção midiática</x:v>
      </x:c>
      <x:c r="D375" s="10" t="str">
        <x:v>Público Mediado</x:v>
      </x:c>
      <x:c r="E375" s="10" t="str">
        <x:v>Midiático</x:v>
      </x:c>
      <x:c r="F375" s="10" t="str">
        <x:v>30/10/2025</x:v>
      </x:c>
      <x:c r="G375" s="11" t="n">
        <x:v>2025</x:v>
      </x:c>
      <x:c r="H375" s="10" t="str">
        <x:v>Rio de Janeiro, Brasil</x:v>
      </x:c>
      <x:c r="I375" s="10" t="str">
        <x:v>Agência Brasil</x:v>
      </x:c>
      <x:c r="J375" s="10" t="str">
        <x:v>Famílias de mortos em operação no Rio reclamam de falta de informação</x:v>
      </x:c>
      <x:c r="K375" s="10" t="str">
        <x:v>Hemerográfico</x:v>
      </x:c>
      <x:c r="L375" s="10" t="str">
        <x:v>Texto (digital)</x:v>
      </x:c>
      <x:c r="M375" s="10" t="str">
        <x:v>Agência Brasil</x:v>
      </x:c>
      <x:c r="N375" s="10" t="str">
        <x:v>Português, Brasil</x:v>
      </x:c>
      <x:c r="O375" s="10" t="str">
        <x:v>"Operação contenção" no Google</x:v>
      </x:c>
      <x:c r="P375" s="10" t="str">
        <x:v>2025-11-03 00:00:00</x:v>
      </x:c>
      <x:c r="Q375" s="10" t="str">
        <x:v>Aberto</x:v>
      </x:c>
      <x:c r="R375" s="10" t="str">
        <x:v>Aqui</x:v>
      </x:c>
      <x:c r="S375" s="10" t="str">
        <x:v>FREIRE, Tâmara. Famílias de mortos em operação no Rio reclamam de falta de informação. Agência Brasil, Rio de Janeiro, 30 out. 2025. Disponível em: https://agenciabrasil.ebc.com.br/geral/noticia/2025-10/familias-de-mortos-em-operacao-no-rio-reclamam-de-falta-de-informacao. Acesso em: 3 nov. 2025.</x:v>
      </x:c>
      <x:c r="T375" s="10" t="str">
        <x:v>BR-SPDIREITOVIOLESTADO_MAPEAMENTOS-NOTICIAS-MSSCPENHA.xlsx</x:v>
      </x:c>
      <x:c r="U375" s="10" t="str">
        <x:v>Geral</x:v>
      </x:c>
      <x:c r="V375" s="11" t="n">
        <x:v>120</x:v>
      </x:c>
      <x:c r="W375" s="10" t="str">
        <x:v>BR-SPDIREITOVIOLESTADO_MAPEAMENTOS-NOTICIAS-MSSCPENHA.xlsx:Geral:120</x:v>
      </x:c>
      <x:c r="X375" s="11" t="n">
        <x:f>COLUMNS(A375:S375)-COUNTBLANK(A375:S375)</x:f>
        <x:v>19</x:v>
      </x:c>
    </x:row>
    <x:row r="376" ht="24" hidden="0" customHeight="1">
      <x:c r="A376" s="10" t="str">
        <x:v>Notícia</x:v>
      </x:c>
      <x:c r="B376" s="10" t="str">
        <x:v>Difusão</x:v>
      </x:c>
      <x:c r="C376" s="10" t="str">
        <x:v>Produção midiática</x:v>
      </x:c>
      <x:c r="D376" s="10" t="str">
        <x:v>Público Mediado</x:v>
      </x:c>
      <x:c r="E376" s="10" t="str">
        <x:v>Midiático</x:v>
      </x:c>
      <x:c r="F376" s="10" t="str">
        <x:v>02/11/2025</x:v>
      </x:c>
      <x:c r="G376" s="11" t="n">
        <x:v>2025</x:v>
      </x:c>
      <x:c r="H376" s="10" t="str">
        <x:v>São Paulo, Brasil</x:v>
      </x:c>
      <x:c r="I376" s="10" t="str">
        <x:v>Agência Brasil</x:v>
      </x:c>
      <x:c r="J376" s="10" t="str">
        <x:v>Investigação das mortes em operação no RJ tem graves falhas, diz ONG</x:v>
      </x:c>
      <x:c r="K376" s="10" t="str">
        <x:v>Hemerográfico</x:v>
      </x:c>
      <x:c r="L376" s="10" t="str">
        <x:v>Texto (digital)</x:v>
      </x:c>
      <x:c r="M376" s="10" t="str">
        <x:v>Agência Brasil</x:v>
      </x:c>
      <x:c r="N376" s="10" t="str">
        <x:v>Português, Brasil</x:v>
      </x:c>
      <x:c r="O376" s="10" t="str">
        <x:v>"Operação contenção" no Google</x:v>
      </x:c>
      <x:c r="P376" s="10" t="str">
        <x:v>2025-11-03 00:00:00</x:v>
      </x:c>
      <x:c r="Q376" s="10" t="str">
        <x:v>Aberto</x:v>
      </x:c>
      <x:c r="R376" s="10" t="str">
        <x:v>Aqui</x:v>
      </x:c>
      <x:c r="S376" s="10" t="str">
        <x:v>JERONYMO, Guilherme. Investigação das mortes em operação no RJ tem graves falhas, diz ONG. Agência Brasil, São Paulo, 2 nov. 2025. Disponível em: https://agenciabrasil.ebc.com.br/direitos-humanos/noticia/2025-11/investigacao-das-mortes-em-operacao-no-rj-tem-graves-falhas-diz-ong. Acesso em: 3 nov. 2025.</x:v>
      </x:c>
      <x:c r="T376" s="10" t="str">
        <x:v>BR-SPDIREITOVIOLESTADO_MAPEAMENTOS-NOTICIAS-MSSCPENHA.xlsx</x:v>
      </x:c>
      <x:c r="U376" s="10" t="str">
        <x:v>Geral</x:v>
      </x:c>
      <x:c r="V376" s="11" t="n">
        <x:v>121</x:v>
      </x:c>
      <x:c r="W376" s="10" t="str">
        <x:v>BR-SPDIREITOVIOLESTADO_MAPEAMENTOS-NOTICIAS-MSSCPENHA.xlsx:Geral:121</x:v>
      </x:c>
      <x:c r="X376" s="11" t="n">
        <x:f>COLUMNS(A376:S376)-COUNTBLANK(A376:S376)</x:f>
        <x:v>19</x:v>
      </x:c>
    </x:row>
    <x:row r="377" ht="36" hidden="0" customHeight="1">
      <x:c r="A377" s="10" t="str">
        <x:v>Notícia</x:v>
      </x:c>
      <x:c r="B377" s="10" t="str">
        <x:v>Difusão</x:v>
      </x:c>
      <x:c r="C377" s="10" t="str">
        <x:v>Produção midiática</x:v>
      </x:c>
      <x:c r="D377" s="10" t="str">
        <x:v>Público Mediado</x:v>
      </x:c>
      <x:c r="E377" s="10" t="str">
        <x:v>Midiático</x:v>
      </x:c>
      <x:c r="F377" s="10" t="str">
        <x:v>31/10/2025</x:v>
      </x:c>
      <x:c r="G377" s="11" t="n">
        <x:v>2025</x:v>
      </x:c>
      <x:c r="H377" s="10" t="str">
        <x:v>Ceará, Brasil</x:v>
      </x:c>
      <x:c r="I377" s="10" t="str">
        <x:v>Sindicato dos Trabalhadores das Universidades Federais no Estado do Ceará (SINTUFCE)</x:v>
      </x:c>
      <x:c r="J377" s="10" t="str">
        <x:v>Nota Pública: Operação Contenção</x:v>
      </x:c>
      <x:c r="K377" s="10" t="str">
        <x:v>Hemerográfico</x:v>
      </x:c>
      <x:c r="L377" s="10" t="str">
        <x:v>Texto (digital)</x:v>
      </x:c>
      <x:c r="M377" s="10" t="str">
        <x:v>Sindicato dos Trabalhadores das Universidades Federais no Estado do Ceará (SINTUFCE)</x:v>
      </x:c>
      <x:c r="N377" s="10" t="str">
        <x:v>Português, Brasil</x:v>
      </x:c>
      <x:c r="O377" s="10" t="str">
        <x:v>"Operação contenção" no Google</x:v>
      </x:c>
      <x:c r="P377" s="10" t="str">
        <x:v>2025-11-03 00:00:00</x:v>
      </x:c>
      <x:c r="Q377" s="10" t="str">
        <x:v>Aberto</x:v>
      </x:c>
      <x:c r="R377" s="10" t="str">
        <x:v>Aqui</x:v>
      </x:c>
      <x:c r="S377" s="10" t="str">
        <x:v>SINDICATO DOS TRABALHADORES DAS UNIVERSIDADES FEDERAIS NO ESTADO DO CEARÁ (SINTUFCE). Nota Pública: Operação Contenção. Mas do quê? Fortaleza, 31 out. 2025. Disponível em: https://www.sintufce.org.br/nota-publica-operacao-contencao-mas-do-que/#. Acesso em: 3 nov. 2025.</x:v>
      </x:c>
      <x:c r="T377" s="10" t="str">
        <x:v>BR-SPDIREITOVIOLESTADO_MAPEAMENTOS-NOTICIAS-MSSCPENHA.xlsx</x:v>
      </x:c>
      <x:c r="U377" s="10" t="str">
        <x:v>Geral</x:v>
      </x:c>
      <x:c r="V377" s="11" t="n">
        <x:v>122</x:v>
      </x:c>
      <x:c r="W377" s="10" t="str">
        <x:v>BR-SPDIREITOVIOLESTADO_MAPEAMENTOS-NOTICIAS-MSSCPENHA.xlsx:Geral:122</x:v>
      </x:c>
      <x:c r="X377" s="11" t="n">
        <x:f>COLUMNS(A377:S377)-COUNTBLANK(A377:S377)</x:f>
        <x:v>19</x:v>
      </x:c>
    </x:row>
    <x:row r="378" ht="24" hidden="0" customHeight="1">
      <x:c r="A378" s="10" t="str">
        <x:v>Notícia</x:v>
      </x:c>
      <x:c r="B378" s="10" t="str">
        <x:v>Difusão</x:v>
      </x:c>
      <x:c r="C378" s="10" t="str">
        <x:v>Produção midiática</x:v>
      </x:c>
      <x:c r="D378" s="10" t="str">
        <x:v>Público Mediado</x:v>
      </x:c>
      <x:c r="E378" s="10" t="str">
        <x:v>Midiático</x:v>
      </x:c>
      <x:c r="F378" s="10" t="str">
        <x:v>01/11/2025</x:v>
      </x:c>
      <x:c r="G378" s="11" t="n">
        <x:v>2025</x:v>
      </x:c>
      <x:c r="H378" s="10" t="str">
        <x:v>Rio de Janeiro, Brasil</x:v>
      </x:c>
      <x:c r="I378" s="10" t="str">
        <x:v>Agência Brasil</x:v>
      </x:c>
      <x:c r="J378" s="10" t="str">
        <x:v>Moradores do Complexo da Penha protestam contra Operação Contenção</x:v>
      </x:c>
      <x:c r="K378" s="10" t="str">
        <x:v>Hemerográfico</x:v>
      </x:c>
      <x:c r="L378" s="10" t="str">
        <x:v>Texto (digital)</x:v>
      </x:c>
      <x:c r="M378" s="10" t="str">
        <x:v>Agência Brasil</x:v>
      </x:c>
      <x:c r="N378" s="10" t="str">
        <x:v>Português, Brasil</x:v>
      </x:c>
      <x:c r="O378" s="10" t="str">
        <x:v>"Operação contenção" no Google</x:v>
      </x:c>
      <x:c r="P378" s="10" t="str">
        <x:v>2025-11-03 00:00:00</x:v>
      </x:c>
      <x:c r="Q378" s="10" t="str">
        <x:v>Aberto</x:v>
      </x:c>
      <x:c r="R378" s="10" t="str">
        <x:v>Aqui</x:v>
      </x:c>
      <x:c r="S378" s="10" t="str">
        <x:v>PESSOA, Carolina. Moradores do Complexo da Penha protestam contra Operação Contenção. Rádio Nacional, Rio de Janeiro, 1 nov. 2025. Disponível em: https://agenciabrasil.ebc.com.br/radioagencia-nacional/direitos-humanos/audio/2025-11/moradores-do-complexo-da-penha-protestam-contra-operacao-contencao. Acesso em: 3 nov. 2025.</x:v>
      </x:c>
      <x:c r="T378" s="10" t="str">
        <x:v>BR-SPDIREITOVIOLESTADO_MAPEAMENTOS-NOTICIAS-MSSCPENHA.xlsx</x:v>
      </x:c>
      <x:c r="U378" s="10" t="str">
        <x:v>Geral</x:v>
      </x:c>
      <x:c r="V378" s="11" t="n">
        <x:v>123</x:v>
      </x:c>
      <x:c r="W378" s="10" t="str">
        <x:v>BR-SPDIREITOVIOLESTADO_MAPEAMENTOS-NOTICIAS-MSSCPENHA.xlsx:Geral:123</x:v>
      </x:c>
      <x:c r="X378" s="11" t="n">
        <x:f>COLUMNS(A378:S378)-COUNTBLANK(A378:S378)</x:f>
        <x:v>19</x:v>
      </x:c>
    </x:row>
    <x:row r="379" ht="24" hidden="0" customHeight="1">
      <x:c r="A379" s="10" t="str">
        <x:v>Notícia</x:v>
      </x:c>
      <x:c r="B379" s="10" t="str">
        <x:v>Difusão</x:v>
      </x:c>
      <x:c r="C379" s="10" t="str">
        <x:v>Produção midiática</x:v>
      </x:c>
      <x:c r="D379" s="10" t="str">
        <x:v>Público Mediado</x:v>
      </x:c>
      <x:c r="E379" s="10" t="str">
        <x:v>Midiático</x:v>
      </x:c>
      <x:c r="F379" s="10" t="str">
        <x:v>31/10/2025</x:v>
      </x:c>
      <x:c r="G379" s="11" t="n">
        <x:v>2025</x:v>
      </x:c>
      <x:c r="H379" s="10" t="str">
        <x:v>Rio de Janeiro, Brasil</x:v>
      </x:c>
      <x:c r="I379" s="10" t="str">
        <x:v>Agência Brasil</x:v>
      </x:c>
      <x:c r="J379" s="10" t="str">
        <x:v>Observatório da OAB-RJ vai acompanhar apuração sobre operação policial</x:v>
      </x:c>
      <x:c r="K379" s="10" t="str">
        <x:v>Hemerográfico</x:v>
      </x:c>
      <x:c r="L379" s="10" t="str">
        <x:v>Texto (digital)</x:v>
      </x:c>
      <x:c r="M379" s="10" t="str">
        <x:v>Agência Brasil</x:v>
      </x:c>
      <x:c r="N379" s="10" t="str">
        <x:v>Português, Brasil</x:v>
      </x:c>
      <x:c r="O379" s="10" t="str">
        <x:v>"Operação contenção" no Google</x:v>
      </x:c>
      <x:c r="P379" s="10" t="str">
        <x:v>2025-11-03 00:00:00</x:v>
      </x:c>
      <x:c r="Q379" s="10" t="str">
        <x:v>Aberto</x:v>
      </x:c>
      <x:c r="R379" s="10" t="str">
        <x:v>Aqui</x:v>
      </x:c>
      <x:c r="S379" s="10" t="str">
        <x:v>AGÊNCIA BRASIL. Observatório da OAB-RJ vai acompanhar apuração sobre operação policial. Agência Brasil, Rio de Janeiro, 31 out. 2025. Disponível em: https://agenciabrasil.ebc.com.br/direitos-humanos/noticia/2025-10/observatorio-da-oab-rj-vai-acompanhar-apuracao-sobre-operacao-policial. Acesso em: 3 nov. 2025.</x:v>
      </x:c>
      <x:c r="T379" s="10" t="str">
        <x:v>BR-SPDIREITOVIOLESTADO_MAPEAMENTOS-NOTICIAS-MSSCPENHA.xlsx</x:v>
      </x:c>
      <x:c r="U379" s="10" t="str">
        <x:v>Geral</x:v>
      </x:c>
      <x:c r="V379" s="11" t="n">
        <x:v>124</x:v>
      </x:c>
      <x:c r="W379" s="10" t="str">
        <x:v>BR-SPDIREITOVIOLESTADO_MAPEAMENTOS-NOTICIAS-MSSCPENHA.xlsx:Geral:124</x:v>
      </x:c>
      <x:c r="X379" s="11" t="n">
        <x:f>COLUMNS(A379:S379)-COUNTBLANK(A379:S379)</x:f>
        <x:v>19</x:v>
      </x:c>
    </x:row>
    <x:row r="380" ht="24" hidden="0" customHeight="1">
      <x:c r="A380" s="10" t="str">
        <x:v>Notícia</x:v>
      </x:c>
      <x:c r="B380" s="10" t="str">
        <x:v>Difusão</x:v>
      </x:c>
      <x:c r="C380" s="10" t="str">
        <x:v>Produção midiática</x:v>
      </x:c>
      <x:c r="D380" s="10" t="str">
        <x:v>Público Mediado</x:v>
      </x:c>
      <x:c r="E380" s="10" t="str">
        <x:v>Midiático</x:v>
      </x:c>
      <x:c r="F380" s="10" t="str">
        <x:v>30/10/2025</x:v>
      </x:c>
      <x:c r="G380" s="11" t="n">
        <x:v>2025</x:v>
      </x:c>
      <x:c r="H380" s="10" t="str">
        <x:v>Paraná, Brasil</x:v>
      </x:c>
      <x:c r="I380" s="10" t="str">
        <x:v>Gazeta do Povo</x:v>
      </x:c>
      <x:c r="J380" s="10" t="str">
        <x:v>Bope se manifesta após operação no Rio: “Ninguém vai parar a gente”</x:v>
      </x:c>
      <x:c r="K380" s="10" t="str">
        <x:v>Hemerográfico</x:v>
      </x:c>
      <x:c r="L380" s="10" t="str">
        <x:v>Texto (digital)</x:v>
      </x:c>
      <x:c r="M380" s="10" t="str">
        <x:v>Gazeta do Povo</x:v>
      </x:c>
      <x:c r="N380" s="10" t="str">
        <x:v>Português, Brasil</x:v>
      </x:c>
      <x:c r="O380" s="10" t="str">
        <x:v>"Operação contenção" no Google</x:v>
      </x:c>
      <x:c r="P380" s="10" t="str">
        <x:v>2025-11-03 00:00:00</x:v>
      </x:c>
      <x:c r="Q380" s="10" t="str">
        <x:v>Acesso restrito</x:v>
      </x:c>
      <x:c r="R380" s="10" t="str">
        <x:v>Aqui</x:v>
      </x:c>
      <x:c r="S380" s="10" t="str">
        <x:v>MACIA, Vinicius. Bope se manifesta após operação no Rio: “Ninguém vai parar a gente”. Gazeta do Povo, 30 out. 2025. Disponível em: https://www.gazetadopovo.com.br/brasil/bope-ninguem-vai-parar-a-gente-operacao-contencao/. Acesso em: 3 nov. 2025.</x:v>
      </x:c>
      <x:c r="T380" s="10" t="str">
        <x:v>BR-SPDIREITOVIOLESTADO_MAPEAMENTOS-NOTICIAS-MSSCPENHA.xlsx</x:v>
      </x:c>
      <x:c r="U380" s="10" t="str">
        <x:v>Geral</x:v>
      </x:c>
      <x:c r="V380" s="11" t="n">
        <x:v>125</x:v>
      </x:c>
      <x:c r="W380" s="10" t="str">
        <x:v>BR-SPDIREITOVIOLESTADO_MAPEAMENTOS-NOTICIAS-MSSCPENHA.xlsx:Geral:125</x:v>
      </x:c>
      <x:c r="X380" s="11" t="n">
        <x:f>COLUMNS(A380:S380)-COUNTBLANK(A380:S380)</x:f>
        <x:v>19</x:v>
      </x:c>
    </x:row>
    <x:row r="381" ht="24" hidden="0" customHeight="1">
      <x:c r="A381" s="10" t="str">
        <x:v>Notícia</x:v>
      </x:c>
      <x:c r="B381" s="10" t="str">
        <x:v>Difusão</x:v>
      </x:c>
      <x:c r="C381" s="10" t="str">
        <x:v>Produção midiática</x:v>
      </x:c>
      <x:c r="D381" s="10" t="str">
        <x:v>Público Mediado</x:v>
      </x:c>
      <x:c r="E381" s="10" t="str">
        <x:v>Midiático</x:v>
      </x:c>
      <x:c r="F381" s="10" t="str">
        <x:v>30/10/2025</x:v>
      </x:c>
      <x:c r="G381" s="11" t="n">
        <x:v>2025</x:v>
      </x:c>
      <x:c r="H381" s="10" t="str">
        <x:v>São Paulo, Brasil</x:v>
      </x:c>
      <x:c r="I381" s="10" t="str">
        <x:v>Folha de S. Paulo</x:v>
      </x:c>
      <x:c r="J381" s="10" t="str">
        <x:v>Rotina do CV tem tortura com banheira de gelo, treino com fuzil e ostentação</x:v>
      </x:c>
      <x:c r="K381" s="10" t="str">
        <x:v>Hemerográfico</x:v>
      </x:c>
      <x:c r="L381" s="10" t="str">
        <x:v>Texto (digital)</x:v>
      </x:c>
      <x:c r="M381" s="10" t="str">
        <x:v>Folha de S. Paulo</x:v>
      </x:c>
      <x:c r="N381" s="10" t="str">
        <x:v>Português, Brasil</x:v>
      </x:c>
      <x:c r="O381" s="10" t="str">
        <x:v>"Operação contenção" no Google</x:v>
      </x:c>
      <x:c r="P381" s="10" t="str">
        <x:v>2025-11-03 00:00:00</x:v>
      </x:c>
      <x:c r="Q381" s="10" t="str">
        <x:v>Acesso restrito</x:v>
      </x:c>
      <x:c r="R381" s="10" t="str">
        <x:v>Aqui</x:v>
      </x:c>
      <x:c r="S381" s="10" t="str">
        <x:v>FANTTI, Bruna; ZYLBERKAN, Mariana. Rotina do CV tem tortura com banheira de gelo, treino com fuzil e ostentação. Folha de S. Paulo, São Paulo, 30 out. 2025. Disponível em: https://www1.folha.uol.com.br/cotidiano/2025/10/rotina-do-cv-tem-tortura-com-banheira-de-gelo-treino-com-fuzil-e-ostentacao.shtml. Acesso em: 3 nov. 2025.</x:v>
      </x:c>
      <x:c r="T381" s="10" t="str">
        <x:v>BR-SPDIREITOVIOLESTADO_MAPEAMENTOS-NOTICIAS-MSSCPENHA.xlsx</x:v>
      </x:c>
      <x:c r="U381" s="10" t="str">
        <x:v>Geral</x:v>
      </x:c>
      <x:c r="V381" s="11" t="n">
        <x:v>126</x:v>
      </x:c>
      <x:c r="W381" s="10" t="str">
        <x:v>BR-SPDIREITOVIOLESTADO_MAPEAMENTOS-NOTICIAS-MSSCPENHA.xlsx:Geral:126</x:v>
      </x:c>
      <x:c r="X381" s="11" t="n">
        <x:f>COLUMNS(A381:S381)-COUNTBLANK(A381:S381)</x:f>
        <x:v>19</x:v>
      </x:c>
    </x:row>
    <x:row r="382" ht="15" hidden="0" customHeight="1">
      <x:c r="A382" s="10" t="str">
        <x:v>Notícia</x:v>
      </x:c>
      <x:c r="B382" s="10" t="str">
        <x:v>Difusão</x:v>
      </x:c>
      <x:c r="C382" s="10" t="str">
        <x:v>Produção midiática</x:v>
      </x:c>
      <x:c r="D382" s="10" t="str">
        <x:v>Público Mediado</x:v>
      </x:c>
      <x:c r="E382" s="10" t="str">
        <x:v>Midiático</x:v>
      </x:c>
      <x:c r="F382" s="10" t="str">
        <x:v>31/10/2025</x:v>
      </x:c>
      <x:c r="G382" s="11" t="n">
        <x:v>2025</x:v>
      </x:c>
      <x:c r="H382" s="10" t="str">
        <x:v>São Paulo, Brasil</x:v>
      </x:c>
      <x:c r="I382" s="10" t="str">
        <x:v>Folha de S. Paulo</x:v>
      </x:c>
      <x:c r="J382" s="10" t="str">
        <x:v>Polícia do Rio cumpriu 20 dos 100 mandados de prisão da Operação Contenção</x:v>
      </x:c>
      <x:c r="K382" s="10" t="str">
        <x:v>Hemerográfico</x:v>
      </x:c>
      <x:c r="L382" s="10" t="str">
        <x:v>Texto (digital)</x:v>
      </x:c>
      <x:c r="M382" s="10" t="str">
        <x:v>Folha de S. Paulo</x:v>
      </x:c>
      <x:c r="N382" s="10" t="str">
        <x:v>Português, Brasil</x:v>
      </x:c>
      <x:c r="O382" s="10" t="str">
        <x:v>"Operação contenção" no Google</x:v>
      </x:c>
      <x:c r="P382" s="10" t="str">
        <x:v>2025-11-03 00:00:00</x:v>
      </x:c>
      <x:c r="Q382" s="10" t="str">
        <x:v>Aberto</x:v>
      </x:c>
      <x:c r="R382" s="10" t="str"/>
      <x:c r="S382" s="10" t="str">
        <x:v>EIRAS, Yuri; BRANDINO, Géssica. Polícia do Rio cumpriu 20 dos 100 mandados de prisão da Operação Contenção. Folha de S. Paulo, São Paulo/Rio de Janeiro, 31 out. 2025. Acesso em: 3 nov. 2025.</x:v>
      </x:c>
      <x:c r="T382" s="10" t="str">
        <x:v>BR-SPDIREITOVIOLESTADO_MAPEAMENTOS-NOTICIAS-MSSCPENHA.xlsx</x:v>
      </x:c>
      <x:c r="U382" s="10" t="str">
        <x:v>Geral</x:v>
      </x:c>
      <x:c r="V382" s="11" t="n">
        <x:v>127</x:v>
      </x:c>
      <x:c r="W382" s="10" t="str">
        <x:v>BR-SPDIREITOVIOLESTADO_MAPEAMENTOS-NOTICIAS-MSSCPENHA.xlsx:Geral:127</x:v>
      </x:c>
      <x:c r="X382" s="11" t="n">
        <x:f>COLUMNS(A382:S382)-COUNTBLANK(A382:S382)</x:f>
        <x:v>18</x:v>
      </x:c>
    </x:row>
    <x:row r="383" ht="24" hidden="0" customHeight="1">
      <x:c r="A383" s="10" t="str">
        <x:v>Notícia</x:v>
      </x:c>
      <x:c r="B383" s="10" t="str">
        <x:v>Difusão</x:v>
      </x:c>
      <x:c r="C383" s="10" t="str">
        <x:v>Produção midiática</x:v>
      </x:c>
      <x:c r="D383" s="10" t="str">
        <x:v>Público Mediado</x:v>
      </x:c>
      <x:c r="E383" s="10" t="str">
        <x:v>Midiático</x:v>
      </x:c>
      <x:c r="F383" s="10" t="str">
        <x:v>31/10/2025</x:v>
      </x:c>
      <x:c r="G383" s="11" t="n">
        <x:v>2025</x:v>
      </x:c>
      <x:c r="H383" s="10" t="str">
        <x:v>Rio de Janeiro, Brasil</x:v>
      </x:c>
      <x:c r="I383" s="10" t="str">
        <x:v>Agência Brasil</x:v>
      </x:c>
      <x:c r="J383" s="10" t="str">
        <x:v>Fundo Brasil doa recursos para famílias das vítimas da operação no Rio</x:v>
      </x:c>
      <x:c r="K383" s="10" t="str">
        <x:v>Hemerográfico</x:v>
      </x:c>
      <x:c r="L383" s="10" t="str">
        <x:v>Texto (digital)</x:v>
      </x:c>
      <x:c r="M383" s="10" t="str">
        <x:v>Agência Brasil</x:v>
      </x:c>
      <x:c r="N383" s="10" t="str">
        <x:v>Português, Brasil</x:v>
      </x:c>
      <x:c r="O383" s="10" t="str">
        <x:v>"Operação contenção" no Google</x:v>
      </x:c>
      <x:c r="P383" s="10" t="str">
        <x:v>2025-11-03 00:00:00</x:v>
      </x:c>
      <x:c r="Q383" s="10" t="str">
        <x:v>Aberto</x:v>
      </x:c>
      <x:c r="R383" s="10" t="str">
        <x:v>Aqui</x:v>
      </x:c>
      <x:c r="S383" s="10" t="str">
        <x:v>CARVALHO, Anna Karina de. Fundo Brasil doa recursos para famílias das vítimas da operação no Rio. Agência Brasil, Rio de Janeiro, 31 out. 2025. Disponível em: https://agenciabrasil.ebc.com.br/direitos-humanos/noticia/2025-10/fundo-brasil-doa-recursos-para-familias-das-vitimas-da-operacao-no-rio. Acesso em: 3 nov. 2025.</x:v>
      </x:c>
      <x:c r="T383" s="10" t="str">
        <x:v>BR-SPDIREITOVIOLESTADO_MAPEAMENTOS-NOTICIAS-MSSCPENHA.xlsx</x:v>
      </x:c>
      <x:c r="U383" s="10" t="str">
        <x:v>Geral</x:v>
      </x:c>
      <x:c r="V383" s="11" t="n">
        <x:v>128</x:v>
      </x:c>
      <x:c r="W383" s="10" t="str">
        <x:v>BR-SPDIREITOVIOLESTADO_MAPEAMENTOS-NOTICIAS-MSSCPENHA.xlsx:Geral:128</x:v>
      </x:c>
      <x:c r="X383" s="11" t="n">
        <x:f>COLUMNS(A383:S383)-COUNTBLANK(A383:S383)</x:f>
        <x:v>19</x:v>
      </x:c>
    </x:row>
    <x:row r="384" ht="24" hidden="0" customHeight="1">
      <x:c r="A384" s="10" t="str">
        <x:v>Notícia</x:v>
      </x:c>
      <x:c r="B384" s="10" t="str">
        <x:v>Difusão</x:v>
      </x:c>
      <x:c r="C384" s="10" t="str">
        <x:v>Produção midiática</x:v>
      </x:c>
      <x:c r="D384" s="10" t="str">
        <x:v>Público Mediado</x:v>
      </x:c>
      <x:c r="E384" s="10" t="str">
        <x:v>Midiático</x:v>
      </x:c>
      <x:c r="F384" s="10" t="str">
        <x:v>29/10/2025</x:v>
      </x:c>
      <x:c r="G384" s="11" t="n">
        <x:v>2025</x:v>
      </x:c>
      <x:c r="H384" s="10" t="str">
        <x:v>Distrito Federal, Brasil</x:v>
      </x:c>
      <x:c r="I384" s="10" t="str">
        <x:v>Agência Brasil</x:v>
      </x:c>
      <x:c r="J384" s="10" t="str">
        <x:v>Ministério diz que segurança pública deve “proteger todas as pessoas”</x:v>
      </x:c>
      <x:c r="K384" s="10" t="str">
        <x:v>Hemerográfico</x:v>
      </x:c>
      <x:c r="L384" s="10" t="str">
        <x:v>Texto (digital)</x:v>
      </x:c>
      <x:c r="M384" s="10" t="str">
        <x:v>Agência Brasil</x:v>
      </x:c>
      <x:c r="N384" s="10" t="str">
        <x:v>Português, Brasil</x:v>
      </x:c>
      <x:c r="O384" s="10" t="str">
        <x:v>"Operação contenção" no Google</x:v>
      </x:c>
      <x:c r="P384" s="10" t="str">
        <x:v>2025-11-03 00:00:00</x:v>
      </x:c>
      <x:c r="Q384" s="10" t="str">
        <x:v>Aberto</x:v>
      </x:c>
      <x:c r="R384" s="10" t="str">
        <x:v>Aqui</x:v>
      </x:c>
      <x:c r="S384" s="10" t="str">
        <x:v>AGÊNCIA BRASIL. Ministério diz que segurança pública deve “proteger todas as pessoas”. Agência Brasil, Brasília, 29 out. 2025. Disponível em: https://agenciabrasil.ebc.com.br/geral/noticia/2025-10/ministerio-diz-que-seguranca-publica-deve-proteger-todas-pessoas. Acesso em: 3 nov. 2025.</x:v>
      </x:c>
      <x:c r="T384" s="10" t="str">
        <x:v>BR-SPDIREITOVIOLESTADO_MAPEAMENTOS-NOTICIAS-MSSCPENHA.xlsx</x:v>
      </x:c>
      <x:c r="U384" s="10" t="str">
        <x:v>Geral</x:v>
      </x:c>
      <x:c r="V384" s="11" t="n">
        <x:v>129</x:v>
      </x:c>
      <x:c r="W384" s="10" t="str">
        <x:v>BR-SPDIREITOVIOLESTADO_MAPEAMENTOS-NOTICIAS-MSSCPENHA.xlsx:Geral:129</x:v>
      </x:c>
      <x:c r="X384" s="11" t="n">
        <x:f>COLUMNS(A384:S384)-COUNTBLANK(A384:S384)</x:f>
        <x:v>19</x:v>
      </x:c>
    </x:row>
    <x:row r="385" ht="24" hidden="0" customHeight="1">
      <x:c r="A385" s="10" t="str">
        <x:v>Notícia</x:v>
      </x:c>
      <x:c r="B385" s="10" t="str">
        <x:v>Difusão</x:v>
      </x:c>
      <x:c r="C385" s="10" t="str">
        <x:v>Produção midiática</x:v>
      </x:c>
      <x:c r="D385" s="10" t="str">
        <x:v>Público Mediado</x:v>
      </x:c>
      <x:c r="E385" s="10" t="str">
        <x:v>Midiático</x:v>
      </x:c>
      <x:c r="F385" s="10" t="str">
        <x:v>29/10/2025</x:v>
      </x:c>
      <x:c r="G385" s="11" t="n">
        <x:v>2025</x:v>
      </x:c>
      <x:c r="H385" s="10" t="str">
        <x:v>Distrito Federal, Brasil</x:v>
      </x:c>
      <x:c r="I385" s="10" t="str">
        <x:v>Agência Brasil</x:v>
      </x:c>
      <x:c r="J385" s="10" t="str">
        <x:v>Moraes manda governador do Rio prestar esclarecimentos sobre operação</x:v>
      </x:c>
      <x:c r="K385" s="10" t="str">
        <x:v>Hemerográfico</x:v>
      </x:c>
      <x:c r="L385" s="10" t="str">
        <x:v>Texto (digital)</x:v>
      </x:c>
      <x:c r="M385" s="10" t="str">
        <x:v>Agência Brasil</x:v>
      </x:c>
      <x:c r="N385" s="10" t="str">
        <x:v>Português, Brasil</x:v>
      </x:c>
      <x:c r="O385" s="10" t="str">
        <x:v>"Operação contenção" no Google</x:v>
      </x:c>
      <x:c r="P385" s="10" t="str">
        <x:v>2025-11-03 00:00:00</x:v>
      </x:c>
      <x:c r="Q385" s="10" t="str">
        <x:v>Aberto</x:v>
      </x:c>
      <x:c r="R385" s="10" t="str">
        <x:v>Aqui</x:v>
      </x:c>
      <x:c r="S385" s="10" t="str">
        <x:v>RICHTER, André. Moraes manda governador do Rio prestar esclarecimentos sobre operação. Agência Brasil, Brasília, 29 out. 2025. Disponível em: https://agenciabrasil.ebc.com.br/justica/noticia/2025-10/moraes-manda-governador-do-rio-prestar-esclarecimentos-sobre-operacao. Acesso em: 3 nov. 2025.</x:v>
      </x:c>
      <x:c r="T385" s="10" t="str">
        <x:v>BR-SPDIREITOVIOLESTADO_MAPEAMENTOS-NOTICIAS-MSSCPENHA.xlsx</x:v>
      </x:c>
      <x:c r="U385" s="10" t="str">
        <x:v>Geral</x:v>
      </x:c>
      <x:c r="V385" s="11" t="n">
        <x:v>130</x:v>
      </x:c>
      <x:c r="W385" s="10" t="str">
        <x:v>BR-SPDIREITOVIOLESTADO_MAPEAMENTOS-NOTICIAS-MSSCPENHA.xlsx:Geral:130</x:v>
      </x:c>
      <x:c r="X385" s="11" t="n">
        <x:f>COLUMNS(A385:S385)-COUNTBLANK(A385:S385)</x:f>
        <x:v>19</x:v>
      </x:c>
    </x:row>
    <x:row r="386" ht="24" hidden="0" customHeight="1">
      <x:c r="A386" s="10" t="str">
        <x:v>Notícia</x:v>
      </x:c>
      <x:c r="B386" s="10" t="str">
        <x:v>Difusão</x:v>
      </x:c>
      <x:c r="C386" s="10" t="str">
        <x:v>Produção midiática</x:v>
      </x:c>
      <x:c r="D386" s="10" t="str">
        <x:v>Público Mediado</x:v>
      </x:c>
      <x:c r="E386" s="10" t="str">
        <x:v>Midiático</x:v>
      </x:c>
      <x:c r="F386" s="10" t="str">
        <x:v>01/11/2025</x:v>
      </x:c>
      <x:c r="G386" s="11" t="n">
        <x:v>2025</x:v>
      </x:c>
      <x:c r="H386" s="10" t="str">
        <x:v>Rio de Janeiro, Brasil</x:v>
      </x:c>
      <x:c r="I386" s="10" t="str">
        <x:v>Agência Brasil</x:v>
      </x:c>
      <x:c r="J386" s="10" t="str">
        <x:v>Sob facções e operações, população de favelas vive traumas e adoece</x:v>
      </x:c>
      <x:c r="K386" s="10" t="str">
        <x:v>Hemerográfico</x:v>
      </x:c>
      <x:c r="L386" s="10" t="str">
        <x:v>Texto (digital)</x:v>
      </x:c>
      <x:c r="M386" s="10" t="str">
        <x:v>Agência Brasil</x:v>
      </x:c>
      <x:c r="N386" s="10" t="str">
        <x:v>Português, Brasil</x:v>
      </x:c>
      <x:c r="O386" s="10" t="str">
        <x:v>"Operação contenção" no Google</x:v>
      </x:c>
      <x:c r="P386" s="10" t="str">
        <x:v>2025-11-03 00:00:00</x:v>
      </x:c>
      <x:c r="Q386" s="10" t="str">
        <x:v>Aberto</x:v>
      </x:c>
      <x:c r="R386" s="10" t="str">
        <x:v>Aqui</x:v>
      </x:c>
      <x:c r="S386" s="10" t="str">
        <x:v>TOKARNIA, Mariana. Sob facções e operações, população de favelas vive traumas e adoece. Agência Brasil, Rio de Janeiro, 1 nov. 2025. Disponível em: https://agenciabrasil.ebc.com.br/direitos-humanos/noticia/2025-10/sob-faccoes-e-operacoes-populacao-de-favelas-vive-traumas-e-adoece. Acesso em: 3 nov. 2025.</x:v>
      </x:c>
      <x:c r="T386" s="10" t="str">
        <x:v>BR-SPDIREITOVIOLESTADO_MAPEAMENTOS-NOTICIAS-MSSCPENHA.xlsx</x:v>
      </x:c>
      <x:c r="U386" s="10" t="str">
        <x:v>Geral</x:v>
      </x:c>
      <x:c r="V386" s="11" t="n">
        <x:v>131</x:v>
      </x:c>
      <x:c r="W386" s="10" t="str">
        <x:v>BR-SPDIREITOVIOLESTADO_MAPEAMENTOS-NOTICIAS-MSSCPENHA.xlsx:Geral:131</x:v>
      </x:c>
      <x:c r="X386" s="11" t="n">
        <x:f>COLUMNS(A386:S386)-COUNTBLANK(A386:S386)</x:f>
        <x:v>19</x:v>
      </x:c>
    </x:row>
    <x:row r="387" ht="24" hidden="0" customHeight="1">
      <x:c r="A387" s="10" t="str">
        <x:v>Notícia</x:v>
      </x:c>
      <x:c r="B387" s="10" t="str">
        <x:v>Difusão</x:v>
      </x:c>
      <x:c r="C387" s="10" t="str">
        <x:v>Produção midiática</x:v>
      </x:c>
      <x:c r="D387" s="10" t="str">
        <x:v>Público Mediado</x:v>
      </x:c>
      <x:c r="E387" s="10" t="str">
        <x:v>Midiático</x:v>
      </x:c>
      <x:c r="F387" s="10" t="str">
        <x:v>28/10/2025</x:v>
      </x:c>
      <x:c r="G387" s="11" t="n">
        <x:v>2025</x:v>
      </x:c>
      <x:c r="H387" s="10" t="str">
        <x:v>Rio de Janeiro, Brasil</x:v>
      </x:c>
      <x:c r="I387" s="10" t="str">
        <x:v>CNN Brasil</x:v>
      </x:c>
      <x:c r="J387" s="10" t="str">
        <x:v>Megaoperação tenta prender 100 membros do CV no Alemão e Penha (RJ)</x:v>
      </x:c>
      <x:c r="K387" s="10" t="str">
        <x:v>Hemerográfico</x:v>
      </x:c>
      <x:c r="L387" s="10" t="str">
        <x:v>Texto (digital)</x:v>
      </x:c>
      <x:c r="M387" s="10" t="str">
        <x:v>CNN Brasil</x:v>
      </x:c>
      <x:c r="N387" s="10" t="str">
        <x:v>Português, Brasil</x:v>
      </x:c>
      <x:c r="O387" s="10" t="str">
        <x:v>"Operação contenção" no Google</x:v>
      </x:c>
      <x:c r="P387" s="10" t="str">
        <x:v>2025-11-03 00:00:00</x:v>
      </x:c>
      <x:c r="Q387" s="10" t="str">
        <x:v>Aberto</x:v>
      </x:c>
      <x:c r="R387" s="10" t="str"/>
      <x:c r="S387" s="10" t="str">
        <x:v>COUTO, Camille. Megaoperação tenta prender 100 membros do CV no Alemão e Penha (RJ). CNN Brasil, Rio de Janeiro, 28 out. 2025. Disponível em: http://cnnbrasil.com.br/nacional/sudeste/rj/rj-megaoperacao-com-mais-de-2-mil-policiais-toma-alemao-e-penha/. Acesso em: 3 nov. 2025.</x:v>
      </x:c>
      <x:c r="T387" s="10" t="str">
        <x:v>BR-SPDIREITOVIOLESTADO_MAPEAMENTOS-NOTICIAS-MSSCPENHA.xlsx</x:v>
      </x:c>
      <x:c r="U387" s="10" t="str">
        <x:v>Geral</x:v>
      </x:c>
      <x:c r="V387" s="11" t="n">
        <x:v>132</x:v>
      </x:c>
      <x:c r="W387" s="10" t="str">
        <x:v>BR-SPDIREITOVIOLESTADO_MAPEAMENTOS-NOTICIAS-MSSCPENHA.xlsx:Geral:132</x:v>
      </x:c>
      <x:c r="X387" s="11" t="n">
        <x:f>COLUMNS(A387:S387)-COUNTBLANK(A387:S387)</x:f>
        <x:v>18</x:v>
      </x:c>
    </x:row>
    <x:row r="388" ht="24" hidden="0" customHeight="1">
      <x:c r="A388" s="10" t="str">
        <x:v>Notícia</x:v>
      </x:c>
      <x:c r="B388" s="10" t="str">
        <x:v>Difusão</x:v>
      </x:c>
      <x:c r="C388" s="10" t="str">
        <x:v>Produção midiática</x:v>
      </x:c>
      <x:c r="D388" s="10" t="str">
        <x:v>Público Mediado</x:v>
      </x:c>
      <x:c r="E388" s="10" t="str">
        <x:v>Midiático</x:v>
      </x:c>
      <x:c r="F388" s="10" t="str">
        <x:v>30/10/2025</x:v>
      </x:c>
      <x:c r="G388" s="11" t="n">
        <x:v>2025</x:v>
      </x:c>
      <x:c r="H388" s="10" t="str">
        <x:v>Distrito Federal, Brasil</x:v>
      </x:c>
      <x:c r="I388" s="10" t="str">
        <x:v>Agência Brasil</x:v>
      </x:c>
      <x:c r="J388" s="10" t="str">
        <x:v>Defensoria do Rio quer fazer laudos paralelos dos corpos: entidade alega que faltaram ambulâncias e postos estavam fechados</x:v>
      </x:c>
      <x:c r="K388" s="10" t="str">
        <x:v>Hemerográfico</x:v>
      </x:c>
      <x:c r="L388" s="10" t="str">
        <x:v>Texto (digital)</x:v>
      </x:c>
      <x:c r="M388" s="10" t="str">
        <x:v>Agência Brasil</x:v>
      </x:c>
      <x:c r="N388" s="10" t="str">
        <x:v>Português, Brasil</x:v>
      </x:c>
      <x:c r="O388" s="10" t="str">
        <x:v>"Operação contenção" no Google</x:v>
      </x:c>
      <x:c r="P388" s="10" t="str">
        <x:v>2025-11-03 00:00:00</x:v>
      </x:c>
      <x:c r="Q388" s="10" t="str">
        <x:v>Aberto</x:v>
      </x:c>
      <x:c r="R388" s="10" t="str">
        <x:v>Aqui</x:v>
      </x:c>
      <x:c r="S388" s="10" t="str">
        <x:v>RICHTER, André; CARDOSO, Rafael. Defensoria do Rio quer fazer laudos paralelos dos corpos: entidade alega que faltaram ambulâncias e postos estavam fechados. Agência Brasil, Brasília/Rio de Janeiro, 30 out. 2025. Disponível em: https://agenciabrasil.ebc.com.br/justica/noticia/2025-10/operacao-defensoria-do-rio-quer-fazer-laudos-paralelos-dos-corpos. Acesso em: 3 nov. 2025.</x:v>
      </x:c>
      <x:c r="T388" s="10" t="str">
        <x:v>BR-SPDIREITOVIOLESTADO_MAPEAMENTOS-NOTICIAS-MSSCPENHA.xlsx</x:v>
      </x:c>
      <x:c r="U388" s="10" t="str">
        <x:v>Geral</x:v>
      </x:c>
      <x:c r="V388" s="11" t="n">
        <x:v>133</x:v>
      </x:c>
      <x:c r="W388" s="10" t="str">
        <x:v>BR-SPDIREITOVIOLESTADO_MAPEAMENTOS-NOTICIAS-MSSCPENHA.xlsx:Geral:133</x:v>
      </x:c>
      <x:c r="X388" s="11" t="n">
        <x:f>COLUMNS(A388:S388)-COUNTBLANK(A388:S388)</x:f>
        <x:v>19</x:v>
      </x:c>
    </x:row>
    <x:row r="389" ht="24" hidden="0" customHeight="1">
      <x:c r="A389" s="10" t="str">
        <x:v>Notícia</x:v>
      </x:c>
      <x:c r="B389" s="10" t="str">
        <x:v>Difusão</x:v>
      </x:c>
      <x:c r="C389" s="10" t="str">
        <x:v>Produção midiática</x:v>
      </x:c>
      <x:c r="D389" s="10" t="str">
        <x:v>Público Mediado</x:v>
      </x:c>
      <x:c r="E389" s="10" t="str">
        <x:v>Midiático</x:v>
      </x:c>
      <x:c r="F389" s="10" t="str">
        <x:v>29/10/2025</x:v>
      </x:c>
      <x:c r="G389" s="11" t="n">
        <x:v>2025</x:v>
      </x:c>
      <x:c r="H389" s="10" t="str">
        <x:v>Rio de Janeiro, Brasil</x:v>
      </x:c>
      <x:c r="I389" s="10" t="str">
        <x:v>Assembleia Legislativa do Estado do Rio de Janeiro (ALERJ)</x:v>
      </x:c>
      <x:c r="J389" s="10" t="str">
        <x:v>ALERJ realiza um minuto de silêncio em homenagem a policiais vitimados na operação no Complexo do Alemão</x:v>
      </x:c>
      <x:c r="K389" s="10" t="str">
        <x:v>Hemerográfico</x:v>
      </x:c>
      <x:c r="L389" s="10" t="str">
        <x:v>Texto (digital)</x:v>
      </x:c>
      <x:c r="M389" s="10" t="str">
        <x:v>Assembleia Legislativa do Estado do Rio de Janeiro (ALERJ)</x:v>
      </x:c>
      <x:c r="N389" s="10" t="str">
        <x:v>Português, Brasil</x:v>
      </x:c>
      <x:c r="O389" s="10" t="str">
        <x:v>"Operação contenção" no Google</x:v>
      </x:c>
      <x:c r="P389" s="10" t="str">
        <x:v>2025-11-03 00:00:00</x:v>
      </x:c>
      <x:c r="Q389" s="10" t="str">
        <x:v>Aberto</x:v>
      </x:c>
      <x:c r="R389" s="10" t="str">
        <x:v>Aqui</x:v>
      </x:c>
      <x:c r="S389" s="10" t="str">
        <x:v>NATARIO, Gustavo; D’AVILA, Vítor. ALERJ realiza um minuto de silêncio em homenagem a policiais vitimados na operação no Complexo do Alemão. Assembleia Legislativa do Estado do Rio de Janeiro, Rio de Janeiro, 29 out. 2025. Disponível em: https://www.alerj.rj.gov.br/Visualizar/Noticia/80320. Acesso em: 3 nov. 2025.</x:v>
      </x:c>
      <x:c r="T389" s="10" t="str">
        <x:v>BR-SPDIREITOVIOLESTADO_MAPEAMENTOS-NOTICIAS-MSSCPENHA.xlsx</x:v>
      </x:c>
      <x:c r="U389" s="10" t="str">
        <x:v>Geral</x:v>
      </x:c>
      <x:c r="V389" s="11" t="n">
        <x:v>134</x:v>
      </x:c>
      <x:c r="W389" s="10" t="str">
        <x:v>BR-SPDIREITOVIOLESTADO_MAPEAMENTOS-NOTICIAS-MSSCPENHA.xlsx:Geral:134</x:v>
      </x:c>
      <x:c r="X389" s="11" t="n">
        <x:f>COLUMNS(A389:S389)-COUNTBLANK(A389:S389)</x:f>
        <x:v>19</x:v>
      </x:c>
    </x:row>
    <x:row r="390" ht="24" hidden="0" customHeight="1">
      <x:c r="A390" s="10" t="str">
        <x:v>Notícia</x:v>
      </x:c>
      <x:c r="B390" s="10" t="str">
        <x:v>Difusão</x:v>
      </x:c>
      <x:c r="C390" s="10" t="str">
        <x:v>Produção midiática</x:v>
      </x:c>
      <x:c r="D390" s="10" t="str">
        <x:v>Público Mediado</x:v>
      </x:c>
      <x:c r="E390" s="10" t="str">
        <x:v>Midiático</x:v>
      </x:c>
      <x:c r="F390" s="10" t="str">
        <x:v>01/11/2025</x:v>
      </x:c>
      <x:c r="G390" s="11" t="n">
        <x:v>2025</x:v>
      </x:c>
      <x:c r="H390" s="10" t="str">
        <x:v>Rio de Janeiro, Brasil</x:v>
      </x:c>
      <x:c r="I390" s="10" t="str">
        <x:v>Agência Brasil</x:v>
      </x:c>
      <x:c r="J390" s="10" t="str">
        <x:v>Moraes cumpre agenda de audiências no Rio sobre a Operação Contenção</x:v>
      </x:c>
      <x:c r="K390" s="10" t="str">
        <x:v>Hemerográfico</x:v>
      </x:c>
      <x:c r="L390" s="10" t="str">
        <x:v>Texto (digital)</x:v>
      </x:c>
      <x:c r="M390" s="10" t="str">
        <x:v>Agência Brasil</x:v>
      </x:c>
      <x:c r="N390" s="10" t="str">
        <x:v>Português, Brasil</x:v>
      </x:c>
      <x:c r="O390" s="10" t="str">
        <x:v>"Operação contenção" no Google</x:v>
      </x:c>
      <x:c r="P390" s="10" t="str">
        <x:v>2025-11-03 00:00:00</x:v>
      </x:c>
      <x:c r="Q390" s="10" t="str">
        <x:v>Aberto</x:v>
      </x:c>
      <x:c r="R390" s="10" t="str">
        <x:v>Aqui</x:v>
      </x:c>
      <x:c r="S390" s="10" t="str">
        <x:v>REPÓRTER BRASIL. Moraes cumpre agenda de audiências no Rio sobre a Operação Contenção. TV Brasil, Rio de Janeiro, 1 nov. 2025. Disponível em: https://tvbrasil.ebc.com.br/reporter-brasil/2025/11/moraes-cumpre-agenda-de-audiencias-no-rio-sobre-operacao-contencao. Acesso em: 3 nov. 2025.</x:v>
      </x:c>
      <x:c r="T390" s="10" t="str">
        <x:v>BR-SPDIREITOVIOLESTADO_MAPEAMENTOS-NOTICIAS-MSSCPENHA.xlsx</x:v>
      </x:c>
      <x:c r="U390" s="10" t="str">
        <x:v>Geral</x:v>
      </x:c>
      <x:c r="V390" s="11" t="n">
        <x:v>135</x:v>
      </x:c>
      <x:c r="W390" s="10" t="str">
        <x:v>BR-SPDIREITOVIOLESTADO_MAPEAMENTOS-NOTICIAS-MSSCPENHA.xlsx:Geral:135</x:v>
      </x:c>
      <x:c r="X390" s="11" t="n">
        <x:f>COLUMNS(A390:S390)-COUNTBLANK(A390:S390)</x:f>
        <x:v>19</x:v>
      </x:c>
    </x:row>
    <x:row r="391" ht="24" hidden="0" customHeight="1">
      <x:c r="A391" s="10" t="str">
        <x:v>Notícia</x:v>
      </x:c>
      <x:c r="B391" s="10" t="str">
        <x:v>Difusão</x:v>
      </x:c>
      <x:c r="C391" s="10" t="str">
        <x:v>Produção midiática</x:v>
      </x:c>
      <x:c r="D391" s="10" t="str">
        <x:v>Público Mediado</x:v>
      </x:c>
      <x:c r="E391" s="10" t="str">
        <x:v>Midiático</x:v>
      </x:c>
      <x:c r="F391" s="10" t="str">
        <x:v>31/10/2025</x:v>
      </x:c>
      <x:c r="G391" s="11" t="n">
        <x:v>2025</x:v>
      </x:c>
      <x:c r="H391" s="10" t="str">
        <x:v>Paraná, Brasil</x:v>
      </x:c>
      <x:c r="I391" s="10" t="str">
        <x:v>Gazeta do Povo</x:v>
      </x:c>
      <x:c r="J391" s="10" t="str">
        <x:v>AtlasIntel: 8 em cada 10 moradores de favelas aprovam operação no RJ</x:v>
      </x:c>
      <x:c r="K391" s="10" t="str">
        <x:v>Hemerográfico</x:v>
      </x:c>
      <x:c r="L391" s="10" t="str">
        <x:v>Texto (digital)</x:v>
      </x:c>
      <x:c r="M391" s="10" t="str">
        <x:v>Gazeta do Povo</x:v>
      </x:c>
      <x:c r="N391" s="10" t="str">
        <x:v>Português, Brasil</x:v>
      </x:c>
      <x:c r="O391" s="10" t="str">
        <x:v>"Operação contenção" no Google</x:v>
      </x:c>
      <x:c r="P391" s="10" t="str">
        <x:v>2025-11-03 00:00:00</x:v>
      </x:c>
      <x:c r="Q391" s="10" t="str">
        <x:v>Acesso restrito</x:v>
      </x:c>
      <x:c r="R391" s="10" t="str">
        <x:v>Aqui</x:v>
      </x:c>
      <x:c r="S391" s="10" t="str">
        <x:v>MACIA, Vinicius. AtlasIntel: 8 em cada 10 moradores de favelas aprovam operação no RJ. Gazeta do Povo, 31 out. 2025. Disponível em: https://www.gazetadopovo.com.br/brasil/oito-em-cada-dez-moradores-aprovam-operacao-no-rj/. Acesso em: 3 nov. 2025.</x:v>
      </x:c>
      <x:c r="T391" s="10" t="str">
        <x:v>BR-SPDIREITOVIOLESTADO_MAPEAMENTOS-NOTICIAS-MSSCPENHA.xlsx</x:v>
      </x:c>
      <x:c r="U391" s="10" t="str">
        <x:v>Geral</x:v>
      </x:c>
      <x:c r="V391" s="11" t="n">
        <x:v>136</x:v>
      </x:c>
      <x:c r="W391" s="10" t="str">
        <x:v>BR-SPDIREITOVIOLESTADO_MAPEAMENTOS-NOTICIAS-MSSCPENHA.xlsx:Geral:136</x:v>
      </x:c>
      <x:c r="X391" s="11" t="n">
        <x:f>COLUMNS(A391:S391)-COUNTBLANK(A391:S391)</x:f>
        <x:v>19</x:v>
      </x:c>
    </x:row>
    <x:row r="392" ht="24" hidden="0" customHeight="1">
      <x:c r="A392" s="10" t="str">
        <x:v>Notícia</x:v>
      </x:c>
      <x:c r="B392" s="10" t="str">
        <x:v>Difusão</x:v>
      </x:c>
      <x:c r="C392" s="10" t="str">
        <x:v>Produção midiática</x:v>
      </x:c>
      <x:c r="D392" s="10" t="str">
        <x:v>Público Mediado</x:v>
      </x:c>
      <x:c r="E392" s="10" t="str">
        <x:v>Midiático</x:v>
      </x:c>
      <x:c r="F392" s="10" t="str">
        <x:v>02/11/2025</x:v>
      </x:c>
      <x:c r="G392" s="11" t="n">
        <x:v>2025</x:v>
      </x:c>
      <x:c r="H392" s="10" t="str">
        <x:v>Paraná, Brasil</x:v>
      </x:c>
      <x:c r="I392" s="10" t="str">
        <x:v>Gazeta do Povo</x:v>
      </x:c>
      <x:c r="J392" s="10" t="str">
        <x:v>Pesquisas sobre operação contra CV distanciam população do discurso da esquerda</x:v>
      </x:c>
      <x:c r="K392" s="10" t="str">
        <x:v>Hemerográfico</x:v>
      </x:c>
      <x:c r="L392" s="10" t="str">
        <x:v>Texto (digital)</x:v>
      </x:c>
      <x:c r="M392" s="10" t="str">
        <x:v>Gazeta do Povo</x:v>
      </x:c>
      <x:c r="N392" s="10" t="str">
        <x:v>Português, Brasil</x:v>
      </x:c>
      <x:c r="O392" s="10" t="str">
        <x:v>"Operação contenção" no Google</x:v>
      </x:c>
      <x:c r="P392" s="10" t="str">
        <x:v>2025-11-03 00:00:00</x:v>
      </x:c>
      <x:c r="Q392" s="10" t="str">
        <x:v>Acesso restrito</x:v>
      </x:c>
      <x:c r="R392" s="10" t="str">
        <x:v>Aqui</x:v>
      </x:c>
      <x:c r="S392" s="10" t="str">
        <x:v>GAZETA DO POVO. Pesquisas sobre operação contra CV distanciam população do discurso da esquerda. Gazeta do Povo, 2 nov. 2025. Disponível em: https://www.gazetadopovo.com.br/brasil/pesquisas-operacao-comando-vermelho-distanciam-populacao-esquerda/. Acesso em: 3 nov. 2025.</x:v>
      </x:c>
      <x:c r="T392" s="10" t="str">
        <x:v>BR-SPDIREITOVIOLESTADO_MAPEAMENTOS-NOTICIAS-MSSCPENHA.xlsx</x:v>
      </x:c>
      <x:c r="U392" s="10" t="str">
        <x:v>Geral</x:v>
      </x:c>
      <x:c r="V392" s="11" t="n">
        <x:v>137</x:v>
      </x:c>
      <x:c r="W392" s="10" t="str">
        <x:v>BR-SPDIREITOVIOLESTADO_MAPEAMENTOS-NOTICIAS-MSSCPENHA.xlsx:Geral:137</x:v>
      </x:c>
      <x:c r="X392" s="11" t="n">
        <x:f>COLUMNS(A392:S392)-COUNTBLANK(A392:S392)</x:f>
        <x:v>19</x:v>
      </x:c>
    </x:row>
    <x:row r="393" ht="24" hidden="0" customHeight="1">
      <x:c r="A393" s="10" t="str">
        <x:v>Notícia</x:v>
      </x:c>
      <x:c r="B393" s="10" t="str">
        <x:v>Difusão</x:v>
      </x:c>
      <x:c r="C393" s="10" t="str">
        <x:v>Produção midiática</x:v>
      </x:c>
      <x:c r="D393" s="10" t="str">
        <x:v>Público Mediado</x:v>
      </x:c>
      <x:c r="E393" s="10" t="str">
        <x:v>Midiático</x:v>
      </x:c>
      <x:c r="F393" s="10" t="str">
        <x:v>02/11/2025</x:v>
      </x:c>
      <x:c r="G393" s="11" t="n">
        <x:v>2025</x:v>
      </x:c>
      <x:c r="H393" s="10" t="str">
        <x:v>Rio de Janeiro, Brasil</x:v>
      </x:c>
      <x:c r="I393" s="10" t="str">
        <x:v>O Globo</x:v>
      </x:c>
      <x:c r="J393" s="10" t="str">
        <x:v>Operação Contenção foi caçada humana</x:v>
      </x:c>
      <x:c r="K393" s="10" t="str">
        <x:v>Hemerográfico</x:v>
      </x:c>
      <x:c r="L393" s="10" t="str">
        <x:v>Texto (digital)</x:v>
      </x:c>
      <x:c r="M393" s="10" t="str">
        <x:v>O Globo</x:v>
      </x:c>
      <x:c r="N393" s="10" t="str">
        <x:v>Português, Brasil</x:v>
      </x:c>
      <x:c r="O393" s="10" t="str">
        <x:v>"Operação contenção" no Google</x:v>
      </x:c>
      <x:c r="P393" s="10" t="str">
        <x:v>2025-11-03 00:00:00</x:v>
      </x:c>
      <x:c r="Q393" s="10" t="str">
        <x:v>Acesso restrito</x:v>
      </x:c>
      <x:c r="R393" s="10" t="str">
        <x:v>Aqui</x:v>
      </x:c>
      <x:c r="S393" s="10" t="str">
        <x:v>HARAZIM, Dorrit. Operação Contenção foi caçada humana. O Globo, Rio de Janeiro, 2 nov. 2025. Disponível em: https://oglobo.globo.com/opiniao/dorrit-harazim/coluna/2025/11/operacao-contencao-foi-cacada-humana.ghtml. Acesso em: 3 nov. 2025.</x:v>
      </x:c>
      <x:c r="T393" s="10" t="str">
        <x:v>BR-SPDIREITOVIOLESTADO_MAPEAMENTOS-NOTICIAS-MSSCPENHA.xlsx</x:v>
      </x:c>
      <x:c r="U393" s="10" t="str">
        <x:v>Geral</x:v>
      </x:c>
      <x:c r="V393" s="11" t="n">
        <x:v>138</x:v>
      </x:c>
      <x:c r="W393" s="10" t="str">
        <x:v>BR-SPDIREITOVIOLESTADO_MAPEAMENTOS-NOTICIAS-MSSCPENHA.xlsx:Geral:138</x:v>
      </x:c>
      <x:c r="X393" s="11" t="n">
        <x:f>COLUMNS(A393:S393)-COUNTBLANK(A393:S393)</x:f>
        <x:v>19</x:v>
      </x:c>
    </x:row>
    <x:row r="394" ht="24" hidden="0" customHeight="1">
      <x:c r="A394" s="10" t="str">
        <x:v>Notícia</x:v>
      </x:c>
      <x:c r="B394" s="10" t="str">
        <x:v>Difusão</x:v>
      </x:c>
      <x:c r="C394" s="10" t="str">
        <x:v>Produção midiática</x:v>
      </x:c>
      <x:c r="D394" s="10" t="str">
        <x:v>Público Mediado</x:v>
      </x:c>
      <x:c r="E394" s="10" t="str">
        <x:v>Midiático</x:v>
      </x:c>
      <x:c r="F394" s="10" t="str">
        <x:v>29/10/2025</x:v>
      </x:c>
      <x:c r="G394" s="11" t="n">
        <x:v>2025</x:v>
      </x:c>
      <x:c r="H394" s="10" t="str">
        <x:v>Rio de Janeiro, Brasil</x:v>
      </x:c>
      <x:c r="I394" s="10" t="str">
        <x:v>Agência Brasil</x:v>
      </x:c>
      <x:c r="J394" s="10" t="str">
        <x:v>Lewandowski e Castro se reúnem no Rio e falam sobre Operação Contenção</x:v>
      </x:c>
      <x:c r="K394" s="10" t="str">
        <x:v>Hemerográfico</x:v>
      </x:c>
      <x:c r="L394" s="10" t="str">
        <x:v>Texto (digital)</x:v>
      </x:c>
      <x:c r="M394" s="10" t="str">
        <x:v>Agência Brasil</x:v>
      </x:c>
      <x:c r="N394" s="10" t="str">
        <x:v>Português, Brasil</x:v>
      </x:c>
      <x:c r="O394" s="10" t="str">
        <x:v>"Operação contenção" no Google</x:v>
      </x:c>
      <x:c r="P394" s="10" t="str">
        <x:v>2025-11-03 00:00:00</x:v>
      </x:c>
      <x:c r="Q394" s="10" t="str">
        <x:v>Aberto</x:v>
      </x:c>
      <x:c r="R394" s="10" t="str">
        <x:v>Aqui</x:v>
      </x:c>
      <x:c r="S394" s="10" t="str">
        <x:v>REPÓRTER BRASIL. Lewandowski e Castro se reúnem no Rio e falam sobre Operação Contenção. TV Brasil, Rio de Janeiro, 29 out. 2025. Disponível em: https://tvbrasil.ebc.com.br/reporter-brasil/2025/10/lewandowski-e-castro-se-reunem-no-rio-e-falam-sobre-operacao-contencao. Acesso em: 3 nov. 2025.</x:v>
      </x:c>
      <x:c r="T394" s="10" t="str">
        <x:v>BR-SPDIREITOVIOLESTADO_MAPEAMENTOS-NOTICIAS-MSSCPENHA.xlsx</x:v>
      </x:c>
      <x:c r="U394" s="10" t="str">
        <x:v>Geral</x:v>
      </x:c>
      <x:c r="V394" s="11" t="n">
        <x:v>139</x:v>
      </x:c>
      <x:c r="W394" s="10" t="str">
        <x:v>BR-SPDIREITOVIOLESTADO_MAPEAMENTOS-NOTICIAS-MSSCPENHA.xlsx:Geral:139</x:v>
      </x:c>
      <x:c r="X394" s="11" t="n">
        <x:f>COLUMNS(A394:S394)-COUNTBLANK(A394:S394)</x:f>
        <x:v>19</x:v>
      </x:c>
    </x:row>
    <x:row r="395" ht="24" hidden="0" customHeight="1">
      <x:c r="A395" s="10" t="str">
        <x:v>Notícia</x:v>
      </x:c>
      <x:c r="B395" s="10" t="str">
        <x:v>Difusão</x:v>
      </x:c>
      <x:c r="C395" s="10" t="str">
        <x:v>Produção midiática</x:v>
      </x:c>
      <x:c r="D395" s="10" t="str">
        <x:v>Público Mediado</x:v>
      </x:c>
      <x:c r="E395" s="10" t="str">
        <x:v>Midiático</x:v>
      </x:c>
      <x:c r="F395" s="10" t="str">
        <x:v>31/10/2025</x:v>
      </x:c>
      <x:c r="G395" s="11" t="n">
        <x:v>2025</x:v>
      </x:c>
      <x:c r="H395" s="10" t="str">
        <x:v>Distrito Federal, Brasil</x:v>
      </x:c>
      <x:c r="I395" s="10" t="str">
        <x:v>Agência Brasil</x:v>
      </x:c>
      <x:c r="J395" s="10" t="str">
        <x:v>PT, PSOL e PCdoB pedem ao STF acesso de familiares à perícia de corpos: partidos afirmam que a operação policial "matou mais do que prendeu"</x:v>
      </x:c>
      <x:c r="K395" s="10" t="str">
        <x:v>Hemerográfico</x:v>
      </x:c>
      <x:c r="L395" s="10" t="str">
        <x:v>Texto (digital)</x:v>
      </x:c>
      <x:c r="M395" s="10" t="str">
        <x:v>Agência Brasil</x:v>
      </x:c>
      <x:c r="N395" s="10" t="str">
        <x:v>Português, Brasil</x:v>
      </x:c>
      <x:c r="O395" s="10" t="str">
        <x:v>"Operação contenção" no Google</x:v>
      </x:c>
      <x:c r="P395" s="10" t="str">
        <x:v>2025-11-03 00:00:00</x:v>
      </x:c>
      <x:c r="Q395" s="10" t="str">
        <x:v>Aberto</x:v>
      </x:c>
      <x:c r="R395" s="10" t="str">
        <x:v>Aqui</x:v>
      </x:c>
      <x:c r="S395" s="10" t="str">
        <x:v>RICHTER, André. PT, PSOL e PCdoB pedem ao STF acesso de familiares à perícia de corpos: partidos afirmam que a operação policial "matou mais do que prendeu". Agência Brasil, Brasília, 31 out. 2025. Disponível em: https://agenciabrasil.ebc.com.br/justica/noticia/2025-10/pt-psol-e-pcdob-pedem-ao-stf-acesso-de-familiares-pericia-de-corpos. Acesso em: 3 nov. 2025.</x:v>
      </x:c>
      <x:c r="T395" s="10" t="str">
        <x:v>BR-SPDIREITOVIOLESTADO_MAPEAMENTOS-NOTICIAS-MSSCPENHA.xlsx</x:v>
      </x:c>
      <x:c r="U395" s="10" t="str">
        <x:v>Geral</x:v>
      </x:c>
      <x:c r="V395" s="11" t="n">
        <x:v>140</x:v>
      </x:c>
      <x:c r="W395" s="10" t="str">
        <x:v>BR-SPDIREITOVIOLESTADO_MAPEAMENTOS-NOTICIAS-MSSCPENHA.xlsx:Geral:140</x:v>
      </x:c>
      <x:c r="X395" s="11" t="n">
        <x:f>COLUMNS(A395:S395)-COUNTBLANK(A395:S395)</x:f>
        <x:v>19</x:v>
      </x:c>
    </x:row>
    <x:row r="396" ht="24" hidden="0" customHeight="1">
      <x:c r="A396" s="10" t="str">
        <x:v>Notícia</x:v>
      </x:c>
      <x:c r="B396" s="10" t="str">
        <x:v>Difusão</x:v>
      </x:c>
      <x:c r="C396" s="10" t="str">
        <x:v>Produção midiática</x:v>
      </x:c>
      <x:c r="D396" s="10" t="str">
        <x:v>Público Mediado</x:v>
      </x:c>
      <x:c r="E396" s="10" t="str">
        <x:v>Midiático</x:v>
      </x:c>
      <x:c r="F396" s="10" t="str">
        <x:v>31/10/2025</x:v>
      </x:c>
      <x:c r="G396" s="11" t="n">
        <x:v>2025</x:v>
      </x:c>
      <x:c r="H396" s="10" t="str">
        <x:v>Rio de Janeiro, Brasil</x:v>
      </x:c>
      <x:c r="I396" s="10" t="str">
        <x:v>Agência Brasil</x:v>
      </x:c>
      <x:c r="J396" s="10" t="str">
        <x:v>Denúncia que baseou a Operação Contenção apontava 69 criminosos</x:v>
      </x:c>
      <x:c r="K396" s="10" t="str">
        <x:v>Hemerográfico</x:v>
      </x:c>
      <x:c r="L396" s="10" t="str">
        <x:v>Texto (digital)</x:v>
      </x:c>
      <x:c r="M396" s="10" t="str">
        <x:v>Agência Brasil</x:v>
      </x:c>
      <x:c r="N396" s="10" t="str">
        <x:v>Português, Brasil</x:v>
      </x:c>
      <x:c r="O396" s="10" t="str">
        <x:v>"Operação contenção" no Google</x:v>
      </x:c>
      <x:c r="P396" s="10" t="str">
        <x:v>2025-11-03 00:00:00</x:v>
      </x:c>
      <x:c r="Q396" s="10" t="str">
        <x:v>Aberto</x:v>
      </x:c>
      <x:c r="R396" s="10" t="str">
        <x:v>Aqui</x:v>
      </x:c>
      <x:c r="S396" s="10" t="str">
        <x:v>REPÓRTER BRASIL TARDE. Denúncia que baseou a Operação Contenção apontava 69 criminosos. TV Brasil, Rio de Janeiro, 31 out. 2025. Disponível em: https://tvbrasil.ebc.com.br/reporter-brasil-tarde/2025/10/denuncia-que-baseou-operacao-contencao-apontava-69-criminosos. Acesso em: 3 nov. 2025.</x:v>
      </x:c>
      <x:c r="T396" s="10" t="str">
        <x:v>BR-SPDIREITOVIOLESTADO_MAPEAMENTOS-NOTICIAS-MSSCPENHA.xlsx</x:v>
      </x:c>
      <x:c r="U396" s="10" t="str">
        <x:v>Geral</x:v>
      </x:c>
      <x:c r="V396" s="11" t="n">
        <x:v>141</x:v>
      </x:c>
      <x:c r="W396" s="10" t="str">
        <x:v>BR-SPDIREITOVIOLESTADO_MAPEAMENTOS-NOTICIAS-MSSCPENHA.xlsx:Geral:141</x:v>
      </x:c>
      <x:c r="X396" s="11" t="n">
        <x:f>COLUMNS(A396:S396)-COUNTBLANK(A396:S396)</x:f>
        <x:v>19</x:v>
      </x:c>
    </x:row>
    <x:row r="397" ht="24" hidden="0" customHeight="1">
      <x:c r="A397" s="10" t="str">
        <x:v>Notícia</x:v>
      </x:c>
      <x:c r="B397" s="10" t="str">
        <x:v>Difusão</x:v>
      </x:c>
      <x:c r="C397" s="10" t="str">
        <x:v>Produção midiática</x:v>
      </x:c>
      <x:c r="D397" s="10" t="str">
        <x:v>Público Mediado</x:v>
      </x:c>
      <x:c r="E397" s="10" t="str">
        <x:v>Midiático</x:v>
      </x:c>
      <x:c r="F397" s="10" t="str">
        <x:v>29/10/2025</x:v>
      </x:c>
      <x:c r="G397" s="11" t="n">
        <x:v>2025</x:v>
      </x:c>
      <x:c r="H397" s="10" t="str">
        <x:v>São Paulo, Brasil</x:v>
      </x:c>
      <x:c r="I397" s="10" t="str">
        <x:v>CNN Brasil</x:v>
      </x:c>
      <x:c r="J397" s="10" t="str">
        <x:v>Quem eram os policiais civis mortos em megaoperação no RJ</x:v>
      </x:c>
      <x:c r="K397" s="10" t="str">
        <x:v>Hemerográfico</x:v>
      </x:c>
      <x:c r="L397" s="10" t="str">
        <x:v>Texto (digital)</x:v>
      </x:c>
      <x:c r="M397" s="10" t="str">
        <x:v>CNN Brasil</x:v>
      </x:c>
      <x:c r="N397" s="10" t="str">
        <x:v>Português, Brasil</x:v>
      </x:c>
      <x:c r="O397" s="10" t="str">
        <x:v>"Operação contenção" no Google</x:v>
      </x:c>
      <x:c r="P397" s="10" t="str">
        <x:v>2025-11-03 00:00:00</x:v>
      </x:c>
      <x:c r="Q397" s="10" t="str">
        <x:v>Aberto</x:v>
      </x:c>
      <x:c r="R397" s="10" t="str">
        <x:v>Aqui</x:v>
      </x:c>
      <x:c r="S397" s="10" t="str">
        <x:v>LOPES, Bruna. Quem eram os policiais civis mortos em megaoperação no RJ. CNN Brasil, 29 out. 2025. Disponível em: https://www.cnnbrasil.com.br/nacional/sudeste/rj/quem-eram-os-policiais-civis-mortos-em-megaoperacao-no-rj/. Acesso em: 3 nov. 2025.</x:v>
      </x:c>
      <x:c r="T397" s="10" t="str">
        <x:v>BR-SPDIREITOVIOLESTADO_MAPEAMENTOS-NOTICIAS-MSSCPENHA.xlsx</x:v>
      </x:c>
      <x:c r="U397" s="10" t="str">
        <x:v>Geral</x:v>
      </x:c>
      <x:c r="V397" s="11" t="n">
        <x:v>142</x:v>
      </x:c>
      <x:c r="W397" s="10" t="str">
        <x:v>BR-SPDIREITOVIOLESTADO_MAPEAMENTOS-NOTICIAS-MSSCPENHA.xlsx:Geral:142</x:v>
      </x:c>
      <x:c r="X397" s="11" t="n">
        <x:f>COLUMNS(A397:S397)-COUNTBLANK(A397:S397)</x:f>
        <x:v>19</x:v>
      </x:c>
    </x:row>
    <x:row r="398" ht="24" hidden="0" customHeight="1">
      <x:c r="A398" s="10" t="str">
        <x:v>Notícia</x:v>
      </x:c>
      <x:c r="B398" s="10" t="str">
        <x:v>Difusão</x:v>
      </x:c>
      <x:c r="C398" s="10" t="str">
        <x:v>Produção midiática</x:v>
      </x:c>
      <x:c r="D398" s="10" t="str">
        <x:v>Público Mediado</x:v>
      </x:c>
      <x:c r="E398" s="10" t="str">
        <x:v>Midiático</x:v>
      </x:c>
      <x:c r="F398" s="10" t="str">
        <x:v>29/10/2025</x:v>
      </x:c>
      <x:c r="G398" s="11" t="n">
        <x:v>2025</x:v>
      </x:c>
      <x:c r="H398" s="10" t="str">
        <x:v>São Paulo, Brasil</x:v>
      </x:c>
      <x:c r="I398" s="10" t="str">
        <x:v>CNN Brasil</x:v>
      </x:c>
      <x:c r="J398" s="10" t="str">
        <x:v>Megaoperação deixou 119 mortos, diz governo do RJ</x:v>
      </x:c>
      <x:c r="K398" s="10" t="str">
        <x:v>Hemerográfico</x:v>
      </x:c>
      <x:c r="L398" s="10" t="str">
        <x:v>Texto (digital)</x:v>
      </x:c>
      <x:c r="M398" s="10" t="str">
        <x:v>CNN Brasil</x:v>
      </x:c>
      <x:c r="N398" s="10" t="str">
        <x:v>Português, Brasil</x:v>
      </x:c>
      <x:c r="O398" s="10" t="str">
        <x:v>"Operação contenção" no Google</x:v>
      </x:c>
      <x:c r="P398" s="10" t="str">
        <x:v>2025-11-03 00:00:00</x:v>
      </x:c>
      <x:c r="Q398" s="10" t="str">
        <x:v>Aberto</x:v>
      </x:c>
      <x:c r="R398" s="10" t="str">
        <x:v>Aqui</x:v>
      </x:c>
      <x:c r="S398" s="10" t="str">
        <x:v>LOPES, Bruna. Megaoperação deixou 119 mortos, diz governo do RJ. CNN Brasil, 29 out. 2025. Disponível em: https://www.cnnbrasil.com.br/nacional/sudeste/rj/megaoperacao-deixou-119-mortos-diz-governo-do-rj/. Acesso em: 3 nov. 2025.</x:v>
      </x:c>
      <x:c r="T398" s="10" t="str">
        <x:v>BR-SPDIREITOVIOLESTADO_MAPEAMENTOS-NOTICIAS-MSSCPENHA.xlsx</x:v>
      </x:c>
      <x:c r="U398" s="10" t="str">
        <x:v>Geral</x:v>
      </x:c>
      <x:c r="V398" s="11" t="n">
        <x:v>143</x:v>
      </x:c>
      <x:c r="W398" s="10" t="str">
        <x:v>BR-SPDIREITOVIOLESTADO_MAPEAMENTOS-NOTICIAS-MSSCPENHA.xlsx:Geral:143</x:v>
      </x:c>
      <x:c r="X398" s="11" t="n">
        <x:f>COLUMNS(A398:S398)-COUNTBLANK(A398:S398)</x:f>
        <x:v>19</x:v>
      </x:c>
    </x:row>
    <x:row r="399" ht="24" hidden="0" customHeight="1">
      <x:c r="A399" s="10" t="str">
        <x:v>Notícia</x:v>
      </x:c>
      <x:c r="B399" s="10" t="str">
        <x:v>Difusão</x:v>
      </x:c>
      <x:c r="C399" s="10" t="str">
        <x:v>Produção midiática</x:v>
      </x:c>
      <x:c r="D399" s="10" t="str">
        <x:v>Público Mediado</x:v>
      </x:c>
      <x:c r="E399" s="10" t="str">
        <x:v>Midiático</x:v>
      </x:c>
      <x:c r="F399" s="10" t="str">
        <x:v>28/10/2025</x:v>
      </x:c>
      <x:c r="G399" s="11" t="n">
        <x:v>2025</x:v>
      </x:c>
      <x:c r="H399" s="10" t="str">
        <x:v>Rio de Janeiro, Brasil</x:v>
      </x:c>
      <x:c r="I399" s="10" t="str">
        <x:v>ND Mais</x:v>
      </x:c>
      <x:c r="J399" s="10" t="str">
        <x:v>O que está acontecendo no Rio de Janeiro</x:v>
      </x:c>
      <x:c r="K399" s="10" t="str">
        <x:v>Hemerográfico</x:v>
      </x:c>
      <x:c r="L399" s="10" t="str">
        <x:v>Texto (digital)</x:v>
      </x:c>
      <x:c r="M399" s="10" t="str">
        <x:v>ND Mais</x:v>
      </x:c>
      <x:c r="N399" s="10" t="str">
        <x:v>Português, Brasil</x:v>
      </x:c>
      <x:c r="O399" s="10" t="str">
        <x:v>"Operação contenção" no Google</x:v>
      </x:c>
      <x:c r="P399" s="10" t="str">
        <x:v>2025-11-03 00:00:00</x:v>
      </x:c>
      <x:c r="Q399" s="10" t="str">
        <x:v>Aberto</x:v>
      </x:c>
      <x:c r="R399" s="10" t="str">
        <x:v>Aqui</x:v>
      </x:c>
      <x:c r="S399" s="10" t="str">
        <x:v>ND Mais. O que está acontecendo no Rio de Janeiro? Entenda megaoperação contra o CV que deixou 64 mortos. ND Mais, 28 out. 2025. Disponível em: https://ndmais.com.br/politica/o-que-esta-acontecendo-no-rio-de-janeiro-operacao-contencao/. Acesso em: 3 nov. 2025.</x:v>
      </x:c>
      <x:c r="T399" s="10" t="str">
        <x:v>BR-SPDIREITOVIOLESTADO_MAPEAMENTOS-NOTICIAS-MSSCPENHA.xlsx</x:v>
      </x:c>
      <x:c r="U399" s="10" t="str">
        <x:v>Geral</x:v>
      </x:c>
      <x:c r="V399" s="11" t="n">
        <x:v>144</x:v>
      </x:c>
      <x:c r="W399" s="10" t="str">
        <x:v>BR-SPDIREITOVIOLESTADO_MAPEAMENTOS-NOTICIAS-MSSCPENHA.xlsx:Geral:144</x:v>
      </x:c>
      <x:c r="X399" s="11" t="n">
        <x:f>COLUMNS(A399:S399)-COUNTBLANK(A399:S399)</x:f>
        <x:v>19</x:v>
      </x:c>
    </x:row>
    <x:row r="400" ht="24" hidden="0" customHeight="1">
      <x:c r="A400" s="10" t="str">
        <x:v>Notícia</x:v>
      </x:c>
      <x:c r="B400" s="10" t="str">
        <x:v>Difusão</x:v>
      </x:c>
      <x:c r="C400" s="10" t="str">
        <x:v>Produção midiática</x:v>
      </x:c>
      <x:c r="D400" s="10" t="str">
        <x:v>Público Mediado</x:v>
      </x:c>
      <x:c r="E400" s="10" t="str">
        <x:v>Midiático</x:v>
      </x:c>
      <x:c r="F400" s="10" t="str">
        <x:v>29/10/2025</x:v>
      </x:c>
      <x:c r="G400" s="11" t="n">
        <x:v>2025</x:v>
      </x:c>
      <x:c r="H400" s="10" t="str">
        <x:v>Rio de Janeiro, Brasil</x:v>
      </x:c>
      <x:c r="I400" s="10" t="str">
        <x:v>O Estado de S. Paulo</x:v>
      </x:c>
      <x:c r="J400" s="10" t="str">
        <x:v>Rio de Janeiro após operação mais letal da história do Estado: O que acontece agora</x:v>
      </x:c>
      <x:c r="K400" s="10" t="str">
        <x:v>Hemerográfico</x:v>
      </x:c>
      <x:c r="L400" s="10" t="str">
        <x:v>Texto (digital)</x:v>
      </x:c>
      <x:c r="M400" s="10" t="str">
        <x:v>O Estado de S. Paulo</x:v>
      </x:c>
      <x:c r="N400" s="10" t="str">
        <x:v>Português, Brasil</x:v>
      </x:c>
      <x:c r="O400" s="10" t="str">
        <x:v>"Operação contenção" no Google</x:v>
      </x:c>
      <x:c r="P400" s="10" t="str">
        <x:v>2025-11-03 00:00:00</x:v>
      </x:c>
      <x:c r="Q400" s="10" t="str">
        <x:v>Aberto</x:v>
      </x:c>
      <x:c r="R400" s="10" t="str">
        <x:v>Aqui</x:v>
      </x:c>
      <x:c r="S400" s="10" t="str">
        <x:v>HORA, Geovanna. Rio de Janeiro após operação mais letal da história do Estado: O que acontece agora? Estadão, 29 out. 2025. Disponível em: https://www.estadao.com.br/brasil/o-que-acontece-agora-rj-apos-operacao-mais-letal-npr/. Acesso em: 3 nov. 2025.</x:v>
      </x:c>
      <x:c r="T400" s="10" t="str">
        <x:v>BR-SPDIREITOVIOLESTADO_MAPEAMENTOS-NOTICIAS-MSSCPENHA.xlsx</x:v>
      </x:c>
      <x:c r="U400" s="10" t="str">
        <x:v>Geral</x:v>
      </x:c>
      <x:c r="V400" s="11" t="n">
        <x:v>145</x:v>
      </x:c>
      <x:c r="W400" s="10" t="str">
        <x:v>BR-SPDIREITOVIOLESTADO_MAPEAMENTOS-NOTICIAS-MSSCPENHA.xlsx:Geral:145</x:v>
      </x:c>
      <x:c r="X400" s="11" t="n">
        <x:f>COLUMNS(A400:S400)-COUNTBLANK(A400:S400)</x:f>
        <x:v>19</x:v>
      </x:c>
    </x:row>
    <x:row r="401" ht="24" hidden="0" customHeight="1">
      <x:c r="A401" s="10" t="str">
        <x:v>Notícia</x:v>
      </x:c>
      <x:c r="B401" s="10" t="str">
        <x:v>Difusão</x:v>
      </x:c>
      <x:c r="C401" s="10" t="str">
        <x:v>Produção midiática</x:v>
      </x:c>
      <x:c r="D401" s="10" t="str">
        <x:v>Público Mediado</x:v>
      </x:c>
      <x:c r="E401" s="10" t="str">
        <x:v>Midiático</x:v>
      </x:c>
      <x:c r="F401" s="10" t="str">
        <x:v>29/10/2025</x:v>
      </x:c>
      <x:c r="G401" s="11" t="n">
        <x:v>2025</x:v>
      </x:c>
      <x:c r="H401" s="10" t="str">
        <x:v>Rio de Janeiro, Brasil</x:v>
      </x:c>
      <x:c r="I401" s="10" t="str">
        <x:v>Agência Brasil</x:v>
      </x:c>
      <x:c r="J401" s="10" t="str">
        <x:v>Operação Contenção: PGR deve se manifestar em 24 horas</x:v>
      </x:c>
      <x:c r="K401" s="10" t="str">
        <x:v>Hemerográfico</x:v>
      </x:c>
      <x:c r="L401" s="10" t="str">
        <x:v>Texto (digital)</x:v>
      </x:c>
      <x:c r="M401" s="10" t="str">
        <x:v>Agência Brasil</x:v>
      </x:c>
      <x:c r="N401" s="10" t="str">
        <x:v>Português, Brasil</x:v>
      </x:c>
      <x:c r="O401" s="10" t="str">
        <x:v>"Operação contenção" no Google</x:v>
      </x:c>
      <x:c r="P401" s="10" t="str">
        <x:v>2025-11-03 00:00:00</x:v>
      </x:c>
      <x:c r="Q401" s="10" t="str">
        <x:v>Aberto</x:v>
      </x:c>
      <x:c r="R401" s="10" t="str">
        <x:v>Aqui</x:v>
      </x:c>
      <x:c r="S401" s="10" t="str">
        <x:v>REPÓRTER BRASIL TARDE. Operação Contenção: PGR deve se manifestar em 24 horas. TV Brasil, 29 out. 2025. Disponível em: https://tvbrasil.ebc.com.br/reporter-brasil-tarde/2025/10/operacao-contencao-pgr-deve-se-manifestar-em-24-horas. Acesso em: 3 nov. 2025.</x:v>
      </x:c>
      <x:c r="T401" s="10" t="str">
        <x:v>BR-SPDIREITOVIOLESTADO_MAPEAMENTOS-NOTICIAS-MSSCPENHA.xlsx</x:v>
      </x:c>
      <x:c r="U401" s="10" t="str">
        <x:v>Geral</x:v>
      </x:c>
      <x:c r="V401" s="11" t="n">
        <x:v>146</x:v>
      </x:c>
      <x:c r="W401" s="10" t="str">
        <x:v>BR-SPDIREITOVIOLESTADO_MAPEAMENTOS-NOTICIAS-MSSCPENHA.xlsx:Geral:146</x:v>
      </x:c>
      <x:c r="X401" s="11" t="n">
        <x:f>COLUMNS(A401:S401)-COUNTBLANK(A401:S401)</x:f>
        <x:v>19</x:v>
      </x:c>
    </x:row>
    <x:row r="402" ht="24" hidden="0" customHeight="1">
      <x:c r="A402" s="10" t="str">
        <x:v>Notícia</x:v>
      </x:c>
      <x:c r="B402" s="10" t="str">
        <x:v>Difusão</x:v>
      </x:c>
      <x:c r="C402" s="10" t="str">
        <x:v>Produção midiática</x:v>
      </x:c>
      <x:c r="D402" s="10" t="str">
        <x:v>Público Mediado</x:v>
      </x:c>
      <x:c r="E402" s="10" t="str">
        <x:v>Midiático</x:v>
      </x:c>
      <x:c r="F402" s="10" t="str">
        <x:v>31/10/2025</x:v>
      </x:c>
      <x:c r="G402" s="11" t="n">
        <x:v>2025</x:v>
      </x:c>
      <x:c r="H402" s="10" t="str">
        <x:v>Rio de Janeiro, Brasil</x:v>
      </x:c>
      <x:c r="I402" s="10" t="str">
        <x:v>Agência Brasil</x:v>
      </x:c>
      <x:c r="J402" s="10" t="str">
        <x:v>Em atos, movimento negro pede investigação independente de ação no Rio</x:v>
      </x:c>
      <x:c r="K402" s="10" t="str">
        <x:v>Hemerográfico</x:v>
      </x:c>
      <x:c r="L402" s="10" t="str">
        <x:v>Texto (digital)</x:v>
      </x:c>
      <x:c r="M402" s="10" t="str">
        <x:v>Agência Brasil</x:v>
      </x:c>
      <x:c r="N402" s="10" t="str">
        <x:v>Português, Brasil</x:v>
      </x:c>
      <x:c r="O402" s="10" t="str">
        <x:v>"Operação contenção" no Google</x:v>
      </x:c>
      <x:c r="P402" s="10" t="str">
        <x:v>2025-11-03 00:00:00</x:v>
      </x:c>
      <x:c r="Q402" s="10" t="str">
        <x:v>Aberto</x:v>
      </x:c>
      <x:c r="R402" s="10" t="str">
        <x:v>Aqui</x:v>
      </x:c>
      <x:c r="S402" s="10" t="str">
        <x:v>BOCCHINI, Bruno; NASCIMENTO, Luciano. Em atos, movimento negro pede investigação independente de ação no Rio. Agência Brasil, 31 out. 2025. Disponível em: https://agenciabrasil.ebc.com.br/direitos-humanos/noticia/2025-10/em-atos-movimento-negro-pede-investigacao-independente-de-acao-no-rio. Acesso em: 3 nov. 2025.</x:v>
      </x:c>
      <x:c r="T402" s="10" t="str">
        <x:v>BR-SPDIREITOVIOLESTADO_MAPEAMENTOS-NOTICIAS-MSSCPENHA.xlsx</x:v>
      </x:c>
      <x:c r="U402" s="10" t="str">
        <x:v>Geral</x:v>
      </x:c>
      <x:c r="V402" s="11" t="n">
        <x:v>147</x:v>
      </x:c>
      <x:c r="W402" s="10" t="str">
        <x:v>BR-SPDIREITOVIOLESTADO_MAPEAMENTOS-NOTICIAS-MSSCPENHA.xlsx:Geral:147</x:v>
      </x:c>
      <x:c r="X402" s="11" t="n">
        <x:f>COLUMNS(A402:S402)-COUNTBLANK(A402:S402)</x:f>
        <x:v>19</x:v>
      </x:c>
    </x:row>
    <x:row r="403" ht="24" hidden="0" customHeight="1">
      <x:c r="A403" s="10" t="str">
        <x:v>Notícia</x:v>
      </x:c>
      <x:c r="B403" s="10" t="str">
        <x:v>Difusão</x:v>
      </x:c>
      <x:c r="C403" s="10" t="str">
        <x:v>Produção midiática</x:v>
      </x:c>
      <x:c r="D403" s="10" t="str">
        <x:v>Público Mediado</x:v>
      </x:c>
      <x:c r="E403" s="10" t="str">
        <x:v>Midiático</x:v>
      </x:c>
      <x:c r="F403" s="10" t="str">
        <x:v>30/10/2025</x:v>
      </x:c>
      <x:c r="G403" s="11" t="n">
        <x:v>2025</x:v>
      </x:c>
      <x:c r="H403" s="10" t="str">
        <x:v>Rio de Janeiro, Brasil</x:v>
      </x:c>
      <x:c r="I403" s="10" t="str">
        <x:v>Agência Brasil</x:v>
      </x:c>
      <x:c r="J403" s="10" t="str">
        <x:v>Corpos de dois policiais mortos na Operação Contenção são sepultados</x:v>
      </x:c>
      <x:c r="K403" s="10" t="str">
        <x:v>Hemerográfico</x:v>
      </x:c>
      <x:c r="L403" s="10" t="str">
        <x:v>Texto (digital)</x:v>
      </x:c>
      <x:c r="M403" s="10" t="str">
        <x:v>Agência Brasil</x:v>
      </x:c>
      <x:c r="N403" s="10" t="str">
        <x:v>Português, Brasil</x:v>
      </x:c>
      <x:c r="O403" s="10" t="str">
        <x:v>"Operação contenção" no Google</x:v>
      </x:c>
      <x:c r="P403" s="10" t="str">
        <x:v>2025-11-03 00:00:00</x:v>
      </x:c>
      <x:c r="Q403" s="10" t="str">
        <x:v>Aberto</x:v>
      </x:c>
      <x:c r="R403" s="10" t="str">
        <x:v>Aqui</x:v>
      </x:c>
      <x:c r="S403" s="10" t="str">
        <x:v>REPÓRTER BRASIL TARDE. Corpos de dois policiais mortos na Operação Contenção são sepultados. TV Brasil, 30 out. 2025. Disponível em: https://tvbrasil.ebc.com.br/reporter-brasil-tarde/2025/10/corpos-de-dois-policiais-mortos-na-operacao-contencao-sao-sepultados. Acesso em: 3 nov. 2025.</x:v>
      </x:c>
      <x:c r="T403" s="10" t="str">
        <x:v>BR-SPDIREITOVIOLESTADO_MAPEAMENTOS-NOTICIAS-MSSCPENHA.xlsx</x:v>
      </x:c>
      <x:c r="U403" s="10" t="str">
        <x:v>Geral</x:v>
      </x:c>
      <x:c r="V403" s="11" t="n">
        <x:v>148</x:v>
      </x:c>
      <x:c r="W403" s="10" t="str">
        <x:v>BR-SPDIREITOVIOLESTADO_MAPEAMENTOS-NOTICIAS-MSSCPENHA.xlsx:Geral:148</x:v>
      </x:c>
      <x:c r="X403" s="11" t="n">
        <x:f>COLUMNS(A403:S403)-COUNTBLANK(A403:S403)</x:f>
        <x:v>19</x:v>
      </x:c>
    </x:row>
    <x:row r="404" ht="24" hidden="0" customHeight="1">
      <x:c r="A404" s="10" t="str">
        <x:v>Notícia</x:v>
      </x:c>
      <x:c r="B404" s="10" t="str">
        <x:v>Difusão</x:v>
      </x:c>
      <x:c r="C404" s="10" t="str">
        <x:v>Produção midiática</x:v>
      </x:c>
      <x:c r="D404" s="10" t="str">
        <x:v>Público Mediado</x:v>
      </x:c>
      <x:c r="E404" s="10" t="str">
        <x:v>Midiático</x:v>
      </x:c>
      <x:c r="F404" s="10" t="str">
        <x:v>31/10/2025</x:v>
      </x:c>
      <x:c r="G404" s="11" t="n">
        <x:v>2025</x:v>
      </x:c>
      <x:c r="H404" s="10" t="str">
        <x:v>Distrito Federal, Brasil</x:v>
      </x:c>
      <x:c r="I404" s="10" t="str">
        <x:v>Organização das Nações Unidas Brasil</x:v>
      </x:c>
      <x:c r="J404" s="10" t="str">
        <x:v>Especialistas da ONU cobram investigação célere sobre operação policial mortal no Rio de Janeiro</x:v>
      </x:c>
      <x:c r="K404" s="10" t="str">
        <x:v>Hemerográfico</x:v>
      </x:c>
      <x:c r="L404" s="10" t="str">
        <x:v>Texto (digital)</x:v>
      </x:c>
      <x:c r="M404" s="10" t="str">
        <x:v>Organização das Nações Unidas Brasil</x:v>
      </x:c>
      <x:c r="N404" s="10" t="str">
        <x:v>Português, Brasil</x:v>
      </x:c>
      <x:c r="O404" s="10" t="str">
        <x:v>"Operação contenção" no Google</x:v>
      </x:c>
      <x:c r="P404" s="10" t="str">
        <x:v>2025-11-03 00:00:00</x:v>
      </x:c>
      <x:c r="Q404" s="10" t="str">
        <x:v>Aberto</x:v>
      </x:c>
      <x:c r="R404" s="10" t="str">
        <x:v>Aqui</x:v>
      </x:c>
      <x:c r="S404" s="10" t="str">
        <x:v>NAÇÕES UNIDAS BRASIL. Especialistas da ONU cobram investigação célere sobre operação policial mortal no Rio de Janeiro. Brasília: Nações Unidas Brasil, 31 out. 2025. Disponível em: https://brasil.un.org/pt-br/304423-especialistas-da-onu-cobram-investiga%C3%A7%C3%A3o-c%C3%A9lere-sobre-opera%C3%A7%C3%A3o-policial-mortal-no-rio-de. Acesso em: 3 nov. 2025.</x:v>
      </x:c>
      <x:c r="T404" s="10" t="str">
        <x:v>BR-SPDIREITOVIOLESTADO_MAPEAMENTOS-NOTICIAS-MSSCPENHA.xlsx</x:v>
      </x:c>
      <x:c r="U404" s="10" t="str">
        <x:v>Geral</x:v>
      </x:c>
      <x:c r="V404" s="11" t="n">
        <x:v>149</x:v>
      </x:c>
      <x:c r="W404" s="10" t="str">
        <x:v>BR-SPDIREITOVIOLESTADO_MAPEAMENTOS-NOTICIAS-MSSCPENHA.xlsx:Geral:149</x:v>
      </x:c>
      <x:c r="X404" s="11" t="n">
        <x:f>COLUMNS(A404:S404)-COUNTBLANK(A404:S404)</x:f>
        <x:v>19</x:v>
      </x:c>
    </x:row>
    <x:row r="405" ht="24" hidden="0" customHeight="1">
      <x:c r="A405" s="10" t="str">
        <x:v>Notícia</x:v>
      </x:c>
      <x:c r="B405" s="10" t="str">
        <x:v>Difusão</x:v>
      </x:c>
      <x:c r="C405" s="10" t="str">
        <x:v>Produção midiática</x:v>
      </x:c>
      <x:c r="D405" s="10" t="str">
        <x:v>Público Mediado</x:v>
      </x:c>
      <x:c r="E405" s="10" t="str">
        <x:v>Midiático</x:v>
      </x:c>
      <x:c r="F405" s="10" t="str">
        <x:v>28/10/2025</x:v>
      </x:c>
      <x:c r="G405" s="11" t="n">
        <x:v>2025</x:v>
      </x:c>
      <x:c r="H405" s="10" t="str">
        <x:v>Paraná, Brasil</x:v>
      </x:c>
      <x:c r="I405" s="10" t="str">
        <x:v>Gazeta do Povo</x:v>
      </x:c>
      <x:c r="J405" s="10" t="str">
        <x:v>Operação no Alemão e na Penha se torna a mais letal da história do Rio; veja ranking</x:v>
      </x:c>
      <x:c r="K405" s="10" t="str">
        <x:v>Hemerográfico</x:v>
      </x:c>
      <x:c r="L405" s="10" t="str">
        <x:v>Texto (digital)</x:v>
      </x:c>
      <x:c r="M405" s="10" t="str">
        <x:v>Gazeta do Povo</x:v>
      </x:c>
      <x:c r="N405" s="10" t="str">
        <x:v>Português, Brasil</x:v>
      </x:c>
      <x:c r="O405" s="10" t="str">
        <x:v>"Operação contenção" no Google</x:v>
      </x:c>
      <x:c r="P405" s="10" t="str">
        <x:v>2025-11-03 00:00:00</x:v>
      </x:c>
      <x:c r="Q405" s="10" t="str">
        <x:v>Aberto</x:v>
      </x:c>
      <x:c r="R405" s="10" t="str">
        <x:v>Aqui</x:v>
      </x:c>
      <x:c r="S405" s="10" t="str">
        <x:v>FREITAS, Hermano; GRANDI, Guilherme. Operação no Alemão e na Penha se torna a mais letal da história do Rio; veja ranking. Gazeta do Povo, 28 out. 2025. Disponível em: https://www.gazetadopovo.com.br/brasil/operacao-policial-no-complexo-do-alemao-e-na-penha-se-torna-a-mais-letal-da-historia-do-rio/. Acesso em: 3 nov. 2025.</x:v>
      </x:c>
      <x:c r="T405" s="10" t="str">
        <x:v>BR-SPDIREITOVIOLESTADO_MAPEAMENTOS-NOTICIAS-MSSCPENHA.xlsx</x:v>
      </x:c>
      <x:c r="U405" s="10" t="str">
        <x:v>Geral</x:v>
      </x:c>
      <x:c r="V405" s="11" t="n">
        <x:v>150</x:v>
      </x:c>
      <x:c r="W405" s="10" t="str">
        <x:v>BR-SPDIREITOVIOLESTADO_MAPEAMENTOS-NOTICIAS-MSSCPENHA.xlsx:Geral:150</x:v>
      </x:c>
      <x:c r="X405" s="11" t="n">
        <x:f>COLUMNS(A405:S405)-COUNTBLANK(A405:S405)</x:f>
        <x:v>19</x:v>
      </x:c>
    </x:row>
    <x:row r="406" ht="36" hidden="0" customHeight="1">
      <x:c r="A406" s="10" t="str">
        <x:v>Notícia</x:v>
      </x:c>
      <x:c r="B406" s="10" t="str">
        <x:v>Difusão</x:v>
      </x:c>
      <x:c r="C406" s="10" t="str">
        <x:v>Produção midiática</x:v>
      </x:c>
      <x:c r="D406" s="10" t="str">
        <x:v>Público Mediado</x:v>
      </x:c>
      <x:c r="E406" s="10" t="str">
        <x:v>Midiático</x:v>
      </x:c>
      <x:c r="F406" s="10" t="str">
        <x:v>30/10/2025</x:v>
      </x:c>
      <x:c r="G406" s="11" t="n">
        <x:v>2025</x:v>
      </x:c>
      <x:c r="H406" s="10" t="str">
        <x:v>São Paulo, Brasil</x:v>
      </x:c>
      <x:c r="I406" s="10" t="str">
        <x:v>Brasil de Fato</x:v>
      </x:c>
      <x:c r="J406" s="10" t="str">
        <x:v>Uso político da violência em operação no Rio transforma massacre em ‘triunfo eleitoral’ para a extrema direita</x:v>
      </x:c>
      <x:c r="K406" s="10" t="str">
        <x:v>Hemerográfico</x:v>
      </x:c>
      <x:c r="L406" s="10" t="str">
        <x:v>Texto (digital)</x:v>
      </x:c>
      <x:c r="M406" s="10" t="str">
        <x:v>Brasil de Fato</x:v>
      </x:c>
      <x:c r="N406" s="10" t="str">
        <x:v>Português, Brasil</x:v>
      </x:c>
      <x:c r="O406" s="10" t="str">
        <x:v>"Operação contenção" no Google</x:v>
      </x:c>
      <x:c r="P406" s="10" t="str">
        <x:v>2025-11-03 00:00:00</x:v>
      </x:c>
      <x:c r="Q406" s="10" t="str">
        <x:v>Aberto</x:v>
      </x:c>
      <x:c r="R406" s="10" t="str">
        <x:v>Aqui</x:v>
      </x:c>
      <x:c r="S406" s="10" t="str">
        <x:v>ROBICHEZ, Adele; CARVALHO, Igor; BERNARDES, José Eduardo; BOHRER, Larissa. Uso político da violência em operação no Rio transforma massacre em ‘triunfo eleitoral’ para a extrema direita. Brasil de Fato, 30 out. 2025. Disponível em: https://www.brasildefato.com.br/2025/10/30/uso-politico-da-violencia-em-operacao-no-rio-transforma-massacre-em-triunfo-eleitoral-para-a-extrema-direita/. Acesso em: 3 nov. 2025.</x:v>
      </x:c>
      <x:c r="T406" s="10" t="str">
        <x:v>BR-SPDIREITOVIOLESTADO_MAPEAMENTOS-NOTICIAS-MSSCPENHA.xlsx</x:v>
      </x:c>
      <x:c r="U406" s="10" t="str">
        <x:v>Geral</x:v>
      </x:c>
      <x:c r="V406" s="11" t="n">
        <x:v>151</x:v>
      </x:c>
      <x:c r="W406" s="10" t="str">
        <x:v>BR-SPDIREITOVIOLESTADO_MAPEAMENTOS-NOTICIAS-MSSCPENHA.xlsx:Geral:151</x:v>
      </x:c>
      <x:c r="X406" s="11" t="n">
        <x:f>COLUMNS(A406:S406)-COUNTBLANK(A406:S406)</x:f>
        <x:v>19</x:v>
      </x:c>
    </x:row>
    <x:row r="407" ht="24" hidden="0" customHeight="1">
      <x:c r="A407" s="10" t="str">
        <x:v>Notícia</x:v>
      </x:c>
      <x:c r="B407" s="10" t="str">
        <x:v>Difusão</x:v>
      </x:c>
      <x:c r="C407" s="10" t="str">
        <x:v>Produção midiática</x:v>
      </x:c>
      <x:c r="D407" s="10" t="str">
        <x:v>Público Mediado</x:v>
      </x:c>
      <x:c r="E407" s="10" t="str">
        <x:v>Midiático</x:v>
      </x:c>
      <x:c r="F407" s="10" t="str">
        <x:v>31/10/2025</x:v>
      </x:c>
      <x:c r="G407" s="11" t="n">
        <x:v>2025</x:v>
      </x:c>
      <x:c r="H407" s="10" t="str">
        <x:v>São Paulo, Brasil</x:v>
      </x:c>
      <x:c r="I407" s="10" t="str">
        <x:v>Jovem Pan</x:v>
      </x:c>
      <x:c r="J407" s="10" t="str">
        <x:v>Governo do RJ apresenta primeira lista de suspeitos mortos na Operação Contenção</x:v>
      </x:c>
      <x:c r="K407" s="10" t="str">
        <x:v>Hemerográfico</x:v>
      </x:c>
      <x:c r="L407" s="10" t="str">
        <x:v>Texto (digital)</x:v>
      </x:c>
      <x:c r="M407" s="10" t="str">
        <x:v>Jovem Pan</x:v>
      </x:c>
      <x:c r="N407" s="10" t="str">
        <x:v>Português, Brasil</x:v>
      </x:c>
      <x:c r="O407" s="10" t="str">
        <x:v>"Operação contenção" no Google</x:v>
      </x:c>
      <x:c r="P407" s="10" t="str">
        <x:v>2025-11-03 00:00:00</x:v>
      </x:c>
      <x:c r="Q407" s="10" t="str">
        <x:v>Aberto</x:v>
      </x:c>
      <x:c r="R407" s="10" t="str">
        <x:v>Aqui</x:v>
      </x:c>
      <x:c r="S407" s="10" t="str">
        <x:v>TROVÃO, Victor; ROBERT, Nícolas. Governo do RJ apresenta primeira lista de suspeitos mortos na Operação Contenção. Jovem Pan, 31 out. 2025. Disponível em: https://jovempan.com.br/noticias/brasil/governo-do-rj-apresenta-primeira-lista-de-criminosos-mortos-na-operacao-contencao.html. Acesso em: 3 nov. 2025.</x:v>
      </x:c>
      <x:c r="T407" s="10" t="str">
        <x:v>BR-SPDIREITOVIOLESTADO_MAPEAMENTOS-NOTICIAS-MSSCPENHA.xlsx</x:v>
      </x:c>
      <x:c r="U407" s="10" t="str">
        <x:v>Geral</x:v>
      </x:c>
      <x:c r="V407" s="11" t="n">
        <x:v>152</x:v>
      </x:c>
      <x:c r="W407" s="10" t="str">
        <x:v>BR-SPDIREITOVIOLESTADO_MAPEAMENTOS-NOTICIAS-MSSCPENHA.xlsx:Geral:152</x:v>
      </x:c>
      <x:c r="X407" s="11" t="n">
        <x:f>COLUMNS(A407:S407)-COUNTBLANK(A407:S407)</x:f>
        <x:v>19</x:v>
      </x:c>
    </x:row>
    <x:row r="408" ht="24" hidden="0" customHeight="1">
      <x:c r="A408" s="10" t="str">
        <x:v>Notícia</x:v>
      </x:c>
      <x:c r="B408" s="10" t="str">
        <x:v>Difusão</x:v>
      </x:c>
      <x:c r="C408" s="10" t="str">
        <x:v>Produção midiática</x:v>
      </x:c>
      <x:c r="D408" s="10" t="str">
        <x:v>Público Mediado</x:v>
      </x:c>
      <x:c r="E408" s="10" t="str">
        <x:v>Midiático</x:v>
      </x:c>
      <x:c r="F408" s="10" t="str">
        <x:v>30/10/2025</x:v>
      </x:c>
      <x:c r="G408" s="11" t="n">
        <x:v>2025</x:v>
      </x:c>
      <x:c r="H408" s="10" t="str">
        <x:v>São Paulo, Brasil</x:v>
      </x:c>
      <x:c r="I408" s="10" t="str">
        <x:v>Jovem Pan</x:v>
      </x:c>
      <x:c r="J408" s="10" t="str">
        <x:v>DPU pede para acompanhar perícia de mortos na Operação Contenção</x:v>
      </x:c>
      <x:c r="K408" s="10" t="str">
        <x:v>Hemerográfico</x:v>
      </x:c>
      <x:c r="L408" s="10" t="str">
        <x:v>Texto (digital)</x:v>
      </x:c>
      <x:c r="M408" s="10" t="str">
        <x:v>Jovem Pan</x:v>
      </x:c>
      <x:c r="N408" s="10" t="str">
        <x:v>Português, Brasil</x:v>
      </x:c>
      <x:c r="O408" s="10" t="str">
        <x:v>"Operação contenção" no Google</x:v>
      </x:c>
      <x:c r="P408" s="10" t="str">
        <x:v>2025-11-03 00:00:00</x:v>
      </x:c>
      <x:c r="Q408" s="10" t="str">
        <x:v>Aberto</x:v>
      </x:c>
      <x:c r="R408" s="10" t="str">
        <x:v>Aqui</x:v>
      </x:c>
      <x:c r="S408" s="10" t="str">
        <x:v>JOVEM PAN. DPU pede para acompanhar perícia de mortos na Operação Contenção. Jovem Pan, 30 out. 2025. Disponível em: https://jovempan.com.br/noticias/brasil/dpu-pede-para-acompanhar-pericia-de-mortos-na-operacao-contencao.html. Acesso em: 3 nov. 2025.</x:v>
      </x:c>
      <x:c r="T408" s="10" t="str">
        <x:v>BR-SPDIREITOVIOLESTADO_MAPEAMENTOS-NOTICIAS-MSSCPENHA.xlsx</x:v>
      </x:c>
      <x:c r="U408" s="10" t="str">
        <x:v>Geral</x:v>
      </x:c>
      <x:c r="V408" s="11" t="n">
        <x:v>153</x:v>
      </x:c>
      <x:c r="W408" s="10" t="str">
        <x:v>BR-SPDIREITOVIOLESTADO_MAPEAMENTOS-NOTICIAS-MSSCPENHA.xlsx:Geral:153</x:v>
      </x:c>
      <x:c r="X408" s="11" t="n">
        <x:f>COLUMNS(A408:S408)-COUNTBLANK(A408:S408)</x:f>
        <x:v>19</x:v>
      </x:c>
    </x:row>
    <x:row r="409" ht="24" hidden="0" customHeight="1">
      <x:c r="A409" s="10" t="str">
        <x:v>Notícia</x:v>
      </x:c>
      <x:c r="B409" s="10" t="str">
        <x:v>Difusão</x:v>
      </x:c>
      <x:c r="C409" s="10" t="str">
        <x:v>Produção midiática</x:v>
      </x:c>
      <x:c r="D409" s="10" t="str">
        <x:v>Público Mediado</x:v>
      </x:c>
      <x:c r="E409" s="10" t="str">
        <x:v>Midiático</x:v>
      </x:c>
      <x:c r="F409" s="10" t="str">
        <x:v>30/10/2025</x:v>
      </x:c>
      <x:c r="G409" s="11" t="n">
        <x:v>2025</x:v>
      </x:c>
      <x:c r="H409" s="10" t="str">
        <x:v>São Paulo, Brasil</x:v>
      </x:c>
      <x:c r="I409" s="10" t="str">
        <x:v>Jovem Pan</x:v>
      </x:c>
      <x:c r="J409" s="10" t="str">
        <x:v>MP do RJ pede câmeras usadas por policiais em Operação Contenção</x:v>
      </x:c>
      <x:c r="K409" s="10" t="str">
        <x:v>Hemerográfico</x:v>
      </x:c>
      <x:c r="L409" s="10" t="str">
        <x:v>Texto (digital)</x:v>
      </x:c>
      <x:c r="M409" s="10" t="str">
        <x:v>Jovem Pan</x:v>
      </x:c>
      <x:c r="N409" s="10" t="str">
        <x:v>Português, Brasil</x:v>
      </x:c>
      <x:c r="O409" s="10" t="str">
        <x:v>"Operação contenção" no Google</x:v>
      </x:c>
      <x:c r="P409" s="10" t="str">
        <x:v>2025-11-03 00:00:00</x:v>
      </x:c>
      <x:c r="Q409" s="10" t="str">
        <x:v>Aberto</x:v>
      </x:c>
      <x:c r="R409" s="10" t="str">
        <x:v>Aqui</x:v>
      </x:c>
      <x:c r="S409" s="10" t="str">
        <x:v>JOVEM PAN. MP do RJ pede câmeras usadas por policiais em Operação Contenção. Jovem Pan, 30 out. 2025. Disponível em: https://jovempan.com.br/seguranca/mp-do-rj-pede-cameras-usadas-por-policiais-em-operacao-contencao.html. Acesso em: 3 nov. 2025.</x:v>
      </x:c>
      <x:c r="T409" s="10" t="str">
        <x:v>BR-SPDIREITOVIOLESTADO_MAPEAMENTOS-NOTICIAS-MSSCPENHA.xlsx</x:v>
      </x:c>
      <x:c r="U409" s="10" t="str">
        <x:v>Geral</x:v>
      </x:c>
      <x:c r="V409" s="11" t="n">
        <x:v>154</x:v>
      </x:c>
      <x:c r="W409" s="10" t="str">
        <x:v>BR-SPDIREITOVIOLESTADO_MAPEAMENTOS-NOTICIAS-MSSCPENHA.xlsx:Geral:154</x:v>
      </x:c>
      <x:c r="X409" s="11" t="n">
        <x:f>COLUMNS(A409:S409)-COUNTBLANK(A409:S409)</x:f>
        <x:v>19</x:v>
      </x:c>
    </x:row>
    <x:row r="410" ht="24" hidden="0" customHeight="1">
      <x:c r="A410" s="10" t="str">
        <x:v>Notícia</x:v>
      </x:c>
      <x:c r="B410" s="10" t="str">
        <x:v>Difusão</x:v>
      </x:c>
      <x:c r="C410" s="10" t="str">
        <x:v>Produção midiática</x:v>
      </x:c>
      <x:c r="D410" s="10" t="str">
        <x:v>Público Mediado</x:v>
      </x:c>
      <x:c r="E410" s="10" t="str">
        <x:v>Midiático</x:v>
      </x:c>
      <x:c r="F410" s="10" t="str">
        <x:v>29/10/2025</x:v>
      </x:c>
      <x:c r="G410" s="11" t="n">
        <x:v>2025</x:v>
      </x:c>
      <x:c r="H410" s="10" t="str">
        <x:v>São Paulo, Brasil</x:v>
      </x:c>
      <x:c r="I410" s="10" t="str">
        <x:v>Jovem Pan</x:v>
      </x:c>
      <x:c r="J410" s="10" t="str">
        <x:v>Manifestantes protestam em frente à sede do governo do RJ, onde Castro se reúne com Lewandowski</x:v>
      </x:c>
      <x:c r="K410" s="10" t="str">
        <x:v>Hemerográfico</x:v>
      </x:c>
      <x:c r="L410" s="10" t="str">
        <x:v>Texto (digital)</x:v>
      </x:c>
      <x:c r="M410" s="10" t="str">
        <x:v>Jovem Pan</x:v>
      </x:c>
      <x:c r="N410" s="10" t="str">
        <x:v>Português, Brasil</x:v>
      </x:c>
      <x:c r="O410" s="10" t="str">
        <x:v>"Operação contenção" no Google</x:v>
      </x:c>
      <x:c r="P410" s="10" t="str">
        <x:v>2025-11-03 00:00:00</x:v>
      </x:c>
      <x:c r="Q410" s="10" t="str">
        <x:v>Aberto</x:v>
      </x:c>
      <x:c r="R410" s="10" t="str">
        <x:v>Aqui</x:v>
      </x:c>
      <x:c r="S410" s="10" t="str">
        <x:v>JOVEM PAN. Manifestantes protestam em frente à sede do governo do RJ, onde Castro se reúne com Lewandowski. Jovem Pan, 29 out. 2025. Disponível em: https://jovempan.com.br/noticias/brasil/manifestantes-protestam-em-frente-a-sede-do-governo-do-rj-onde-castro-se-reune-com-lewandowski.html. Acesso em: 3 nov. 2025.</x:v>
      </x:c>
      <x:c r="T410" s="10" t="str">
        <x:v>BR-SPDIREITOVIOLESTADO_MAPEAMENTOS-NOTICIAS-MSSCPENHA.xlsx</x:v>
      </x:c>
      <x:c r="U410" s="10" t="str">
        <x:v>Geral</x:v>
      </x:c>
      <x:c r="V410" s="11" t="n">
        <x:v>155</x:v>
      </x:c>
      <x:c r="W410" s="10" t="str">
        <x:v>BR-SPDIREITOVIOLESTADO_MAPEAMENTOS-NOTICIAS-MSSCPENHA.xlsx:Geral:155</x:v>
      </x:c>
      <x:c r="X410" s="11" t="n">
        <x:f>COLUMNS(A410:S410)-COUNTBLANK(A410:S410)</x:f>
        <x:v>19</x:v>
      </x:c>
    </x:row>
    <x:row r="411" ht="24" hidden="0" customHeight="1">
      <x:c r="A411" s="10" t="str">
        <x:v>Notícia</x:v>
      </x:c>
      <x:c r="B411" s="10" t="str">
        <x:v>Difusão</x:v>
      </x:c>
      <x:c r="C411" s="10" t="str">
        <x:v>Produção midiática</x:v>
      </x:c>
      <x:c r="D411" s="10" t="str">
        <x:v>Público Mediado</x:v>
      </x:c>
      <x:c r="E411" s="10" t="str">
        <x:v>Midiático</x:v>
      </x:c>
      <x:c r="F411" s="10" t="str">
        <x:v>29/10/2025</x:v>
      </x:c>
      <x:c r="G411" s="11" t="n">
        <x:v>2025</x:v>
      </x:c>
      <x:c r="H411" s="10" t="str">
        <x:v>São Paulo, Brasil</x:v>
      </x:c>
      <x:c r="I411" s="10" t="str">
        <x:v>Jovem Pan</x:v>
      </x:c>
      <x:c r="J411" s="10" t="str">
        <x:v>Lula está ‘estarrecido’ com o número de mortos na megaoperação no Rio</x:v>
      </x:c>
      <x:c r="K411" s="10" t="str">
        <x:v>Hemerográfico</x:v>
      </x:c>
      <x:c r="L411" s="10" t="str">
        <x:v>Texto (digital)</x:v>
      </x:c>
      <x:c r="M411" s="10" t="str">
        <x:v>Jovem Pan</x:v>
      </x:c>
      <x:c r="N411" s="10" t="str">
        <x:v>Português, Brasil</x:v>
      </x:c>
      <x:c r="O411" s="10" t="str">
        <x:v>"Operação contenção" no Google</x:v>
      </x:c>
      <x:c r="P411" s="10" t="str">
        <x:v>2025-11-03 00:00:00</x:v>
      </x:c>
      <x:c r="Q411" s="10" t="str">
        <x:v>Aberto</x:v>
      </x:c>
      <x:c r="R411" s="10" t="str">
        <x:v>Aqui</x:v>
      </x:c>
      <x:c r="S411" s="10" t="str">
        <x:v>JOVEM PAN. Lula está ‘estarrecido’ com o número de mortos na megaoperação no Rio. Jovem Pan, 29 out. 2025. Disponível em: https://jovempan.com.br/noticias/politica/lula-esta-estarrecido-com-o-numero-de-mortos-na-megaoperacao-no-rio.html. Acesso em: 3 nov. 2025.</x:v>
      </x:c>
      <x:c r="T411" s="10" t="str">
        <x:v>BR-SPDIREITOVIOLESTADO_MAPEAMENTOS-NOTICIAS-MSSCPENHA.xlsx</x:v>
      </x:c>
      <x:c r="U411" s="10" t="str">
        <x:v>Geral</x:v>
      </x:c>
      <x:c r="V411" s="11" t="n">
        <x:v>156</x:v>
      </x:c>
      <x:c r="W411" s="10" t="str">
        <x:v>BR-SPDIREITOVIOLESTADO_MAPEAMENTOS-NOTICIAS-MSSCPENHA.xlsx:Geral:156</x:v>
      </x:c>
      <x:c r="X411" s="11" t="n">
        <x:f>COLUMNS(A411:S411)-COUNTBLANK(A411:S411)</x:f>
        <x:v>19</x:v>
      </x:c>
    </x:row>
    <x:row r="412" ht="24" hidden="0" customHeight="1">
      <x:c r="A412" s="10" t="str">
        <x:v>Notícia</x:v>
      </x:c>
      <x:c r="B412" s="10" t="str">
        <x:v>Difusão</x:v>
      </x:c>
      <x:c r="C412" s="10" t="str">
        <x:v>Produção midiática</x:v>
      </x:c>
      <x:c r="D412" s="10" t="str">
        <x:v>Público Mediado</x:v>
      </x:c>
      <x:c r="E412" s="10" t="str">
        <x:v>Midiático</x:v>
      </x:c>
      <x:c r="F412" s="10" t="str">
        <x:v>30/10/2025</x:v>
      </x:c>
      <x:c r="G412" s="11" t="n">
        <x:v>2025</x:v>
      </x:c>
      <x:c r="H412" s="10" t="str">
        <x:v>Rio de Janeiro, Brasil</x:v>
      </x:c>
      <x:c r="I412" s="10" t="str">
        <x:v>Agência Brasil</x:v>
      </x:c>
      <x:c r="J412" s="10" t="str">
        <x:v>Escolas e universidades voltam ao expediente regular no Rio</x:v>
      </x:c>
      <x:c r="K412" s="10" t="str">
        <x:v>Hemerográfico</x:v>
      </x:c>
      <x:c r="L412" s="10" t="str">
        <x:v>Texto (digital)</x:v>
      </x:c>
      <x:c r="M412" s="10" t="str">
        <x:v>Agência Brasil</x:v>
      </x:c>
      <x:c r="N412" s="10" t="str">
        <x:v>Português, Brasil</x:v>
      </x:c>
      <x:c r="O412" s="10" t="str">
        <x:v>"Operação contenção" no Google</x:v>
      </x:c>
      <x:c r="P412" s="10" t="str">
        <x:v>2025-11-03 00:00:00</x:v>
      </x:c>
      <x:c r="Q412" s="10" t="str">
        <x:v>Aberto</x:v>
      </x:c>
      <x:c r="R412" s="10" t="str">
        <x:v>Aqui</x:v>
      </x:c>
      <x:c r="S412" s="10" t="str">
        <x:v>CAMPOS, Ana Cristina. Escolas e universidades voltam ao expediente regular no Rio. Agência Brasil, 30 out. 2025. Disponível em: https://agenciabrasil.ebc.com.br/educacao/noticia/2025-10/escolas-e-universidades-voltam-ao-expediente-regular-no-rio. Acesso em: 3 nov. 2025.</x:v>
      </x:c>
      <x:c r="T412" s="10" t="str">
        <x:v>BR-SPDIREITOVIOLESTADO_MAPEAMENTOS-NOTICIAS-MSSCPENHA.xlsx</x:v>
      </x:c>
      <x:c r="U412" s="10" t="str">
        <x:v>Geral</x:v>
      </x:c>
      <x:c r="V412" s="11" t="n">
        <x:v>157</x:v>
      </x:c>
      <x:c r="W412" s="10" t="str">
        <x:v>BR-SPDIREITOVIOLESTADO_MAPEAMENTOS-NOTICIAS-MSSCPENHA.xlsx:Geral:157</x:v>
      </x:c>
      <x:c r="X412" s="11" t="n">
        <x:f>COLUMNS(A412:S412)-COUNTBLANK(A412:S412)</x:f>
        <x:v>19</x:v>
      </x:c>
    </x:row>
    <x:row r="413" ht="24" hidden="0" customHeight="1">
      <x:c r="A413" s="10" t="str">
        <x:v>Notícia</x:v>
      </x:c>
      <x:c r="B413" s="10" t="str">
        <x:v>Difusão</x:v>
      </x:c>
      <x:c r="C413" s="10" t="str">
        <x:v>Produção midiática</x:v>
      </x:c>
      <x:c r="D413" s="10" t="str">
        <x:v>Público Mediado</x:v>
      </x:c>
      <x:c r="E413" s="10" t="str">
        <x:v>Midiático</x:v>
      </x:c>
      <x:c r="F413" s="10" t="str">
        <x:v>29/10/2025</x:v>
      </x:c>
      <x:c r="G413" s="11" t="n">
        <x:v>2025</x:v>
      </x:c>
      <x:c r="H413" s="10" t="str">
        <x:v>Distrito Federal, Brasil</x:v>
      </x:c>
      <x:c r="I413" s="10" t="str">
        <x:v>Agência Brasil</x:v>
      </x:c>
      <x:c r="J413" s="10" t="str">
        <x:v>Após operação letal</x:v>
      </x:c>
      <x:c r="K413" s="10" t="str">
        <x:v>Hemerográfico</x:v>
      </x:c>
      <x:c r="L413" s="10" t="str">
        <x:v>Texto (digital)</x:v>
      </x:c>
      <x:c r="M413" s="10" t="str">
        <x:v>Agência Brasil</x:v>
      </x:c>
      <x:c r="N413" s="10" t="str">
        <x:v>Português, Brasil</x:v>
      </x:c>
      <x:c r="O413" s="10" t="str">
        <x:v>"Operação contenção" no Google</x:v>
      </x:c>
      <x:c r="P413" s="10" t="str">
        <x:v>2025-11-03 00:00:00</x:v>
      </x:c>
      <x:c r="Q413" s="10" t="str">
        <x:v>Aberto</x:v>
      </x:c>
      <x:c r="R413" s="10" t="str">
        <x:v>Aqui</x:v>
      </x:c>
      <x:c r="S413" s="10" t="str">
        <x:v>RIBEIRO, Cristiane. Após operação letal, Rio tem manhã de ruas vazias e tensão. Rádio Nacional, 29 out. 2025. Disponível em: https://agenciabrasil.ebc.com.br/radioagencia-nacional/seguranca/audio/2025-10/apos-operacao-letal-rio-tem-manha-de-ruas-vazias-e-tensão. Acesso em: 3 nov. 2025.</x:v>
      </x:c>
      <x:c r="T413" s="10" t="str">
        <x:v>BR-SPDIREITOVIOLESTADO_MAPEAMENTOS-NOTICIAS-MSSCPENHA.xlsx</x:v>
      </x:c>
      <x:c r="U413" s="10" t="str">
        <x:v>Geral</x:v>
      </x:c>
      <x:c r="V413" s="11" t="n">
        <x:v>158</x:v>
      </x:c>
      <x:c r="W413" s="10" t="str">
        <x:v>BR-SPDIREITOVIOLESTADO_MAPEAMENTOS-NOTICIAS-MSSCPENHA.xlsx:Geral:158</x:v>
      </x:c>
      <x:c r="X413" s="11" t="n">
        <x:f>COLUMNS(A413:S413)-COUNTBLANK(A413:S413)</x:f>
        <x:v>19</x:v>
      </x:c>
    </x:row>
    <x:row r="414" ht="24" hidden="0" customHeight="1">
      <x:c r="A414" s="10" t="str">
        <x:v>Notícia</x:v>
      </x:c>
      <x:c r="B414" s="10" t="str">
        <x:v>Difusão</x:v>
      </x:c>
      <x:c r="C414" s="10" t="str">
        <x:v>Produção midiática</x:v>
      </x:c>
      <x:c r="D414" s="10" t="str">
        <x:v>Público Mediado</x:v>
      </x:c>
      <x:c r="E414" s="10" t="str">
        <x:v>Midiático</x:v>
      </x:c>
      <x:c r="F414" s="10" t="str">
        <x:v>31/10/2025</x:v>
      </x:c>
      <x:c r="G414" s="11" t="n">
        <x:v>2025</x:v>
      </x:c>
      <x:c r="H414" s="10" t="str">
        <x:v>São Paulo, Brasil</x:v>
      </x:c>
      <x:c r="I414" s="10" t="str">
        <x:v>CNN Brasil</x:v>
      </x:c>
      <x:c r="J414" s="10" t="str">
        <x:v>RJ: nenhum dos mortos identificados na operação estava na lista de alvos</x:v>
      </x:c>
      <x:c r="K414" s="10" t="str">
        <x:v>Hemerográfico</x:v>
      </x:c>
      <x:c r="L414" s="10" t="str">
        <x:v>Texto (digital)</x:v>
      </x:c>
      <x:c r="M414" s="10" t="str">
        <x:v>CNN Brasil</x:v>
      </x:c>
      <x:c r="N414" s="10" t="str">
        <x:v>Português, Brasil</x:v>
      </x:c>
      <x:c r="O414" s="10" t="str">
        <x:v>"Operação contenção" no Google</x:v>
      </x:c>
      <x:c r="P414" s="10" t="str">
        <x:v>2025-11-03 00:00:00</x:v>
      </x:c>
      <x:c r="Q414" s="10" t="str">
        <x:v>Aberto</x:v>
      </x:c>
      <x:c r="R414" s="10" t="str">
        <x:v>Aqui</x:v>
      </x:c>
      <x:c r="S414" s="10" t="str">
        <x:v>FÉLIX, Thiago; NASPOLINI, Julia. RJ: nenhum dos mortos identificados na operação estava na lista de alvos. CNN Brasil, 31 out. 2025. Disponível em: https://www.cnnbrasil.com.br/nacional/sudeste/rj/rj-nenhum-dos-mortos-identificados-na-operacao-estava-na-lista-de-alvos/. Acesso em: 3 nov. 2025.</x:v>
      </x:c>
      <x:c r="T414" s="10" t="str">
        <x:v>BR-SPDIREITOVIOLESTADO_MAPEAMENTOS-NOTICIAS-MSSCPENHA.xlsx</x:v>
      </x:c>
      <x:c r="U414" s="10" t="str">
        <x:v>Geral</x:v>
      </x:c>
      <x:c r="V414" s="11" t="n">
        <x:v>159</x:v>
      </x:c>
      <x:c r="W414" s="10" t="str">
        <x:v>BR-SPDIREITOVIOLESTADO_MAPEAMENTOS-NOTICIAS-MSSCPENHA.xlsx:Geral:159</x:v>
      </x:c>
      <x:c r="X414" s="11" t="n">
        <x:f>COLUMNS(A414:S414)-COUNTBLANK(A414:S414)</x:f>
        <x:v>19</x:v>
      </x:c>
    </x:row>
    <x:row r="415" ht="24" hidden="0" customHeight="1">
      <x:c r="A415" s="10" t="str">
        <x:v>Notícia</x:v>
      </x:c>
      <x:c r="B415" s="10" t="str">
        <x:v>Difusão</x:v>
      </x:c>
      <x:c r="C415" s="10" t="str">
        <x:v>Produção midiática</x:v>
      </x:c>
      <x:c r="D415" s="10" t="str">
        <x:v>Público Mediado</x:v>
      </x:c>
      <x:c r="E415" s="10" t="str">
        <x:v>Midiático</x:v>
      </x:c>
      <x:c r="F415" s="10" t="str">
        <x:v>01/11/2025</x:v>
      </x:c>
      <x:c r="G415" s="11" t="n">
        <x:v>2025</x:v>
      </x:c>
      <x:c r="H415" s="10" t="str">
        <x:v>São Paulo, Brasil</x:v>
      </x:c>
      <x:c r="I415" s="10" t="str">
        <x:v>Agência Brasil</x:v>
      </x:c>
      <x:c r="J415" s="10" t="str">
        <x:v>Operação contenção: famílias ainda aguardam liberação de corpos</x:v>
      </x:c>
      <x:c r="K415" s="10" t="str">
        <x:v>Hemerográfico</x:v>
      </x:c>
      <x:c r="L415" s="10" t="str">
        <x:v>Texto (digital)</x:v>
      </x:c>
      <x:c r="M415" s="10" t="str">
        <x:v>Agência Brasil</x:v>
      </x:c>
      <x:c r="N415" s="10" t="str">
        <x:v>Português, Brasil</x:v>
      </x:c>
      <x:c r="O415" s="10" t="str">
        <x:v>"Operação contenção" no Google</x:v>
      </x:c>
      <x:c r="P415" s="10" t="str">
        <x:v>2025-11-03 00:00:00</x:v>
      </x:c>
      <x:c r="Q415" s="10" t="str">
        <x:v>Aberto</x:v>
      </x:c>
      <x:c r="R415" s="10" t="str">
        <x:v>Aqui</x:v>
      </x:c>
      <x:c r="S415" s="10" t="str">
        <x:v>REPÓRTER BRASIL. Operação contenção: famílias ainda aguardam liberação de corpos. TV Brasil, 1 nov. 2025. Disponível em: https://tvbrasil.ebc.com.br/reporter-brasil/2025/11/operacao-contencao-familias-ainda-aguardam-liberacao-de-corpos. Acesso em: 3 nov. 2025.</x:v>
      </x:c>
      <x:c r="T415" s="10" t="str">
        <x:v>BR-SPDIREITOVIOLESTADO_MAPEAMENTOS-NOTICIAS-MSSCPENHA.xlsx</x:v>
      </x:c>
      <x:c r="U415" s="10" t="str">
        <x:v>Geral</x:v>
      </x:c>
      <x:c r="V415" s="11" t="n">
        <x:v>160</x:v>
      </x:c>
      <x:c r="W415" s="10" t="str">
        <x:v>BR-SPDIREITOVIOLESTADO_MAPEAMENTOS-NOTICIAS-MSSCPENHA.xlsx:Geral:160</x:v>
      </x:c>
      <x:c r="X415" s="11" t="n">
        <x:f>COLUMNS(A415:S415)-COUNTBLANK(A415:S415)</x:f>
        <x:v>19</x:v>
      </x:c>
    </x:row>
    <x:row r="416" ht="24" hidden="0" customHeight="1">
      <x:c r="A416" s="10" t="str">
        <x:v>Notícia</x:v>
      </x:c>
      <x:c r="B416" s="10" t="str">
        <x:v>Difusão</x:v>
      </x:c>
      <x:c r="C416" s="10" t="str">
        <x:v>Produção midiática</x:v>
      </x:c>
      <x:c r="D416" s="10" t="str">
        <x:v>Público Mediado</x:v>
      </x:c>
      <x:c r="E416" s="10" t="str">
        <x:v>Midiático</x:v>
      </x:c>
      <x:c r="F416" s="10" t="str">
        <x:v>02/11/2025</x:v>
      </x:c>
      <x:c r="G416" s="11" t="n">
        <x:v>2025</x:v>
      </x:c>
      <x:c r="H416" s="10" t="str">
        <x:v>Distrito Federal, Brasil</x:v>
      </x:c>
      <x:c r="I416" s="10" t="str">
        <x:v>Agência Brasil</x:v>
      </x:c>
      <x:c r="J416" s="10" t="str">
        <x:v>Moraes determina preservação integral de provas sobre megaoperação</x:v>
      </x:c>
      <x:c r="K416" s="10" t="str">
        <x:v>Hemerográfico</x:v>
      </x:c>
      <x:c r="L416" s="10" t="str">
        <x:v>Texto (digital)</x:v>
      </x:c>
      <x:c r="M416" s="10" t="str">
        <x:v>Agência Brasil</x:v>
      </x:c>
      <x:c r="N416" s="10" t="str">
        <x:v>Português, Brasil</x:v>
      </x:c>
      <x:c r="O416" s="10" t="str">
        <x:v>"Operação contenção" no Google</x:v>
      </x:c>
      <x:c r="P416" s="10" t="str">
        <x:v>2025-11-03 00:00:00</x:v>
      </x:c>
      <x:c r="Q416" s="10" t="str">
        <x:v>Aberto</x:v>
      </x:c>
      <x:c r="R416" s="10" t="str">
        <x:v>Aqui</x:v>
      </x:c>
      <x:c r="S416" s="10" t="str">
        <x:v>VILELA, Pedro Rafael. Moraes determina preservação integral de provas sobre megaoperação. Agência Brasil, 2 nov. 2025. Disponível em: https://agenciabrasil.ebc.com.br/justica/noticia/2025-11/moraes-determina-preservacao-integral-de-provas-sobre-megaoperacao. Acesso em: 3 nov. 2025.</x:v>
      </x:c>
      <x:c r="T416" s="10" t="str">
        <x:v>BR-SPDIREITOVIOLESTADO_MAPEAMENTOS-NOTICIAS-MSSCPENHA.xlsx</x:v>
      </x:c>
      <x:c r="U416" s="10" t="str">
        <x:v>Geral</x:v>
      </x:c>
      <x:c r="V416" s="11" t="n">
        <x:v>161</x:v>
      </x:c>
      <x:c r="W416" s="10" t="str">
        <x:v>BR-SPDIREITOVIOLESTADO_MAPEAMENTOS-NOTICIAS-MSSCPENHA.xlsx:Geral:161</x:v>
      </x:c>
      <x:c r="X416" s="11" t="n">
        <x:f>COLUMNS(A416:S416)-COUNTBLANK(A416:S416)</x:f>
        <x:v>19</x:v>
      </x:c>
    </x:row>
    <x:row r="417" ht="24" hidden="0" customHeight="1">
      <x:c r="A417" s="10" t="str">
        <x:v>Notícia</x:v>
      </x:c>
      <x:c r="B417" s="10" t="str">
        <x:v>Difusão</x:v>
      </x:c>
      <x:c r="C417" s="10" t="str">
        <x:v>Produção midiática</x:v>
      </x:c>
      <x:c r="D417" s="10" t="str">
        <x:v>Público Mediado</x:v>
      </x:c>
      <x:c r="E417" s="10" t="str">
        <x:v>Midiático</x:v>
      </x:c>
      <x:c r="F417" s="10" t="str">
        <x:v>31/10/2025</x:v>
      </x:c>
      <x:c r="G417" s="11" t="n">
        <x:v>2025</x:v>
      </x:c>
      <x:c r="H417" s="10" t="str">
        <x:v>Rio de Janeiro, Brasil</x:v>
      </x:c>
      <x:c r="I417" s="10" t="str">
        <x:v>Agência Brasil</x:v>
      </x:c>
      <x:c r="J417" s="10" t="str">
        <x:v>Manifestação contra operação policial Contenção</x:v>
      </x:c>
      <x:c r="K417" s="10" t="str">
        <x:v>Hemerográfico</x:v>
      </x:c>
      <x:c r="L417" s="10" t="str">
        <x:v>Texto (digital)</x:v>
      </x:c>
      <x:c r="M417" s="10" t="str">
        <x:v>Agência Brasil</x:v>
      </x:c>
      <x:c r="N417" s="10" t="str">
        <x:v>Português, Brasil</x:v>
      </x:c>
      <x:c r="O417" s="10" t="str">
        <x:v>"Operação contenção" no Google</x:v>
      </x:c>
      <x:c r="P417" s="10" t="str">
        <x:v>2025-11-03 00:00:00</x:v>
      </x:c>
      <x:c r="Q417" s="10" t="str">
        <x:v>Aberto</x:v>
      </x:c>
      <x:c r="R417" s="10" t="str">
        <x:v>Aqui</x:v>
      </x:c>
      <x:c r="S417" s="10" t="str">
        <x:v>RÊGO, Tânia. Manifestação contra operação policial Contenção. Agência Brasil, 31 out. 2025. Disponível em: https://agenciabrasil.ebc.com.br/foto/2025-10/manifestacao-contra-operacao-policial-contencao-1761951232. Acesso em: 3 nov. 2025.</x:v>
      </x:c>
      <x:c r="T417" s="10" t="str">
        <x:v>BR-SPDIREITOVIOLESTADO_MAPEAMENTOS-NOTICIAS-MSSCPENHA.xlsx</x:v>
      </x:c>
      <x:c r="U417" s="10" t="str">
        <x:v>Geral</x:v>
      </x:c>
      <x:c r="V417" s="11" t="n">
        <x:v>162</x:v>
      </x:c>
      <x:c r="W417" s="10" t="str">
        <x:v>BR-SPDIREITOVIOLESTADO_MAPEAMENTOS-NOTICIAS-MSSCPENHA.xlsx:Geral:162</x:v>
      </x:c>
      <x:c r="X417" s="11" t="n">
        <x:f>COLUMNS(A417:S417)-COUNTBLANK(A417:S417)</x:f>
        <x:v>19</x:v>
      </x:c>
    </x:row>
    <x:row r="418" ht="24" hidden="0" customHeight="1">
      <x:c r="A418" s="10" t="str">
        <x:v>Notícia</x:v>
      </x:c>
      <x:c r="B418" s="10" t="str">
        <x:v>Difusão</x:v>
      </x:c>
      <x:c r="C418" s="10" t="str">
        <x:v>Produção midiática</x:v>
      </x:c>
      <x:c r="D418" s="10" t="str">
        <x:v>Público Mediado</x:v>
      </x:c>
      <x:c r="E418" s="10" t="str">
        <x:v>Midiático</x:v>
      </x:c>
      <x:c r="F418" s="10" t="str">
        <x:v>30/10/2025</x:v>
      </x:c>
      <x:c r="G418" s="11" t="n">
        <x:v>2025</x:v>
      </x:c>
      <x:c r="H418" s="10" t="str">
        <x:v>Rio de Janeiro, Brasil</x:v>
      </x:c>
      <x:c r="I418" s="10" t="str">
        <x:v>Agência Brasil</x:v>
      </x:c>
      <x:c r="J418" s="10" t="str">
        <x:v>Operação Contenção: defensoria diz é impedida de acompanhar necrópsias</x:v>
      </x:c>
      <x:c r="K418" s="10" t="str">
        <x:v>Hemerográfico</x:v>
      </x:c>
      <x:c r="L418" s="10" t="str">
        <x:v>Texto (digital)</x:v>
      </x:c>
      <x:c r="M418" s="10" t="str">
        <x:v>Agência Brasil</x:v>
      </x:c>
      <x:c r="N418" s="10" t="str">
        <x:v>Português, Brasil</x:v>
      </x:c>
      <x:c r="O418" s="10" t="str">
        <x:v>"Operação contenção" no Google</x:v>
      </x:c>
      <x:c r="P418" s="10" t="str">
        <x:v>2025-11-03 00:00:00</x:v>
      </x:c>
      <x:c r="Q418" s="10" t="str">
        <x:v>Aberto</x:v>
      </x:c>
      <x:c r="R418" s="10" t="str">
        <x:v>Aqui</x:v>
      </x:c>
      <x:c r="S418" s="10" t="str">
        <x:v>REPÓRTER BRASIL TARDE. Operação Contenção: defensoria diz é impedida de acompanhar necrópsias. TV Brasil, 30 out. 2025. Disponível em: https://tvbrasil.ebc.com.br/reporter-brasil-tarde/2025/10/operacao-contencao-defensoria-diz-e-impedida-de-acompanhar-necropsias. Acesso em: 3 nov. 2025.</x:v>
      </x:c>
      <x:c r="T418" s="10" t="str">
        <x:v>BR-SPDIREITOVIOLESTADO_MAPEAMENTOS-NOTICIAS-MSSCPENHA.xlsx</x:v>
      </x:c>
      <x:c r="U418" s="10" t="str">
        <x:v>Geral</x:v>
      </x:c>
      <x:c r="V418" s="11" t="n">
        <x:v>163</x:v>
      </x:c>
      <x:c r="W418" s="10" t="str">
        <x:v>BR-SPDIREITOVIOLESTADO_MAPEAMENTOS-NOTICIAS-MSSCPENHA.xlsx:Geral:163</x:v>
      </x:c>
      <x:c r="X418" s="11" t="n">
        <x:f>COLUMNS(A418:S418)-COUNTBLANK(A418:S418)</x:f>
        <x:v>19</x:v>
      </x:c>
    </x:row>
    <x:row r="419" ht="24" hidden="0" customHeight="1">
      <x:c r="A419" s="10" t="str">
        <x:v>Notícia</x:v>
      </x:c>
      <x:c r="B419" s="10" t="str">
        <x:v>Difusão</x:v>
      </x:c>
      <x:c r="C419" s="10" t="str">
        <x:v>Produção midiática</x:v>
      </x:c>
      <x:c r="D419" s="10" t="str">
        <x:v>Público Mediado</x:v>
      </x:c>
      <x:c r="E419" s="10" t="str">
        <x:v>Midiático</x:v>
      </x:c>
      <x:c r="F419" s="10" t="str">
        <x:v>30/10/2025</x:v>
      </x:c>
      <x:c r="G419" s="11" t="n">
        <x:v>2025</x:v>
      </x:c>
      <x:c r="H419" s="10" t="str">
        <x:v>Rio de Janeiro, Brasil</x:v>
      </x:c>
      <x:c r="I419" s="10" t="str">
        <x:v>Associação Nacional dos Docentes do Ensino Superior – Sindicato Nacional</x:v>
      </x:c>
      <x:c r="J419" s="10" t="str">
        <x:v>ANDES-SN repudia massacre nos Complexos do Alemão e da Penha no Rio de Janeiro. 30 out. 2025</x:v>
      </x:c>
      <x:c r="K419" s="10" t="str">
        <x:v>Hemerográfico</x:v>
      </x:c>
      <x:c r="L419" s="10" t="str">
        <x:v>Texto (digital)</x:v>
      </x:c>
      <x:c r="M419" s="10" t="str">
        <x:v>Associação Nacional dos Docentes do Ensino Superior – Sindicato Nacional</x:v>
      </x:c>
      <x:c r="N419" s="10" t="str">
        <x:v>Português, Brasil</x:v>
      </x:c>
      <x:c r="O419" s="10" t="str">
        <x:v>"Operação contenção" no Google</x:v>
      </x:c>
      <x:c r="P419" s="10" t="str">
        <x:v>2025-11-03 00:00:00</x:v>
      </x:c>
      <x:c r="Q419" s="10" t="str">
        <x:v>Aberto</x:v>
      </x:c>
      <x:c r="R419" s="10" t="str">
        <x:v>Aqui</x:v>
      </x:c>
      <x:c r="S419" s="10" t="str">
        <x:v>ANDES-SN. ANDES-SN repudia massacre nos Complexos do Alemão e da Penha no Rio de Janeiro. 30 out. 2025. Disponível em: https://www.andes.org.br/conteudos/noticia/aNDES-sN-repudia-massacre-nos-complexos-do-alemao-e-da-penha-no-rio-de-janeiro1. Acesso em: 3 nov. 2025.</x:v>
      </x:c>
      <x:c r="T419" s="10" t="str">
        <x:v>BR-SPDIREITOVIOLESTADO_MAPEAMENTOS-NOTICIAS-MSSCPENHA.xlsx</x:v>
      </x:c>
      <x:c r="U419" s="10" t="str">
        <x:v>Geral</x:v>
      </x:c>
      <x:c r="V419" s="11" t="n">
        <x:v>164</x:v>
      </x:c>
      <x:c r="W419" s="10" t="str">
        <x:v>BR-SPDIREITOVIOLESTADO_MAPEAMENTOS-NOTICIAS-MSSCPENHA.xlsx:Geral:164</x:v>
      </x:c>
      <x:c r="X419" s="11" t="n">
        <x:f>COLUMNS(A419:S419)-COUNTBLANK(A419:S419)</x:f>
        <x:v>19</x:v>
      </x:c>
    </x:row>
    <x:row r="420" ht="24" hidden="0" customHeight="1">
      <x:c r="A420" s="10" t="str">
        <x:v>Notícia</x:v>
      </x:c>
      <x:c r="B420" s="10" t="str">
        <x:v>Difusão</x:v>
      </x:c>
      <x:c r="C420" s="10" t="str">
        <x:v>Produção midiática</x:v>
      </x:c>
      <x:c r="D420" s="10" t="str">
        <x:v>Público Mediado</x:v>
      </x:c>
      <x:c r="E420" s="10" t="str">
        <x:v>Midiático</x:v>
      </x:c>
      <x:c r="F420" s="10" t="str">
        <x:v>30/10/2025</x:v>
      </x:c>
      <x:c r="G420" s="11" t="n">
        <x:v>2025</x:v>
      </x:c>
      <x:c r="H420" s="10" t="str">
        <x:v>São Paulo, Brasil</x:v>
      </x:c>
      <x:c r="I420" s="10" t="str">
        <x:v>Brasil de Fato</x:v>
      </x:c>
      <x:c r="J420" s="10" t="str">
        <x:v>Defensoria do Rio é impedida de acompanhar perícia de mortos em massacre e DPU aciona STF</x:v>
      </x:c>
      <x:c r="K420" s="10" t="str">
        <x:v>Hemerográfico</x:v>
      </x:c>
      <x:c r="L420" s="10" t="str">
        <x:v>Texto (digital)</x:v>
      </x:c>
      <x:c r="M420" s="10" t="str">
        <x:v>Brasil de Fato</x:v>
      </x:c>
      <x:c r="N420" s="10" t="str">
        <x:v>Português, Brasil</x:v>
      </x:c>
      <x:c r="O420" s="10" t="str">
        <x:v>"Operação contenção" no Google</x:v>
      </x:c>
      <x:c r="P420" s="10" t="str">
        <x:v>2025-11-03 00:00:00</x:v>
      </x:c>
      <x:c r="Q420" s="10" t="str">
        <x:v>Aberto</x:v>
      </x:c>
      <x:c r="R420" s="10" t="str">
        <x:v>Aqui</x:v>
      </x:c>
      <x:c r="S420" s="10" t="str">
        <x:v>BRASIL DE FATO. Defensoria do Rio é impedida de acompanhar perícia de mortos em massacre e DPU aciona STF. Brasil de Fato, 30 out. 2025. Disponível em: https://www.brasildefato.com.br/2025/10/30/dpu-pede-para-acompanhar-pericia-de-mortos-em-massacre-apos-defensoria-do-rio-ter-acesso-negado/. Acesso em: 3 nov. 2025.</x:v>
      </x:c>
      <x:c r="T420" s="10" t="str">
        <x:v>BR-SPDIREITOVIOLESTADO_MAPEAMENTOS-NOTICIAS-MSSCPENHA.xlsx</x:v>
      </x:c>
      <x:c r="U420" s="10" t="str">
        <x:v>Geral</x:v>
      </x:c>
      <x:c r="V420" s="11" t="n">
        <x:v>165</x:v>
      </x:c>
      <x:c r="W420" s="10" t="str">
        <x:v>BR-SPDIREITOVIOLESTADO_MAPEAMENTOS-NOTICIAS-MSSCPENHA.xlsx:Geral:165</x:v>
      </x:c>
      <x:c r="X420" s="11" t="n">
        <x:f>COLUMNS(A420:S420)-COUNTBLANK(A420:S420)</x:f>
        <x:v>19</x:v>
      </x:c>
    </x:row>
    <x:row r="421" ht="24" hidden="0" customHeight="1">
      <x:c r="A421" s="10" t="str">
        <x:v>Notícia</x:v>
      </x:c>
      <x:c r="B421" s="10" t="str">
        <x:v>Difusão</x:v>
      </x:c>
      <x:c r="C421" s="10" t="str">
        <x:v>Produção midiática</x:v>
      </x:c>
      <x:c r="D421" s="10" t="str">
        <x:v>Público Mediado</x:v>
      </x:c>
      <x:c r="E421" s="10" t="str">
        <x:v>Midiático</x:v>
      </x:c>
      <x:c r="F421" s="10" t="str">
        <x:v>29/10/2025</x:v>
      </x:c>
      <x:c r="G421" s="11" t="n">
        <x:v>2025</x:v>
      </x:c>
      <x:c r="H421" s="10" t="str">
        <x:v>São Paulo, Brasil</x:v>
      </x:c>
      <x:c r="I421" s="10" t="str">
        <x:v>Brasil de Fato</x:v>
      </x:c>
      <x:c r="J421" s="10" t="str">
        <x:v>Chefe da ONU pede investigações sobre chacina no RJ e STF fará audiência sobre o caso</x:v>
      </x:c>
      <x:c r="K421" s="10" t="str">
        <x:v>Hemerográfico</x:v>
      </x:c>
      <x:c r="L421" s="10" t="str">
        <x:v>Texto (digital)</x:v>
      </x:c>
      <x:c r="M421" s="10" t="str">
        <x:v>Brasil de Fato</x:v>
      </x:c>
      <x:c r="N421" s="10" t="str">
        <x:v>Português, Brasil</x:v>
      </x:c>
      <x:c r="O421" s="10" t="str">
        <x:v>"Operação contenção" no Google</x:v>
      </x:c>
      <x:c r="P421" s="10" t="str">
        <x:v>2025-11-03 00:00:00</x:v>
      </x:c>
      <x:c r="Q421" s="10" t="str">
        <x:v>Aberto</x:v>
      </x:c>
      <x:c r="R421" s="10" t="str">
        <x:v>Aqui</x:v>
      </x:c>
      <x:c r="S421" s="10" t="str">
        <x:v>BRASIL DE FATO. Chefe da ONU pede investigações sobre chacina no RJ e STF fará audiência sobre o caso. Brasil de Fato, 29 out. 2025. Disponível em: https://www.brasildefato.com.br/2025/10/29/chefe-da-onu-pede-investigacoes-sobre-chacina-no-rj-e-stf-fara-audiencia-sobre-o-caso/. Acesso em: 3 nov. 2025.</x:v>
      </x:c>
      <x:c r="T421" s="10" t="str">
        <x:v>BR-SPDIREITOVIOLESTADO_MAPEAMENTOS-NOTICIAS-MSSCPENHA.xlsx</x:v>
      </x:c>
      <x:c r="U421" s="10" t="str">
        <x:v>Geral</x:v>
      </x:c>
      <x:c r="V421" s="11" t="n">
        <x:v>166</x:v>
      </x:c>
      <x:c r="W421" s="10" t="str">
        <x:v>BR-SPDIREITOVIOLESTADO_MAPEAMENTOS-NOTICIAS-MSSCPENHA.xlsx:Geral:166</x:v>
      </x:c>
      <x:c r="X421" s="11" t="n">
        <x:f>COLUMNS(A421:S421)-COUNTBLANK(A421:S421)</x:f>
        <x:v>19</x:v>
      </x:c>
    </x:row>
    <x:row r="422" ht="24" hidden="0" customHeight="1">
      <x:c r="A422" s="10" t="str">
        <x:v>Notícia</x:v>
      </x:c>
      <x:c r="B422" s="10" t="str">
        <x:v>Difusão</x:v>
      </x:c>
      <x:c r="C422" s="10" t="str">
        <x:v>Produção midiática</x:v>
      </x:c>
      <x:c r="D422" s="10" t="str">
        <x:v>Público Mediado</x:v>
      </x:c>
      <x:c r="E422" s="10" t="str">
        <x:v>Midiático</x:v>
      </x:c>
      <x:c r="F422" s="10" t="str">
        <x:v>28/10/2025</x:v>
      </x:c>
      <x:c r="G422" s="11" t="n">
        <x:v>2025</x:v>
      </x:c>
      <x:c r="H422" s="10" t="str">
        <x:v>Minas Gerais, Brasil</x:v>
      </x:c>
      <x:c r="I422" s="10" t="str">
        <x:v>O Tempo</x:v>
      </x:c>
      <x:c r="J422" s="10" t="str">
        <x:v>Operação Contenção: 280 mil pessoas vivem em áreas que foram alvo da polícia no Rio</x:v>
      </x:c>
      <x:c r="K422" s="10" t="str">
        <x:v>Hemerográfico</x:v>
      </x:c>
      <x:c r="L422" s="10" t="str">
        <x:v>Texto (digital)</x:v>
      </x:c>
      <x:c r="M422" s="10" t="str">
        <x:v>O Tempo</x:v>
      </x:c>
      <x:c r="N422" s="10" t="str">
        <x:v>Português, Brasil</x:v>
      </x:c>
      <x:c r="O422" s="10" t="str">
        <x:v>"Operação contenção" no Google</x:v>
      </x:c>
      <x:c r="P422" s="10" t="str">
        <x:v>2025-11-03 00:00:00</x:v>
      </x:c>
      <x:c r="Q422" s="10" t="str">
        <x:v>Aberto</x:v>
      </x:c>
      <x:c r="R422" s="10" t="str">
        <x:v>Aqui</x:v>
      </x:c>
      <x:c r="S422" s="10" t="str">
        <x:v>RODRIGUES, Gabriel. Operação Contenção: 280 mil pessoas vivem em áreas que foram alvo da polícia no Rio. O Tempo, 28 out. 2025. Disponível em: https://www.otempo.com.br/brasil/2025/10/28/operacao-contencao-280-mil-pessoas-vivem-em-areas-que-foram-alvo-da-policia-no-rio. Acesso em: 3 nov. 2025.</x:v>
      </x:c>
      <x:c r="T422" s="10" t="str">
        <x:v>BR-SPDIREITOVIOLESTADO_MAPEAMENTOS-NOTICIAS-MSSCPENHA.xlsx</x:v>
      </x:c>
      <x:c r="U422" s="10" t="str">
        <x:v>Geral</x:v>
      </x:c>
      <x:c r="V422" s="11" t="n">
        <x:v>167</x:v>
      </x:c>
      <x:c r="W422" s="10" t="str">
        <x:v>BR-SPDIREITOVIOLESTADO_MAPEAMENTOS-NOTICIAS-MSSCPENHA.xlsx:Geral:167</x:v>
      </x:c>
      <x:c r="X422" s="11" t="n">
        <x:f>COLUMNS(A422:S422)-COUNTBLANK(A422:S422)</x:f>
        <x:v>19</x:v>
      </x:c>
    </x:row>
    <x:row r="423" ht="24" hidden="0" customHeight="1">
      <x:c r="A423" s="10" t="str">
        <x:v>Notícia</x:v>
      </x:c>
      <x:c r="B423" s="10" t="str">
        <x:v>Difusão</x:v>
      </x:c>
      <x:c r="C423" s="10" t="str">
        <x:v>Produção midiática</x:v>
      </x:c>
      <x:c r="D423" s="10" t="str">
        <x:v>Público Mediado</x:v>
      </x:c>
      <x:c r="E423" s="10" t="str">
        <x:v>Midiático</x:v>
      </x:c>
      <x:c r="F423" s="10" t="str">
        <x:v>31/10/2025</x:v>
      </x:c>
      <x:c r="G423" s="11" t="n">
        <x:v>2025</x:v>
      </x:c>
      <x:c r="H423" s="10" t="str">
        <x:v>Rio de Janeiro, Brasil</x:v>
      </x:c>
      <x:c r="I423" s="10" t="str">
        <x:v>G1</x:v>
      </x:c>
      <x:c r="J423" s="10" t="str">
        <x:v>Mortos em megaoperação no RJ: 115 dos 117 suspeitos foram identificados, sendo 97 com histórico de crimes graves. g1 Rio, 31 out. 2025</x:v>
      </x:c>
      <x:c r="K423" s="10" t="str">
        <x:v>Hemerográfico</x:v>
      </x:c>
      <x:c r="L423" s="10" t="str">
        <x:v>Texto (digital)</x:v>
      </x:c>
      <x:c r="M423" s="10" t="str">
        <x:v>G1</x:v>
      </x:c>
      <x:c r="N423" s="10" t="str">
        <x:v>Português, Brasil</x:v>
      </x:c>
      <x:c r="O423" s="10" t="str">
        <x:v>"Operação contenção" no Google</x:v>
      </x:c>
      <x:c r="P423" s="10" t="str">
        <x:v>2025-11-03 00:00:00</x:v>
      </x:c>
      <x:c r="Q423" s="10" t="str">
        <x:v>Aberto</x:v>
      </x:c>
      <x:c r="R423" s="10" t="str">
        <x:v>Aqui</x:v>
      </x:c>
      <x:c r="S423" s="10" t="str">
        <x:v>COELHO, Henrique. Mortos em megaoperação no RJ: 115 dos 117 suspeitos foram identificados, sendo 97 com histórico de crimes graves. g1 Rio, 31 out. 2025. Disponível em: https://g1.globo.com/rj/rio-de-janeiro/noticia/2025/10/31/mortos-na-megaoperacao-nos-complexos-da-penha-e-do-alemao.ghtml. Acesso em: 3 nov. 2025.</x:v>
      </x:c>
      <x:c r="T423" s="10" t="str">
        <x:v>BR-SPDIREITOVIOLESTADO_MAPEAMENTOS-NOTICIAS-MSSCPENHA.xlsx</x:v>
      </x:c>
      <x:c r="U423" s="10" t="str">
        <x:v>Geral</x:v>
      </x:c>
      <x:c r="V423" s="11" t="n">
        <x:v>168</x:v>
      </x:c>
      <x:c r="W423" s="10" t="str">
        <x:v>BR-SPDIREITOVIOLESTADO_MAPEAMENTOS-NOTICIAS-MSSCPENHA.xlsx:Geral:168</x:v>
      </x:c>
      <x:c r="X423" s="11" t="n">
        <x:f>COLUMNS(A423:S423)-COUNTBLANK(A423:S423)</x:f>
        <x:v>19</x:v>
      </x:c>
    </x:row>
    <x:row r="424" ht="24" hidden="0" customHeight="1">
      <x:c r="A424" s="10" t="str">
        <x:v>Notícia</x:v>
      </x:c>
      <x:c r="B424" s="10" t="str">
        <x:v>Difusão</x:v>
      </x:c>
      <x:c r="C424" s="10" t="str">
        <x:v>Produção midiática</x:v>
      </x:c>
      <x:c r="D424" s="10" t="str">
        <x:v>Público Mediado</x:v>
      </x:c>
      <x:c r="E424" s="10" t="str">
        <x:v>Midiático</x:v>
      </x:c>
      <x:c r="F424" s="10" t="str">
        <x:v>02/11/2025</x:v>
      </x:c>
      <x:c r="G424" s="11" t="n">
        <x:v>2025</x:v>
      </x:c>
      <x:c r="H424" s="10" t="str">
        <x:v>Rio de Janeiro, Brasil</x:v>
      </x:c>
      <x:c r="I424" s="10" t="str">
        <x:v>Gazeta do Povo</x:v>
      </x:c>
      <x:c r="J424" s="10" t="str">
        <x:v>Flávio Bolsonaro cria “vaquinha” para famílias de policiais mortos em operação</x:v>
      </x:c>
      <x:c r="K424" s="10" t="str">
        <x:v>Hemerográfico</x:v>
      </x:c>
      <x:c r="L424" s="10" t="str">
        <x:v>Texto (digital)</x:v>
      </x:c>
      <x:c r="M424" s="10" t="str">
        <x:v>Gazeta do Povo</x:v>
      </x:c>
      <x:c r="N424" s="10" t="str">
        <x:v>Português, Brasil</x:v>
      </x:c>
      <x:c r="O424" s="10" t="str">
        <x:v>"Operação contenção" no Google</x:v>
      </x:c>
      <x:c r="P424" s="10" t="str">
        <x:v>2025-11-03 00:00:00</x:v>
      </x:c>
      <x:c r="Q424" s="10" t="str">
        <x:v>Acesso restrito</x:v>
      </x:c>
      <x:c r="R424" s="10" t="str">
        <x:v>Aqui</x:v>
      </x:c>
      <x:c r="S424" s="10" t="str">
        <x:v>AMANTÉA, Rose. Flávio Bolsonaro cria “vaquinha” para famílias de policiais mortos em operação. Gazeta do Povo, 2 nov. 2025. Disponível em: https://www.gazetadopovo.com.br/republica/flavio-bolsonaro-cria-vaquinha-para-familias-de-policiais-mortos-em-operacao/. Acesso em: 3 nov. 2025.</x:v>
      </x:c>
      <x:c r="T424" s="10" t="str">
        <x:v>BR-SPDIREITOVIOLESTADO_MAPEAMENTOS-NOTICIAS-MSSCPENHA.xlsx</x:v>
      </x:c>
      <x:c r="U424" s="10" t="str">
        <x:v>Geral</x:v>
      </x:c>
      <x:c r="V424" s="11" t="n">
        <x:v>169</x:v>
      </x:c>
      <x:c r="W424" s="10" t="str">
        <x:v>BR-SPDIREITOVIOLESTADO_MAPEAMENTOS-NOTICIAS-MSSCPENHA.xlsx:Geral:169</x:v>
      </x:c>
      <x:c r="X424" s="11" t="n">
        <x:f>COLUMNS(A424:S424)-COUNTBLANK(A424:S424)</x:f>
        <x:v>19</x:v>
      </x:c>
    </x:row>
    <x:row r="425" ht="24" hidden="0" customHeight="1">
      <x:c r="A425" s="10" t="str">
        <x:v>Notícia</x:v>
      </x:c>
      <x:c r="B425" s="10" t="str">
        <x:v>Difusão</x:v>
      </x:c>
      <x:c r="C425" s="10" t="str">
        <x:v>Produção midiática</x:v>
      </x:c>
      <x:c r="D425" s="10" t="str">
        <x:v>Público Mediado</x:v>
      </x:c>
      <x:c r="E425" s="10" t="str">
        <x:v>Midiático</x:v>
      </x:c>
      <x:c r="F425" s="10" t="str">
        <x:v>31/10/2025</x:v>
      </x:c>
      <x:c r="G425" s="11" t="n">
        <x:v>2025</x:v>
      </x:c>
      <x:c r="H425" s="10" t="str">
        <x:v>Rio de Janeiro, Brasil</x:v>
      </x:c>
      <x:c r="I425" s="10" t="str">
        <x:v>Agência Brasil</x:v>
      </x:c>
      <x:c r="J425" s="10" t="str">
        <x:v>Complexo da Penha, no RJ, tem ato contra a operação Contenção</x:v>
      </x:c>
      <x:c r="K425" s="10" t="str">
        <x:v>Hemerográfico</x:v>
      </x:c>
      <x:c r="L425" s="10" t="str">
        <x:v>Texto (digital)</x:v>
      </x:c>
      <x:c r="M425" s="10" t="str">
        <x:v>Agência Brasil</x:v>
      </x:c>
      <x:c r="N425" s="10" t="str">
        <x:v>Português, Brasil</x:v>
      </x:c>
      <x:c r="O425" s="10" t="str">
        <x:v>"Operação contenção" no Google</x:v>
      </x:c>
      <x:c r="P425" s="10" t="str">
        <x:v>2025-11-03 00:00:00</x:v>
      </x:c>
      <x:c r="Q425" s="10" t="str">
        <x:v>Aberto</x:v>
      </x:c>
      <x:c r="R425" s="10" t="str"/>
      <x:c r="S425" s="10" t="str">
        <x:v>REPÓRTER BRASIL TARDE. Complexo da Penha, no RJ, tem ato contra a operação Contenção. TV Brasil, 31 out. 2025. Disponível em: http://tvbrasil.ebc.com.br/reporter-brasil-tarde/2025/10/complexo-da-penha-no-rj-tem-ato-contra-operacao-contencao. Acesso em: 3 nov. 2025.</x:v>
      </x:c>
      <x:c r="T425" s="10" t="str">
        <x:v>BR-SPDIREITOVIOLESTADO_MAPEAMENTOS-NOTICIAS-MSSCPENHA.xlsx</x:v>
      </x:c>
      <x:c r="U425" s="10" t="str">
        <x:v>Geral</x:v>
      </x:c>
      <x:c r="V425" s="11" t="n">
        <x:v>170</x:v>
      </x:c>
      <x:c r="W425" s="10" t="str">
        <x:v>BR-SPDIREITOVIOLESTADO_MAPEAMENTOS-NOTICIAS-MSSCPENHA.xlsx:Geral:170</x:v>
      </x:c>
      <x:c r="X425" s="11" t="n">
        <x:f>COLUMNS(A425:S425)-COUNTBLANK(A425:S425)</x:f>
        <x:v>18</x:v>
      </x:c>
    </x:row>
    <x:row r="426" ht="24" hidden="0" customHeight="1">
      <x:c r="A426" s="10" t="str">
        <x:v>Notícia</x:v>
      </x:c>
      <x:c r="B426" s="10" t="str">
        <x:v>Difusão</x:v>
      </x:c>
      <x:c r="C426" s="10" t="str">
        <x:v>Produção midiática</x:v>
      </x:c>
      <x:c r="D426" s="10" t="str">
        <x:v>Público Mediado</x:v>
      </x:c>
      <x:c r="E426" s="10" t="str">
        <x:v>Midiático</x:v>
      </x:c>
      <x:c r="F426" s="10" t="str">
        <x:v>30/10/2025</x:v>
      </x:c>
      <x:c r="G426" s="11" t="n">
        <x:v>2025</x:v>
      </x:c>
      <x:c r="H426" s="10" t="str">
        <x:v>Distrito Federal, Brasil</x:v>
      </x:c>
      <x:c r="I426" s="10" t="str">
        <x:v>Agência Brasil</x:v>
      </x:c>
      <x:c r="J426" s="10" t="str">
        <x:v>Comissão da Câmara quer investigação federal sobre operação no Rio</x:v>
      </x:c>
      <x:c r="K426" s="10" t="str">
        <x:v>Hemerográfico</x:v>
      </x:c>
      <x:c r="L426" s="10" t="str">
        <x:v>Texto (digital)</x:v>
      </x:c>
      <x:c r="M426" s="10" t="str">
        <x:v>Agência Brasil</x:v>
      </x:c>
      <x:c r="N426" s="10" t="str">
        <x:v>Português, Brasil</x:v>
      </x:c>
      <x:c r="O426" s="10" t="str">
        <x:v>"Operação contenção" no Google</x:v>
      </x:c>
      <x:c r="P426" s="10" t="str">
        <x:v>2025-11-03 00:00:00</x:v>
      </x:c>
      <x:c r="Q426" s="10" t="str">
        <x:v>Aberto</x:v>
      </x:c>
      <x:c r="R426" s="10" t="str">
        <x:v>Aqui</x:v>
      </x:c>
      <x:c r="S426" s="10" t="str">
        <x:v>PASSOS, Gésio. Comissão da Câmara quer investigação federal sobre operação no Rio. Agência Brasil, 30 out. 2025. Disponível em: https://agenciabrasil.ebc.com.br/radioagencia-nacional/politica/audio/2025-10/comissao-da-camara-quer-investigacao-federal-sobre-operacao-no-rio. Acesso em: 3 nov. 2025.</x:v>
      </x:c>
      <x:c r="T426" s="10" t="str">
        <x:v>BR-SPDIREITOVIOLESTADO_MAPEAMENTOS-NOTICIAS-MSSCPENHA.xlsx</x:v>
      </x:c>
      <x:c r="U426" s="10" t="str">
        <x:v>Geral</x:v>
      </x:c>
      <x:c r="V426" s="11" t="n">
        <x:v>171</x:v>
      </x:c>
      <x:c r="W426" s="10" t="str">
        <x:v>BR-SPDIREITOVIOLESTADO_MAPEAMENTOS-NOTICIAS-MSSCPENHA.xlsx:Geral:171</x:v>
      </x:c>
      <x:c r="X426" s="11" t="n">
        <x:f>COLUMNS(A426:S426)-COUNTBLANK(A426:S426)</x:f>
        <x:v>19</x:v>
      </x:c>
    </x:row>
    <x:row r="427" ht="24" hidden="0" customHeight="1">
      <x:c r="A427" s="10" t="str">
        <x:v>Notícia</x:v>
      </x:c>
      <x:c r="B427" s="10" t="str">
        <x:v>Difusão</x:v>
      </x:c>
      <x:c r="C427" s="10" t="str">
        <x:v>Produção midiática</x:v>
      </x:c>
      <x:c r="D427" s="10" t="str">
        <x:v>Público Mediado</x:v>
      </x:c>
      <x:c r="E427" s="10" t="str">
        <x:v>Midiático</x:v>
      </x:c>
      <x:c r="F427" s="10" t="str">
        <x:v>31/10/2025</x:v>
      </x:c>
      <x:c r="G427" s="11" t="n">
        <x:v>2025</x:v>
      </x:c>
      <x:c r="H427" s="10" t="str">
        <x:v>Maranhão, Brasil</x:v>
      </x:c>
      <x:c r="I427" s="10" t="str">
        <x:v>Agência Brasil</x:v>
      </x:c>
      <x:c r="J427" s="10" t="str">
        <x:v>Movimentos sociais no Maranhão fazem ato contra violência policial</x:v>
      </x:c>
      <x:c r="K427" s="10" t="str">
        <x:v>Hemerográfico</x:v>
      </x:c>
      <x:c r="L427" s="10" t="str">
        <x:v>Texto (digital)</x:v>
      </x:c>
      <x:c r="M427" s="10" t="str">
        <x:v>Agência Brasil</x:v>
      </x:c>
      <x:c r="N427" s="10" t="str">
        <x:v>Português, Brasil</x:v>
      </x:c>
      <x:c r="O427" s="10" t="str">
        <x:v>"Operação contenção" no Google</x:v>
      </x:c>
      <x:c r="P427" s="10" t="str">
        <x:v>2025-11-03 00:00:00</x:v>
      </x:c>
      <x:c r="Q427" s="10" t="str">
        <x:v>Aberto</x:v>
      </x:c>
      <x:c r="R427" s="10" t="str">
        <x:v>Aqui</x:v>
      </x:c>
      <x:c r="S427" s="10" t="str">
        <x:v>NASCIMENTO, Luciano. Movimentos sociais no Maranhão fazem ato contra violência policial. Agência Brasil, 31 out. 2025. Disponível em: https://agenciabrasil.ebc.com.br/geral/noticia/2025-10/movimentos-sociais-fazem-ato-contra-violencia-policial. Acesso em: 3 nov. 2025.</x:v>
      </x:c>
      <x:c r="T427" s="10" t="str">
        <x:v>BR-SPDIREITOVIOLESTADO_MAPEAMENTOS-NOTICIAS-MSSCPENHA.xlsx</x:v>
      </x:c>
      <x:c r="U427" s="10" t="str">
        <x:v>Geral</x:v>
      </x:c>
      <x:c r="V427" s="11" t="n">
        <x:v>172</x:v>
      </x:c>
      <x:c r="W427" s="10" t="str">
        <x:v>BR-SPDIREITOVIOLESTADO_MAPEAMENTOS-NOTICIAS-MSSCPENHA.xlsx:Geral:172</x:v>
      </x:c>
      <x:c r="X427" s="11" t="n">
        <x:f>COLUMNS(A427:S427)-COUNTBLANK(A427:S427)</x:f>
        <x:v>19</x:v>
      </x:c>
    </x:row>
    <x:row r="428" ht="24" hidden="0" customHeight="1">
      <x:c r="A428" s="10" t="str">
        <x:v>Notícia</x:v>
      </x:c>
      <x:c r="B428" s="10" t="str">
        <x:v>Difusão</x:v>
      </x:c>
      <x:c r="C428" s="10" t="str">
        <x:v>Produção midiática</x:v>
      </x:c>
      <x:c r="D428" s="10" t="str">
        <x:v>Público Mediado</x:v>
      </x:c>
      <x:c r="E428" s="10" t="str">
        <x:v>Midiático</x:v>
      </x:c>
      <x:c r="F428" s="10" t="str">
        <x:v>30/10/2025</x:v>
      </x:c>
      <x:c r="G428" s="11" t="n">
        <x:v>2025</x:v>
      </x:c>
      <x:c r="H428" s="10" t="str">
        <x:v>Rio de Janeiro, Brasil</x:v>
      </x:c>
      <x:c r="I428" s="10" t="str">
        <x:v>Agência Brasil</x:v>
      </x:c>
      <x:c r="J428" s="10" t="str">
        <x:v>Operação Contenção: ministra Macaé Evaristo e deputados visitam o Rio</x:v>
      </x:c>
      <x:c r="K428" s="10" t="str">
        <x:v>Hemerográfico</x:v>
      </x:c>
      <x:c r="L428" s="10" t="str">
        <x:v>Texto (digital)</x:v>
      </x:c>
      <x:c r="M428" s="10" t="str">
        <x:v>Agência Brasil</x:v>
      </x:c>
      <x:c r="N428" s="10" t="str">
        <x:v>Português, Brasil</x:v>
      </x:c>
      <x:c r="O428" s="10" t="str">
        <x:v>"Operação contenção" no Google</x:v>
      </x:c>
      <x:c r="P428" s="10" t="str">
        <x:v>2025-11-03 00:00:00</x:v>
      </x:c>
      <x:c r="Q428" s="10" t="str">
        <x:v>Aberto</x:v>
      </x:c>
      <x:c r="R428" s="10" t="str">
        <x:v>Aqui</x:v>
      </x:c>
      <x:c r="S428" s="10" t="str">
        <x:v>REPÓRTER BRASIL TARDE. Operação Contenção: ministra Macaé Evaristo e deputados visitam o Rio. TV Brasil, 30 out. 2025. Disponível em: https://tvbrasil.ebc.com.br/reporter-brasil-tarde/2025/10/operacao-contencao-ministra-macae-evaristo-e-deputados-visitam-o-rio. Acesso em: 3 nov. 2025.</x:v>
      </x:c>
      <x:c r="T428" s="10" t="str">
        <x:v>BR-SPDIREITOVIOLESTADO_MAPEAMENTOS-NOTICIAS-MSSCPENHA.xlsx</x:v>
      </x:c>
      <x:c r="U428" s="10" t="str">
        <x:v>Geral</x:v>
      </x:c>
      <x:c r="V428" s="11" t="n">
        <x:v>173</x:v>
      </x:c>
      <x:c r="W428" s="10" t="str">
        <x:v>BR-SPDIREITOVIOLESTADO_MAPEAMENTOS-NOTICIAS-MSSCPENHA.xlsx:Geral:173</x:v>
      </x:c>
      <x:c r="X428" s="11" t="n">
        <x:f>COLUMNS(A428:S428)-COUNTBLANK(A428:S428)</x:f>
        <x:v>19</x:v>
      </x:c>
    </x:row>
    <x:row r="429" ht="24" hidden="0" customHeight="1">
      <x:c r="A429" s="10" t="str">
        <x:v>Notícia</x:v>
      </x:c>
      <x:c r="B429" s="10" t="str">
        <x:v>Difusão</x:v>
      </x:c>
      <x:c r="C429" s="10" t="str">
        <x:v>Produção midiática</x:v>
      </x:c>
      <x:c r="D429" s="10" t="str">
        <x:v>Público Mediado</x:v>
      </x:c>
      <x:c r="E429" s="10" t="str">
        <x:v>Midiático</x:v>
      </x:c>
      <x:c r="F429" s="10" t="str">
        <x:v>31/10/2025</x:v>
      </x:c>
      <x:c r="G429" s="11" t="n">
        <x:v>2025</x:v>
      </x:c>
      <x:c r="H429" s="10" t="str">
        <x:v>São Paulo, Brasil</x:v>
      </x:c>
      <x:c r="I429" s="10" t="str">
        <x:v>BBC</x:v>
      </x:c>
      <x:c r="J429" s="10" t="str">
        <x:v>Porsche, ordens de tortura e 'favor' para major da PM: o retrato do CV na denúncia que embasou operação no Rio</x:v>
      </x:c>
      <x:c r="K429" s="10" t="str">
        <x:v>Hemerográfico</x:v>
      </x:c>
      <x:c r="L429" s="10" t="str">
        <x:v>Texto (digital)</x:v>
      </x:c>
      <x:c r="M429" s="10" t="str">
        <x:v>BBC</x:v>
      </x:c>
      <x:c r="N429" s="10" t="str">
        <x:v>Português, Brasil</x:v>
      </x:c>
      <x:c r="O429" s="10" t="str">
        <x:v>"Operação contenção" no Google</x:v>
      </x:c>
      <x:c r="P429" s="10" t="str">
        <x:v>2025-11-03 00:00:00</x:v>
      </x:c>
      <x:c r="Q429" s="10" t="str">
        <x:v>Aberto</x:v>
      </x:c>
      <x:c r="R429" s="10" t="str">
        <x:v>Aqui</x:v>
      </x:c>
      <x:c r="S429" s="10" t="str">
        <x:v>ALVIM, Mariana. Porsche, ordens de tortura e 'favor' para major da PM: o retrato do CV na denúncia que embasou operação no Rio. BBC News Brasil, 31 out. 2025. Disponível em: https://www.bbc.com/portuguese/articles/c0rp04y7wrxo.amp. Acesso em: 3 nov. 2025.</x:v>
      </x:c>
      <x:c r="T429" s="10" t="str">
        <x:v>BR-SPDIREITOVIOLESTADO_MAPEAMENTOS-NOTICIAS-MSSCPENHA.xlsx</x:v>
      </x:c>
      <x:c r="U429" s="10" t="str">
        <x:v>Geral</x:v>
      </x:c>
      <x:c r="V429" s="11" t="n">
        <x:v>174</x:v>
      </x:c>
      <x:c r="W429" s="10" t="str">
        <x:v>BR-SPDIREITOVIOLESTADO_MAPEAMENTOS-NOTICIAS-MSSCPENHA.xlsx:Geral:174</x:v>
      </x:c>
      <x:c r="X429" s="11" t="n">
        <x:f>COLUMNS(A429:S429)-COUNTBLANK(A429:S429)</x:f>
        <x:v>19</x:v>
      </x:c>
    </x:row>
    <x:row r="430" ht="24" hidden="0" customHeight="1">
      <x:c r="A430" s="10" t="str">
        <x:v>Notícia</x:v>
      </x:c>
      <x:c r="B430" s="10" t="str">
        <x:v>Difusão</x:v>
      </x:c>
      <x:c r="C430" s="10" t="str">
        <x:v>Produção midiática</x:v>
      </x:c>
      <x:c r="D430" s="10" t="str">
        <x:v>Público Mediado</x:v>
      </x:c>
      <x:c r="E430" s="10" t="str">
        <x:v>Midiático</x:v>
      </x:c>
      <x:c r="F430" s="10" t="str">
        <x:v>28/10/2025</x:v>
      </x:c>
      <x:c r="G430" s="11" t="n">
        <x:v>2025</x:v>
      </x:c>
      <x:c r="H430" s="10" t="str">
        <x:v>São Paulo, Brasil</x:v>
      </x:c>
      <x:c r="I430" s="10" t="str">
        <x:v>Brasil de Fato</x:v>
      </x:c>
      <x:c r="J430" s="10" t="str">
        <x:v>Operação contra Comando Vermelho deixa ao menos 64 mortos e torna-se a mais letal da história do Rio</x:v>
      </x:c>
      <x:c r="K430" s="10" t="str">
        <x:v>Hemerográfico</x:v>
      </x:c>
      <x:c r="L430" s="10" t="str">
        <x:v>Texto (digital)</x:v>
      </x:c>
      <x:c r="M430" s="10" t="str">
        <x:v>Brasil de Fato</x:v>
      </x:c>
      <x:c r="N430" s="10" t="str">
        <x:v>Português, Brasil</x:v>
      </x:c>
      <x:c r="O430" s="10" t="str">
        <x:v>"Operação contenção" no Google</x:v>
      </x:c>
      <x:c r="P430" s="10" t="str">
        <x:v>2025-11-03 00:00:00</x:v>
      </x:c>
      <x:c r="Q430" s="10" t="str">
        <x:v>Aberto</x:v>
      </x:c>
      <x:c r="R430" s="10" t="str">
        <x:v>Aqui</x:v>
      </x:c>
      <x:c r="S430" s="10" t="str">
        <x:v>BRASIL DE FATO. Operação contra Comando Vermelho deixa ao menos 64 mortos e torna-se a mais letal da história do Rio. Brasil de Fato, 28 out. 2025. Disponível em: https://www.brasildefato.com.br/2025/10/28/operacao-contra-comando-vermelho-deixa-ao-menos-64-mortos-e-torna-se-a-mais-letal-da-historia-do-rio/. Acesso em: 3 nov. 2025.</x:v>
      </x:c>
      <x:c r="T430" s="10" t="str">
        <x:v>BR-SPDIREITOVIOLESTADO_MAPEAMENTOS-NOTICIAS-MSSCPENHA.xlsx</x:v>
      </x:c>
      <x:c r="U430" s="10" t="str">
        <x:v>Geral</x:v>
      </x:c>
      <x:c r="V430" s="11" t="n">
        <x:v>175</x:v>
      </x:c>
      <x:c r="W430" s="10" t="str">
        <x:v>BR-SPDIREITOVIOLESTADO_MAPEAMENTOS-NOTICIAS-MSSCPENHA.xlsx:Geral:175</x:v>
      </x:c>
      <x:c r="X430" s="11" t="n">
        <x:f>COLUMNS(A430:S430)-COUNTBLANK(A430:S430)</x:f>
        <x:v>19</x:v>
      </x:c>
    </x:row>
    <x:row r="431" ht="24" hidden="0" customHeight="1">
      <x:c r="A431" s="10" t="str">
        <x:v>Notícia</x:v>
      </x:c>
      <x:c r="B431" s="10" t="str">
        <x:v>Difusão</x:v>
      </x:c>
      <x:c r="C431" s="10" t="str">
        <x:v>Produção midiática</x:v>
      </x:c>
      <x:c r="D431" s="10" t="str">
        <x:v>Público Mediado</x:v>
      </x:c>
      <x:c r="E431" s="10" t="str">
        <x:v>Midiático</x:v>
      </x:c>
      <x:c r="F431" s="10" t="str">
        <x:v>30/10/2025</x:v>
      </x:c>
      <x:c r="G431" s="11" t="n">
        <x:v>2025</x:v>
      </x:c>
      <x:c r="H431" s="10" t="str">
        <x:v>Rio de Janeiro, Brasil</x:v>
      </x:c>
      <x:c r="I431" s="10" t="str">
        <x:v>Valor Econômico</x:v>
      </x:c>
      <x:c r="J431" s="10" t="str">
        <x:v>Secretário de segurança do Rio refuta ‘vazamento grave’ da Operação Contenção</x:v>
      </x:c>
      <x:c r="K431" s="10" t="str">
        <x:v>Hemerográfico</x:v>
      </x:c>
      <x:c r="L431" s="10" t="str">
        <x:v>Texto (digital)</x:v>
      </x:c>
      <x:c r="M431" s="10" t="str">
        <x:v>Valor Econômico</x:v>
      </x:c>
      <x:c r="N431" s="10" t="str">
        <x:v>Português, Brasil</x:v>
      </x:c>
      <x:c r="O431" s="10" t="str">
        <x:v>"Operação contenção" no Google</x:v>
      </x:c>
      <x:c r="P431" s="10" t="str">
        <x:v>2025-11-03 00:00:00</x:v>
      </x:c>
      <x:c r="Q431" s="10" t="str">
        <x:v>Aberto</x:v>
      </x:c>
      <x:c r="R431" s="10" t="str">
        <x:v>Aqui</x:v>
      </x:c>
      <x:c r="S431" s="10" t="str">
        <x:v>NETTO, Victoria. Secretário de segurança do Rio refuta ‘vazamento grave’ da Operação Contenção. Valor, 30 out. 2025. Disponível em: https://valor.globo.com/brasil/noticia/2025/10/30/secretrio-de-segurana-do-rio-refuta-vazamento-grave-da-operao-conteno.ghtml. Acesso em: 3 nov. 2025.</x:v>
      </x:c>
      <x:c r="T431" s="10" t="str">
        <x:v>BR-SPDIREITOVIOLESTADO_MAPEAMENTOS-NOTICIAS-MSSCPENHA.xlsx</x:v>
      </x:c>
      <x:c r="U431" s="10" t="str">
        <x:v>Geral</x:v>
      </x:c>
      <x:c r="V431" s="11" t="n">
        <x:v>176</x:v>
      </x:c>
      <x:c r="W431" s="10" t="str">
        <x:v>BR-SPDIREITOVIOLESTADO_MAPEAMENTOS-NOTICIAS-MSSCPENHA.xlsx:Geral:176</x:v>
      </x:c>
      <x:c r="X431" s="11" t="n">
        <x:f>COLUMNS(A431:S431)-COUNTBLANK(A431:S431)</x:f>
        <x:v>19</x:v>
      </x:c>
    </x:row>
    <x:row r="432" ht="24" hidden="0" customHeight="1">
      <x:c r="A432" s="10" t="str">
        <x:v>Notícia</x:v>
      </x:c>
      <x:c r="B432" s="10" t="str">
        <x:v>Difusão</x:v>
      </x:c>
      <x:c r="C432" s="10" t="str">
        <x:v>Produção midiática</x:v>
      </x:c>
      <x:c r="D432" s="10" t="str">
        <x:v>Público Mediado</x:v>
      </x:c>
      <x:c r="E432" s="10" t="str">
        <x:v>Midiático</x:v>
      </x:c>
      <x:c r="F432" s="10" t="str">
        <x:v>28/10/2025</x:v>
      </x:c>
      <x:c r="G432" s="11" t="n">
        <x:v>2025</x:v>
      </x:c>
      <x:c r="H432" s="10" t="str">
        <x:v>Distrito Federal, Brasil</x:v>
      </x:c>
      <x:c r="I432" s="10" t="str">
        <x:v>Valor Econômico</x:v>
      </x:c>
      <x:c r="J432" s="10" t="str">
        <x:v>Governo do RJ pede dez vagas em prisões federais após 'Operação Contenção', diz ministério</x:v>
      </x:c>
      <x:c r="K432" s="10" t="str">
        <x:v>Hemerográfico</x:v>
      </x:c>
      <x:c r="L432" s="10" t="str">
        <x:v>Texto (digital)</x:v>
      </x:c>
      <x:c r="M432" s="10" t="str">
        <x:v>Valor Econômico</x:v>
      </x:c>
      <x:c r="N432" s="10" t="str">
        <x:v>Português, Brasil</x:v>
      </x:c>
      <x:c r="O432" s="10" t="str">
        <x:v>"Operação contenção" no Google</x:v>
      </x:c>
      <x:c r="P432" s="10" t="str">
        <x:v>2025-11-03 00:00:00</x:v>
      </x:c>
      <x:c r="Q432" s="10" t="str">
        <x:v>Aberto</x:v>
      </x:c>
      <x:c r="R432" s="10" t="str">
        <x:v>Aqui</x:v>
      </x:c>
      <x:c r="S432" s="10" t="str">
        <x:v>ESCARDOVELLI, Maira. Governo do RJ pede dez vagas em prisões federais após 'Operação Contenção', diz ministério. Valor, 28 out. 2025. Disponível em: https://valor.globo.com/brasil/noticia/2025/10/28/governo-do-rj-pede-dez-vagas-em-prisoes-federais-apos-operacao-contencao-diz-ministerio.ghtml. Acesso em: 3 nov. 2025.</x:v>
      </x:c>
      <x:c r="T432" s="10" t="str">
        <x:v>BR-SPDIREITOVIOLESTADO_MAPEAMENTOS-NOTICIAS-MSSCPENHA.xlsx</x:v>
      </x:c>
      <x:c r="U432" s="10" t="str">
        <x:v>Geral</x:v>
      </x:c>
      <x:c r="V432" s="11" t="n">
        <x:v>177</x:v>
      </x:c>
      <x:c r="W432" s="10" t="str">
        <x:v>BR-SPDIREITOVIOLESTADO_MAPEAMENTOS-NOTICIAS-MSSCPENHA.xlsx:Geral:177</x:v>
      </x:c>
      <x:c r="X432" s="11" t="n">
        <x:f>COLUMNS(A432:S432)-COUNTBLANK(A432:S432)</x:f>
        <x:v>19</x:v>
      </x:c>
    </x:row>
    <x:row r="433" ht="24" hidden="0" customHeight="1">
      <x:c r="A433" s="10" t="str">
        <x:v>Notícia</x:v>
      </x:c>
      <x:c r="B433" s="10" t="str">
        <x:v>Difusão</x:v>
      </x:c>
      <x:c r="C433" s="10" t="str">
        <x:v>Produção midiática</x:v>
      </x:c>
      <x:c r="D433" s="10" t="str">
        <x:v>Público Mediado</x:v>
      </x:c>
      <x:c r="E433" s="10" t="str">
        <x:v>Midiático</x:v>
      </x:c>
      <x:c r="F433" s="10" t="str">
        <x:v>31/10/2025</x:v>
      </x:c>
      <x:c r="G433" s="11" t="n">
        <x:v>2025</x:v>
      </x:c>
      <x:c r="H433" s="10" t="str">
        <x:v>Distrito Federal, Brasil</x:v>
      </x:c>
      <x:c r="I433" s="10" t="str">
        <x:v>Agência Brasil</x:v>
      </x:c>
      <x:c r="J433" s="10" t="str">
        <x:v>Tiroteios constantes afetam desenvolvimento de crianças em comunidades</x:v>
      </x:c>
      <x:c r="K433" s="10" t="str">
        <x:v>Hemerográfico</x:v>
      </x:c>
      <x:c r="L433" s="10" t="str">
        <x:v>Texto (digital)</x:v>
      </x:c>
      <x:c r="M433" s="10" t="str">
        <x:v>Agência Brasil</x:v>
      </x:c>
      <x:c r="N433" s="10" t="str">
        <x:v>Português, Brasil</x:v>
      </x:c>
      <x:c r="O433" s="10" t="str">
        <x:v>"Operação contenção" no Google</x:v>
      </x:c>
      <x:c r="P433" s="10" t="str">
        <x:v>2025-11-03 00:00:00</x:v>
      </x:c>
      <x:c r="Q433" s="10" t="str">
        <x:v>Aberto</x:v>
      </x:c>
      <x:c r="R433" s="10" t="str">
        <x:v>Aqui</x:v>
      </x:c>
      <x:c r="S433" s="10" t="str">
        <x:v>RODRIGUES, Alex. Tiroteios constantes afetam desenvolvimento de crianças em comunidades. Agência Brasil, 31 out. 2025. Disponível em: https://agenciabrasil.ebc.com.br/geral/noticia/2025-10/tiroteios-constantes-afetam-desenvolvimento-de-crian%C3%A7as-em-comunidades. Acesso em: 3 nov. 2025.</x:v>
      </x:c>
      <x:c r="T433" s="10" t="str">
        <x:v>BR-SPDIREITOVIOLESTADO_MAPEAMENTOS-NOTICIAS-MSSCPENHA.xlsx</x:v>
      </x:c>
      <x:c r="U433" s="10" t="str">
        <x:v>Geral</x:v>
      </x:c>
      <x:c r="V433" s="11" t="n">
        <x:v>178</x:v>
      </x:c>
      <x:c r="W433" s="10" t="str">
        <x:v>BR-SPDIREITOVIOLESTADO_MAPEAMENTOS-NOTICIAS-MSSCPENHA.xlsx:Geral:178</x:v>
      </x:c>
      <x:c r="X433" s="11" t="n">
        <x:f>COLUMNS(A433:S433)-COUNTBLANK(A433:S433)</x:f>
        <x:v>19</x:v>
      </x:c>
    </x:row>
    <x:row r="434" ht="24" hidden="0" customHeight="1">
      <x:c r="A434" s="10" t="str">
        <x:v>Notícia</x:v>
      </x:c>
      <x:c r="B434" s="10" t="str">
        <x:v>Difusão</x:v>
      </x:c>
      <x:c r="C434" s="10" t="str">
        <x:v>Produção midiática</x:v>
      </x:c>
      <x:c r="D434" s="10" t="str">
        <x:v>Público Mediado</x:v>
      </x:c>
      <x:c r="E434" s="10" t="str">
        <x:v>Midiático</x:v>
      </x:c>
      <x:c r="F434" s="10" t="str">
        <x:v>29/10/2025</x:v>
      </x:c>
      <x:c r="G434" s="11" t="n">
        <x:v>2025</x:v>
      </x:c>
      <x:c r="H434" s="10" t="str">
        <x:v>Distrito Federal, Brasil</x:v>
      </x:c>
      <x:c r="I434" s="10" t="str">
        <x:v>Agência Brasil</x:v>
      </x:c>
      <x:c r="J434" s="10" t="str">
        <x:v>Defensoria Pública critica aumento da letalidade policial no Rio</x:v>
      </x:c>
      <x:c r="K434" s="10" t="str">
        <x:v>Hemerográfico</x:v>
      </x:c>
      <x:c r="L434" s="10" t="str">
        <x:v>Texto (digital)</x:v>
      </x:c>
      <x:c r="M434" s="10" t="str">
        <x:v>Agência Brasil</x:v>
      </x:c>
      <x:c r="N434" s="10" t="str">
        <x:v>Português, Brasil</x:v>
      </x:c>
      <x:c r="O434" s="10" t="str">
        <x:v>"Operação contenção" no Google</x:v>
      </x:c>
      <x:c r="P434" s="10" t="str">
        <x:v>2025-11-03 00:00:00</x:v>
      </x:c>
      <x:c r="Q434" s="10" t="str">
        <x:v>Aberto</x:v>
      </x:c>
      <x:c r="R434" s="10" t="str">
        <x:v>Aqui</x:v>
      </x:c>
      <x:c r="S434" s="10" t="str">
        <x:v>RODRIGUES, Alex. Defensoria Pública critica aumento da letalidade policial no Rio. Agência Brasil, 29 out. 2025. Disponível em: https://agenciabrasil.ebc.com.br/geral/noticia/2025-10/defensoria-publica-critica-aumento-da-letalidade-policial-no-rio. Acesso em: 3 nov. 2025.</x:v>
      </x:c>
      <x:c r="T434" s="10" t="str">
        <x:v>BR-SPDIREITOVIOLESTADO_MAPEAMENTOS-NOTICIAS-MSSCPENHA.xlsx</x:v>
      </x:c>
      <x:c r="U434" s="10" t="str">
        <x:v>Geral</x:v>
      </x:c>
      <x:c r="V434" s="11" t="n">
        <x:v>179</x:v>
      </x:c>
      <x:c r="W434" s="10" t="str">
        <x:v>BR-SPDIREITOVIOLESTADO_MAPEAMENTOS-NOTICIAS-MSSCPENHA.xlsx:Geral:179</x:v>
      </x:c>
      <x:c r="X434" s="11" t="n">
        <x:f>COLUMNS(A434:S434)-COUNTBLANK(A434:S434)</x:f>
        <x:v>19</x:v>
      </x:c>
    </x:row>
    <x:row r="435" ht="24" hidden="0" customHeight="1">
      <x:c r="A435" s="10" t="str">
        <x:v>Notícia</x:v>
      </x:c>
      <x:c r="B435" s="10" t="str">
        <x:v>Difusão</x:v>
      </x:c>
      <x:c r="C435" s="10" t="str">
        <x:v>Produção midiática</x:v>
      </x:c>
      <x:c r="D435" s="10" t="str">
        <x:v>Público Mediado</x:v>
      </x:c>
      <x:c r="E435" s="10" t="str">
        <x:v>Midiático</x:v>
      </x:c>
      <x:c r="F435" s="10" t="str">
        <x:v>02/11/2025</x:v>
      </x:c>
      <x:c r="G435" s="11" t="n">
        <x:v>2025</x:v>
      </x:c>
      <x:c r="H435" s="10" t="str">
        <x:v>Rio de Janeiro, Brasil</x:v>
      </x:c>
      <x:c r="I435" s="10" t="str">
        <x:v>Agência Brasil</x:v>
      </x:c>
      <x:c r="J435" s="10" t="str">
        <x:v>Especialistas criticam retórica de governadores sobre combate ao crime</x:v>
      </x:c>
      <x:c r="K435" s="10" t="str">
        <x:v>Hemerográfico</x:v>
      </x:c>
      <x:c r="L435" s="10" t="str">
        <x:v>Texto (digital)</x:v>
      </x:c>
      <x:c r="M435" s="10" t="str">
        <x:v>Agência Brasil</x:v>
      </x:c>
      <x:c r="N435" s="10" t="str">
        <x:v>Português, Brasil</x:v>
      </x:c>
      <x:c r="O435" s="10" t="str">
        <x:v>"Operação contenção" no Google</x:v>
      </x:c>
      <x:c r="P435" s="10" t="str">
        <x:v>2025-11-03 00:00:00</x:v>
      </x:c>
      <x:c r="Q435" s="10" t="str">
        <x:v>Aberto</x:v>
      </x:c>
      <x:c r="R435" s="10" t="str">
        <x:v>Aqui</x:v>
      </x:c>
      <x:c r="S435" s="10" t="str">
        <x:v>CARDOSO, Rafael. Especialistas criticam retórica de governadores sobre combate ao crime. Agência Brasil, 2 nov. 2025. Disponível em: https://agenciabrasil.ebc.com.br/geral/noticia/2025-11/especialistas-criticam-retorica-de-governadores-sobre-combate-ao-crime. Acesso em: 3 nov. 2025.</x:v>
      </x:c>
      <x:c r="T435" s="10" t="str">
        <x:v>BR-SPDIREITOVIOLESTADO_MAPEAMENTOS-NOTICIAS-MSSCPENHA.xlsx</x:v>
      </x:c>
      <x:c r="U435" s="10" t="str">
        <x:v>Geral</x:v>
      </x:c>
      <x:c r="V435" s="11" t="n">
        <x:v>180</x:v>
      </x:c>
      <x:c r="W435" s="10" t="str">
        <x:v>BR-SPDIREITOVIOLESTADO_MAPEAMENTOS-NOTICIAS-MSSCPENHA.xlsx:Geral:180</x:v>
      </x:c>
      <x:c r="X435" s="11" t="n">
        <x:f>COLUMNS(A435:S435)-COUNTBLANK(A435:S435)</x:f>
        <x:v>19</x:v>
      </x:c>
    </x:row>
    <x:row r="436" ht="24" hidden="0" customHeight="1">
      <x:c r="A436" s="10" t="str">
        <x:v>Notícia</x:v>
      </x:c>
      <x:c r="B436" s="10" t="str">
        <x:v>Difusão</x:v>
      </x:c>
      <x:c r="C436" s="10" t="str">
        <x:v>Produção midiática</x:v>
      </x:c>
      <x:c r="D436" s="10" t="str">
        <x:v>Público Mediado</x:v>
      </x:c>
      <x:c r="E436" s="10" t="str">
        <x:v>Midiático</x:v>
      </x:c>
      <x:c r="F436" s="10" t="str">
        <x:v>02/11/2025</x:v>
      </x:c>
      <x:c r="G436" s="11" t="n">
        <x:v>2025</x:v>
      </x:c>
      <x:c r="H436" s="10" t="str">
        <x:v>Rio de Janeiro, Brasil</x:v>
      </x:c>
      <x:c r="I436" s="10" t="str">
        <x:v>Agência Brasil</x:v>
      </x:c>
      <x:c r="J436" s="10" t="str">
        <x:v>Em igreja na Penha, fiéis rezam por paz e proteção em semana de horror</x:v>
      </x:c>
      <x:c r="K436" s="10" t="str">
        <x:v>Hemerográfico</x:v>
      </x:c>
      <x:c r="L436" s="10" t="str">
        <x:v>Texto (digital)</x:v>
      </x:c>
      <x:c r="M436" s="10" t="str">
        <x:v>Agência Brasil</x:v>
      </x:c>
      <x:c r="N436" s="10" t="str">
        <x:v>Português, Brasil</x:v>
      </x:c>
      <x:c r="O436" s="10" t="str">
        <x:v>"Operação contenção" no Google</x:v>
      </x:c>
      <x:c r="P436" s="10" t="str">
        <x:v>2025-11-03 00:00:00</x:v>
      </x:c>
      <x:c r="Q436" s="10" t="str">
        <x:v>Aberto</x:v>
      </x:c>
      <x:c r="R436" s="10" t="str">
        <x:v>Aqui</x:v>
      </x:c>
      <x:c r="S436" s="10" t="str">
        <x:v>TOKARNIA, Mariana. Em igreja na Penha, fiéis rezam por paz e proteção em semana de horror. Agência Brasil, 2 nov. 2025. Disponível em: https://agenciabrasil.ebc.com.br/direitos-humanos/noticia/2025-11/em-igreja-na-penha-fieis-rezam-por-paz-e-protecao-em-semana-de-horror. Acesso em: 3 nov. 2025.</x:v>
      </x:c>
      <x:c r="T436" s="10" t="str">
        <x:v>BR-SPDIREITOVIOLESTADO_MAPEAMENTOS-NOTICIAS-MSSCPENHA.xlsx</x:v>
      </x:c>
      <x:c r="U436" s="10" t="str">
        <x:v>Geral</x:v>
      </x:c>
      <x:c r="V436" s="11" t="n">
        <x:v>181</x:v>
      </x:c>
      <x:c r="W436" s="10" t="str">
        <x:v>BR-SPDIREITOVIOLESTADO_MAPEAMENTOS-NOTICIAS-MSSCPENHA.xlsx:Geral:181</x:v>
      </x:c>
      <x:c r="X436" s="11" t="n">
        <x:f>COLUMNS(A436:S436)-COUNTBLANK(A436:S436)</x:f>
        <x:v>19</x:v>
      </x:c>
    </x:row>
    <x:row r="437" ht="24" hidden="0" customHeight="1">
      <x:c r="A437" s="10" t="str">
        <x:v>Notícia</x:v>
      </x:c>
      <x:c r="B437" s="10" t="str">
        <x:v>Difusão</x:v>
      </x:c>
      <x:c r="C437" s="10" t="str">
        <x:v>Produção midiática</x:v>
      </x:c>
      <x:c r="D437" s="10" t="str">
        <x:v>Público Mediado</x:v>
      </x:c>
      <x:c r="E437" s="10" t="str">
        <x:v>Midiático</x:v>
      </x:c>
      <x:c r="F437" s="10" t="str">
        <x:v>29/10/2025</x:v>
      </x:c>
      <x:c r="G437" s="11" t="n">
        <x:v>2025</x:v>
      </x:c>
      <x:c r="H437" s="10" t="str">
        <x:v>Rio de Janeiro, Brasil</x:v>
      </x:c>
      <x:c r="I437" s="10" t="str">
        <x:v>Agência Brasil</x:v>
      </x:c>
      <x:c r="J437" s="10" t="str">
        <x:v>Alerj cobra explicação sobre operação no Rio de Janeiro</x:v>
      </x:c>
      <x:c r="K437" s="10" t="str">
        <x:v>Hemerográfico</x:v>
      </x:c>
      <x:c r="L437" s="10" t="str">
        <x:v>Texto (digital)</x:v>
      </x:c>
      <x:c r="M437" s="10" t="str">
        <x:v>Agência Brasil</x:v>
      </x:c>
      <x:c r="N437" s="10" t="str">
        <x:v>Português, Brasil</x:v>
      </x:c>
      <x:c r="O437" s="10" t="str">
        <x:v>"Operação contenção" no Google</x:v>
      </x:c>
      <x:c r="P437" s="10" t="str">
        <x:v>2025-11-03 00:00:00</x:v>
      </x:c>
      <x:c r="Q437" s="10" t="str">
        <x:v>Aberto</x:v>
      </x:c>
      <x:c r="R437" s="10" t="str">
        <x:v>Aqui</x:v>
      </x:c>
      <x:c r="S437" s="10" t="str">
        <x:v>LUZ, Solimar. Alerj cobra explicação sobre operação no Rio de Janeiro. Rádio Nacional, 29 out. 2025. Disponível em: https://agenciabrasil.ebc.com.br/radioagencia-nacional/seguranca/audio/2025-10/alerj-cobra-explicacao-sobre-operacao-no-rio-de-janeiro. Acesso em: 3 nov. 2025.</x:v>
      </x:c>
      <x:c r="T437" s="10" t="str">
        <x:v>BR-SPDIREITOVIOLESTADO_MAPEAMENTOS-NOTICIAS-MSSCPENHA.xlsx</x:v>
      </x:c>
      <x:c r="U437" s="10" t="str">
        <x:v>Geral</x:v>
      </x:c>
      <x:c r="V437" s="11" t="n">
        <x:v>182</x:v>
      </x:c>
      <x:c r="W437" s="10" t="str">
        <x:v>BR-SPDIREITOVIOLESTADO_MAPEAMENTOS-NOTICIAS-MSSCPENHA.xlsx:Geral:182</x:v>
      </x:c>
      <x:c r="X437" s="11" t="n">
        <x:f>COLUMNS(A437:S437)-COUNTBLANK(A437:S437)</x:f>
        <x:v>19</x:v>
      </x:c>
    </x:row>
    <x:row r="438" ht="24" hidden="0" customHeight="1">
      <x:c r="A438" s="10" t="str">
        <x:v>Notícia</x:v>
      </x:c>
      <x:c r="B438" s="10" t="str">
        <x:v>Difusão</x:v>
      </x:c>
      <x:c r="C438" s="10" t="str">
        <x:v>Produção midiática</x:v>
      </x:c>
      <x:c r="D438" s="10" t="str">
        <x:v>Público Mediado</x:v>
      </x:c>
      <x:c r="E438" s="10" t="str">
        <x:v>Midiático</x:v>
      </x:c>
      <x:c r="F438" s="10" t="str">
        <x:v>29/10/2025</x:v>
      </x:c>
      <x:c r="G438" s="11" t="n">
        <x:v>2025</x:v>
      </x:c>
      <x:c r="H438" s="10" t="str">
        <x:v>Distrito Federal, Brasil</x:v>
      </x:c>
      <x:c r="I438" s="10" t="str">
        <x:v>Poder 360</x:v>
      </x:c>
      <x:c r="J438" s="10" t="str">
        <x:v>Operação no Rio supera Carandiru e se torna a mais letal do país</x:v>
      </x:c>
      <x:c r="K438" s="10" t="str">
        <x:v>Hemerográfico</x:v>
      </x:c>
      <x:c r="L438" s="10" t="str">
        <x:v>Texto (digital)</x:v>
      </x:c>
      <x:c r="M438" s="10" t="str">
        <x:v>Poder 360</x:v>
      </x:c>
      <x:c r="N438" s="10" t="str">
        <x:v>Português, Brasil</x:v>
      </x:c>
      <x:c r="O438" s="10" t="str">
        <x:v>"Operação contenção" no Google</x:v>
      </x:c>
      <x:c r="P438" s="10" t="str">
        <x:v>2025-11-03 00:00:00</x:v>
      </x:c>
      <x:c r="Q438" s="10" t="str">
        <x:v>Aberto</x:v>
      </x:c>
      <x:c r="R438" s="10" t="str">
        <x:v>Aqui</x:v>
      </x:c>
      <x:c r="S438" s="10" t="str">
        <x:v>RANY, Luisa. Operação no Rio supera Carandiru e se torna a mais letal do país. Poder360, 29 out. 2025. Disponível em: https://www.poder360.com.br/poder-seguranca-publica/operacao-no-rio-supera-carandiru-e-se-torna-a-mais-letal-do-pais/. Acesso em: 3 nov. 2025.</x:v>
      </x:c>
      <x:c r="T438" s="10" t="str">
        <x:v>BR-SPDIREITOVIOLESTADO_MAPEAMENTOS-NOTICIAS-MSSCPENHA.xlsx</x:v>
      </x:c>
      <x:c r="U438" s="10" t="str">
        <x:v>Geral</x:v>
      </x:c>
      <x:c r="V438" s="11" t="n">
        <x:v>183</x:v>
      </x:c>
      <x:c r="W438" s="10" t="str">
        <x:v>BR-SPDIREITOVIOLESTADO_MAPEAMENTOS-NOTICIAS-MSSCPENHA.xlsx:Geral:183</x:v>
      </x:c>
      <x:c r="X438" s="11" t="n">
        <x:f>COLUMNS(A438:S438)-COUNTBLANK(A438:S438)</x:f>
        <x:v>19</x:v>
      </x:c>
    </x:row>
    <x:row r="439" ht="24" hidden="0" customHeight="1">
      <x:c r="A439" s="10" t="str">
        <x:v>Notícia</x:v>
      </x:c>
      <x:c r="B439" s="10" t="str">
        <x:v>Difusão</x:v>
      </x:c>
      <x:c r="C439" s="10" t="str">
        <x:v>Produção midiática</x:v>
      </x:c>
      <x:c r="D439" s="10" t="str">
        <x:v>Público Mediado</x:v>
      </x:c>
      <x:c r="E439" s="10" t="str">
        <x:v>Midiático</x:v>
      </x:c>
      <x:c r="F439" s="10" t="str">
        <x:v>29/10/2025</x:v>
      </x:c>
      <x:c r="G439" s="11" t="n">
        <x:v>2025</x:v>
      </x:c>
      <x:c r="H439" s="10" t="str">
        <x:v>São Paulo, Brasil</x:v>
      </x:c>
      <x:c r="I439" s="10" t="str">
        <x:v>SBT News</x:v>
      </x:c>
      <x:c r="J439" s="10" t="str">
        <x:v>Velórios de policiais mortos na Operação Contenção refletem caos e dor no Rio</x:v>
      </x:c>
      <x:c r="K439" s="10" t="str">
        <x:v>Hemerográfico</x:v>
      </x:c>
      <x:c r="L439" s="10" t="str">
        <x:v>Texto (digital)</x:v>
      </x:c>
      <x:c r="M439" s="10" t="str">
        <x:v>SBT News</x:v>
      </x:c>
      <x:c r="N439" s="10" t="str">
        <x:v>Português, Brasil</x:v>
      </x:c>
      <x:c r="O439" s="10" t="str">
        <x:v>"Operação contenção" no Google</x:v>
      </x:c>
      <x:c r="P439" s="10" t="str">
        <x:v>2025-11-03 00:00:00</x:v>
      </x:c>
      <x:c r="Q439" s="10" t="str">
        <x:v>Aberto</x:v>
      </x:c>
      <x:c r="R439" s="10" t="str">
        <x:v>Aqui</x:v>
      </x:c>
      <x:c r="S439" s="10" t="str">
        <x:v>SBT BRASIL. Velórios de policiais mortos na Operação Contenção refletem caos e dor no Rio. SBT News, 29 out. 2025. Disponível em: https://sbtnews.sbt.com.br/noticia/brasil/velorios-de-policiais-mortos-na-operacao-contencao-refletem-caos-e-dor-no-rio. Acesso em: 3 nov. 2025.</x:v>
      </x:c>
      <x:c r="T439" s="10" t="str">
        <x:v>BR-SPDIREITOVIOLESTADO_MAPEAMENTOS-NOTICIAS-MSSCPENHA.xlsx</x:v>
      </x:c>
      <x:c r="U439" s="10" t="str">
        <x:v>Geral</x:v>
      </x:c>
      <x:c r="V439" s="11" t="n">
        <x:v>184</x:v>
      </x:c>
      <x:c r="W439" s="10" t="str">
        <x:v>BR-SPDIREITOVIOLESTADO_MAPEAMENTOS-NOTICIAS-MSSCPENHA.xlsx:Geral:184</x:v>
      </x:c>
      <x:c r="X439" s="11" t="n">
        <x:f>COLUMNS(A439:S439)-COUNTBLANK(A439:S439)</x:f>
        <x:v>19</x:v>
      </x:c>
    </x:row>
    <x:row r="440" ht="24" hidden="0" customHeight="1">
      <x:c r="A440" s="10" t="str">
        <x:v>Notícia</x:v>
      </x:c>
      <x:c r="B440" s="10" t="str">
        <x:v>Difusão</x:v>
      </x:c>
      <x:c r="C440" s="10" t="str">
        <x:v>Produção midiática</x:v>
      </x:c>
      <x:c r="D440" s="10" t="str">
        <x:v>Público Mediado</x:v>
      </x:c>
      <x:c r="E440" s="10" t="str">
        <x:v>Midiático</x:v>
      </x:c>
      <x:c r="F440" s="10" t="str">
        <x:v>30/10/2025</x:v>
      </x:c>
      <x:c r="G440" s="11" t="n">
        <x:v>2025</x:v>
      </x:c>
      <x:c r="H440" s="10" t="str">
        <x:v>Rio de Janeiro, Brasil</x:v>
      </x:c>
      <x:c r="I440" s="10" t="str">
        <x:v>Carta Capital</x:v>
      </x:c>
      <x:c r="J440" s="10" t="str">
        <x:v>Governo envia peritos da PF e da Força Nacional ao Rio de Janeiro</x:v>
      </x:c>
      <x:c r="K440" s="10" t="str">
        <x:v>Hemerográfico</x:v>
      </x:c>
      <x:c r="L440" s="10" t="str">
        <x:v>Texto (digital)</x:v>
      </x:c>
      <x:c r="M440" s="10" t="str">
        <x:v>Carta Capital</x:v>
      </x:c>
      <x:c r="N440" s="10" t="str">
        <x:v>Português, Brasil</x:v>
      </x:c>
      <x:c r="O440" s="10" t="str">
        <x:v>"Operação contenção" no Google</x:v>
      </x:c>
      <x:c r="P440" s="10" t="str">
        <x:v>2025-11-03 00:00:00</x:v>
      </x:c>
      <x:c r="Q440" s="10" t="str">
        <x:v>Acesso restrito</x:v>
      </x:c>
      <x:c r="R440" s="10" t="str">
        <x:v>Aqui</x:v>
      </x:c>
      <x:c r="S440" s="10" t="str">
        <x:v>CARTA CAPITAL. Governo envia peritos da PF e da Força Nacional ao Rio de Janeiro. CartaCapital, 30 out. 2025. Disponível em: https://www.cartacapital.com.br/politica/governo-envia-peritos-da-pf-e-da-foca-nacional-ao-rio-de-janeiro/. Acesso em: 3 nov. 2025.</x:v>
      </x:c>
      <x:c r="T440" s="10" t="str">
        <x:v>BR-SPDIREITOVIOLESTADO_MAPEAMENTOS-NOTICIAS-MSSCPENHA.xlsx</x:v>
      </x:c>
      <x:c r="U440" s="10" t="str">
        <x:v>Geral</x:v>
      </x:c>
      <x:c r="V440" s="11" t="n">
        <x:v>185</x:v>
      </x:c>
      <x:c r="W440" s="10" t="str">
        <x:v>BR-SPDIREITOVIOLESTADO_MAPEAMENTOS-NOTICIAS-MSSCPENHA.xlsx:Geral:185</x:v>
      </x:c>
      <x:c r="X440" s="11" t="n">
        <x:f>COLUMNS(A440:S440)-COUNTBLANK(A440:S440)</x:f>
        <x:v>19</x:v>
      </x:c>
    </x:row>
    <x:row r="441" ht="24" hidden="0" customHeight="1">
      <x:c r="A441" s="10" t="str">
        <x:v>Notícia</x:v>
      </x:c>
      <x:c r="B441" s="10" t="str">
        <x:v>Difusão</x:v>
      </x:c>
      <x:c r="C441" s="10" t="str">
        <x:v>Produção midiática</x:v>
      </x:c>
      <x:c r="D441" s="10" t="str">
        <x:v>Público Mediado</x:v>
      </x:c>
      <x:c r="E441" s="10" t="str">
        <x:v>Midiático</x:v>
      </x:c>
      <x:c r="F441" s="10" t="str">
        <x:v>28/10/2025</x:v>
      </x:c>
      <x:c r="G441" s="11" t="n">
        <x:v>2025</x:v>
      </x:c>
      <x:c r="H441" s="10" t="str">
        <x:v>Minas Gerais, Brasil</x:v>
      </x:c>
      <x:c r="I441" s="10" t="str">
        <x:v>O Tempo</x:v>
      </x:c>
      <x:c r="J441" s="10" t="str">
        <x:v>Galeria de imagens: veja fotos da Operação Contenção contra o Comando Vermelho no Rio</x:v>
      </x:c>
      <x:c r="K441" s="10" t="str">
        <x:v>Hemerográfico</x:v>
      </x:c>
      <x:c r="L441" s="10" t="str">
        <x:v>Texto (digital)</x:v>
      </x:c>
      <x:c r="M441" s="10" t="str">
        <x:v>O Tempo</x:v>
      </x:c>
      <x:c r="N441" s="10" t="str">
        <x:v>Português, Brasil</x:v>
      </x:c>
      <x:c r="O441" s="10" t="str">
        <x:v>"Operação contenção" no Google</x:v>
      </x:c>
      <x:c r="P441" s="10" t="str">
        <x:v>2025-11-03 00:00:00</x:v>
      </x:c>
      <x:c r="Q441" s="10" t="str">
        <x:v>Aberto</x:v>
      </x:c>
      <x:c r="R441" s="10" t="str">
        <x:v>Aqui</x:v>
      </x:c>
      <x:c r="S441" s="10" t="str">
        <x:v>RODRIGUES, Gabriel. Galeria de imagens: veja fotos da Operação Contenção contra o Comando Vermelho no Rio. O Tempo, 28 out. 2025. Disponível em: https://www.otempo.com.br/brasil/2025/10/28/galeria-de-imagens-veja-fotos-da-operacao-contencao-contra-o-comando-vermelho-no-rio. Acesso em: 3 nov. 2025.</x:v>
      </x:c>
      <x:c r="T441" s="10" t="str">
        <x:v>BR-SPDIREITOVIOLESTADO_MAPEAMENTOS-NOTICIAS-MSSCPENHA.xlsx</x:v>
      </x:c>
      <x:c r="U441" s="10" t="str">
        <x:v>Geral</x:v>
      </x:c>
      <x:c r="V441" s="11" t="n">
        <x:v>186</x:v>
      </x:c>
      <x:c r="W441" s="10" t="str">
        <x:v>BR-SPDIREITOVIOLESTADO_MAPEAMENTOS-NOTICIAS-MSSCPENHA.xlsx:Geral:186</x:v>
      </x:c>
      <x:c r="X441" s="11" t="n">
        <x:f>COLUMNS(A441:S441)-COUNTBLANK(A441:S441)</x:f>
        <x:v>19</x:v>
      </x:c>
    </x:row>
    <x:row r="442" ht="24" hidden="0" customHeight="1">
      <x:c r="A442" s="10" t="str">
        <x:v>Notícia</x:v>
      </x:c>
      <x:c r="B442" s="10" t="str">
        <x:v>Difusão</x:v>
      </x:c>
      <x:c r="C442" s="10" t="str">
        <x:v>Produção midiática</x:v>
      </x:c>
      <x:c r="D442" s="10" t="str">
        <x:v>Público Mediado</x:v>
      </x:c>
      <x:c r="E442" s="10" t="str">
        <x:v>Midiático</x:v>
      </x:c>
      <x:c r="F442" s="10" t="str">
        <x:v>29/10/2025</x:v>
      </x:c>
      <x:c r="G442" s="11" t="n">
        <x:v>2025</x:v>
      </x:c>
      <x:c r="H442" s="10" t="str">
        <x:v>São Paulo, Brasil</x:v>
      </x:c>
      <x:c r="I442" s="10" t="str">
        <x:v>SBT News</x:v>
      </x:c>
      <x:c r="J442" s="10" t="str">
        <x:v>Operação Contenção: Quem são os alvos, presos e foragidos em ação no Rio</x:v>
      </x:c>
      <x:c r="K442" s="10" t="str">
        <x:v>Hemerográfico</x:v>
      </x:c>
      <x:c r="L442" s="10" t="str">
        <x:v>Texto (digital)</x:v>
      </x:c>
      <x:c r="M442" s="10" t="str">
        <x:v>SBT News</x:v>
      </x:c>
      <x:c r="N442" s="10" t="str">
        <x:v>Português, Brasil</x:v>
      </x:c>
      <x:c r="O442" s="10" t="str">
        <x:v>"Operação contenção" no Google</x:v>
      </x:c>
      <x:c r="P442" s="10" t="str">
        <x:v>2025-11-03 00:00:00</x:v>
      </x:c>
      <x:c r="Q442" s="10" t="str">
        <x:v>Aberto</x:v>
      </x:c>
      <x:c r="R442" s="10" t="str">
        <x:v>Aqui</x:v>
      </x:c>
      <x:c r="S442" s="10" t="str">
        <x:v>MORAES, Vicklin. Operação Contenção: Quem são os alvos, presos e foragidos em ação no Rio. SBT News, 29 out. 2025. Disponível em: https://sbtnews.sbt.com.br/noticia/brasil/operacao-contencao-quem-sao-os-alvos-presos-e-foragidos-em-acao-no-rio. Acesso em: 3 nov. 2025.</x:v>
      </x:c>
      <x:c r="T442" s="10" t="str">
        <x:v>BR-SPDIREITOVIOLESTADO_MAPEAMENTOS-NOTICIAS-MSSCPENHA.xlsx</x:v>
      </x:c>
      <x:c r="U442" s="10" t="str">
        <x:v>Geral</x:v>
      </x:c>
      <x:c r="V442" s="11" t="n">
        <x:v>187</x:v>
      </x:c>
      <x:c r="W442" s="10" t="str">
        <x:v>BR-SPDIREITOVIOLESTADO_MAPEAMENTOS-NOTICIAS-MSSCPENHA.xlsx:Geral:187</x:v>
      </x:c>
      <x:c r="X442" s="11" t="n">
        <x:f>COLUMNS(A442:S442)-COUNTBLANK(A442:S442)</x:f>
        <x:v>19</x:v>
      </x:c>
    </x:row>
    <x:row r="443" ht="24" hidden="0" customHeight="1">
      <x:c r="A443" s="10" t="str">
        <x:v>Notícia</x:v>
      </x:c>
      <x:c r="B443" s="10" t="str">
        <x:v>Difusão</x:v>
      </x:c>
      <x:c r="C443" s="10" t="str">
        <x:v>Produção midiática</x:v>
      </x:c>
      <x:c r="D443" s="10" t="str">
        <x:v>Público Mediado</x:v>
      </x:c>
      <x:c r="E443" s="10" t="str">
        <x:v>Midiático</x:v>
      </x:c>
      <x:c r="F443" s="10" t="str">
        <x:v>31/10/2025</x:v>
      </x:c>
      <x:c r="G443" s="11" t="n">
        <x:v>2025</x:v>
      </x:c>
      <x:c r="H443" s="10" t="str">
        <x:v>São Paulo, Brasil</x:v>
      </x:c>
      <x:c r="I443" s="10" t="str">
        <x:v>Brasil de Fato</x:v>
      </x:c>
      <x:c r="J443" s="10" t="str">
        <x:v>Impedimento à Defensoria em perícias de massacre no Rio ‘atenta contra democracia’, diz defensor público</x:v>
      </x:c>
      <x:c r="K443" s="10" t="str">
        <x:v>Hemerográfico</x:v>
      </x:c>
      <x:c r="L443" s="10" t="str">
        <x:v>Texto (digital)</x:v>
      </x:c>
      <x:c r="M443" s="10" t="str">
        <x:v>Brasil de Fato</x:v>
      </x:c>
      <x:c r="N443" s="10" t="str">
        <x:v>Português, Brasil</x:v>
      </x:c>
      <x:c r="O443" s="10" t="str">
        <x:v>"Operação contenção" no Google</x:v>
      </x:c>
      <x:c r="P443" s="10" t="str">
        <x:v>2025-11-03 00:00:00</x:v>
      </x:c>
      <x:c r="Q443" s="10" t="str">
        <x:v>Aberto</x:v>
      </x:c>
      <x:c r="R443" s="10" t="str">
        <x:v>Aqui</x:v>
      </x:c>
      <x:c r="S443" s="10" t="str">
        <x:v>ROBICHEZ, Adele; KRUPACZ, Lucas. Impedimento à Defensoria em perícias de massacre no Rio ‘atenta contra democracia’, diz defensor público. Brasil de Fato, 31 out. 2025. Disponível em: https://www.brasildefato.com.br/2025/10/31/impedimento-a-defensoria-em-pericias-de-massacre-no-rio-atenta-contra-democracia-diz-defensor-publico/. Acesso em: 3 nov. 2025.</x:v>
      </x:c>
      <x:c r="T443" s="10" t="str">
        <x:v>BR-SPDIREITOVIOLESTADO_MAPEAMENTOS-NOTICIAS-MSSCPENHA.xlsx</x:v>
      </x:c>
      <x:c r="U443" s="10" t="str">
        <x:v>Geral</x:v>
      </x:c>
      <x:c r="V443" s="11" t="n">
        <x:v>188</x:v>
      </x:c>
      <x:c r="W443" s="10" t="str">
        <x:v>BR-SPDIREITOVIOLESTADO_MAPEAMENTOS-NOTICIAS-MSSCPENHA.xlsx:Geral:188</x:v>
      </x:c>
      <x:c r="X443" s="11" t="n">
        <x:f>COLUMNS(A443:S443)-COUNTBLANK(A443:S443)</x:f>
        <x:v>19</x:v>
      </x:c>
    </x:row>
    <x:row r="444" ht="24" hidden="0" customHeight="1">
      <x:c r="A444" s="10" t="str">
        <x:v>Notícia</x:v>
      </x:c>
      <x:c r="B444" s="10" t="str">
        <x:v>Difusão</x:v>
      </x:c>
      <x:c r="C444" s="10" t="str">
        <x:v>Produção midiática</x:v>
      </x:c>
      <x:c r="D444" s="10" t="str">
        <x:v>Público Mediado</x:v>
      </x:c>
      <x:c r="E444" s="10" t="str">
        <x:v>Midiático</x:v>
      </x:c>
      <x:c r="F444" s="10" t="str">
        <x:v>28/10/2025</x:v>
      </x:c>
      <x:c r="G444" s="11" t="n">
        <x:v>2025</x:v>
      </x:c>
      <x:c r="H444" s="10" t="str">
        <x:v>São Paulo, Brasil</x:v>
      </x:c>
      <x:c r="I444" s="10" t="str">
        <x:v>Brasil de Fato</x:v>
      </x:c>
      <x:c r="J444" s="10" t="str">
        <x:v>‘É uma violência injustificável’, diz pesquisadora sobre operação mais letal do Rio</x:v>
      </x:c>
      <x:c r="K444" s="10" t="str">
        <x:v>Hemerográfico</x:v>
      </x:c>
      <x:c r="L444" s="10" t="str">
        <x:v>Texto (digital)</x:v>
      </x:c>
      <x:c r="M444" s="10" t="str">
        <x:v>Brasil de Fato</x:v>
      </x:c>
      <x:c r="N444" s="10" t="str">
        <x:v>Português, Brasil</x:v>
      </x:c>
      <x:c r="O444" s="10" t="str">
        <x:v>"Operação contenção" no Google</x:v>
      </x:c>
      <x:c r="P444" s="10" t="str">
        <x:v>2025-11-03 00:00:00</x:v>
      </x:c>
      <x:c r="Q444" s="10" t="str">
        <x:v>Aberto</x:v>
      </x:c>
      <x:c r="R444" s="10" t="str">
        <x:v>Aqui</x:v>
      </x:c>
      <x:c r="S444" s="10" t="str">
        <x:v>ROBICHEZ, Adele; BERNARDES, José Eduardo; BOHRER, Larissa. ‘É uma violência injustificável’, diz pesquisadora sobre operação mais letal do Rio. Brasil de Fato, 28 out. 2025. Disponível em: https://www.brasildefato.com.br/2025/10/28/e-uma-violencia-injustificavel-diz-pesquisadora-sobre-operacao-mais-letal-do-rio/. Acesso em: 3 nov. 2025.</x:v>
      </x:c>
      <x:c r="T444" s="10" t="str">
        <x:v>BR-SPDIREITOVIOLESTADO_MAPEAMENTOS-NOTICIAS-MSSCPENHA.xlsx</x:v>
      </x:c>
      <x:c r="U444" s="10" t="str">
        <x:v>Geral</x:v>
      </x:c>
      <x:c r="V444" s="11" t="n">
        <x:v>189</x:v>
      </x:c>
      <x:c r="W444" s="10" t="str">
        <x:v>BR-SPDIREITOVIOLESTADO_MAPEAMENTOS-NOTICIAS-MSSCPENHA.xlsx:Geral:189</x:v>
      </x:c>
      <x:c r="X444" s="11" t="n">
        <x:f>COLUMNS(A444:S444)-COUNTBLANK(A444:S444)</x:f>
        <x:v>19</x:v>
      </x:c>
    </x:row>
    <x:row r="445" ht="24" hidden="0" customHeight="1">
      <x:c r="A445" s="10" t="str">
        <x:v>Notícia</x:v>
      </x:c>
      <x:c r="B445" s="10" t="str">
        <x:v>Difusão</x:v>
      </x:c>
      <x:c r="C445" s="10" t="str">
        <x:v>Produção midiática</x:v>
      </x:c>
      <x:c r="D445" s="10" t="str">
        <x:v>Público Mediado</x:v>
      </x:c>
      <x:c r="E445" s="10" t="str">
        <x:v>Midiático</x:v>
      </x:c>
      <x:c r="F445" s="10" t="str">
        <x:v>31/10/2025</x:v>
      </x:c>
      <x:c r="G445" s="11" t="n">
        <x:v>2025</x:v>
      </x:c>
      <x:c r="H445" s="10" t="str">
        <x:v>Rio de Janeiro, Brasil</x:v>
      </x:c>
      <x:c r="I445" s="10" t="str">
        <x:v>Gazeta do Povo</x:v>
      </x:c>
      <x:c r="J445" s="10" t="str">
        <x:v>Partidos da base de Lula pedem no STF acesso de familiares de mortos ao IML</x:v>
      </x:c>
      <x:c r="K445" s="10" t="str">
        <x:v>Hemerográfico</x:v>
      </x:c>
      <x:c r="L445" s="10" t="str">
        <x:v>Texto (digital)</x:v>
      </x:c>
      <x:c r="M445" s="10" t="str">
        <x:v>Gazeta do Povo</x:v>
      </x:c>
      <x:c r="N445" s="10" t="str">
        <x:v>Português, Brasil</x:v>
      </x:c>
      <x:c r="O445" s="10" t="str">
        <x:v>"Operação contenção" no Google</x:v>
      </x:c>
      <x:c r="P445" s="10" t="str">
        <x:v>2025-11-03 00:00:00</x:v>
      </x:c>
      <x:c r="Q445" s="10" t="str">
        <x:v>Acesso restrito</x:v>
      </x:c>
      <x:c r="R445" s="10" t="str">
        <x:v>Aqui</x:v>
      </x:c>
      <x:c r="S445" s="10" t="str">
        <x:v>FREITAS, Hermano. Partidos da base de Lula pedem no STF acesso de familiares de mortos ao IML. Gazeta do Povo, 31 out. 2025. Disponível em: https://www.gazetadopovo.com.br/brasil/partidos-da-base-de-lula-pedem-no-stf-acesso-de-familiares-de-mortos-ao-iml/. Acesso em: 3 nov. 2025.</x:v>
      </x:c>
      <x:c r="T445" s="10" t="str">
        <x:v>BR-SPDIREITOVIOLESTADO_MAPEAMENTOS-NOTICIAS-MSSCPENHA.xlsx</x:v>
      </x:c>
      <x:c r="U445" s="10" t="str">
        <x:v>Geral</x:v>
      </x:c>
      <x:c r="V445" s="11" t="n">
        <x:v>190</x:v>
      </x:c>
      <x:c r="W445" s="10" t="str">
        <x:v>BR-SPDIREITOVIOLESTADO_MAPEAMENTOS-NOTICIAS-MSSCPENHA.xlsx:Geral:190</x:v>
      </x:c>
      <x:c r="X445" s="11" t="n">
        <x:f>COLUMNS(A445:S445)-COUNTBLANK(A445:S445)</x:f>
        <x:v>19</x:v>
      </x:c>
    </x:row>
    <x:row r="446" ht="24" hidden="0" customHeight="1">
      <x:c r="A446" s="10" t="str">
        <x:v>Notícia</x:v>
      </x:c>
      <x:c r="B446" s="10" t="str">
        <x:v>Difusão</x:v>
      </x:c>
      <x:c r="C446" s="10" t="str">
        <x:v>Produção midiática</x:v>
      </x:c>
      <x:c r="D446" s="10" t="str">
        <x:v>Público Mediado</x:v>
      </x:c>
      <x:c r="E446" s="10" t="str">
        <x:v>Midiático</x:v>
      </x:c>
      <x:c r="F446" s="10" t="str">
        <x:v>31/10/2025</x:v>
      </x:c>
      <x:c r="G446" s="11" t="n">
        <x:v>2025</x:v>
      </x:c>
      <x:c r="H446" s="10" t="str">
        <x:v>Rio de Janeiro, Brasil</x:v>
      </x:c>
      <x:c r="I446" s="10" t="str">
        <x:v>Gazeta do Povo</x:v>
      </x:c>
      <x:c r="J446" s="10" t="str">
        <x:v>Como funcionam as torturas do Comando Vermelho, que motivaram a operação no Rio de Janeiro</x:v>
      </x:c>
      <x:c r="K446" s="10" t="str">
        <x:v>Hemerográfico</x:v>
      </x:c>
      <x:c r="L446" s="10" t="str">
        <x:v>Texto (digital)</x:v>
      </x:c>
      <x:c r="M446" s="10" t="str">
        <x:v>Gazeta do Povo</x:v>
      </x:c>
      <x:c r="N446" s="10" t="str">
        <x:v>Português, Brasil</x:v>
      </x:c>
      <x:c r="O446" s="10" t="str">
        <x:v>"Operação contenção" no Google</x:v>
      </x:c>
      <x:c r="P446" s="10" t="str">
        <x:v>2025-11-03 00:00:00</x:v>
      </x:c>
      <x:c r="Q446" s="10" t="str">
        <x:v>Acesso restrito</x:v>
      </x:c>
      <x:c r="R446" s="10" t="str">
        <x:v>Aqui</x:v>
      </x:c>
      <x:c r="S446" s="10" t="str">
        <x:v>SESTREM, Gabriel. Como funcionam as torturas do Comando Vermelho, que motivaram a operação no Rio de Janeiro. Gazeta do Povo, 31 out. 2025. Disponível em: https://www.gazetadopovo.com.br/vida-e-cidadania/comando-vermelho-como-funcionam-torturas-que-motivaram-operacao-rio-de-janeiro/. Acesso em: 3 nov. 2025.</x:v>
      </x:c>
      <x:c r="T446" s="10" t="str">
        <x:v>BR-SPDIREITOVIOLESTADO_MAPEAMENTOS-NOTICIAS-MSSCPENHA.xlsx</x:v>
      </x:c>
      <x:c r="U446" s="10" t="str">
        <x:v>Geral</x:v>
      </x:c>
      <x:c r="V446" s="11" t="n">
        <x:v>191</x:v>
      </x:c>
      <x:c r="W446" s="10" t="str">
        <x:v>BR-SPDIREITOVIOLESTADO_MAPEAMENTOS-NOTICIAS-MSSCPENHA.xlsx:Geral:191</x:v>
      </x:c>
      <x:c r="X446" s="11" t="n">
        <x:f>COLUMNS(A446:S446)-COUNTBLANK(A446:S446)</x:f>
        <x:v>19</x:v>
      </x:c>
    </x:row>
    <x:row r="447" ht="24" hidden="0" customHeight="1">
      <x:c r="A447" s="10" t="str">
        <x:v>Notícia</x:v>
      </x:c>
      <x:c r="B447" s="10" t="str">
        <x:v>Difusão</x:v>
      </x:c>
      <x:c r="C447" s="10" t="str">
        <x:v>Produção midiática</x:v>
      </x:c>
      <x:c r="D447" s="10" t="str">
        <x:v>Público Mediado</x:v>
      </x:c>
      <x:c r="E447" s="10" t="str">
        <x:v>Midiático</x:v>
      </x:c>
      <x:c r="F447" s="10" t="str">
        <x:v>31/10/2025</x:v>
      </x:c>
      <x:c r="G447" s="11" t="n">
        <x:v>2025</x:v>
      </x:c>
      <x:c r="H447" s="10" t="str">
        <x:v>Rio de Janeiro, Brasil</x:v>
      </x:c>
      <x:c r="I447" s="10" t="str">
        <x:v>Gazeta do Povo</x:v>
      </x:c>
      <x:c r="J447" s="10" t="str">
        <x:v>Operação no Rio de Janeiro expõe poderio bélico e organização das facções criminosas</x:v>
      </x:c>
      <x:c r="K447" s="10" t="str">
        <x:v>Hemerográfico</x:v>
      </x:c>
      <x:c r="L447" s="10" t="str">
        <x:v>Texto (digital)</x:v>
      </x:c>
      <x:c r="M447" s="10" t="str">
        <x:v>Gazeta do Povo</x:v>
      </x:c>
      <x:c r="N447" s="10" t="str">
        <x:v>Português, Brasil</x:v>
      </x:c>
      <x:c r="O447" s="10" t="str">
        <x:v>"Operação contenção" no Google</x:v>
      </x:c>
      <x:c r="P447" s="10" t="str">
        <x:v>2025-11-03 00:00:00</x:v>
      </x:c>
      <x:c r="Q447" s="10" t="str">
        <x:v>Acesso restrito</x:v>
      </x:c>
      <x:c r="R447" s="10" t="str">
        <x:v>Aqui</x:v>
      </x:c>
      <x:c r="S447" s="10" t="str">
        <x:v>MANFRIN, Juliet; KAWAGUTI, Luis Miguel Vieliczko. Operação no Rio de Janeiro expõe poderio bélico e organização das facções criminosas. Gazeta do Povo, 31 out. 2025. Disponível em: https://www.gazetadopovo.com.br/republica/operacao-no-rio-de-janeiro-expoe-poderio-belico-e-organizacao-das-faccoes-criminosas/. Acesso em: 3 nov. 2025.</x:v>
      </x:c>
      <x:c r="T447" s="10" t="str">
        <x:v>BR-SPDIREITOVIOLESTADO_MAPEAMENTOS-NOTICIAS-MSSCPENHA.xlsx</x:v>
      </x:c>
      <x:c r="U447" s="10" t="str">
        <x:v>Geral</x:v>
      </x:c>
      <x:c r="V447" s="11" t="n">
        <x:v>192</x:v>
      </x:c>
      <x:c r="W447" s="10" t="str">
        <x:v>BR-SPDIREITOVIOLESTADO_MAPEAMENTOS-NOTICIAS-MSSCPENHA.xlsx:Geral:192</x:v>
      </x:c>
      <x:c r="X447" s="11" t="n">
        <x:f>COLUMNS(A447:S447)-COUNTBLANK(A447:S447)</x:f>
        <x:v>19</x:v>
      </x:c>
    </x:row>
    <x:row r="448" ht="24" hidden="0" customHeight="1">
      <x:c r="A448" s="10" t="str">
        <x:v>Notícia</x:v>
      </x:c>
      <x:c r="B448" s="10" t="str">
        <x:v>Difusão</x:v>
      </x:c>
      <x:c r="C448" s="10" t="str">
        <x:v>Produção midiática</x:v>
      </x:c>
      <x:c r="D448" s="10" t="str">
        <x:v>Público Mediado</x:v>
      </x:c>
      <x:c r="E448" s="10" t="str">
        <x:v>Midiático</x:v>
      </x:c>
      <x:c r="F448" s="10" t="str">
        <x:v>04/11/2025</x:v>
      </x:c>
      <x:c r="G448" s="11" t="n">
        <x:v>2025</x:v>
      </x:c>
      <x:c r="H448" s="10" t="str">
        <x:v>Rio de Janeiro, Brasil</x:v>
      </x:c>
      <x:c r="I448" s="10" t="str">
        <x:v>Agência Brasil</x:v>
      </x:c>
      <x:c r="J448" s="10" t="str">
        <x:v>MPF pede informações sobre uso de verbas federais em operação no RJ</x:v>
      </x:c>
      <x:c r="K448" s="10" t="str">
        <x:v>Hemerográfico</x:v>
      </x:c>
      <x:c r="L448" s="10" t="str">
        <x:v>Texto (digital)</x:v>
      </x:c>
      <x:c r="M448" s="10" t="str">
        <x:v>Agência Brasil</x:v>
      </x:c>
      <x:c r="N448" s="10" t="str">
        <x:v>Português, Brasil</x:v>
      </x:c>
      <x:c r="O448" s="10" t="str">
        <x:v>"Operação contenção" no Google</x:v>
      </x:c>
      <x:c r="P448" s="10" t="str">
        <x:v>2025-11-03 00:00:00</x:v>
      </x:c>
      <x:c r="Q448" s="10" t="str">
        <x:v>Aberto</x:v>
      </x:c>
      <x:c r="R448" s="10" t="str">
        <x:v>Aqui</x:v>
      </x:c>
      <x:c r="S448" s="10" t="str">
        <x:v>CORRÊA, Douglas. MPF pede informações sobre uso de verbas federais em operação no RJ. Agência Brasil, Rio de Janeiro, 4 nov. 2025. Disponível em: https://agenciabrasil.ebc.com.br/justica/noticia/2025-11/mpf-pede-informacoes-sobre-uso-de-verbas-federais-na-operacao-RJ. Acesso em: 11 nov. 2025.</x:v>
      </x:c>
      <x:c r="T448" s="10" t="str">
        <x:v>BR-SPDIREITOVIOLESTADO_MAPEAMENTOS-NOTICIAS-MSSCPENHA.xlsx</x:v>
      </x:c>
      <x:c r="U448" s="10" t="str">
        <x:v>Geral</x:v>
      </x:c>
      <x:c r="V448" s="11" t="n">
        <x:v>193</x:v>
      </x:c>
      <x:c r="W448" s="10" t="str">
        <x:v>BR-SPDIREITOVIOLESTADO_MAPEAMENTOS-NOTICIAS-MSSCPENHA.xlsx:Geral:193</x:v>
      </x:c>
      <x:c r="X448" s="11" t="n">
        <x:f>COLUMNS(A448:S448)-COUNTBLANK(A448:S448)</x:f>
        <x:v>19</x:v>
      </x:c>
    </x:row>
    <x:row r="449" ht="24" hidden="0" customHeight="1">
      <x:c r="A449" s="10" t="str">
        <x:v>Notícia</x:v>
      </x:c>
      <x:c r="B449" s="10" t="str">
        <x:v>Difusão</x:v>
      </x:c>
      <x:c r="C449" s="10" t="str">
        <x:v>Produção midiática</x:v>
      </x:c>
      <x:c r="D449" s="10" t="str">
        <x:v>Público Mediado</x:v>
      </x:c>
      <x:c r="E449" s="10" t="str">
        <x:v>Midiático</x:v>
      </x:c>
      <x:c r="F449" s="10" t="str">
        <x:v>09/11/2025</x:v>
      </x:c>
      <x:c r="G449" s="11" t="n">
        <x:v>2025</x:v>
      </x:c>
      <x:c r="H449" s="10" t="str">
        <x:v>Rio de Janeiro, Brasil</x:v>
      </x:c>
      <x:c r="I449" s="10" t="str">
        <x:v>Agência Brasil</x:v>
      </x:c>
      <x:c r="J449" s="10" t="str">
        <x:v>Proteção de adolescentes desafia conselhos tutelares após megaoperação</x:v>
      </x:c>
      <x:c r="K449" s="10" t="str">
        <x:v>Hemerográfico</x:v>
      </x:c>
      <x:c r="L449" s="10" t="str">
        <x:v>Texto (digital)</x:v>
      </x:c>
      <x:c r="M449" s="10" t="str">
        <x:v>Agência Brasil</x:v>
      </x:c>
      <x:c r="N449" s="10" t="str">
        <x:v>Português, Brasil</x:v>
      </x:c>
      <x:c r="O449" s="10" t="str">
        <x:v>"Operação contenção" no Google</x:v>
      </x:c>
      <x:c r="P449" s="10" t="str">
        <x:v>2025-11-03 00:00:00</x:v>
      </x:c>
      <x:c r="Q449" s="10" t="str">
        <x:v>Aberto</x:v>
      </x:c>
      <x:c r="R449" s="10" t="str">
        <x:v>Aqui</x:v>
      </x:c>
      <x:c r="S449" s="10" t="str">
        <x:v>VIEIRA, Isabela. Proteção de adolescentes desafia conselhos tutelares após megaoperação. Agência Brasil, Rio de Janeiro, 9 nov. 2025. Disponível em: https://agenciabrasil.ebc.com.br/direitos-humanos/noticia/2025-11/protecao-de-adolescentes-desafia-conselhos-tutelares-apos-megaoperacao. Acesso em: 11 nov. 2025.</x:v>
      </x:c>
      <x:c r="T449" s="10" t="str">
        <x:v>BR-SPDIREITOVIOLESTADO_MAPEAMENTOS-NOTICIAS-MSSCPENHA.xlsx</x:v>
      </x:c>
      <x:c r="U449" s="10" t="str">
        <x:v>Geral</x:v>
      </x:c>
      <x:c r="V449" s="11" t="n">
        <x:v>194</x:v>
      </x:c>
      <x:c r="W449" s="10" t="str">
        <x:v>BR-SPDIREITOVIOLESTADO_MAPEAMENTOS-NOTICIAS-MSSCPENHA.xlsx:Geral:194</x:v>
      </x:c>
      <x:c r="X449" s="11" t="n">
        <x:f>COLUMNS(A449:S449)-COUNTBLANK(A449:S449)</x:f>
        <x:v>19</x:v>
      </x:c>
    </x:row>
    <x:row r="450" ht="24" hidden="0" customHeight="1">
      <x:c r="A450" s="10" t="str">
        <x:v>Notícia</x:v>
      </x:c>
      <x:c r="B450" s="10" t="str">
        <x:v>Difusão</x:v>
      </x:c>
      <x:c r="C450" s="10" t="str">
        <x:v>Produção midiática</x:v>
      </x:c>
      <x:c r="D450" s="10" t="str">
        <x:v>Público Mediado</x:v>
      </x:c>
      <x:c r="E450" s="10" t="str">
        <x:v>Midiático</x:v>
      </x:c>
      <x:c r="F450" s="10" t="str">
        <x:v>28/10/2025</x:v>
      </x:c>
      <x:c r="G450" s="11" t="n">
        <x:v>2025</x:v>
      </x:c>
      <x:c r="H450" s="10" t="str">
        <x:v>Rio de Janeiro, Brasil</x:v>
      </x:c>
      <x:c r="I450" s="10" t="str">
        <x:v>G1</x:v>
      </x:c>
      <x:c r="J450" s="10" t="str">
        <x:v>Secretário cita ‘9 milhões de m² de desordem’ na Penha e no Alemão e diz que é preciso que 'estado</x:v>
      </x:c>
      <x:c r="K450" s="10" t="str">
        <x:v>Hemerográfico</x:v>
      </x:c>
      <x:c r="L450" s="10" t="str">
        <x:v>Texto (digital)</x:v>
      </x:c>
      <x:c r="M450" s="10" t="str">
        <x:v>G1</x:v>
      </x:c>
      <x:c r="N450" s="10" t="str">
        <x:v>Português, Brasil</x:v>
      </x:c>
      <x:c r="O450" s="10" t="str">
        <x:v>"Operação contenção" no Google</x:v>
      </x:c>
      <x:c r="P450" s="10" t="str">
        <x:v>2025-11-11 00:00:00</x:v>
      </x:c>
      <x:c r="Q450" s="10" t="str">
        <x:v>Aberto</x:v>
      </x:c>
      <x:c r="R450" s="10" t="str">
        <x:v>Aqui</x:v>
      </x:c>
      <x:c r="S450" s="10" t="str">
        <x:v>G1. Secretário cita ‘9 milhões de m² de desordem’ na Penha e no Alemão e diz que é preciso que 'estado, União e município se sentem à mesa'. G1, Rio de Janeiro, 28 out. 2025. Disponível em: https://g1.globo.com/rj/rio-de-janeiro/noticia/2025/10/28/victor-santos-seguranca-publica-rj.ghtml. Acesso em: 11 nov. 2025.</x:v>
      </x:c>
      <x:c r="T450" s="10" t="str">
        <x:v>BR-SPDIREITOVIOLESTADO_MAPEAMENTOS-NOTICIAS-MSSCPENHA.xlsx</x:v>
      </x:c>
      <x:c r="U450" s="10" t="str">
        <x:v>Geral</x:v>
      </x:c>
      <x:c r="V450" s="11" t="n">
        <x:v>195</x:v>
      </x:c>
      <x:c r="W450" s="10" t="str">
        <x:v>BR-SPDIREITOVIOLESTADO_MAPEAMENTOS-NOTICIAS-MSSCPENHA.xlsx:Geral:195</x:v>
      </x:c>
      <x:c r="X450" s="11" t="n">
        <x:f>COLUMNS(A450:S450)-COUNTBLANK(A450:S450)</x:f>
        <x:v>19</x:v>
      </x:c>
    </x:row>
    <x:row r="451" ht="24" hidden="0" customHeight="1">
      <x:c r="A451" s="10" t="str">
        <x:v>Notícia</x:v>
      </x:c>
      <x:c r="B451" s="10" t="str">
        <x:v>Difusão</x:v>
      </x:c>
      <x:c r="C451" s="10" t="str">
        <x:v>Produção midiática</x:v>
      </x:c>
      <x:c r="D451" s="10" t="str">
        <x:v>Público Mediado</x:v>
      </x:c>
      <x:c r="E451" s="10" t="str">
        <x:v>Midiático</x:v>
      </x:c>
      <x:c r="F451" s="10" t="str">
        <x:v>30/10/2025</x:v>
      </x:c>
      <x:c r="G451" s="11" t="n">
        <x:v>2025</x:v>
      </x:c>
      <x:c r="H451" s="10" t="str">
        <x:v>Distrito Federal, Brasil</x:v>
      </x:c>
      <x:c r="I451" s="10" t="str">
        <x:v>Agência Brasil</x:v>
      </x:c>
      <x:c r="J451" s="10" t="str">
        <x:v>ADPF das Favelas: entenda as medidas que foram determinadas pelo STF</x:v>
      </x:c>
      <x:c r="K451" s="10" t="str">
        <x:v>Hemerográfico</x:v>
      </x:c>
      <x:c r="L451" s="10" t="str">
        <x:v>Texto (digital)</x:v>
      </x:c>
      <x:c r="M451" s="10" t="str">
        <x:v>Agência Brasil</x:v>
      </x:c>
      <x:c r="N451" s="10" t="str">
        <x:v>Português, Brasil</x:v>
      </x:c>
      <x:c r="O451" s="10" t="str">
        <x:v>"Operação contenção" no Google</x:v>
      </x:c>
      <x:c r="P451" s="10" t="str">
        <x:v>2025-11-11 00:00:00</x:v>
      </x:c>
      <x:c r="Q451" s="10" t="str">
        <x:v>Aberto</x:v>
      </x:c>
      <x:c r="R451" s="10" t="str">
        <x:v>Aqui</x:v>
      </x:c>
      <x:c r="S451" s="10" t="str">
        <x:v>RICHTER, André. ADPF das Favelas: entenda as medidas que foram determinadas pelo STF. Agência Brasil, Brasília, 30 out. 2025. Disponível em: https://agenciabrasil.ebc.com.br/justica/noticia/2025-10/adpf-das-favelas-entenda-medidas-que-foram-determinadas-pelo-stf. Acesso em: 11 nov. 2025.</x:v>
      </x:c>
      <x:c r="T451" s="10" t="str">
        <x:v>BR-SPDIREITOVIOLESTADO_MAPEAMENTOS-NOTICIAS-MSSCPENHA.xlsx</x:v>
      </x:c>
      <x:c r="U451" s="10" t="str">
        <x:v>Geral</x:v>
      </x:c>
      <x:c r="V451" s="11" t="n">
        <x:v>196</x:v>
      </x:c>
      <x:c r="W451" s="10" t="str">
        <x:v>BR-SPDIREITOVIOLESTADO_MAPEAMENTOS-NOTICIAS-MSSCPENHA.xlsx:Geral:196</x:v>
      </x:c>
      <x:c r="X451" s="11" t="n">
        <x:f>COLUMNS(A451:S451)-COUNTBLANK(A451:S451)</x:f>
        <x:v>19</x:v>
      </x:c>
    </x:row>
    <x:row r="452" ht="24" hidden="0" customHeight="1">
      <x:c r="A452" s="10" t="str">
        <x:v>Notícia</x:v>
      </x:c>
      <x:c r="B452" s="10" t="str">
        <x:v>Difusão</x:v>
      </x:c>
      <x:c r="C452" s="10" t="str">
        <x:v>Produção midiática</x:v>
      </x:c>
      <x:c r="D452" s="10" t="str">
        <x:v>Público Mediado</x:v>
      </x:c>
      <x:c r="E452" s="10" t="str">
        <x:v>Midiático</x:v>
      </x:c>
      <x:c r="F452" s="10" t="str">
        <x:v>11/11/2025</x:v>
      </x:c>
      <x:c r="G452" s="11" t="n">
        <x:v>2025</x:v>
      </x:c>
      <x:c r="H452" s="10" t="str">
        <x:v>Rio de Janeiro, Brasil</x:v>
      </x:c>
      <x:c r="I452" s="10" t="str">
        <x:v>O Globo</x:v>
      </x:c>
      <x:c r="J452" s="10" t="str">
        <x:v>Polícia Civil e MP do Rio prendem dez e aprendem 240 armas e 43 mil munições em operação contra Comando Vermelho</x:v>
      </x:c>
      <x:c r="K452" s="10" t="str">
        <x:v>Hemerográfico</x:v>
      </x:c>
      <x:c r="L452" s="10" t="str">
        <x:v>Texto (digital)</x:v>
      </x:c>
      <x:c r="M452" s="10" t="str">
        <x:v>O Globo</x:v>
      </x:c>
      <x:c r="N452" s="10" t="str">
        <x:v>Português, Brasil</x:v>
      </x:c>
      <x:c r="O452" s="10" t="str">
        <x:v>"Operação contenção" no Google</x:v>
      </x:c>
      <x:c r="P452" s="10" t="str">
        <x:v>2025-11-11 00:00:00</x:v>
      </x:c>
      <x:c r="Q452" s="10" t="str">
        <x:v>Acesso restrito</x:v>
      </x:c>
      <x:c r="R452" s="10" t="str">
        <x:v>Aqui</x:v>
      </x:c>
      <x:c r="S452" s="10" t="str">
        <x:v>O GLOBO. Polícia Civil e MP do Rio prendem dez e aprendem 240 armas e 43 mil munições em operação contra Comando Vermelho. O Globo, Rio de Janeiro, 13 maio 2025. Disponível em: https://oglobo.globo.com/rio/noticia/2025/05/13/operacao-da-policia-civil-e-do-mprj-mira-esquema-de-faccao-criminosa-que-recrutava-criminosos-com-capacidades-especificas.ghtml. Acesso em: 11 nov. 2025.</x:v>
      </x:c>
      <x:c r="T452" s="10" t="str">
        <x:v>BR-SPDIREITOVIOLESTADO_MAPEAMENTOS-NOTICIAS-MSSCPENHA.xlsx</x:v>
      </x:c>
      <x:c r="U452" s="10" t="str">
        <x:v>Geral</x:v>
      </x:c>
      <x:c r="V452" s="11" t="n">
        <x:v>197</x:v>
      </x:c>
      <x:c r="W452" s="10" t="str">
        <x:v>BR-SPDIREITOVIOLESTADO_MAPEAMENTOS-NOTICIAS-MSSCPENHA.xlsx:Geral:197</x:v>
      </x:c>
      <x:c r="X452" s="11" t="n">
        <x:f>COLUMNS(A452:S452)-COUNTBLANK(A452:S452)</x:f>
        <x:v>19</x:v>
      </x:c>
    </x:row>
    <x:row r="453" ht="24" hidden="0" customHeight="1">
      <x:c r="A453" s="10" t="str">
        <x:v>Notícia</x:v>
      </x:c>
      <x:c r="B453" s="10" t="str">
        <x:v>Difusão</x:v>
      </x:c>
      <x:c r="C453" s="10" t="str">
        <x:v>Produção midiática</x:v>
      </x:c>
      <x:c r="D453" s="10" t="str">
        <x:v>Público Mediado</x:v>
      </x:c>
      <x:c r="E453" s="10" t="str">
        <x:v>Midiático</x:v>
      </x:c>
      <x:c r="F453" s="10" t="str">
        <x:v>04/11/2025</x:v>
      </x:c>
      <x:c r="G453" s="11" t="n">
        <x:v>2025</x:v>
      </x:c>
      <x:c r="H453" s="10" t="str">
        <x:v>Rio de Janeiro, Brasil</x:v>
      </x:c>
      <x:c r="I453" s="10" t="str">
        <x:v>Agência Brasil</x:v>
      </x:c>
      <x:c r="J453" s="10" t="str">
        <x:v>Nenhuma mulher morreu durante operação no Rio, diz Polícia Civil</x:v>
      </x:c>
      <x:c r="K453" s="10" t="str">
        <x:v>Hemerográfico</x:v>
      </x:c>
      <x:c r="L453" s="10" t="str">
        <x:v>Texto (digital)</x:v>
      </x:c>
      <x:c r="M453" s="10" t="str">
        <x:v>Agência Brasil</x:v>
      </x:c>
      <x:c r="N453" s="10" t="str">
        <x:v>Português, Brasil</x:v>
      </x:c>
      <x:c r="O453" s="10" t="str">
        <x:v>"Operação contenção" no Google</x:v>
      </x:c>
      <x:c r="P453" s="10" t="str">
        <x:v>2025-11-11 00:00:00</x:v>
      </x:c>
      <x:c r="Q453" s="10" t="str">
        <x:v>Aberto</x:v>
      </x:c>
      <x:c r="R453" s="10" t="str">
        <x:v>Aqui</x:v>
      </x:c>
      <x:c r="S453" s="10" t="str">
        <x:v>CORRÊA, Douglas. Nenhuma mulher morreu durante operação no Rio, diz Polícia Civil. Agência Brasil, Rio de Janeiro, 4 nov. 2025. Disponível em: https://agenciabrasil.ebc.com.br/geral/noticia/2025-11/nenhuma-mulher-morreu-durante-operacao-no-rio-diz-policia-civil. Acesso em: 11 nov. 2025.</x:v>
      </x:c>
      <x:c r="T453" s="10" t="str">
        <x:v>BR-SPDIREITOVIOLESTADO_MAPEAMENTOS-NOTICIAS-MSSCPENHA.xlsx</x:v>
      </x:c>
      <x:c r="U453" s="10" t="str">
        <x:v>Geral</x:v>
      </x:c>
      <x:c r="V453" s="11" t="n">
        <x:v>198</x:v>
      </x:c>
      <x:c r="W453" s="10" t="str">
        <x:v>BR-SPDIREITOVIOLESTADO_MAPEAMENTOS-NOTICIAS-MSSCPENHA.xlsx:Geral:198</x:v>
      </x:c>
      <x:c r="X453" s="11" t="n">
        <x:f>COLUMNS(A453:S453)-COUNTBLANK(A453:S453)</x:f>
        <x:v>19</x:v>
      </x:c>
    </x:row>
    <x:row r="454" ht="24" hidden="0" customHeight="1">
      <x:c r="A454" s="10" t="str">
        <x:v>Notícia</x:v>
      </x:c>
      <x:c r="B454" s="10" t="str">
        <x:v>Difusão</x:v>
      </x:c>
      <x:c r="C454" s="10" t="str">
        <x:v>Produção midiática</x:v>
      </x:c>
      <x:c r="D454" s="10" t="str">
        <x:v>Público Mediado</x:v>
      </x:c>
      <x:c r="E454" s="10" t="str">
        <x:v>Midiático</x:v>
      </x:c>
      <x:c r="F454" s="10" t="str">
        <x:v>06/11/2025</x:v>
      </x:c>
      <x:c r="G454" s="11" t="n">
        <x:v>2025</x:v>
      </x:c>
      <x:c r="H454" s="10" t="str">
        <x:v>Rio de Janeiro, Brasil</x:v>
      </x:c>
      <x:c r="I454" s="10" t="str">
        <x:v>O Globo</x:v>
      </x:c>
      <x:c r="J454" s="10" t="str">
        <x:v>Doca, alvo da Operação Contenção e réu no caso dos médicos mortos na Barra: audiência é marcada</x:v>
      </x:c>
      <x:c r="K454" s="10" t="str">
        <x:v>Hemerográfico</x:v>
      </x:c>
      <x:c r="L454" s="10" t="str">
        <x:v>Texto (digital)</x:v>
      </x:c>
      <x:c r="M454" s="10" t="str">
        <x:v>O Globo</x:v>
      </x:c>
      <x:c r="N454" s="10" t="str">
        <x:v>Português, Brasil</x:v>
      </x:c>
      <x:c r="O454" s="10" t="str">
        <x:v>"Operação contenção" no Google</x:v>
      </x:c>
      <x:c r="P454" s="10" t="str">
        <x:v>2025-11-11 00:00:00</x:v>
      </x:c>
      <x:c r="Q454" s="10" t="str">
        <x:v>Acesso restrito</x:v>
      </x:c>
      <x:c r="R454" s="10" t="str">
        <x:v>Aqui</x:v>
      </x:c>
      <x:c r="S454" s="10" t="str">
        <x:v>GOIS, Ancelmo. Doca, alvo da Operação Contenção e réu no caso dos médicos mortos na Barra: audiência é marcada. O Globo, 6 nov. 2025. Disponível em: https://oglobo.globo.com/blogs/ancelmo-gois/post/2025/11/doca-alvo-da-operacao-contencao-e-reu-no-caso-dos-medicos-mortos-na-barra-audiencia-e-marcada.ghtml. Acesso em: 11 nov. 2025.</x:v>
      </x:c>
      <x:c r="T454" s="10" t="str">
        <x:v>BR-SPDIREITOVIOLESTADO_MAPEAMENTOS-NOTICIAS-MSSCPENHA.xlsx</x:v>
      </x:c>
      <x:c r="U454" s="10" t="str">
        <x:v>Geral</x:v>
      </x:c>
      <x:c r="V454" s="11" t="n">
        <x:v>199</x:v>
      </x:c>
      <x:c r="W454" s="10" t="str">
        <x:v>BR-SPDIREITOVIOLESTADO_MAPEAMENTOS-NOTICIAS-MSSCPENHA.xlsx:Geral:199</x:v>
      </x:c>
      <x:c r="X454" s="11" t="n">
        <x:f>COLUMNS(A454:S454)-COUNTBLANK(A454:S454)</x:f>
        <x:v>19</x:v>
      </x:c>
    </x:row>
    <x:row r="455" ht="24" hidden="0" customHeight="1">
      <x:c r="A455" s="10" t="str">
        <x:v>Notícia</x:v>
      </x:c>
      <x:c r="B455" s="10" t="str">
        <x:v>Difusão</x:v>
      </x:c>
      <x:c r="C455" s="10" t="str">
        <x:v>Produção midiática</x:v>
      </x:c>
      <x:c r="D455" s="10" t="str">
        <x:v>Público Mediado</x:v>
      </x:c>
      <x:c r="E455" s="10" t="str">
        <x:v>Midiático</x:v>
      </x:c>
      <x:c r="F455" s="10" t="str">
        <x:v>30/10/2025</x:v>
      </x:c>
      <x:c r="G455" s="11" t="n">
        <x:v>2025</x:v>
      </x:c>
      <x:c r="H455" s="10" t="str">
        <x:v>Rio de Janeiro, Brasil</x:v>
      </x:c>
      <x:c r="I455" s="10" t="str">
        <x:v>TV Brasil</x:v>
      </x:c>
      <x:c r="J455" s="10" t="str">
        <x:v>STF cobra explicações do governo do Rio sobre a Operação Contenção</x:v>
      </x:c>
      <x:c r="K455" s="10" t="str">
        <x:v>Hemerográfico</x:v>
      </x:c>
      <x:c r="L455" s="10" t="str">
        <x:v>Texto (digital)</x:v>
      </x:c>
      <x:c r="M455" s="10" t="str">
        <x:v>TV Brasil</x:v>
      </x:c>
      <x:c r="N455" s="10" t="str">
        <x:v>Português, Brasil</x:v>
      </x:c>
      <x:c r="O455" s="10" t="str">
        <x:v>"Operação contenção" no Google</x:v>
      </x:c>
      <x:c r="P455" s="10" t="str">
        <x:v>2025-11-11 00:00:00</x:v>
      </x:c>
      <x:c r="Q455" s="10" t="str">
        <x:v>Aberto</x:v>
      </x:c>
      <x:c r="R455" s="10" t="str">
        <x:v>Aqui</x:v>
      </x:c>
      <x:c r="S455" s="10" t="str">
        <x:v>TV BRASIL. STF cobra explicações do governo do Rio sobre a Operação Contenção. TV Brasil, Rio de Janeiro, 30 out. 2025. Disponível em: https://tvbrasil.ebc.com.br/reporter-brasil-tarde/2025/10/stf-cobra-explicacoes-do-governo-do-rio-sobre-operacao-contencao. Acesso em: 11 nov. 2025.</x:v>
      </x:c>
      <x:c r="T455" s="10" t="str">
        <x:v>BR-SPDIREITOVIOLESTADO_MAPEAMENTOS-NOTICIAS-MSSCPENHA.xlsx</x:v>
      </x:c>
      <x:c r="U455" s="10" t="str">
        <x:v>Geral</x:v>
      </x:c>
      <x:c r="V455" s="11" t="n">
        <x:v>200</x:v>
      </x:c>
      <x:c r="W455" s="10" t="str">
        <x:v>BR-SPDIREITOVIOLESTADO_MAPEAMENTOS-NOTICIAS-MSSCPENHA.xlsx:Geral:200</x:v>
      </x:c>
      <x:c r="X455" s="11" t="n">
        <x:f>COLUMNS(A455:S455)-COUNTBLANK(A455:S455)</x:f>
        <x:v>19</x:v>
      </x:c>
    </x:row>
    <x:row r="456" ht="24" hidden="0" customHeight="1">
      <x:c r="A456" s="10" t="str">
        <x:v>Notícia</x:v>
      </x:c>
      <x:c r="B456" s="10" t="str">
        <x:v>Difusão</x:v>
      </x:c>
      <x:c r="C456" s="10" t="str">
        <x:v>Produção midiática</x:v>
      </x:c>
      <x:c r="D456" s="10" t="str">
        <x:v>Público Mediado</x:v>
      </x:c>
      <x:c r="E456" s="10" t="str">
        <x:v>Midiático</x:v>
      </x:c>
      <x:c r="F456" s="10" t="str">
        <x:v>03/11/2025</x:v>
      </x:c>
      <x:c r="G456" s="11" t="n">
        <x:v>2025</x:v>
      </x:c>
      <x:c r="H456" s="10" t="str">
        <x:v>Rio de Janeiro, Brasil</x:v>
      </x:c>
      <x:c r="I456" s="10" t="str">
        <x:v>Agência Brasil</x:v>
      </x:c>
      <x:c r="J456" s="10" t="str">
        <x:v>Relatos à ouvidoria da Defensoria do RJ citam violações em operação</x:v>
      </x:c>
      <x:c r="K456" s="10" t="str">
        <x:v>Hemerográfico</x:v>
      </x:c>
      <x:c r="L456" s="10" t="str">
        <x:v>Texto (digital)</x:v>
      </x:c>
      <x:c r="M456" s="10" t="str">
        <x:v>Agência Brasil</x:v>
      </x:c>
      <x:c r="N456" s="10" t="str">
        <x:v>Português, Brasil</x:v>
      </x:c>
      <x:c r="O456" s="10" t="str">
        <x:v>"Operação contenção" no Google</x:v>
      </x:c>
      <x:c r="P456" s="10" t="str">
        <x:v>2025-11-11 00:00:00</x:v>
      </x:c>
      <x:c r="Q456" s="10" t="str">
        <x:v>Aberto</x:v>
      </x:c>
      <x:c r="R456" s="10" t="str">
        <x:v>Aqui</x:v>
      </x:c>
      <x:c r="S456" s="10" t="str">
        <x:v>TOKARNIA, Mariana. Relatos à ouvidoria da Defensoria do RJ citam violações em operação. Agência Brasil, Rio de Janeiro, 3 nov. 2025. Disponível em: https://agenciabrasil.ebc.com.br/direitos-humanos/noticia/2025-11/relatos-ouvidoria-da-defensoria-do-rj-citam-violacoes-em-operacao. Acesso em: 11 nov. 2025.</x:v>
      </x:c>
      <x:c r="T456" s="10" t="str">
        <x:v>BR-SPDIREITOVIOLESTADO_MAPEAMENTOS-NOTICIAS-MSSCPENHA.xlsx</x:v>
      </x:c>
      <x:c r="U456" s="10" t="str">
        <x:v>Geral</x:v>
      </x:c>
      <x:c r="V456" s="11" t="n">
        <x:v>201</x:v>
      </x:c>
      <x:c r="W456" s="10" t="str">
        <x:v>BR-SPDIREITOVIOLESTADO_MAPEAMENTOS-NOTICIAS-MSSCPENHA.xlsx:Geral:201</x:v>
      </x:c>
      <x:c r="X456" s="11" t="n">
        <x:f>COLUMNS(A456:S456)-COUNTBLANK(A456:S456)</x:f>
        <x:v>19</x:v>
      </x:c>
    </x:row>
    <x:row r="457" ht="24" hidden="0" customHeight="1">
      <x:c r="A457" s="10" t="str">
        <x:v>Notícia</x:v>
      </x:c>
      <x:c r="B457" s="10" t="str">
        <x:v>Difusão</x:v>
      </x:c>
      <x:c r="C457" s="10" t="str">
        <x:v>Produção midiática</x:v>
      </x:c>
      <x:c r="D457" s="10" t="str">
        <x:v>Público Mediado</x:v>
      </x:c>
      <x:c r="E457" s="10" t="str">
        <x:v>Midiático</x:v>
      </x:c>
      <x:c r="F457" s="10" t="str">
        <x:v>04/11/2025</x:v>
      </x:c>
      <x:c r="G457" s="11" t="n">
        <x:v>2025</x:v>
      </x:c>
      <x:c r="H457" s="10" t="str">
        <x:v>Rio de Janeiro, Brasil</x:v>
      </x:c>
      <x:c r="I457" s="10" t="str">
        <x:v>TV Brasil</x:v>
      </x:c>
      <x:c r="J457" s="10" t="str">
        <x:v>Líder do tráfico na região Norte morreu na Operação Contenção</x:v>
      </x:c>
      <x:c r="K457" s="10" t="str">
        <x:v>Hemerográfico</x:v>
      </x:c>
      <x:c r="L457" s="10" t="str">
        <x:v>Texto (digital)</x:v>
      </x:c>
      <x:c r="M457" s="10" t="str">
        <x:v>TV Brasil</x:v>
      </x:c>
      <x:c r="N457" s="10" t="str">
        <x:v>Português, Brasil</x:v>
      </x:c>
      <x:c r="O457" s="10" t="str">
        <x:v>"Operação contenção" no Google</x:v>
      </x:c>
      <x:c r="P457" s="10" t="str">
        <x:v>2025-11-11 00:00:00</x:v>
      </x:c>
      <x:c r="Q457" s="10" t="str">
        <x:v>Aberto</x:v>
      </x:c>
      <x:c r="R457" s="10" t="str">
        <x:v>Aqui</x:v>
      </x:c>
      <x:c r="S457" s="10" t="str">
        <x:v>TV BRASIL. Líder do tráfico na região Norte morreu na Operação Contenção. TV Brasil, Rio de Janeiro, 4 nov. 2025. Disponível em: https://tvbrasil.ebc.com.br/reporter-brasil-tarde/2025/11/lider-do-trafico-na-regiao-norte-morreu-na-operacao-contencao. Acesso em: 11 nov. 2025.</x:v>
      </x:c>
      <x:c r="T457" s="10" t="str">
        <x:v>BR-SPDIREITOVIOLESTADO_MAPEAMENTOS-NOTICIAS-MSSCPENHA.xlsx</x:v>
      </x:c>
      <x:c r="U457" s="10" t="str">
        <x:v>Geral</x:v>
      </x:c>
      <x:c r="V457" s="11" t="n">
        <x:v>202</x:v>
      </x:c>
      <x:c r="W457" s="10" t="str">
        <x:v>BR-SPDIREITOVIOLESTADO_MAPEAMENTOS-NOTICIAS-MSSCPENHA.xlsx:Geral:202</x:v>
      </x:c>
      <x:c r="X457" s="11" t="n">
        <x:f>COLUMNS(A457:S457)-COUNTBLANK(A457:S457)</x:f>
        <x:v>19</x:v>
      </x:c>
    </x:row>
    <x:row r="458" ht="24" hidden="0" customHeight="1">
      <x:c r="A458" s="10" t="str">
        <x:v>Notícia</x:v>
      </x:c>
      <x:c r="B458" s="10" t="str">
        <x:v>Difusão</x:v>
      </x:c>
      <x:c r="C458" s="10" t="str">
        <x:v>Produção midiática</x:v>
      </x:c>
      <x:c r="D458" s="10" t="str">
        <x:v>Público Mediado</x:v>
      </x:c>
      <x:c r="E458" s="10" t="str">
        <x:v>Midiático</x:v>
      </x:c>
      <x:c r="F458" s="10" t="str">
        <x:v>13/08/2025</x:v>
      </x:c>
      <x:c r="G458" s="11" t="n">
        <x:v>2025</x:v>
      </x:c>
      <x:c r="H458" s="10" t="str">
        <x:v>Rio de Janeiro, Brasil</x:v>
      </x:c>
      <x:c r="I458" s="10" t="str">
        <x:v>O Globo</x:v>
      </x:c>
      <x:c r="J458" s="10" t="str">
        <x:v>Operação contra o Comando Vermelho na Zona Oeste do Rio tem oito presos, quatro mortos e três adolescentes apreendidos</x:v>
      </x:c>
      <x:c r="K458" s="10" t="str">
        <x:v>Hemerográfico</x:v>
      </x:c>
      <x:c r="L458" s="10" t="str">
        <x:v>Texto (digital)</x:v>
      </x:c>
      <x:c r="M458" s="10" t="str">
        <x:v>O Globo</x:v>
      </x:c>
      <x:c r="N458" s="10" t="str">
        <x:v>Português, Brasil</x:v>
      </x:c>
      <x:c r="O458" s="10" t="str">
        <x:v>"Operação contenção" no Google</x:v>
      </x:c>
      <x:c r="P458" s="10" t="str">
        <x:v>2025-11-11 00:00:00</x:v>
      </x:c>
      <x:c r="Q458" s="10" t="str">
        <x:v>Acesso restrito</x:v>
      </x:c>
      <x:c r="R458" s="10" t="str">
        <x:v>Aqui</x:v>
      </x:c>
      <x:c r="S458" s="10" t="str">
        <x:v>O GLOBO. Operação contra o Comando Vermelho na Zona Oeste do Rio tem oito presos, quatro mortos e três adolescentes apreendidos. O Globo, Rio de Janeiro, 13 ago. 2025. Disponível em: https://oglobo.globo.com/rio/noticia/2025/08/13/operacao-contra-o-comando-vermelho-na-zona-oeste-do-rio-tem-dois-mortos-um-ferido-e-apreensao-de-armas.ghtml. Acesso em: 11 nov. 2025.</x:v>
      </x:c>
      <x:c r="T458" s="10" t="str">
        <x:v>BR-SPDIREITOVIOLESTADO_MAPEAMENTOS-NOTICIAS-MSSCPENHA.xlsx</x:v>
      </x:c>
      <x:c r="U458" s="10" t="str">
        <x:v>Geral</x:v>
      </x:c>
      <x:c r="V458" s="11" t="n">
        <x:v>203</x:v>
      </x:c>
      <x:c r="W458" s="10" t="str">
        <x:v>BR-SPDIREITOVIOLESTADO_MAPEAMENTOS-NOTICIAS-MSSCPENHA.xlsx:Geral:203</x:v>
      </x:c>
      <x:c r="X458" s="11" t="n">
        <x:f>COLUMNS(A458:S458)-COUNTBLANK(A458:S458)</x:f>
        <x:v>19</x:v>
      </x:c>
    </x:row>
    <x:row r="459" ht="24" hidden="0" customHeight="1">
      <x:c r="A459" s="10" t="str">
        <x:v>Notícia</x:v>
      </x:c>
      <x:c r="B459" s="10" t="str">
        <x:v>Difusão</x:v>
      </x:c>
      <x:c r="C459" s="10" t="str">
        <x:v>Produção midiática</x:v>
      </x:c>
      <x:c r="D459" s="10" t="str">
        <x:v>Público Mediado</x:v>
      </x:c>
      <x:c r="E459" s="10" t="str">
        <x:v>Midiático</x:v>
      </x:c>
      <x:c r="F459" s="10" t="str">
        <x:v>31/10/2025</x:v>
      </x:c>
      <x:c r="G459" s="11" t="n">
        <x:v>2025</x:v>
      </x:c>
      <x:c r="H459" s="10" t="str">
        <x:v>Rio de Janeiro, Brasil</x:v>
      </x:c>
      <x:c r="I459" s="10" t="str">
        <x:v>TV Brasil</x:v>
      </x:c>
      <x:c r="J459" s="10" t="str">
        <x:v>Vinte peritos da Polícia Federal vão ao Rio após a Operação Contenção</x:v>
      </x:c>
      <x:c r="K459" s="10" t="str">
        <x:v>Hemerográfico</x:v>
      </x:c>
      <x:c r="L459" s="10" t="str">
        <x:v>Texto (digital)</x:v>
      </x:c>
      <x:c r="M459" s="10" t="str">
        <x:v>TV Brasil</x:v>
      </x:c>
      <x:c r="N459" s="10" t="str">
        <x:v>Português, Brasil</x:v>
      </x:c>
      <x:c r="O459" s="10" t="str">
        <x:v>"Operação contenção" no Google</x:v>
      </x:c>
      <x:c r="P459" s="10" t="str">
        <x:v>2025-11-11 00:00:00</x:v>
      </x:c>
      <x:c r="Q459" s="10" t="str">
        <x:v>Aberto</x:v>
      </x:c>
      <x:c r="R459" s="10" t="str">
        <x:v>Aqui</x:v>
      </x:c>
      <x:c r="S459" s="10" t="str">
        <x:v>TV BRASIL. Vinte peritos da Polícia Federal vão ao Rio após a Operação Contenção. TV Brasil, Rio de Janeiro, 31 out. 2025. Disponível em: https://tvbrasil.ebc.com.br/reporter-brasil-tarde/2025/10/vinte-peritos-da-policia-federal-vao-ao-rio-apos-operacao-contencao. Acesso em: 11 nov. 2025.</x:v>
      </x:c>
      <x:c r="T459" s="10" t="str">
        <x:v>BR-SPDIREITOVIOLESTADO_MAPEAMENTOS-NOTICIAS-MSSCPENHA.xlsx</x:v>
      </x:c>
      <x:c r="U459" s="10" t="str">
        <x:v>Geral</x:v>
      </x:c>
      <x:c r="V459" s="11" t="n">
        <x:v>204</x:v>
      </x:c>
      <x:c r="W459" s="10" t="str">
        <x:v>BR-SPDIREITOVIOLESTADO_MAPEAMENTOS-NOTICIAS-MSSCPENHA.xlsx:Geral:204</x:v>
      </x:c>
      <x:c r="X459" s="11" t="n">
        <x:f>COLUMNS(A459:S459)-COUNTBLANK(A459:S459)</x:f>
        <x:v>19</x:v>
      </x:c>
    </x:row>
    <x:row r="460" ht="36" hidden="0" customHeight="1">
      <x:c r="A460" s="10" t="str">
        <x:v>Notícia</x:v>
      </x:c>
      <x:c r="B460" s="10" t="str">
        <x:v>Difusão</x:v>
      </x:c>
      <x:c r="C460" s="10" t="str">
        <x:v>Produção midiática</x:v>
      </x:c>
      <x:c r="D460" s="10" t="str">
        <x:v>Público Mediado</x:v>
      </x:c>
      <x:c r="E460" s="10" t="str">
        <x:v>Midiático</x:v>
      </x:c>
      <x:c r="F460" s="10" t="str">
        <x:v>29/10/2025</x:v>
      </x:c>
      <x:c r="G460" s="11" t="n">
        <x:v>2025</x:v>
      </x:c>
      <x:c r="H460" s="10" t="str">
        <x:v>Rio de Janeiro, Brasil</x:v>
      </x:c>
      <x:c r="I460" s="10" t="str">
        <x:v>G1</x:v>
      </x:c>
      <x:c r="J460" s="10" t="str">
        <x:v>Moradora obrigada a filmar rendição, 'monte' de fuzis, bombas em drones, cariocas a pé: veja imagens da megaoperação no Rio</x:v>
      </x:c>
      <x:c r="K460" s="10" t="str">
        <x:v>Hemerográfico</x:v>
      </x:c>
      <x:c r="L460" s="10" t="str">
        <x:v>Texto (digital)</x:v>
      </x:c>
      <x:c r="M460" s="10" t="str">
        <x:v>G1</x:v>
      </x:c>
      <x:c r="N460" s="10" t="str">
        <x:v>Português, Brasil</x:v>
      </x:c>
      <x:c r="O460" s="10" t="str">
        <x:v>"Operação contenção" no Google</x:v>
      </x:c>
      <x:c r="P460" s="10" t="str">
        <x:v>2025-11-11 00:00:00</x:v>
      </x:c>
      <x:c r="Q460" s="10" t="str">
        <x:v>Aberto</x:v>
      </x:c>
      <x:c r="R460" s="10" t="str">
        <x:v>Aqui</x:v>
      </x:c>
      <x:c r="S460" s="10" t="str">
        <x:v>G1. Moradora obrigada a filmar rendição, 'monte' de fuzis, bombas em drones, cariocas a pé: veja imagens da megaoperação no Rio. G1, Rio de Janeiro, 29 out. 2025. Disponível em: https://g1.globo.com/rj/rio-de-janeiro/noticia/2025/10/29/moradora-obrigada-a-filmar-rendicao-monte-de-fuzis-bombas-em-drones-cariocas-a-pe-veja-imagens-da-megaoperacao-no-rio.ghtml. Acesso em: 11 nov. 2025.</x:v>
      </x:c>
      <x:c r="T460" s="10" t="str">
        <x:v>BR-SPDIREITOVIOLESTADO_MAPEAMENTOS-NOTICIAS-MSSCPENHA.xlsx</x:v>
      </x:c>
      <x:c r="U460" s="10" t="str">
        <x:v>Geral</x:v>
      </x:c>
      <x:c r="V460" s="11" t="n">
        <x:v>205</x:v>
      </x:c>
      <x:c r="W460" s="10" t="str">
        <x:v>BR-SPDIREITOVIOLESTADO_MAPEAMENTOS-NOTICIAS-MSSCPENHA.xlsx:Geral:205</x:v>
      </x:c>
      <x:c r="X460" s="11" t="n">
        <x:f>COLUMNS(A460:S460)-COUNTBLANK(A460:S460)</x:f>
        <x:v>19</x:v>
      </x:c>
    </x:row>
    <x:row r="461" ht="24" hidden="0" customHeight="1">
      <x:c r="A461" s="10" t="str">
        <x:v>Notícia</x:v>
      </x:c>
      <x:c r="B461" s="10" t="str">
        <x:v>Difusão</x:v>
      </x:c>
      <x:c r="C461" s="10" t="str">
        <x:v>Produção midiática</x:v>
      </x:c>
      <x:c r="D461" s="10" t="str">
        <x:v>Público Mediado</x:v>
      </x:c>
      <x:c r="E461" s="10" t="str">
        <x:v>Midiático</x:v>
      </x:c>
      <x:c r="F461" s="10" t="str">
        <x:v>03/11/2025</x:v>
      </x:c>
      <x:c r="G461" s="11" t="n">
        <x:v>2025</x:v>
      </x:c>
      <x:c r="H461" s="10" t="str">
        <x:v>Rio de Janeiro, Brasil</x:v>
      </x:c>
      <x:c r="I461" s="10" t="str">
        <x:v>TV Brasil</x:v>
      </x:c>
      <x:c r="J461" s="10" t="str">
        <x:v>Operação Contenção: governo divulga imagens das câmeras corporais</x:v>
      </x:c>
      <x:c r="K461" s="10" t="str">
        <x:v>Hemerográfico</x:v>
      </x:c>
      <x:c r="L461" s="10" t="str">
        <x:v>Texto (digital)</x:v>
      </x:c>
      <x:c r="M461" s="10" t="str">
        <x:v>TV Brasil</x:v>
      </x:c>
      <x:c r="N461" s="10" t="str">
        <x:v>Português, Brasil</x:v>
      </x:c>
      <x:c r="O461" s="10" t="str">
        <x:v>"Operação contenção" no Google</x:v>
      </x:c>
      <x:c r="P461" s="10" t="str">
        <x:v>2025-11-11 00:00:00</x:v>
      </x:c>
      <x:c r="Q461" s="10" t="str">
        <x:v>Aberto</x:v>
      </x:c>
      <x:c r="R461" s="10" t="str">
        <x:v>Aqui</x:v>
      </x:c>
      <x:c r="S461" s="10" t="str">
        <x:v>TV BRASIL. Operação Contenção: governo divulga imagens das câmeras corporais. TV Brasil, Rio de Janeiro, 3 nov. 2025. Disponível em: https://tvbrasil.ebc.com.br/reporter-brasil-tarde/2025/11/operacao-contencao-governo-divulga-imagens-das-cameras-corporais. Acesso em: 11 nov. 2025.</x:v>
      </x:c>
      <x:c r="T461" s="10" t="str">
        <x:v>BR-SPDIREITOVIOLESTADO_MAPEAMENTOS-NOTICIAS-MSSCPENHA.xlsx</x:v>
      </x:c>
      <x:c r="U461" s="10" t="str">
        <x:v>Geral</x:v>
      </x:c>
      <x:c r="V461" s="11" t="n">
        <x:v>206</x:v>
      </x:c>
      <x:c r="W461" s="10" t="str">
        <x:v>BR-SPDIREITOVIOLESTADO_MAPEAMENTOS-NOTICIAS-MSSCPENHA.xlsx:Geral:206</x:v>
      </x:c>
      <x:c r="X461" s="11" t="n">
        <x:f>COLUMNS(A461:S461)-COUNTBLANK(A461:S461)</x:f>
        <x:v>19</x:v>
      </x:c>
    </x:row>
    <x:row r="462" ht="24" hidden="0" customHeight="1">
      <x:c r="A462" s="10" t="str">
        <x:v>Notícia</x:v>
      </x:c>
      <x:c r="B462" s="10" t="str">
        <x:v>Difusão</x:v>
      </x:c>
      <x:c r="C462" s="10" t="str">
        <x:v>Produção midiática</x:v>
      </x:c>
      <x:c r="D462" s="10" t="str">
        <x:v>Público Mediado</x:v>
      </x:c>
      <x:c r="E462" s="10" t="str">
        <x:v>Midiático</x:v>
      </x:c>
      <x:c r="F462" s="10" t="str">
        <x:v>06/11/2025</x:v>
      </x:c>
      <x:c r="G462" s="11" t="n">
        <x:v>2025</x:v>
      </x:c>
      <x:c r="H462" s="10" t="str">
        <x:v>São Paulo, Brasil</x:v>
      </x:c>
      <x:c r="I462" s="10" t="str">
        <x:v>CNN Brasil</x:v>
      </x:c>
      <x:c r="J462" s="10" t="str">
        <x:v>Ministério desmente proposta de auxílio a famílias de mortos em ação no Rio</x:v>
      </x:c>
      <x:c r="K462" s="10" t="str">
        <x:v>Hemerográfico</x:v>
      </x:c>
      <x:c r="L462" s="10" t="str">
        <x:v>Texto (digital)</x:v>
      </x:c>
      <x:c r="M462" s="10" t="str">
        <x:v>CNN Brasil</x:v>
      </x:c>
      <x:c r="N462" s="10" t="str">
        <x:v>Português, Brasil</x:v>
      </x:c>
      <x:c r="O462" s="10" t="str">
        <x:v>"Operação contenção" no Google</x:v>
      </x:c>
      <x:c r="P462" s="10" t="str">
        <x:v>2025-11-11 00:00:00</x:v>
      </x:c>
      <x:c r="Q462" s="10" t="str">
        <x:v>Aberto</x:v>
      </x:c>
      <x:c r="R462" s="10" t="str">
        <x:v>Aqui</x:v>
      </x:c>
      <x:c r="S462" s="10" t="str">
        <x:v>FARIAS, Julia. Ministério desmente proposta de auxílio a famílias de mortos em ação no Rio. CNN Brasil, São Paulo, 6 nov. 2025. Disponível em: https://www.cnnbrasil.com.br/nacional/sudeste/rj/ministerio-desmente-proposta-de-auxilio-a-familias-de-mortos-em-acao-no-rio/. Acesso em: 11 nov. 2025.</x:v>
      </x:c>
      <x:c r="T462" s="10" t="str">
        <x:v>BR-SPDIREITOVIOLESTADO_MAPEAMENTOS-NOTICIAS-MSSCPENHA.xlsx</x:v>
      </x:c>
      <x:c r="U462" s="10" t="str">
        <x:v>Geral</x:v>
      </x:c>
      <x:c r="V462" s="11" t="n">
        <x:v>207</x:v>
      </x:c>
      <x:c r="W462" s="10" t="str">
        <x:v>BR-SPDIREITOVIOLESTADO_MAPEAMENTOS-NOTICIAS-MSSCPENHA.xlsx:Geral:207</x:v>
      </x:c>
      <x:c r="X462" s="11" t="n">
        <x:f>COLUMNS(A462:S462)-COUNTBLANK(A462:S462)</x:f>
        <x:v>19</x:v>
      </x:c>
    </x:row>
    <x:row r="463" ht="24" hidden="0" customHeight="1">
      <x:c r="A463" s="10" t="str">
        <x:v>Notícia</x:v>
      </x:c>
      <x:c r="B463" s="10" t="str">
        <x:v>Difusão</x:v>
      </x:c>
      <x:c r="C463" s="10" t="str">
        <x:v>Produção midiática</x:v>
      </x:c>
      <x:c r="D463" s="10" t="str">
        <x:v>Público Mediado</x:v>
      </x:c>
      <x:c r="E463" s="10" t="str">
        <x:v>Midiático</x:v>
      </x:c>
      <x:c r="F463" s="10" t="str">
        <x:v>04/11/2025</x:v>
      </x:c>
      <x:c r="G463" s="11" t="n">
        <x:v>2025</x:v>
      </x:c>
      <x:c r="H463" s="10" t="str">
        <x:v>Distrito Federal, Brasil</x:v>
      </x:c>
      <x:c r="I463" s="10" t="str">
        <x:v>Valor Econômico</x:v>
      </x:c>
      <x:c r="J463" s="10" t="str">
        <x:v>MPF pede informações ao governo do RJ e à União sobre uso de recursos federais na Operação Contenção</x:v>
      </x:c>
      <x:c r="K463" s="10" t="str">
        <x:v>Hemerográfico</x:v>
      </x:c>
      <x:c r="L463" s="10" t="str">
        <x:v>Texto (digital)</x:v>
      </x:c>
      <x:c r="M463" s="10" t="str">
        <x:v>Valor Econômico</x:v>
      </x:c>
      <x:c r="N463" s="10" t="str">
        <x:v>Português, Brasil</x:v>
      </x:c>
      <x:c r="O463" s="10" t="str">
        <x:v>"Operação contenção" no Google</x:v>
      </x:c>
      <x:c r="P463" s="10" t="str">
        <x:v>2025-11-11 00:00:00</x:v>
      </x:c>
      <x:c r="Q463" s="10" t="str">
        <x:v>Acesso restrito</x:v>
      </x:c>
      <x:c r="R463" s="10" t="str">
        <x:v>Aqui</x:v>
      </x:c>
      <x:c r="S463" s="10" t="str">
        <x:v>ESCARDOVELLI, Maira. MPF pede informações ao governo do RJ e à União sobre uso de recursos federais na Operação Contenção. Valor, Brasília, 4 nov. 2025. Disponível em: https://valor.globo.com/politica/noticia/2025/11/04/mpf-pede-informacoes-ao-governo-do-rj-e-a-uniao-sobre-uso-de-recursos-federais-na-operacao-contencao.ghtml. Acesso em: 11 nov. 2025.</x:v>
      </x:c>
      <x:c r="T463" s="10" t="str">
        <x:v>BR-SPDIREITOVIOLESTADO_MAPEAMENTOS-NOTICIAS-MSSCPENHA.xlsx</x:v>
      </x:c>
      <x:c r="U463" s="10" t="str">
        <x:v>Geral</x:v>
      </x:c>
      <x:c r="V463" s="11" t="n">
        <x:v>208</x:v>
      </x:c>
      <x:c r="W463" s="10" t="str">
        <x:v>BR-SPDIREITOVIOLESTADO_MAPEAMENTOS-NOTICIAS-MSSCPENHA.xlsx:Geral:208</x:v>
      </x:c>
      <x:c r="X463" s="11" t="n">
        <x:f>COLUMNS(A463:S463)-COUNTBLANK(A463:S463)</x:f>
        <x:v>19</x:v>
      </x:c>
    </x:row>
    <x:row r="464" ht="24" hidden="0" customHeight="1">
      <x:c r="A464" s="10" t="str">
        <x:v>Notícia</x:v>
      </x:c>
      <x:c r="B464" s="10" t="str">
        <x:v>Difusão</x:v>
      </x:c>
      <x:c r="C464" s="10" t="str">
        <x:v>Produção midiática</x:v>
      </x:c>
      <x:c r="D464" s="10" t="str">
        <x:v>Público Mediado</x:v>
      </x:c>
      <x:c r="E464" s="10" t="str">
        <x:v>Midiático</x:v>
      </x:c>
      <x:c r="F464" s="10" t="str">
        <x:v>31/10/2025</x:v>
      </x:c>
      <x:c r="G464" s="11" t="n">
        <x:v>2025</x:v>
      </x:c>
      <x:c r="H464" s="10" t="str">
        <x:v>São Paulo, Brasil</x:v>
      </x:c>
      <x:c r="I464" s="10" t="str">
        <x:v>CNN Brasil</x:v>
      </x:c>
      <x:c r="J464" s="10" t="str">
        <x:v>Pesquisa: 8 em cada 10 moradores de favelas no Rio aprovam megaoperação</x:v>
      </x:c>
      <x:c r="K464" s="10" t="str">
        <x:v>Hemerográfico</x:v>
      </x:c>
      <x:c r="L464" s="10" t="str">
        <x:v>Texto (digital)</x:v>
      </x:c>
      <x:c r="M464" s="10" t="str">
        <x:v>CNN Brasil</x:v>
      </x:c>
      <x:c r="N464" s="10" t="str">
        <x:v>Português, Brasil</x:v>
      </x:c>
      <x:c r="O464" s="10" t="str">
        <x:v>"Operação contenção" no Google</x:v>
      </x:c>
      <x:c r="P464" s="10" t="str">
        <x:v>2025-11-11 00:00:00</x:v>
      </x:c>
      <x:c r="Q464" s="10" t="str">
        <x:v>Aberto</x:v>
      </x:c>
      <x:c r="R464" s="10" t="str">
        <x:v>Aqui</x:v>
      </x:c>
      <x:c r="S464" s="10" t="str">
        <x:v>SOUZA, Beto. Pesquisa: 8 em cada 10 moradores de favelas no Rio aprovam megaoperação. CNN Brasil, São Paulo, 31 out. 2025. Disponível em: https://www.cnnbrasil.com.br/nacional/sudeste/rj/pesquisa-8-em-cada-10-moradores-de-favelas-no-rio-aprovam-megaoperacao/. Acesso em: 11 nov. 2025.</x:v>
      </x:c>
      <x:c r="T464" s="10" t="str">
        <x:v>BR-SPDIREITOVIOLESTADO_MAPEAMENTOS-NOTICIAS-MSSCPENHA.xlsx</x:v>
      </x:c>
      <x:c r="U464" s="10" t="str">
        <x:v>Geral</x:v>
      </x:c>
      <x:c r="V464" s="11" t="n">
        <x:v>209</x:v>
      </x:c>
      <x:c r="W464" s="10" t="str">
        <x:v>BR-SPDIREITOVIOLESTADO_MAPEAMENTOS-NOTICIAS-MSSCPENHA.xlsx:Geral:209</x:v>
      </x:c>
      <x:c r="X464" s="11" t="n">
        <x:f>COLUMNS(A464:S464)-COUNTBLANK(A464:S464)</x:f>
        <x:v>19</x:v>
      </x:c>
    </x:row>
    <x:row r="465" ht="24" hidden="0" customHeight="1">
      <x:c r="A465" s="10" t="str">
        <x:v>Notícia</x:v>
      </x:c>
      <x:c r="B465" s="10" t="str">
        <x:v>Difusão</x:v>
      </x:c>
      <x:c r="C465" s="10" t="str">
        <x:v>Produção midiática</x:v>
      </x:c>
      <x:c r="D465" s="10" t="str">
        <x:v>Público Mediado</x:v>
      </x:c>
      <x:c r="E465" s="10" t="str">
        <x:v>Midiático</x:v>
      </x:c>
      <x:c r="F465" s="10" t="str">
        <x:v>28/10/2025</x:v>
      </x:c>
      <x:c r="G465" s="11" t="n">
        <x:v>2025</x:v>
      </x:c>
      <x:c r="H465" s="10" t="str">
        <x:v>Pará, Brasil</x:v>
      </x:c>
      <x:c r="I465" s="10" t="str">
        <x:v>G1</x:v>
      </x:c>
      <x:c r="J465" s="10" t="str">
        <x:v>Megaoperação no RJ tinha como alvo 32 paraenses que comandavam crimes à distância, diz polícia do PA</x:v>
      </x:c>
      <x:c r="K465" s="10" t="str">
        <x:v>Hemerográfico</x:v>
      </x:c>
      <x:c r="L465" s="10" t="str">
        <x:v>Texto (digital)</x:v>
      </x:c>
      <x:c r="M465" s="10" t="str">
        <x:v>G1</x:v>
      </x:c>
      <x:c r="N465" s="10" t="str">
        <x:v>Português, Brasil</x:v>
      </x:c>
      <x:c r="O465" s="10" t="str">
        <x:v>"Operação contenção" no Google</x:v>
      </x:c>
      <x:c r="P465" s="10" t="str">
        <x:v>2025-11-11 00:00:00</x:v>
      </x:c>
      <x:c r="Q465" s="10" t="str">
        <x:v>Aberto</x:v>
      </x:c>
      <x:c r="R465" s="10" t="str">
        <x:v>Aqui</x:v>
      </x:c>
      <x:c r="S465" s="10" t="str">
        <x:v>G1. Megaoperação no RJ tinha como alvo 32 paraenses que comandavam crimes à distância, diz polícia do PA. G1, Belém, 28 out. 2025. Disponível em: https://g1.globo.com/pa/para/noticia/2025/10/28/megaoperacao-no-rj-tinha-como-alvo-32-paraenses-que-comandavam-crimes-a-distancia-diz-policia-do-pa.ghtml. Acesso em: 11 nov. 2025.</x:v>
      </x:c>
      <x:c r="T465" s="10" t="str">
        <x:v>BR-SPDIREITOVIOLESTADO_MAPEAMENTOS-NOTICIAS-MSSCPENHA.xlsx</x:v>
      </x:c>
      <x:c r="U465" s="10" t="str">
        <x:v>Geral</x:v>
      </x:c>
      <x:c r="V465" s="11" t="n">
        <x:v>210</x:v>
      </x:c>
      <x:c r="W465" s="10" t="str">
        <x:v>BR-SPDIREITOVIOLESTADO_MAPEAMENTOS-NOTICIAS-MSSCPENHA.xlsx:Geral:210</x:v>
      </x:c>
      <x:c r="X465" s="11" t="n">
        <x:f>COLUMNS(A465:S465)-COUNTBLANK(A465:S465)</x:f>
        <x:v>19</x:v>
      </x:c>
    </x:row>
    <x:row r="466" ht="24" hidden="0" customHeight="1">
      <x:c r="A466" s="10" t="str">
        <x:v>Notícia</x:v>
      </x:c>
      <x:c r="B466" s="10" t="str">
        <x:v>Difusão</x:v>
      </x:c>
      <x:c r="C466" s="10" t="str">
        <x:v>Produção midiática</x:v>
      </x:c>
      <x:c r="D466" s="10" t="str">
        <x:v>Público Mediado</x:v>
      </x:c>
      <x:c r="E466" s="10" t="str">
        <x:v>Midiático</x:v>
      </x:c>
      <x:c r="F466" s="10" t="str">
        <x:v>28/10/2025</x:v>
      </x:c>
      <x:c r="G466" s="11" t="n">
        <x:v>2025</x:v>
      </x:c>
      <x:c r="H466" s="10" t="str">
        <x:v>São Paulo, Brasil</x:v>
      </x:c>
      <x:c r="I466" s="10" t="str">
        <x:v>CNN Brasil</x:v>
      </x:c>
      <x:c r="J466" s="10" t="str">
        <x:v>Câmara do Rio suspende sessão devido à megaoperação no Alemão e na Penha</x:v>
      </x:c>
      <x:c r="K466" s="10" t="str">
        <x:v>Hemerográfico</x:v>
      </x:c>
      <x:c r="L466" s="10" t="str">
        <x:v>Texto (digital)</x:v>
      </x:c>
      <x:c r="M466" s="10" t="str">
        <x:v>CNN Brasil</x:v>
      </x:c>
      <x:c r="N466" s="10" t="str">
        <x:v>Português, Brasil</x:v>
      </x:c>
      <x:c r="O466" s="10" t="str">
        <x:v>"Operação contenção" no Google</x:v>
      </x:c>
      <x:c r="P466" s="10" t="str">
        <x:v>2025-11-11 00:00:00</x:v>
      </x:c>
      <x:c r="Q466" s="10" t="str">
        <x:v>Aberto</x:v>
      </x:c>
      <x:c r="R466" s="10" t="str">
        <x:v>Aqui</x:v>
      </x:c>
      <x:c r="S466" s="10" t="str">
        <x:v>CNN BRASIL. Câmara do Rio suspende sessão devido à megaoperação no Alemão e na Penha. CNN Brasil, São Paulo, 28 out. 2025. Disponível em: https://www.cnnbrasil.com.br/politica/camara-do-rio-suspende-sessao-devido-a-megaoperacao-no-alemao-e-na-penha/. Acesso em: 11 nov. 2025.</x:v>
      </x:c>
      <x:c r="T466" s="10" t="str">
        <x:v>BR-SPDIREITOVIOLESTADO_MAPEAMENTOS-NOTICIAS-MSSCPENHA.xlsx</x:v>
      </x:c>
      <x:c r="U466" s="10" t="str">
        <x:v>Geral</x:v>
      </x:c>
      <x:c r="V466" s="11" t="n">
        <x:v>211</x:v>
      </x:c>
      <x:c r="W466" s="10" t="str">
        <x:v>BR-SPDIREITOVIOLESTADO_MAPEAMENTOS-NOTICIAS-MSSCPENHA.xlsx:Geral:211</x:v>
      </x:c>
      <x:c r="X466" s="11" t="n">
        <x:f>COLUMNS(A466:S466)-COUNTBLANK(A466:S466)</x:f>
        <x:v>19</x:v>
      </x:c>
    </x:row>
    <x:row r="467" ht="24" hidden="0" customHeight="1">
      <x:c r="A467" s="10" t="str">
        <x:v>Notícia</x:v>
      </x:c>
      <x:c r="B467" s="10" t="str">
        <x:v>Difusão</x:v>
      </x:c>
      <x:c r="C467" s="10" t="str">
        <x:v>Produção midiática</x:v>
      </x:c>
      <x:c r="D467" s="10" t="str">
        <x:v>Público Mediado</x:v>
      </x:c>
      <x:c r="E467" s="10" t="str">
        <x:v>Midiático</x:v>
      </x:c>
      <x:c r="F467" s="10" t="str">
        <x:v>30/10/2025</x:v>
      </x:c>
      <x:c r="G467" s="11" t="n">
        <x:v>2025</x:v>
      </x:c>
      <x:c r="H467" s="10" t="str">
        <x:v>Rio de Janeiro, Brasil</x:v>
      </x:c>
      <x:c r="I467" s="10" t="str">
        <x:v>Rádio Nacional</x:v>
      </x:c>
      <x:c r="J467" s="10" t="str">
        <x:v>Moradores do Rio protestam contra mortes na operação Contenção</x:v>
      </x:c>
      <x:c r="K467" s="10" t="str">
        <x:v>Hemerográfico</x:v>
      </x:c>
      <x:c r="L467" s="10" t="str">
        <x:v>Texto (digital)</x:v>
      </x:c>
      <x:c r="M467" s="10" t="str">
        <x:v>Rádio Nacional</x:v>
      </x:c>
      <x:c r="N467" s="10" t="str">
        <x:v>Português, Brasil</x:v>
      </x:c>
      <x:c r="O467" s="10" t="str">
        <x:v>"Operação contenção" no Google</x:v>
      </x:c>
      <x:c r="P467" s="10" t="str">
        <x:v>2025-11-11 00:00:00</x:v>
      </x:c>
      <x:c r="Q467" s="10" t="str">
        <x:v>Aberto</x:v>
      </x:c>
      <x:c r="R467" s="10" t="str">
        <x:v>Aqui</x:v>
      </x:c>
      <x:c r="S467" s="10" t="str">
        <x:v>RIBEIRO, Cristiane. Moradores do Rio protestam contra mortes na operação Contenção. Rádio Nacional, Rio de Janeiro, 30 out. 2025. Disponível em: https://agenciabrasil.ebc.com.br/radioagencia-nacional/seguranca/audio/2025-10/moradores-do-rio-protestam-contra-mortes-na-operacao-contencao. Acesso em: 11 nov. 2025.</x:v>
      </x:c>
      <x:c r="T467" s="10" t="str">
        <x:v>BR-SPDIREITOVIOLESTADO_MAPEAMENTOS-NOTICIAS-MSSCPENHA.xlsx</x:v>
      </x:c>
      <x:c r="U467" s="10" t="str">
        <x:v>Geral</x:v>
      </x:c>
      <x:c r="V467" s="11" t="n">
        <x:v>212</x:v>
      </x:c>
      <x:c r="W467" s="10" t="str">
        <x:v>BR-SPDIREITOVIOLESTADO_MAPEAMENTOS-NOTICIAS-MSSCPENHA.xlsx:Geral:212</x:v>
      </x:c>
      <x:c r="X467" s="11" t="n">
        <x:f>COLUMNS(A467:S467)-COUNTBLANK(A467:S467)</x:f>
        <x:v>19</x:v>
      </x:c>
    </x:row>
    <x:row r="468" ht="24" hidden="0" customHeight="1">
      <x:c r="A468" s="10" t="str">
        <x:v>Notícia</x:v>
      </x:c>
      <x:c r="B468" s="10" t="str">
        <x:v>Difusão</x:v>
      </x:c>
      <x:c r="C468" s="10" t="str">
        <x:v>Produção midiática</x:v>
      </x:c>
      <x:c r="D468" s="10" t="str">
        <x:v>Público Mediado</x:v>
      </x:c>
      <x:c r="E468" s="10" t="str">
        <x:v>Midiático</x:v>
      </x:c>
      <x:c r="F468" s="10" t="str">
        <x:v>31/10/2025</x:v>
      </x:c>
      <x:c r="G468" s="11" t="n">
        <x:v>2025</x:v>
      </x:c>
      <x:c r="H468" s="10" t="str">
        <x:v>São Paulo, Brasil</x:v>
      </x:c>
      <x:c r="I468" s="10" t="str">
        <x:v>CNN Brasil</x:v>
      </x:c>
      <x:c r="J468" s="10" t="str">
        <x:v>50 fuzis entram na Penha e no Alemão por mês, afirma Polícia Civil do Rio</x:v>
      </x:c>
      <x:c r="K468" s="10" t="str">
        <x:v>Hemerográfico</x:v>
      </x:c>
      <x:c r="L468" s="10" t="str">
        <x:v>Texto (digital)</x:v>
      </x:c>
      <x:c r="M468" s="10" t="str">
        <x:v>CNN Brasil</x:v>
      </x:c>
      <x:c r="N468" s="10" t="str">
        <x:v>Português, Brasil</x:v>
      </x:c>
      <x:c r="O468" s="10" t="str">
        <x:v>"Operação contenção" no Google</x:v>
      </x:c>
      <x:c r="P468" s="10" t="str">
        <x:v>2025-11-11 00:00:00</x:v>
      </x:c>
      <x:c r="Q468" s="10" t="str">
        <x:v>Aberto</x:v>
      </x:c>
      <x:c r="R468" s="10" t="str">
        <x:v>Aqui</x:v>
      </x:c>
      <x:c r="S468" s="10" t="str">
        <x:v>NASPOLINI, Julia. 50 fuzis entram na Penha e no Alemão por mês, afirma Polícia Civil do Rio. CNN Brasil, São Paulo, 31 out. 2025. Disponível em: https://www.cnnbrasil.com.br/nacional/sudeste/rj/50-fuzis-entram-na-penha-e-no-alemao-por-mes-afirma-policia-civil-do-rio/. Acesso em: 11 nov. 2025.</x:v>
      </x:c>
      <x:c r="T468" s="10" t="str">
        <x:v>BR-SPDIREITOVIOLESTADO_MAPEAMENTOS-NOTICIAS-MSSCPENHA.xlsx</x:v>
      </x:c>
      <x:c r="U468" s="10" t="str">
        <x:v>Geral</x:v>
      </x:c>
      <x:c r="V468" s="11" t="n">
        <x:v>213</x:v>
      </x:c>
      <x:c r="W468" s="10" t="str">
        <x:v>BR-SPDIREITOVIOLESTADO_MAPEAMENTOS-NOTICIAS-MSSCPENHA.xlsx:Geral:213</x:v>
      </x:c>
      <x:c r="X468" s="11" t="n">
        <x:f>COLUMNS(A468:S468)-COUNTBLANK(A468:S468)</x:f>
        <x:v>19</x:v>
      </x:c>
    </x:row>
    <x:row r="469" ht="24" hidden="0" customHeight="1">
      <x:c r="A469" s="10" t="str">
        <x:v>Notícia</x:v>
      </x:c>
      <x:c r="B469" s="10" t="str">
        <x:v>Difusão</x:v>
      </x:c>
      <x:c r="C469" s="10" t="str">
        <x:v>Produção midiática</x:v>
      </x:c>
      <x:c r="D469" s="10" t="str">
        <x:v>Público Mediado</x:v>
      </x:c>
      <x:c r="E469" s="10" t="str">
        <x:v>Midiático</x:v>
      </x:c>
      <x:c r="F469" s="10" t="str">
        <x:v>29/10/2025</x:v>
      </x:c>
      <x:c r="G469" s="11" t="n">
        <x:v>2025</x:v>
      </x:c>
      <x:c r="H469" s="10" t="str">
        <x:v>Distrito Federal, Brasil</x:v>
      </x:c>
      <x:c r="I469" s="10" t="str">
        <x:v>Agência Brasil</x:v>
      </x:c>
      <x:c r="J469" s="10" t="str">
        <x:v>"Não era razoável", diz PF sobre planejamento da operação no Rio</x:v>
      </x:c>
      <x:c r="K469" s="10" t="str">
        <x:v>Hemerográfico</x:v>
      </x:c>
      <x:c r="L469" s="10" t="str">
        <x:v>Texto (digital)</x:v>
      </x:c>
      <x:c r="M469" s="10" t="str">
        <x:v>Agência Brasil</x:v>
      </x:c>
      <x:c r="N469" s="10" t="str">
        <x:v>Português, Brasil</x:v>
      </x:c>
      <x:c r="O469" s="10" t="str">
        <x:v>"Operação contenção" no Google</x:v>
      </x:c>
      <x:c r="P469" s="10" t="str">
        <x:v>2025-11-11 00:00:00</x:v>
      </x:c>
      <x:c r="Q469" s="10" t="str">
        <x:v>Aberto</x:v>
      </x:c>
      <x:c r="R469" s="10" t="str">
        <x:v>Aqui</x:v>
      </x:c>
      <x:c r="S469" s="10" t="str">
        <x:v>VERDÉLIO, Andreia. "Não era razoável", diz PF sobre planejamento da operação no Rio. Agência Brasil, Brasília, 29 out. 2025. Disponível em: https://agenciabrasil.ebc.com.br/geral/noticia/2025-10/nao-era-razoavel-diz-PF-sobre-planejamento-da-operacao%20no-rio. Acesso em: 11 nov. 2025.</x:v>
      </x:c>
      <x:c r="T469" s="10" t="str">
        <x:v>BR-SPDIREITOVIOLESTADO_MAPEAMENTOS-NOTICIAS-MSSCPENHA.xlsx</x:v>
      </x:c>
      <x:c r="U469" s="10" t="str">
        <x:v>Geral</x:v>
      </x:c>
      <x:c r="V469" s="11" t="n">
        <x:v>214</x:v>
      </x:c>
      <x:c r="W469" s="10" t="str">
        <x:v>BR-SPDIREITOVIOLESTADO_MAPEAMENTOS-NOTICIAS-MSSCPENHA.xlsx:Geral:214</x:v>
      </x:c>
      <x:c r="X469" s="11" t="n">
        <x:f>COLUMNS(A469:S469)-COUNTBLANK(A469:S469)</x:f>
        <x:v>19</x:v>
      </x:c>
    </x:row>
    <x:row r="470" ht="24" hidden="0" customHeight="1">
      <x:c r="A470" s="10" t="str">
        <x:v>Notícia</x:v>
      </x:c>
      <x:c r="B470" s="10" t="str">
        <x:v>Difusão</x:v>
      </x:c>
      <x:c r="C470" s="10" t="str">
        <x:v>Produção midiática</x:v>
      </x:c>
      <x:c r="D470" s="10" t="str">
        <x:v>Público Mediado</x:v>
      </x:c>
      <x:c r="E470" s="10" t="str">
        <x:v>Midiático</x:v>
      </x:c>
      <x:c r="F470" s="10" t="str">
        <x:v>28/10/2025</x:v>
      </x:c>
      <x:c r="G470" s="11" t="n">
        <x:v>2025</x:v>
      </x:c>
      <x:c r="H470" s="10" t="str">
        <x:v>São Paulo, Brasil</x:v>
      </x:c>
      <x:c r="I470" s="10" t="str">
        <x:v>CNN Brasil</x:v>
      </x:c>
      <x:c r="J470" s="10" t="str">
        <x:v>Após 12 horas de confronto, o que se sabe sobre megaoperação com 64 mortes</x:v>
      </x:c>
      <x:c r="K470" s="10" t="str">
        <x:v>Hemerográfico</x:v>
      </x:c>
      <x:c r="L470" s="10" t="str">
        <x:v>Texto (digital)</x:v>
      </x:c>
      <x:c r="M470" s="10" t="str">
        <x:v>CNN Brasil</x:v>
      </x:c>
      <x:c r="N470" s="10" t="str">
        <x:v>Português, Brasil</x:v>
      </x:c>
      <x:c r="O470" s="10" t="str">
        <x:v>"Operação contenção" no Google</x:v>
      </x:c>
      <x:c r="P470" s="10" t="str">
        <x:v>2025-11-11 00:00:00</x:v>
      </x:c>
      <x:c r="Q470" s="10" t="str">
        <x:v>Aberto</x:v>
      </x:c>
      <x:c r="R470" s="10" t="str">
        <x:v>Aqui</x:v>
      </x:c>
      <x:c r="S470" s="10" t="str">
        <x:v>PINOTTI, Fernanda. Após 12 horas de confronto, o que se sabe sobre megaoperação com 64 mortes. CNN Brasil, São Paulo, 28 out. 2025. Disponível em: https://www.cnnbrasil.com.br/nacional/sudeste/rj/apos-12-horas-de-confronto-o-que-se-sabe-sobre-megaoperacao-com-64-mortes/. Acesso em: 11 nov. 2025.</x:v>
      </x:c>
      <x:c r="T470" s="10" t="str">
        <x:v>BR-SPDIREITOVIOLESTADO_MAPEAMENTOS-NOTICIAS-MSSCPENHA.xlsx</x:v>
      </x:c>
      <x:c r="U470" s="10" t="str">
        <x:v>Geral</x:v>
      </x:c>
      <x:c r="V470" s="11" t="n">
        <x:v>215</x:v>
      </x:c>
      <x:c r="W470" s="10" t="str">
        <x:v>BR-SPDIREITOVIOLESTADO_MAPEAMENTOS-NOTICIAS-MSSCPENHA.xlsx:Geral:215</x:v>
      </x:c>
      <x:c r="X470" s="11" t="n">
        <x:f>COLUMNS(A470:S470)-COUNTBLANK(A470:S470)</x:f>
        <x:v>19</x:v>
      </x:c>
    </x:row>
    <x:row r="471" ht="24" hidden="0" customHeight="1">
      <x:c r="A471" s="10" t="str">
        <x:v>Notícia</x:v>
      </x:c>
      <x:c r="B471" s="10" t="str">
        <x:v>Difusão</x:v>
      </x:c>
      <x:c r="C471" s="10" t="str">
        <x:v>Produção midiática</x:v>
      </x:c>
      <x:c r="D471" s="10" t="str">
        <x:v>Público Mediado</x:v>
      </x:c>
      <x:c r="E471" s="10" t="str">
        <x:v>Midiático</x:v>
      </x:c>
      <x:c r="F471" s="10" t="str">
        <x:v>28/10/2025</x:v>
      </x:c>
      <x:c r="G471" s="11" t="n">
        <x:v>2025</x:v>
      </x:c>
      <x:c r="H471" s="10" t="str">
        <x:v>São Paulo, Brasil</x:v>
      </x:c>
      <x:c r="I471" s="10" t="str">
        <x:v>Valor Econômico</x:v>
      </x:c>
      <x:c r="J471" s="10" t="str">
        <x:v>Imprensa internacional repercute megaoperação contra facção no Rio</x:v>
      </x:c>
      <x:c r="K471" s="10" t="str">
        <x:v>Hemerográfico</x:v>
      </x:c>
      <x:c r="L471" s="10" t="str">
        <x:v>Texto (digital)</x:v>
      </x:c>
      <x:c r="M471" s="10" t="str">
        <x:v>Valor Econômico</x:v>
      </x:c>
      <x:c r="N471" s="10" t="str">
        <x:v>Português, Brasil</x:v>
      </x:c>
      <x:c r="O471" s="10" t="str">
        <x:v>"Operação contenção" no Google</x:v>
      </x:c>
      <x:c r="P471" s="10" t="str">
        <x:v>2025-11-11 00:00:00</x:v>
      </x:c>
      <x:c r="Q471" s="10" t="str">
        <x:v>Aberto</x:v>
      </x:c>
      <x:c r="R471" s="10" t="str">
        <x:v>Aqui</x:v>
      </x:c>
      <x:c r="S471" s="10" t="str">
        <x:v>ROSA, Victoria Nogueira. Imprensa internacional repercute megaoperação contra facção no Rio. Valor, São Paulo, 28 out. 2025. Disponível em: https://valor.globo.com/mundo/noticia/2025/10/28/imprensa-internacional-repercute-megaoperao-contra-faco-no-rio.ghtml. Acesso em: 11 nov. 2025.</x:v>
      </x:c>
      <x:c r="T471" s="10" t="str">
        <x:v>BR-SPDIREITOVIOLESTADO_MAPEAMENTOS-NOTICIAS-MSSCPENHA.xlsx</x:v>
      </x:c>
      <x:c r="U471" s="10" t="str">
        <x:v>Geral</x:v>
      </x:c>
      <x:c r="V471" s="11" t="n">
        <x:v>216</x:v>
      </x:c>
      <x:c r="W471" s="10" t="str">
        <x:v>BR-SPDIREITOVIOLESTADO_MAPEAMENTOS-NOTICIAS-MSSCPENHA.xlsx:Geral:216</x:v>
      </x:c>
      <x:c r="X471" s="11" t="n">
        <x:f>COLUMNS(A471:S471)-COUNTBLANK(A471:S471)</x:f>
        <x:v>19</x:v>
      </x:c>
    </x:row>
    <x:row r="472" ht="24" hidden="0" customHeight="1">
      <x:c r="A472" s="10" t="str">
        <x:v>Notícia</x:v>
      </x:c>
      <x:c r="B472" s="10" t="str">
        <x:v>Difusão</x:v>
      </x:c>
      <x:c r="C472" s="10" t="str">
        <x:v>Produção midiática</x:v>
      </x:c>
      <x:c r="D472" s="10" t="str">
        <x:v>Público Mediado</x:v>
      </x:c>
      <x:c r="E472" s="10" t="str">
        <x:v>Midiático</x:v>
      </x:c>
      <x:c r="F472" s="10" t="str">
        <x:v>28/10/2025</x:v>
      </x:c>
      <x:c r="G472" s="11" t="n">
        <x:v>2025</x:v>
      </x:c>
      <x:c r="H472" s="10" t="str">
        <x:v>Rio de Janeiro, Brasil</x:v>
      </x:c>
      <x:c r="I472" s="10" t="str">
        <x:v>Agência Brasil</x:v>
      </x:c>
      <x:c r="J472" s="10" t="str">
        <x:v>Rio: operação prende 23 pessoas nos Complexos da Penha e do Alemão</x:v>
      </x:c>
      <x:c r="K472" s="10" t="str">
        <x:v>Hemerográfico</x:v>
      </x:c>
      <x:c r="L472" s="10" t="str">
        <x:v>Texto (digital)</x:v>
      </x:c>
      <x:c r="M472" s="10" t="str">
        <x:v>Agência Brasil</x:v>
      </x:c>
      <x:c r="N472" s="10" t="str">
        <x:v>Português, Brasil</x:v>
      </x:c>
      <x:c r="O472" s="10" t="str">
        <x:v>"Operação contenção" no Google</x:v>
      </x:c>
      <x:c r="P472" s="10" t="str">
        <x:v>2025-11-11 00:00:00</x:v>
      </x:c>
      <x:c r="Q472" s="10" t="str">
        <x:v>Aberto</x:v>
      </x:c>
      <x:c r="R472" s="10" t="str">
        <x:v>Aqui</x:v>
      </x:c>
      <x:c r="S472" s="10" t="str">
        <x:v>AGÊNCIA BRASIL. Rio: operação prende 23 pessoas nos Complexos da Penha e do Alemão. Agência Brasil, Rio de Janeiro, 28 out. 2025. Disponível em: https://agenciabrasil.ebc.com.br/geral/noticia/2025-10/operacao-prende-23-pessoas-nos-complexos-da-penha-e-do-alemao-no-rio. Acesso em: 11 nov. 2025.</x:v>
      </x:c>
      <x:c r="T472" s="10" t="str">
        <x:v>BR-SPDIREITOVIOLESTADO_MAPEAMENTOS-NOTICIAS-MSSCPENHA.xlsx</x:v>
      </x:c>
      <x:c r="U472" s="10" t="str">
        <x:v>Geral</x:v>
      </x:c>
      <x:c r="V472" s="11" t="n">
        <x:v>217</x:v>
      </x:c>
      <x:c r="W472" s="10" t="str">
        <x:v>BR-SPDIREITOVIOLESTADO_MAPEAMENTOS-NOTICIAS-MSSCPENHA.xlsx:Geral:217</x:v>
      </x:c>
      <x:c r="X472" s="11" t="n">
        <x:f>COLUMNS(A472:S472)-COUNTBLANK(A472:S472)</x:f>
        <x:v>19</x:v>
      </x:c>
    </x:row>
    <x:row r="473" ht="24" hidden="0" customHeight="1">
      <x:c r="A473" s="10" t="str">
        <x:v>Notícia</x:v>
      </x:c>
      <x:c r="B473" s="10" t="str">
        <x:v>Difusão</x:v>
      </x:c>
      <x:c r="C473" s="10" t="str">
        <x:v>Produção midiática</x:v>
      </x:c>
      <x:c r="D473" s="10" t="str">
        <x:v>Público Mediado</x:v>
      </x:c>
      <x:c r="E473" s="10" t="str">
        <x:v>Midiático</x:v>
      </x:c>
      <x:c r="F473" s="10" t="str">
        <x:v>04/11/2025</x:v>
      </x:c>
      <x:c r="G473" s="11" t="n">
        <x:v>2025</x:v>
      </x:c>
      <x:c r="H473" s="10" t="str">
        <x:v>Distrito Federal, Brasil</x:v>
      </x:c>
      <x:c r="I473" s="10" t="str">
        <x:v>Rádio Nacional</x:v>
      </x:c>
      <x:c r="J473" s="10" t="str">
        <x:v>Defensoria recebe denúncias de abusos na Operação Contenção</x:v>
      </x:c>
      <x:c r="K473" s="10" t="str">
        <x:v>Hemerográfico</x:v>
      </x:c>
      <x:c r="L473" s="10" t="str">
        <x:v>Texto (digital)</x:v>
      </x:c>
      <x:c r="M473" s="10" t="str">
        <x:v>Rádio Nacional</x:v>
      </x:c>
      <x:c r="N473" s="10" t="str">
        <x:v>Português, Brasil</x:v>
      </x:c>
      <x:c r="O473" s="10" t="str">
        <x:v>"Operação contenção" no Google</x:v>
      </x:c>
      <x:c r="P473" s="10" t="str">
        <x:v>2025-11-11 00:00:00</x:v>
      </x:c>
      <x:c r="Q473" s="10" t="str">
        <x:v>Aberto</x:v>
      </x:c>
      <x:c r="R473" s="10" t="str">
        <x:v>Aqui</x:v>
      </x:c>
      <x:c r="S473" s="10" t="str">
        <x:v>CORREA, Gabriel. Defensoria recebe denúncias de abusos na Operação Contenção. Rádio Nacional, São Luís, 4 nov. 2025. Disponível em: https://agenciabrasil.ebc.com.br/radioagencia-nacional/direitos-humanos/audio/2025-11/defensoria-recebe-denuncias-de-abusos-na-operacao-contencao. Acesso em: 11 nov. 2025.</x:v>
      </x:c>
      <x:c r="T473" s="10" t="str">
        <x:v>BR-SPDIREITOVIOLESTADO_MAPEAMENTOS-NOTICIAS-MSSCPENHA.xlsx</x:v>
      </x:c>
      <x:c r="U473" s="10" t="str">
        <x:v>Geral</x:v>
      </x:c>
      <x:c r="V473" s="11" t="n">
        <x:v>218</x:v>
      </x:c>
      <x:c r="W473" s="10" t="str">
        <x:v>BR-SPDIREITOVIOLESTADO_MAPEAMENTOS-NOTICIAS-MSSCPENHA.xlsx:Geral:218</x:v>
      </x:c>
      <x:c r="X473" s="11" t="n">
        <x:f>COLUMNS(A473:S473)-COUNTBLANK(A473:S473)</x:f>
        <x:v>19</x:v>
      </x:c>
    </x:row>
    <x:row r="474" ht="24" hidden="0" customHeight="1">
      <x:c r="A474" s="10" t="str">
        <x:v>Notícia</x:v>
      </x:c>
      <x:c r="B474" s="10" t="str">
        <x:v>Difusão</x:v>
      </x:c>
      <x:c r="C474" s="10" t="str">
        <x:v>Produção midiática</x:v>
      </x:c>
      <x:c r="D474" s="10" t="str">
        <x:v>Público Mediado</x:v>
      </x:c>
      <x:c r="E474" s="10" t="str">
        <x:v>Midiático</x:v>
      </x:c>
      <x:c r="F474" s="10" t="str">
        <x:v>28/10/2025</x:v>
      </x:c>
      <x:c r="G474" s="11" t="n">
        <x:v>2025</x:v>
      </x:c>
      <x:c r="H474" s="10" t="str">
        <x:v>Rio de Janeiro, Brasil</x:v>
      </x:c>
      <x:c r="I474" s="10" t="str">
        <x:v>Agência Brasil</x:v>
      </x:c>
      <x:c r="J474" s="10" t="str">
        <x:v>Operação no Rio deixa dezenas de mortos e 56 presos</x:v>
      </x:c>
      <x:c r="K474" s="10" t="str">
        <x:v>Hemerográfico</x:v>
      </x:c>
      <x:c r="L474" s="10" t="str">
        <x:v>Texto (digital)</x:v>
      </x:c>
      <x:c r="M474" s="10" t="str">
        <x:v>Agência Brasil</x:v>
      </x:c>
      <x:c r="N474" s="10" t="str">
        <x:v>Português, Brasil</x:v>
      </x:c>
      <x:c r="O474" s="10" t="str">
        <x:v>"Operação contenção" no Google</x:v>
      </x:c>
      <x:c r="P474" s="10" t="str">
        <x:v>2025-11-11 00:00:00</x:v>
      </x:c>
      <x:c r="Q474" s="10" t="str">
        <x:v>Aberto</x:v>
      </x:c>
      <x:c r="R474" s="10" t="str">
        <x:v>Aqui</x:v>
      </x:c>
      <x:c r="S474" s="10" t="str">
        <x:v>CAMPOS, Ana Cristina. Operação no Rio deixa dezenas de mortos e 56 presos. Agência Brasil, Rio de Janeiro, 28 out. 2025. Disponível em: https://agenciabrasil.ebc.com.br/geral/noticia/2025-10/operacao-no-rio-deixa-18-suspeitos-mortos-e-56-presos. Acesso em: 11 nov. 2025.</x:v>
      </x:c>
      <x:c r="T474" s="10" t="str">
        <x:v>BR-SPDIREITOVIOLESTADO_MAPEAMENTOS-NOTICIAS-MSSCPENHA.xlsx</x:v>
      </x:c>
      <x:c r="U474" s="10" t="str">
        <x:v>Geral</x:v>
      </x:c>
      <x:c r="V474" s="11" t="n">
        <x:v>219</x:v>
      </x:c>
      <x:c r="W474" s="10" t="str">
        <x:v>BR-SPDIREITOVIOLESTADO_MAPEAMENTOS-NOTICIAS-MSSCPENHA.xlsx:Geral:219</x:v>
      </x:c>
      <x:c r="X474" s="11" t="n">
        <x:f>COLUMNS(A474:S474)-COUNTBLANK(A474:S474)</x:f>
        <x:v>19</x:v>
      </x:c>
    </x:row>
    <x:row r="475" ht="24" hidden="0" customHeight="1">
      <x:c r="A475" s="10" t="str">
        <x:v>Notícia</x:v>
      </x:c>
      <x:c r="B475" s="10" t="str">
        <x:v>Difusão</x:v>
      </x:c>
      <x:c r="C475" s="10" t="str">
        <x:v>Produção midiática</x:v>
      </x:c>
      <x:c r="D475" s="10" t="str">
        <x:v>Público Mediado</x:v>
      </x:c>
      <x:c r="E475" s="10" t="str">
        <x:v>Midiático</x:v>
      </x:c>
      <x:c r="F475" s="10" t="str">
        <x:v>11/11/2025</x:v>
      </x:c>
      <x:c r="G475" s="11" t="n">
        <x:v>2025</x:v>
      </x:c>
      <x:c r="H475" s="10" t="str">
        <x:v>Rio de Janeiro, Brasil</x:v>
      </x:c>
      <x:c r="I475" s="10" t="str">
        <x:v>Rádio Roquette Pinto</x:v>
      </x:c>
      <x:c r="J475" s="10" t="str">
        <x:v>Universidades públicas do Rio retomam atividades após Operação Contenção</x:v>
      </x:c>
      <x:c r="K475" s="10" t="str">
        <x:v>Hemerográfico</x:v>
      </x:c>
      <x:c r="L475" s="10" t="str">
        <x:v>Texto (digital)</x:v>
      </x:c>
      <x:c r="M475" s="10" t="str">
        <x:v>Rádio Roquette Pinto</x:v>
      </x:c>
      <x:c r="N475" s="10" t="str">
        <x:v>Português, Brasil</x:v>
      </x:c>
      <x:c r="O475" s="10" t="str">
        <x:v>"Operação contenção" no Google</x:v>
      </x:c>
      <x:c r="P475" s="10" t="str">
        <x:v>2025-11-11 00:00:00</x:v>
      </x:c>
      <x:c r="Q475" s="10" t="str">
        <x:v>Aberto</x:v>
      </x:c>
      <x:c r="R475" s="10" t="str">
        <x:v>Aqui</x:v>
      </x:c>
      <x:c r="S475" s="10" t="str">
        <x:v>SANTIAGO, Daniel. Universidades públicas do Rio retomam atividades após Operação Contenção. Rádio Roquette Pinto, Rio de Janeiro, 2025. Disponível em: https://www.rj.gov.br/radioroquettepinto/node/12550. Acesso em: 11 nov. 2025.</x:v>
      </x:c>
      <x:c r="T475" s="10" t="str">
        <x:v>BR-SPDIREITOVIOLESTADO_MAPEAMENTOS-NOTICIAS-MSSCPENHA.xlsx</x:v>
      </x:c>
      <x:c r="U475" s="10" t="str">
        <x:v>Geral</x:v>
      </x:c>
      <x:c r="V475" s="11" t="n">
        <x:v>220</x:v>
      </x:c>
      <x:c r="W475" s="10" t="str">
        <x:v>BR-SPDIREITOVIOLESTADO_MAPEAMENTOS-NOTICIAS-MSSCPENHA.xlsx:Geral:220</x:v>
      </x:c>
      <x:c r="X475" s="11" t="n">
        <x:f>COLUMNS(A475:S475)-COUNTBLANK(A475:S475)</x:f>
        <x:v>19</x:v>
      </x:c>
    </x:row>
    <x:row r="476" ht="24" hidden="0" customHeight="1">
      <x:c r="A476" s="10" t="str">
        <x:v>Notícia</x:v>
      </x:c>
      <x:c r="B476" s="10" t="str">
        <x:v>Difusão</x:v>
      </x:c>
      <x:c r="C476" s="10" t="str">
        <x:v>Produção midiática</x:v>
      </x:c>
      <x:c r="D476" s="10" t="str">
        <x:v>Público Mediado</x:v>
      </x:c>
      <x:c r="E476" s="10" t="str">
        <x:v>Midiático</x:v>
      </x:c>
      <x:c r="F476" s="10" t="str">
        <x:v>04/11/2025</x:v>
      </x:c>
      <x:c r="G476" s="11" t="n">
        <x:v>2025</x:v>
      </x:c>
      <x:c r="H476" s="10" t="str">
        <x:v>São Paulo, Brasil</x:v>
      </x:c>
      <x:c r="I476" s="10" t="str">
        <x:v>Correio Fluminense</x:v>
      </x:c>
      <x:c r="J476" s="10" t="str">
        <x:v>Castro relata a Moraes o planejamento da Operação Contenção</x:v>
      </x:c>
      <x:c r="K476" s="10" t="str">
        <x:v>Hemerográfico</x:v>
      </x:c>
      <x:c r="L476" s="10" t="str">
        <x:v>Texto (digital)</x:v>
      </x:c>
      <x:c r="M476" s="10" t="str">
        <x:v>Correio Fluminense</x:v>
      </x:c>
      <x:c r="N476" s="10" t="str">
        <x:v>Português, Brasil</x:v>
      </x:c>
      <x:c r="O476" s="10" t="str">
        <x:v>"Operação contenção" no Google</x:v>
      </x:c>
      <x:c r="P476" s="10" t="str">
        <x:v>2025-11-11 00:00:00</x:v>
      </x:c>
      <x:c r="Q476" s="10" t="str">
        <x:v>Aberto</x:v>
      </x:c>
      <x:c r="R476" s="10" t="str">
        <x:v>Aqui</x:v>
      </x:c>
      <x:c r="S476" s="10" t="str">
        <x:v>CASTRO relata a MORAES o planejamento da Operação Contenção. Correio Fluminense, São Paulo, 4 nov. 2025, p. 9. Disponível em: https://www.rj.gov.br/proderj/sites/default/files/arquivos-andamento/Publicacao%20NOVO%20Aviso%20Certame_CORREIO%20DA%20MANHA.pdf. Acesso em: 11 nov. 2025.</x:v>
      </x:c>
      <x:c r="T476" s="10" t="str">
        <x:v>BR-SPDIREITOVIOLESTADO_MAPEAMENTOS-NOTICIAS-MSSCPENHA.xlsx</x:v>
      </x:c>
      <x:c r="U476" s="10" t="str">
        <x:v>Geral</x:v>
      </x:c>
      <x:c r="V476" s="11" t="n">
        <x:v>221</x:v>
      </x:c>
      <x:c r="W476" s="10" t="str">
        <x:v>BR-SPDIREITOVIOLESTADO_MAPEAMENTOS-NOTICIAS-MSSCPENHA.xlsx:Geral:221</x:v>
      </x:c>
      <x:c r="X476" s="11" t="n">
        <x:f>COLUMNS(A476:S476)-COUNTBLANK(A476:S476)</x:f>
        <x:v>19</x:v>
      </x:c>
    </x:row>
    <x:row r="477" ht="24" hidden="0" customHeight="1">
      <x:c r="A477" s="10" t="str">
        <x:v>Notícia</x:v>
      </x:c>
      <x:c r="B477" s="10" t="str">
        <x:v>Difusão</x:v>
      </x:c>
      <x:c r="C477" s="10" t="str">
        <x:v>Produção midiática</x:v>
      </x:c>
      <x:c r="D477" s="10" t="str">
        <x:v>Público Mediado</x:v>
      </x:c>
      <x:c r="E477" s="10" t="str">
        <x:v>Midiático</x:v>
      </x:c>
      <x:c r="F477" s="10" t="str">
        <x:v>28/10/2025</x:v>
      </x:c>
      <x:c r="G477" s="11" t="n">
        <x:v>2025</x:v>
      </x:c>
      <x:c r="H477" s="10" t="str">
        <x:v>Rio de Janeiro, Brasil</x:v>
      </x:c>
      <x:c r="I477" s="10" t="str">
        <x:v>G1</x:v>
      </x:c>
      <x:c r="J477" s="10" t="str">
        <x:v>Operação no Alemão e na Penha tem 121 mortos e se torna a mais letal da história do Rio de Janeiro</x:v>
      </x:c>
      <x:c r="K477" s="10" t="str">
        <x:v>Hemerográfico</x:v>
      </x:c>
      <x:c r="L477" s="10" t="str">
        <x:v>Texto (digital)</x:v>
      </x:c>
      <x:c r="M477" s="10" t="str">
        <x:v>G1</x:v>
      </x:c>
      <x:c r="N477" s="10" t="str">
        <x:v>Português, Brasil</x:v>
      </x:c>
      <x:c r="O477" s="10" t="str">
        <x:v>"Operação contenção" no Google</x:v>
      </x:c>
      <x:c r="P477" s="10" t="str">
        <x:v>2025-11-11 00:00:00</x:v>
      </x:c>
      <x:c r="Q477" s="10" t="str">
        <x:v>Aberto</x:v>
      </x:c>
      <x:c r="R477" s="10" t="str">
        <x:v>Aqui</x:v>
      </x:c>
      <x:c r="S477" s="10" t="str">
        <x:v>NASCIMENTO, Rafael; COELHO, Henrique. Operação no Alemão e na Penha tem 121 mortos e se torna a mais letal da história do Rio de Janeiro. G1, Rio de Janeiro, 28 out. 2025. Disponível em: https://g1.globo.com/rj/rio-de-janeiro/noticia/2025/10/28/operacao-historico-da-cidade-do-rio.ghtml. Acesso em: 11 nov. 2025.</x:v>
      </x:c>
      <x:c r="T477" s="10" t="str">
        <x:v>BR-SPDIREITOVIOLESTADO_MAPEAMENTOS-NOTICIAS-MSSCPENHA.xlsx</x:v>
      </x:c>
      <x:c r="U477" s="10" t="str">
        <x:v>Geral</x:v>
      </x:c>
      <x:c r="V477" s="11" t="n">
        <x:v>222</x:v>
      </x:c>
      <x:c r="W477" s="10" t="str">
        <x:v>BR-SPDIREITOVIOLESTADO_MAPEAMENTOS-NOTICIAS-MSSCPENHA.xlsx:Geral:222</x:v>
      </x:c>
      <x:c r="X477" s="11" t="n">
        <x:f>COLUMNS(A477:S477)-COUNTBLANK(A477:S477)</x:f>
        <x:v>19</x:v>
      </x:c>
    </x:row>
    <x:row r="478" ht="24" hidden="0" customHeight="1">
      <x:c r="A478" s="10" t="str">
        <x:v>Notícia</x:v>
      </x:c>
      <x:c r="B478" s="10" t="str">
        <x:v>Difusão</x:v>
      </x:c>
      <x:c r="C478" s="10" t="str">
        <x:v>Produção midiática</x:v>
      </x:c>
      <x:c r="D478" s="10" t="str">
        <x:v>Público Mediado</x:v>
      </x:c>
      <x:c r="E478" s="10" t="str">
        <x:v>Midiático</x:v>
      </x:c>
      <x:c r="F478" s="10" t="str">
        <x:v>31/10/2025</x:v>
      </x:c>
      <x:c r="G478" s="11" t="n">
        <x:v>2025</x:v>
      </x:c>
      <x:c r="H478" s="10" t="str">
        <x:v>São Paulo, Brasil</x:v>
      </x:c>
      <x:c r="I478" s="10" t="str">
        <x:v>CNN Brasil</x:v>
      </x:c>
      <x:c r="J478" s="10" t="str">
        <x:v>Megaoperação: quem são os criminosos mais procurados do Comando Vermelho</x:v>
      </x:c>
      <x:c r="K478" s="10" t="str">
        <x:v>Hemerográfico</x:v>
      </x:c>
      <x:c r="L478" s="10" t="str">
        <x:v>Texto (digital)</x:v>
      </x:c>
      <x:c r="M478" s="10" t="str">
        <x:v>CNN Brasil</x:v>
      </x:c>
      <x:c r="N478" s="10" t="str">
        <x:v>Português, Brasil</x:v>
      </x:c>
      <x:c r="O478" s="10" t="str">
        <x:v>"Operação contenção" no Google</x:v>
      </x:c>
      <x:c r="P478" s="10" t="str">
        <x:v>2025-11-11 00:00:00</x:v>
      </x:c>
      <x:c r="Q478" s="10" t="str">
        <x:v>Aberto</x:v>
      </x:c>
      <x:c r="R478" s="10" t="str">
        <x:v>Aqui</x:v>
      </x:c>
      <x:c r="S478" s="10" t="str">
        <x:v>NASPOLINI, Julia; SILVESTRE, Yasmin. Megaoperação: quem são os criminosos mais procurados do Comando Vermelho. CNN Brasil, São Paulo, 31 out. 2025. Disponível em: https://www.cnnbrasil.com.br/nacional/sudeste/rj/megaoperacao-quem-sao-os-criminosos-mais-procurados-do-comando-vermelho/. Acesso em: 11 nov. 2025.</x:v>
      </x:c>
      <x:c r="T478" s="10" t="str">
        <x:v>BR-SPDIREITOVIOLESTADO_MAPEAMENTOS-NOTICIAS-MSSCPENHA.xlsx</x:v>
      </x:c>
      <x:c r="U478" s="10" t="str">
        <x:v>Geral</x:v>
      </x:c>
      <x:c r="V478" s="11" t="n">
        <x:v>223</x:v>
      </x:c>
      <x:c r="W478" s="10" t="str">
        <x:v>BR-SPDIREITOVIOLESTADO_MAPEAMENTOS-NOTICIAS-MSSCPENHA.xlsx:Geral:223</x:v>
      </x:c>
      <x:c r="X478" s="11" t="n">
        <x:f>COLUMNS(A478:S478)-COUNTBLANK(A478:S478)</x:f>
        <x:v>19</x:v>
      </x:c>
    </x:row>
    <x:row r="479" ht="24" hidden="0" customHeight="1">
      <x:c r="A479" s="10" t="str">
        <x:v>Notícia</x:v>
      </x:c>
      <x:c r="B479" s="10" t="str">
        <x:v>Difusão</x:v>
      </x:c>
      <x:c r="C479" s="10" t="str">
        <x:v>Produção midiática</x:v>
      </x:c>
      <x:c r="D479" s="10" t="str">
        <x:v>Público Mediado</x:v>
      </x:c>
      <x:c r="E479" s="10" t="str">
        <x:v>Midiático</x:v>
      </x:c>
      <x:c r="F479" s="10" t="str">
        <x:v>10/11/2025</x:v>
      </x:c>
      <x:c r="G479" s="11" t="n">
        <x:v>2025</x:v>
      </x:c>
      <x:c r="H479" s="10" t="str">
        <x:v>Rio de Janeiro, Brasil</x:v>
      </x:c>
      <x:c r="I479" s="10" t="str">
        <x:v>Gazeta do Povo</x:v>
      </x:c>
      <x:c r="J479" s="10" t="str">
        <x:v>ADPF das favelas estimulou alianças entre facções no Rio, diz associação de delegados</x:v>
      </x:c>
      <x:c r="K479" s="10" t="str">
        <x:v>Hemerográfico</x:v>
      </x:c>
      <x:c r="L479" s="10" t="str">
        <x:v>Texto (digital)</x:v>
      </x:c>
      <x:c r="M479" s="10" t="str">
        <x:v>Gazeta do Povo</x:v>
      </x:c>
      <x:c r="N479" s="10" t="str">
        <x:v>Português, Brasil</x:v>
      </x:c>
      <x:c r="O479" s="10" t="str">
        <x:v>"Operação contenção" no Google</x:v>
      </x:c>
      <x:c r="P479" s="10" t="str">
        <x:v>2025-11-11 00:00:00</x:v>
      </x:c>
      <x:c r="Q479" s="10" t="str">
        <x:v>Acesso restrito</x:v>
      </x:c>
      <x:c r="R479" s="10" t="str">
        <x:v>Aqui</x:v>
      </x:c>
      <x:c r="S479" s="10" t="str">
        <x:v>MACIA, Vinicius. ADPF das favelas estimulou alianças entre facções no Rio, diz associação de delegados. Gazeta do Povo, 10 nov. 2025. Disponível em: https://www.gazetadopovo.com.br/brasil/adpf-das-favelas-estimulou-aliancas-de-faccoes-diz-associacao/. Acesso em: 11 nov. 2025.</x:v>
      </x:c>
      <x:c r="T479" s="10" t="str">
        <x:v>BR-SPDIREITOVIOLESTADO_MAPEAMENTOS-NOTICIAS-MSSCPENHA.xlsx</x:v>
      </x:c>
      <x:c r="U479" s="10" t="str">
        <x:v>Geral</x:v>
      </x:c>
      <x:c r="V479" s="11" t="n">
        <x:v>224</x:v>
      </x:c>
      <x:c r="W479" s="10" t="str">
        <x:v>BR-SPDIREITOVIOLESTADO_MAPEAMENTOS-NOTICIAS-MSSCPENHA.xlsx:Geral:224</x:v>
      </x:c>
      <x:c r="X479" s="11" t="n">
        <x:f>COLUMNS(A479:S479)-COUNTBLANK(A479:S479)</x:f>
        <x:v>19</x:v>
      </x:c>
    </x:row>
    <x:row r="480" ht="24" hidden="0" customHeight="1">
      <x:c r="A480" s="10" t="str">
        <x:v>Notícia</x:v>
      </x:c>
      <x:c r="B480" s="10" t="str">
        <x:v>Difusão</x:v>
      </x:c>
      <x:c r="C480" s="10" t="str">
        <x:v>Produção midiática</x:v>
      </x:c>
      <x:c r="D480" s="10" t="str">
        <x:v>Público Mediado</x:v>
      </x:c>
      <x:c r="E480" s="10" t="str">
        <x:v>Midiático</x:v>
      </x:c>
      <x:c r="F480" s="10" t="str">
        <x:v>10/11/2025</x:v>
      </x:c>
      <x:c r="G480" s="11" t="n">
        <x:v>2025</x:v>
      </x:c>
      <x:c r="H480" s="10" t="str">
        <x:v>Rio de Janeiro, Brasil</x:v>
      </x:c>
      <x:c r="I480" s="10" t="str">
        <x:v>Gazeta do Povo</x:v>
      </x:c>
      <x:c r="J480" s="10" t="str">
        <x:v>O que é o conceito de guerra justa e como ele se aplica ao caso do Rio de Janeiro</x:v>
      </x:c>
      <x:c r="K480" s="10" t="str">
        <x:v>Hemerográfico</x:v>
      </x:c>
      <x:c r="L480" s="10" t="str">
        <x:v>Texto (digital)</x:v>
      </x:c>
      <x:c r="M480" s="10" t="str">
        <x:v>Gazeta do Povo</x:v>
      </x:c>
      <x:c r="N480" s="10" t="str">
        <x:v>Português, Brasil</x:v>
      </x:c>
      <x:c r="O480" s="10" t="str">
        <x:v>"Operação contenção" no Google</x:v>
      </x:c>
      <x:c r="P480" s="10" t="str">
        <x:v>2025-11-11 00:00:00</x:v>
      </x:c>
      <x:c r="Q480" s="10" t="str">
        <x:v>Acesso restrito</x:v>
      </x:c>
      <x:c r="R480" s="10" t="str">
        <x:v>Aqui</x:v>
      </x:c>
      <x:c r="S480" s="10" t="str">
        <x:v>PEÑALBA, Desirée. O que é o conceito de guerra justa e como ele se aplica ao caso do Rio de Janeiro. Gazeta do Povo, 10 nov. 2025. Artigo de opinião. Disponível em: https://www.gazetadopovo.com.br/ideias/guerra-justa-se-aplica-ao-rio-de-janeiro/. Acesso em: 11 nov. 2025.</x:v>
      </x:c>
      <x:c r="T480" s="10" t="str">
        <x:v>BR-SPDIREITOVIOLESTADO_MAPEAMENTOS-NOTICIAS-MSSCPENHA.xlsx</x:v>
      </x:c>
      <x:c r="U480" s="10" t="str">
        <x:v>Geral</x:v>
      </x:c>
      <x:c r="V480" s="11" t="n">
        <x:v>225</x:v>
      </x:c>
      <x:c r="W480" s="10" t="str">
        <x:v>BR-SPDIREITOVIOLESTADO_MAPEAMENTOS-NOTICIAS-MSSCPENHA.xlsx:Geral:225</x:v>
      </x:c>
      <x:c r="X480" s="11" t="n">
        <x:f>COLUMNS(A480:S480)-COUNTBLANK(A480:S480)</x:f>
        <x:v>19</x:v>
      </x:c>
    </x:row>
    <x:row r="481" ht="24" hidden="0" customHeight="1">
      <x:c r="A481" s="10" t="str">
        <x:v>Notícia</x:v>
      </x:c>
      <x:c r="B481" s="10" t="str">
        <x:v>Difusão</x:v>
      </x:c>
      <x:c r="C481" s="10" t="str">
        <x:v>Produção midiática</x:v>
      </x:c>
      <x:c r="D481" s="10" t="str">
        <x:v>Público Mediado</x:v>
      </x:c>
      <x:c r="E481" s="10" t="str">
        <x:v>Midiático</x:v>
      </x:c>
      <x:c r="F481" s="10" t="str">
        <x:v>10/11/2025</x:v>
      </x:c>
      <x:c r="G481" s="11" t="n">
        <x:v>2025</x:v>
      </x:c>
      <x:c r="H481" s="10" t="str">
        <x:v>Rio de Janeiro, Brasil</x:v>
      </x:c>
      <x:c r="I481" s="10" t="str">
        <x:v>Gazeta do Povo</x:v>
      </x:c>
      <x:c r="J481" s="10" t="str">
        <x:v>Guerra no Rio: quando a violência do Estado se torna justa</x:v>
      </x:c>
      <x:c r="K481" s="10" t="str">
        <x:v>Hemerográfico</x:v>
      </x:c>
      <x:c r="L481" s="10" t="str">
        <x:v>Texto (digital)</x:v>
      </x:c>
      <x:c r="M481" s="10" t="str">
        <x:v>Gazeta do Povo</x:v>
      </x:c>
      <x:c r="N481" s="10" t="str">
        <x:v>Português, Brasil</x:v>
      </x:c>
      <x:c r="O481" s="10" t="str">
        <x:v>"Operação contenção" no Google</x:v>
      </x:c>
      <x:c r="P481" s="10" t="str">
        <x:v>2025-11-11 00:00:00</x:v>
      </x:c>
      <x:c r="Q481" s="10" t="str">
        <x:v>Acesso restrito</x:v>
      </x:c>
      <x:c r="R481" s="10" t="str">
        <x:v>Aqui</x:v>
      </x:c>
      <x:c r="S481" s="10" t="str">
        <x:v>PEÑALBA, Desirée; GAZETA DO POVO LAB. Guerra no Rio: quando a violência do Estado se torna justa? Gazeta do Povo, 10 nov. 2025. Disponível em: https://www.gazetadopovo.com.br/ideias/guerra-no-rio-quando-a-violencia-do-estado-se-torna-justa/. Acesso em: 11 nov. 2025.</x:v>
      </x:c>
      <x:c r="T481" s="10" t="str">
        <x:v>BR-SPDIREITOVIOLESTADO_MAPEAMENTOS-NOTICIAS-MSSCPENHA.xlsx</x:v>
      </x:c>
      <x:c r="U481" s="10" t="str">
        <x:v>Geral</x:v>
      </x:c>
      <x:c r="V481" s="11" t="n">
        <x:v>226</x:v>
      </x:c>
      <x:c r="W481" s="10" t="str">
        <x:v>BR-SPDIREITOVIOLESTADO_MAPEAMENTOS-NOTICIAS-MSSCPENHA.xlsx:Geral:226</x:v>
      </x:c>
      <x:c r="X481" s="11" t="n">
        <x:f>COLUMNS(A481:S481)-COUNTBLANK(A481:S481)</x:f>
        <x:v>19</x:v>
      </x:c>
    </x:row>
    <x:row r="482" ht="24" hidden="0" customHeight="1">
      <x:c r="A482" s="10" t="str">
        <x:v>Notícia</x:v>
      </x:c>
      <x:c r="B482" s="10" t="str">
        <x:v>Difusão</x:v>
      </x:c>
      <x:c r="C482" s="10" t="str">
        <x:v>Produção midiática</x:v>
      </x:c>
      <x:c r="D482" s="10" t="str">
        <x:v>Público Mediado</x:v>
      </x:c>
      <x:c r="E482" s="10" t="str">
        <x:v>Midiático</x:v>
      </x:c>
      <x:c r="F482" s="10" t="str">
        <x:v>10/11/2025</x:v>
      </x:c>
      <x:c r="G482" s="11" t="n">
        <x:v>2025</x:v>
      </x:c>
      <x:c r="H482" s="10" t="str">
        <x:v>Rio de Janeiro, Brasil</x:v>
      </x:c>
      <x:c r="I482" s="10" t="str">
        <x:v>Gazeta do Povo</x:v>
      </x:c>
      <x:c r="J482" s="10" t="str">
        <x:v>Congresso terá sessão para homenagear policiais mortos na Operação Contenção</x:v>
      </x:c>
      <x:c r="K482" s="10" t="str">
        <x:v>Hemerográfico</x:v>
      </x:c>
      <x:c r="L482" s="10" t="str">
        <x:v>Texto (digital)</x:v>
      </x:c>
      <x:c r="M482" s="10" t="str">
        <x:v>Gazeta do Povo</x:v>
      </x:c>
      <x:c r="N482" s="10" t="str">
        <x:v>Português, Brasil</x:v>
      </x:c>
      <x:c r="O482" s="10" t="str">
        <x:v>"Operação contenção" no Google</x:v>
      </x:c>
      <x:c r="P482" s="10" t="str">
        <x:v>2025-11-11 00:00:00</x:v>
      </x:c>
      <x:c r="Q482" s="10" t="str">
        <x:v>Acesso restrito</x:v>
      </x:c>
      <x:c r="R482" s="10" t="str">
        <x:v>Aqui</x:v>
      </x:c>
      <x:c r="S482" s="10" t="str">
        <x:v>MACIA, Vinicius. Congresso terá sessão para homenagear policiais mortos na Operação Contenção. Gazeta do Povo, 10 nov. 2025. Disponível em: https://www.gazetadopovo.com.br/republica/congresso-tera-sessao-solene-para-homenagear-policiais-mortos-no-rio/. Acesso em: 11 nov. 2025.</x:v>
      </x:c>
      <x:c r="T482" s="10" t="str">
        <x:v>BR-SPDIREITOVIOLESTADO_MAPEAMENTOS-NOTICIAS-MSSCPENHA.xlsx</x:v>
      </x:c>
      <x:c r="U482" s="10" t="str">
        <x:v>Geral</x:v>
      </x:c>
      <x:c r="V482" s="11" t="n">
        <x:v>227</x:v>
      </x:c>
      <x:c r="W482" s="10" t="str">
        <x:v>BR-SPDIREITOVIOLESTADO_MAPEAMENTOS-NOTICIAS-MSSCPENHA.xlsx:Geral:227</x:v>
      </x:c>
      <x:c r="X482" s="11" t="n">
        <x:f>COLUMNS(A482:S482)-COUNTBLANK(A482:S482)</x:f>
        <x:v>19</x:v>
      </x:c>
    </x:row>
    <x:row r="483" ht="36" hidden="0" customHeight="1">
      <x:c r="A483" s="10" t="str">
        <x:v>Notícia</x:v>
      </x:c>
      <x:c r="B483" s="10" t="str">
        <x:v>Difusão</x:v>
      </x:c>
      <x:c r="C483" s="10" t="str">
        <x:v>Produção midiática</x:v>
      </x:c>
      <x:c r="D483" s="10" t="str">
        <x:v>Público Mediado</x:v>
      </x:c>
      <x:c r="E483" s="10" t="str">
        <x:v>Midiático</x:v>
      </x:c>
      <x:c r="F483" s="10" t="str">
        <x:v>28/10/2025</x:v>
      </x:c>
      <x:c r="G483" s="11" t="n">
        <x:v>2025</x:v>
      </x:c>
      <x:c r="H483" s="10" t="str">
        <x:v>Rio de Janeiro, Brasil</x:v>
      </x:c>
      <x:c r="I483" s="10" t="str">
        <x:v>O Globo</x:v>
      </x:c>
      <x:c r="J483" s="10" t="str">
        <x:v>Megaoperação para conter avanço do CV no Alemão e na Penha tem 64 mortos, entre eles quatro policiais; ação é a mais letal da história do Rio</x:v>
      </x:c>
      <x:c r="K483" s="10" t="str">
        <x:v>Hemerográfico</x:v>
      </x:c>
      <x:c r="L483" s="10" t="str">
        <x:v>Texto (digital)</x:v>
      </x:c>
      <x:c r="M483" s="10" t="str">
        <x:v>O Globo</x:v>
      </x:c>
      <x:c r="N483" s="10" t="str">
        <x:v>Português, Brasil</x:v>
      </x:c>
      <x:c r="O483" s="10" t="str">
        <x:v>"Operação contenção" no Google</x:v>
      </x:c>
      <x:c r="P483" s="10" t="str">
        <x:v>2025-11-11 00:00:00</x:v>
      </x:c>
      <x:c r="Q483" s="10" t="str">
        <x:v>Acesso restrito</x:v>
      </x:c>
      <x:c r="R483" s="10" t="str">
        <x:v>Aqui</x:v>
      </x:c>
      <x:c r="S483" s="10" t="str">
        <x:v>BUSTAMANTE, Anna; TORRES, Ana Carolina; PAIVA, Gabriel de; ROCHA, Fabiano; SOUZA, Roberta de; NUNES, Marcos. Megaoperação para conter avanço do CV no Alemão e na Penha tem 64 mortos, entre eles quatro policiais; ação é a mais letal da história do Rio. O Globo, Rio de Janeiro, 28 out. 2025. Disponível em: https://oglobo.globo.com/rio/noticia/2025/10/28/complexos-do-alemao-e-da-penha-sao-alvos-de-megaoperacao-acao-tem-dois-mortos-e-homem-em-situacao-de-rua-baleado.ghtml. Acesso em: 11 nov. 2025.</x:v>
      </x:c>
      <x:c r="T483" s="10" t="str">
        <x:v>BR-SPDIREITOVIOLESTADO_MAPEAMENTOS-NOTICIAS-MSSCPENHA.xlsx</x:v>
      </x:c>
      <x:c r="U483" s="10" t="str">
        <x:v>Geral</x:v>
      </x:c>
      <x:c r="V483" s="11" t="n">
        <x:v>228</x:v>
      </x:c>
      <x:c r="W483" s="10" t="str">
        <x:v>BR-SPDIREITOVIOLESTADO_MAPEAMENTOS-NOTICIAS-MSSCPENHA.xlsx:Geral:228</x:v>
      </x:c>
      <x:c r="X483" s="11" t="n">
        <x:f>COLUMNS(A483:S483)-COUNTBLANK(A483:S483)</x:f>
        <x:v>19</x:v>
      </x:c>
    </x:row>
    <x:row r="484" ht="24" hidden="0" customHeight="1">
      <x:c r="A484" s="10" t="str">
        <x:v>Notícia</x:v>
      </x:c>
      <x:c r="B484" s="10" t="str">
        <x:v>Difusão</x:v>
      </x:c>
      <x:c r="C484" s="10" t="str">
        <x:v>Produção midiática</x:v>
      </x:c>
      <x:c r="D484" s="10" t="str">
        <x:v>Público Mediado</x:v>
      </x:c>
      <x:c r="E484" s="10" t="str">
        <x:v>Midiático</x:v>
      </x:c>
      <x:c r="F484" s="10" t="str">
        <x:v>31/10/2025</x:v>
      </x:c>
      <x:c r="G484" s="11" t="n">
        <x:v>2025</x:v>
      </x:c>
      <x:c r="H484" s="10" t="str">
        <x:v>Paraná, Brasil</x:v>
      </x:c>
      <x:c r="I484" s="10" t="str">
        <x:v>Gazeta do Povo</x:v>
      </x:c>
      <x:c r="J484" s="10" t="str">
        <x:v>ONG de advogada de Marcinho VP associa Operação Contenção a ações do suposto golpe</x:v>
      </x:c>
      <x:c r="K484" s="10" t="str">
        <x:v>Hemerográfico</x:v>
      </x:c>
      <x:c r="L484" s="10" t="str">
        <x:v>Texto (digital)</x:v>
      </x:c>
      <x:c r="M484" s="10" t="str">
        <x:v>Gazeta do Povo</x:v>
      </x:c>
      <x:c r="N484" s="10" t="str">
        <x:v>Português, Brasil</x:v>
      </x:c>
      <x:c r="O484" s="10" t="str">
        <x:v>"Operação contenção" no Google</x:v>
      </x:c>
      <x:c r="P484" s="10" t="str">
        <x:v>2025-11-11 00:00:00</x:v>
      </x:c>
      <x:c r="Q484" s="10" t="str">
        <x:v>Acesso restrito</x:v>
      </x:c>
      <x:c r="R484" s="10" t="str">
        <x:v>Aqui</x:v>
      </x:c>
      <x:c r="S484" s="10" t="str">
        <x:v>MACIA, Vinicius. ONG de advogada de Marcinho VP associa Operação Contenção a ações do suposto golpe. Gazeta do Povo, 31 out. 2025. Disponível em: https://www.gazetadopovo.com.br/vida-e-cidadania/ong-de-advogada-marcinho-vp-associa-operacao-no-rio-a-golpe/. Acesso em: 11 nov. 2025.</x:v>
      </x:c>
      <x:c r="T484" s="10" t="str">
        <x:v>BR-SPDIREITOVIOLESTADO_MAPEAMENTOS-NOTICIAS-MSSCPENHA.xlsx</x:v>
      </x:c>
      <x:c r="U484" s="10" t="str">
        <x:v>Geral</x:v>
      </x:c>
      <x:c r="V484" s="11" t="n">
        <x:v>229</x:v>
      </x:c>
      <x:c r="W484" s="10" t="str">
        <x:v>BR-SPDIREITOVIOLESTADO_MAPEAMENTOS-NOTICIAS-MSSCPENHA.xlsx:Geral:229</x:v>
      </x:c>
      <x:c r="X484" s="11" t="n">
        <x:f>COLUMNS(A484:S484)-COUNTBLANK(A484:S484)</x:f>
        <x:v>19</x:v>
      </x:c>
    </x:row>
    <x:row r="485" ht="36" hidden="0" customHeight="1">
      <x:c r="A485" s="10" t="str">
        <x:v>Notícia</x:v>
      </x:c>
      <x:c r="B485" s="10" t="str">
        <x:v>Difusão</x:v>
      </x:c>
      <x:c r="C485" s="10" t="str">
        <x:v>Produção midiática</x:v>
      </x:c>
      <x:c r="D485" s="10" t="str">
        <x:v>Público Mediado</x:v>
      </x:c>
      <x:c r="E485" s="10" t="str">
        <x:v>Midiático</x:v>
      </x:c>
      <x:c r="F485" s="10" t="str">
        <x:v>28/10/2025</x:v>
      </x:c>
      <x:c r="G485" s="11" t="n">
        <x:v>2025</x:v>
      </x:c>
      <x:c r="H485" s="10" t="str">
        <x:v>Rio de Janeiro, Brasil</x:v>
      </x:c>
      <x:c r="I485" s="10" t="str">
        <x:v>O Globo</x:v>
      </x:c>
      <x:c r="J485" s="10" t="str">
        <x:v>O que está acontecendo no Rio de Janeiro: operação para conter avanço do Comando Vermelho tem 64 mortos</x:v>
      </x:c>
      <x:c r="K485" s="10" t="str">
        <x:v>Hemerográfico</x:v>
      </x:c>
      <x:c r="L485" s="10" t="str">
        <x:v>Texto (digital)</x:v>
      </x:c>
      <x:c r="M485" s="10" t="str">
        <x:v>O Globo</x:v>
      </x:c>
      <x:c r="N485" s="10" t="str">
        <x:v>Português, Brasil</x:v>
      </x:c>
      <x:c r="O485" s="10" t="str">
        <x:v>"Operação contenção" no Google</x:v>
      </x:c>
      <x:c r="P485" s="10" t="str">
        <x:v>2025-11-11 00:00:00</x:v>
      </x:c>
      <x:c r="Q485" s="10" t="str">
        <x:v>Acesso restrito</x:v>
      </x:c>
      <x:c r="R485" s="10" t="str">
        <x:v>Aqui</x:v>
      </x:c>
      <x:c r="S485" s="10" t="str">
        <x:v>BUSTAMANTE, Anna; TORRES, Ana Carolina; PAIVA, Gabriel de; ROCHA, Fabiano; SOUZA, Roberta de; NUNES, Marcos. O que está acontecendo no Rio de Janeiro: operação para conter avanço do Comando Vermelho tem 64 mortos. O Globo, Rio de Janeiro, 28 out. 2025. Disponível em: https://oglobo.globo.com/rio/noticia/2025/10/28/o-que-esta-acontecendo-no-rio-operacao-para-conter-avanco-do-comando-vermelho-tem-64-mortos-entre-eles-quatro-policiais.ghtml. Acesso em: 11 nov. 2025.</x:v>
      </x:c>
      <x:c r="T485" s="10" t="str">
        <x:v>BR-SPDIREITOVIOLESTADO_MAPEAMENTOS-NOTICIAS-MSSCPENHA.xlsx</x:v>
      </x:c>
      <x:c r="U485" s="10" t="str">
        <x:v>Geral</x:v>
      </x:c>
      <x:c r="V485" s="11" t="n">
        <x:v>230</x:v>
      </x:c>
      <x:c r="W485" s="10" t="str">
        <x:v>BR-SPDIREITOVIOLESTADO_MAPEAMENTOS-NOTICIAS-MSSCPENHA.xlsx:Geral:230</x:v>
      </x:c>
      <x:c r="X485" s="11" t="n">
        <x:f>COLUMNS(A485:S485)-COUNTBLANK(A485:S485)</x:f>
        <x:v>19</x:v>
      </x:c>
    </x:row>
    <x:row r="486" ht="24" hidden="0" customHeight="1">
      <x:c r="A486" s="10" t="str">
        <x:v>Notícia</x:v>
      </x:c>
      <x:c r="B486" s="10" t="str">
        <x:v>Difusão</x:v>
      </x:c>
      <x:c r="C486" s="10" t="str">
        <x:v>Produção midiática</x:v>
      </x:c>
      <x:c r="D486" s="10" t="str">
        <x:v>Público Mediado</x:v>
      </x:c>
      <x:c r="E486" s="10" t="str">
        <x:v>Midiático</x:v>
      </x:c>
      <x:c r="F486" s="10" t="str">
        <x:v>28/10/2025</x:v>
      </x:c>
      <x:c r="G486" s="11" t="n">
        <x:v>2025</x:v>
      </x:c>
      <x:c r="H486" s="10" t="str">
        <x:v>Rio de Janeiro, Brasil</x:v>
      </x:c>
      <x:c r="I486" s="10" t="str">
        <x:v>CNN Brasil</x:v>
      </x:c>
      <x:c r="J486" s="10" t="str">
        <x:v>Cenas de guerra e 64 mortos: o que se sabe sobre megaoperação no Alemão</x:v>
      </x:c>
      <x:c r="K486" s="10" t="str">
        <x:v>Hemerográfico</x:v>
      </x:c>
      <x:c r="L486" s="10" t="str">
        <x:v>Texto (digital)</x:v>
      </x:c>
      <x:c r="M486" s="10" t="str">
        <x:v>CNN Brasil</x:v>
      </x:c>
      <x:c r="N486" s="10" t="str">
        <x:v>Português, Brasil</x:v>
      </x:c>
      <x:c r="O486" s="10" t="str">
        <x:v>"Operação contenção" no Google</x:v>
      </x:c>
      <x:c r="P486" s="10" t="str">
        <x:v>2025-11-11 00:00:00</x:v>
      </x:c>
      <x:c r="Q486" s="10" t="str">
        <x:v>Aberto</x:v>
      </x:c>
      <x:c r="R486" s="10" t="str">
        <x:v>Aqui</x:v>
      </x:c>
      <x:c r="S486" s="10" t="str">
        <x:v>SOUZA, Beto; COUTO, Camille; FIGUEIREDO, Carolina; RODRIGUES, Cleber. Cenas de guerra e 64 mortos: o que se sabe sobre megaoperação no Alemão. CNN Brasil, Rio de Janeiro, 28 out. 2025. Disponível em: https://www.cnnbrasil.com.br/nacional/sudeste/rj/cenas-de-guerra-e-mortos-o-que-se-sabe-sobre-operacao-no-alemao/. Acesso em: 11 nov. 2025.</x:v>
      </x:c>
      <x:c r="T486" s="10" t="str">
        <x:v>BR-SPDIREITOVIOLESTADO_MAPEAMENTOS-NOTICIAS-MSSCPENHA.xlsx</x:v>
      </x:c>
      <x:c r="U486" s="10" t="str">
        <x:v>Geral</x:v>
      </x:c>
      <x:c r="V486" s="11" t="n">
        <x:v>231</x:v>
      </x:c>
      <x:c r="W486" s="10" t="str">
        <x:v>BR-SPDIREITOVIOLESTADO_MAPEAMENTOS-NOTICIAS-MSSCPENHA.xlsx:Geral:231</x:v>
      </x:c>
      <x:c r="X486" s="11" t="n">
        <x:f>COLUMNS(A486:S486)-COUNTBLANK(A486:S486)</x:f>
        <x:v>19</x:v>
      </x:c>
    </x:row>
    <x:row r="487" ht="24" hidden="0" customHeight="1">
      <x:c r="A487" s="10" t="str">
        <x:v>Notícia</x:v>
      </x:c>
      <x:c r="B487" s="10" t="str">
        <x:v>Difusão</x:v>
      </x:c>
      <x:c r="C487" s="10" t="str">
        <x:v>Produção midiática</x:v>
      </x:c>
      <x:c r="D487" s="10" t="str">
        <x:v>Público Mediado</x:v>
      </x:c>
      <x:c r="E487" s="10" t="str">
        <x:v>Midiático</x:v>
      </x:c>
      <x:c r="F487" s="10" t="str">
        <x:v>04/11/2025</x:v>
      </x:c>
      <x:c r="G487" s="11" t="n">
        <x:v>2025</x:v>
      </x:c>
      <x:c r="H487" s="10" t="str">
        <x:v>Paraná, Brasil</x:v>
      </x:c>
      <x:c r="I487" s="10" t="str">
        <x:v>Gazeta do Povo</x:v>
      </x:c>
      <x:c r="J487" s="10" t="str">
        <x:v>Operação Contenção matou responsável por tráfico na fronteira com a Colômbia</x:v>
      </x:c>
      <x:c r="K487" s="10" t="str">
        <x:v>Hemerográfico</x:v>
      </x:c>
      <x:c r="L487" s="10" t="str">
        <x:v>Texto (digital)</x:v>
      </x:c>
      <x:c r="M487" s="10" t="str">
        <x:v>Gazeta do Povo</x:v>
      </x:c>
      <x:c r="N487" s="10" t="str">
        <x:v>Português, Brasil</x:v>
      </x:c>
      <x:c r="O487" s="10" t="str">
        <x:v>"Operação contenção" no Google</x:v>
      </x:c>
      <x:c r="P487" s="10" t="str">
        <x:v>2025-11-11 00:00:00</x:v>
      </x:c>
      <x:c r="Q487" s="10" t="str">
        <x:v>Acesso restrito</x:v>
      </x:c>
      <x:c r="R487" s="10" t="str">
        <x:v>Aqui</x:v>
      </x:c>
      <x:c r="S487" s="10" t="str">
        <x:v>MACIA, Vinicius. Operação Contenção matou responsável por tráfico na fronteira com a Colômbia. Gazeta do Povo, 4 nov. 2025. Disponível em: https://www.gazetadopovo.com.br/brasil/operacao-contencao-matou-responsavel-por-trafico-na-fronteira-com-colombia/. Acesso em: 11 nov. 2025.</x:v>
      </x:c>
      <x:c r="T487" s="10" t="str">
        <x:v>BR-SPDIREITOVIOLESTADO_MAPEAMENTOS-NOTICIAS-MSSCPENHA.xlsx</x:v>
      </x:c>
      <x:c r="U487" s="10" t="str">
        <x:v>Geral</x:v>
      </x:c>
      <x:c r="V487" s="11" t="n">
        <x:v>232</x:v>
      </x:c>
      <x:c r="W487" s="10" t="str">
        <x:v>BR-SPDIREITOVIOLESTADO_MAPEAMENTOS-NOTICIAS-MSSCPENHA.xlsx:Geral:232</x:v>
      </x:c>
      <x:c r="X487" s="11" t="n">
        <x:f>COLUMNS(A487:S487)-COUNTBLANK(A487:S487)</x:f>
        <x:v>19</x:v>
      </x:c>
    </x:row>
    <x:row r="488" ht="24" hidden="0" customHeight="1">
      <x:c r="A488" s="10" t="str">
        <x:v>Notícia</x:v>
      </x:c>
      <x:c r="B488" s="10" t="str">
        <x:v>Difusão</x:v>
      </x:c>
      <x:c r="C488" s="10" t="str">
        <x:v>Produção midiática</x:v>
      </x:c>
      <x:c r="D488" s="10" t="str">
        <x:v>Público Mediado</x:v>
      </x:c>
      <x:c r="E488" s="10" t="str">
        <x:v>Midiático</x:v>
      </x:c>
      <x:c r="F488" s="10" t="str">
        <x:v>29/10/2025</x:v>
      </x:c>
      <x:c r="G488" s="11" t="n">
        <x:v>2025</x:v>
      </x:c>
      <x:c r="H488" s="10" t="str">
        <x:v>Rio de Janeiro, Brasil</x:v>
      </x:c>
      <x:c r="I488" s="10" t="str">
        <x:v>Agência Brasil</x:v>
      </x:c>
      <x:c r="J488" s="10" t="str">
        <x:v>Moradores retiram cerca de 60 corpos em área de mata após operação: comunidade diz que eles não fazem parte da contagem oficial</x:v>
      </x:c>
      <x:c r="K488" s="10" t="str">
        <x:v>Hemerográfico</x:v>
      </x:c>
      <x:c r="L488" s="10" t="str">
        <x:v>Texto (digital)</x:v>
      </x:c>
      <x:c r="M488" s="10" t="str">
        <x:v>Agência Brasil</x:v>
      </x:c>
      <x:c r="N488" s="10" t="str">
        <x:v>Português, Brasil</x:v>
      </x:c>
      <x:c r="O488" s="10" t="str">
        <x:v>"Operação contenção" no Google</x:v>
      </x:c>
      <x:c r="P488" s="10" t="str">
        <x:v>2025-11-11 00:00:00</x:v>
      </x:c>
      <x:c r="Q488" s="10" t="str">
        <x:v>Aberto</x:v>
      </x:c>
      <x:c r="R488" s="10" t="str">
        <x:v>Aqui</x:v>
      </x:c>
      <x:c r="S488" s="10" t="str">
        <x:v>FREIRE, Tâmara. Moradores retiram cerca de 60 corpos em área de mata após operação: comunidade diz que eles não fazem parte da contagem oficial. Agência Brasil, Rio de Janeiro, 29 out. 2025. Disponível em: https://agenciabrasil.ebc.com.br/geral/noticia/2025-10/moradores-retiram-cerca-de-60-corpos-em-area-de-mata-apos-operacao. Acesso em: 11 nov. 2025.</x:v>
      </x:c>
      <x:c r="T488" s="10" t="str">
        <x:v>BR-SPDIREITOVIOLESTADO_MAPEAMENTOS-NOTICIAS-MSSCPENHA.xlsx</x:v>
      </x:c>
      <x:c r="U488" s="10" t="str">
        <x:v>Geral</x:v>
      </x:c>
      <x:c r="V488" s="11" t="n">
        <x:v>233</x:v>
      </x:c>
      <x:c r="W488" s="10" t="str">
        <x:v>BR-SPDIREITOVIOLESTADO_MAPEAMENTOS-NOTICIAS-MSSCPENHA.xlsx:Geral:233</x:v>
      </x:c>
      <x:c r="X488" s="11" t="n">
        <x:f>COLUMNS(A488:S488)-COUNTBLANK(A488:S488)</x:f>
        <x:v>19</x:v>
      </x:c>
    </x:row>
    <x:row r="489" ht="24" hidden="0" customHeight="1">
      <x:c r="A489" s="10" t="str">
        <x:v>Notícia</x:v>
      </x:c>
      <x:c r="B489" s="10" t="str">
        <x:v>Difusão</x:v>
      </x:c>
      <x:c r="C489" s="10" t="str">
        <x:v>Produção midiática</x:v>
      </x:c>
      <x:c r="D489" s="10" t="str">
        <x:v>Público Mediado</x:v>
      </x:c>
      <x:c r="E489" s="10" t="str">
        <x:v>Midiático</x:v>
      </x:c>
      <x:c r="F489" s="10" t="str">
        <x:v>28/10/2025</x:v>
      </x:c>
      <x:c r="G489" s="11" t="n">
        <x:v>2025</x:v>
      </x:c>
      <x:c r="H489" s="10" t="str">
        <x:v>São Paulo, Brasil</x:v>
      </x:c>
      <x:c r="I489" s="10" t="str">
        <x:v>BBC News Brasil</x:v>
      </x:c>
      <x:c r="J489" s="10" t="str">
        <x:v>Megaoperação contra Comando Vermelho no Rio: polícia confirma 121 mortos; moradores recolhem mais de 50 corpos</x:v>
      </x:c>
      <x:c r="K489" s="10" t="str">
        <x:v>Hemerográfico</x:v>
      </x:c>
      <x:c r="L489" s="10" t="str">
        <x:v>Texto (digital)</x:v>
      </x:c>
      <x:c r="M489" s="10" t="str">
        <x:v>BBC News Brasil</x:v>
      </x:c>
      <x:c r="N489" s="10" t="str">
        <x:v>Português, Brasil</x:v>
      </x:c>
      <x:c r="O489" s="10" t="str">
        <x:v>"Operação contenção" no Google</x:v>
      </x:c>
      <x:c r="P489" s="10" t="str">
        <x:v>2025-11-11 00:00:00</x:v>
      </x:c>
      <x:c r="Q489" s="10" t="str">
        <x:v>Aberto</x:v>
      </x:c>
      <x:c r="R489" s="10" t="str">
        <x:v>Aqui</x:v>
      </x:c>
      <x:c r="S489" s="10" t="str">
        <x:v>DINIZ, Iara; ALVIM, Mariana. Megaoperação contra Comando Vermelho no Rio: polícia confirma 121 mortos; moradores recolhem mais de 50 corpos. BBC News Brasil, São Paulo, 28 out. 2025. Atualizado em 30 out. 2025. Disponível em: https://www.bbc.com/portuguese/articles/clyg64e15j0o. Acesso em: 11 nov. 2025.</x:v>
      </x:c>
      <x:c r="T489" s="10" t="str">
        <x:v>BR-SPDIREITOVIOLESTADO_MAPEAMENTOS-NOTICIAS-MSSCPENHA.xlsx</x:v>
      </x:c>
      <x:c r="U489" s="10" t="str">
        <x:v>Geral</x:v>
      </x:c>
      <x:c r="V489" s="11" t="n">
        <x:v>234</x:v>
      </x:c>
      <x:c r="W489" s="10" t="str">
        <x:v>BR-SPDIREITOVIOLESTADO_MAPEAMENTOS-NOTICIAS-MSSCPENHA.xlsx:Geral:234</x:v>
      </x:c>
      <x:c r="X489" s="11" t="n">
        <x:f>COLUMNS(A489:S489)-COUNTBLANK(A489:S489)</x:f>
        <x:v>19</x:v>
      </x:c>
    </x:row>
    <x:row r="490" ht="24" hidden="0" customHeight="1">
      <x:c r="A490" s="10" t="str">
        <x:v>Notícia</x:v>
      </x:c>
      <x:c r="B490" s="10" t="str">
        <x:v>Difusão</x:v>
      </x:c>
      <x:c r="C490" s="10" t="str">
        <x:v>Produção midiática</x:v>
      </x:c>
      <x:c r="D490" s="10" t="str">
        <x:v>Público Mediado</x:v>
      </x:c>
      <x:c r="E490" s="10" t="str">
        <x:v>Midiático</x:v>
      </x:c>
      <x:c r="F490" s="10" t="str">
        <x:v>28/10/2025</x:v>
      </x:c>
      <x:c r="G490" s="11" t="n">
        <x:v>2025</x:v>
      </x:c>
      <x:c r="H490" s="10" t="str">
        <x:v>São Paulo, Brasil</x:v>
      </x:c>
      <x:c r="I490" s="10" t="str">
        <x:v>BBC News Brasil</x:v>
      </x:c>
      <x:c r="J490" s="10" t="str">
        <x:v>Traficantes do Comando Vermelho usam drone para atacar polícia durante operação no Rio</x:v>
      </x:c>
      <x:c r="K490" s="10" t="str">
        <x:v>Hemerográfico</x:v>
      </x:c>
      <x:c r="L490" s="10" t="str">
        <x:v>Texto (digital)</x:v>
      </x:c>
      <x:c r="M490" s="10" t="str">
        <x:v>BBC News Brasil</x:v>
      </x:c>
      <x:c r="N490" s="10" t="str">
        <x:v>Português, Brasil</x:v>
      </x:c>
      <x:c r="O490" s="10" t="str">
        <x:v>"Operação contenção" no Google</x:v>
      </x:c>
      <x:c r="P490" s="10" t="str">
        <x:v>2025-11-11 00:00:00</x:v>
      </x:c>
      <x:c r="Q490" s="10" t="str">
        <x:v>Aberto</x:v>
      </x:c>
      <x:c r="R490" s="10" t="str">
        <x:v>Aqui</x:v>
      </x:c>
      <x:c r="S490" s="10" t="str">
        <x:v>BBC NEWS BRASIL. Traficantes do Comando Vermelho usam drone para atacar polícia durante operação no Rio. BBC News Brasil, São Paulo, 28 out. 2025. Disponível em: https://www.bbc.com/portuguese/articles/c1d0xx09qx4o. Acesso em: 11 nov. 2025.</x:v>
      </x:c>
      <x:c r="T490" s="10" t="str">
        <x:v>BR-SPDIREITOVIOLESTADO_MAPEAMENTOS-NOTICIAS-MSSCPENHA.xlsx</x:v>
      </x:c>
      <x:c r="U490" s="10" t="str">
        <x:v>Geral</x:v>
      </x:c>
      <x:c r="V490" s="11" t="n">
        <x:v>235</x:v>
      </x:c>
      <x:c r="W490" s="10" t="str">
        <x:v>BR-SPDIREITOVIOLESTADO_MAPEAMENTOS-NOTICIAS-MSSCPENHA.xlsx:Geral:235</x:v>
      </x:c>
      <x:c r="X490" s="11" t="n">
        <x:f>COLUMNS(A490:S490)-COUNTBLANK(A490:S490)</x:f>
        <x:v>19</x:v>
      </x:c>
    </x:row>
    <x:row r="491" ht="24" hidden="0" customHeight="1">
      <x:c r="A491" s="10" t="str">
        <x:v>Notícia</x:v>
      </x:c>
      <x:c r="B491" s="10" t="str">
        <x:v>Difusão</x:v>
      </x:c>
      <x:c r="C491" s="10" t="str">
        <x:v>Produção midiática</x:v>
      </x:c>
      <x:c r="D491" s="10" t="str">
        <x:v>Público Mediado</x:v>
      </x:c>
      <x:c r="E491" s="10" t="str">
        <x:v>Midiático</x:v>
      </x:c>
      <x:c r="F491" s="10" t="str">
        <x:v>02/11/2025</x:v>
      </x:c>
      <x:c r="G491" s="11" t="n">
        <x:v>2025</x:v>
      </x:c>
      <x:c r="H491" s="10" t="str">
        <x:v>Bonn, Alemanha</x:v>
      </x:c>
      <x:c r="I491" s="10" t="str">
        <x:v>Deutsche Welle</x:v>
      </x:c>
      <x:c r="J491" s="10" t="str">
        <x:v>Moraes manda Castro preservar provas de megaoperação no Rio</x:v>
      </x:c>
      <x:c r="K491" s="10" t="str">
        <x:v>Hemerográfico</x:v>
      </x:c>
      <x:c r="L491" s="10" t="str">
        <x:v>Texto (digital)</x:v>
      </x:c>
      <x:c r="M491" s="10" t="str">
        <x:v>Deutsche Welle</x:v>
      </x:c>
      <x:c r="N491" s="10" t="str">
        <x:v>Português, Brasil</x:v>
      </x:c>
      <x:c r="O491" s="10" t="str">
        <x:v>"Operação contenção" no Google</x:v>
      </x:c>
      <x:c r="P491" s="10" t="str">
        <x:v>2025-11-11 00:00:00</x:v>
      </x:c>
      <x:c r="Q491" s="10" t="str">
        <x:v>Aberto</x:v>
      </x:c>
      <x:c r="R491" s="10" t="str">
        <x:v>Aqui</x:v>
      </x:c>
      <x:c r="S491" s="10" t="str">
        <x:v>DW. Moraes manda Castro preservar provas de megaoperação no Rio. Bonn, Renânia do Norte-Vestfália, Alemanha: Deutsche Welle, 2 nov. 2025. Disponível em: https://www.dw.com/pt-br/moraes-manda-castro-preservar-provas-de-megaopera%C3%A7%C3%A3o-contra-comando-vermelho/a-74591553. Acesso em: 11 nov. 2025.</x:v>
      </x:c>
      <x:c r="T491" s="10" t="str">
        <x:v>BR-SPDIREITOVIOLESTADO_MAPEAMENTOS-NOTICIAS-MSSCPENHA.xlsx</x:v>
      </x:c>
      <x:c r="U491" s="10" t="str">
        <x:v>Geral</x:v>
      </x:c>
      <x:c r="V491" s="11" t="n">
        <x:v>236</x:v>
      </x:c>
      <x:c r="W491" s="10" t="str">
        <x:v>BR-SPDIREITOVIOLESTADO_MAPEAMENTOS-NOTICIAS-MSSCPENHA.xlsx:Geral:236</x:v>
      </x:c>
      <x:c r="X491" s="11" t="n">
        <x:f>COLUMNS(A491:S491)-COUNTBLANK(A491:S491)</x:f>
        <x:v>19</x:v>
      </x:c>
    </x:row>
    <x:row r="492" ht="24" hidden="0" customHeight="1">
      <x:c r="A492" s="10" t="str">
        <x:v>Notícia</x:v>
      </x:c>
      <x:c r="B492" s="10" t="str">
        <x:v>Difusão</x:v>
      </x:c>
      <x:c r="C492" s="10" t="str">
        <x:v>Produção midiática</x:v>
      </x:c>
      <x:c r="D492" s="10" t="str">
        <x:v>Público Mediado</x:v>
      </x:c>
      <x:c r="E492" s="10" t="str">
        <x:v>Midiático</x:v>
      </x:c>
      <x:c r="F492" s="10" t="str">
        <x:v>03/11/2025</x:v>
      </x:c>
      <x:c r="G492" s="11" t="n">
        <x:v>2025</x:v>
      </x:c>
      <x:c r="H492" s="10" t="str">
        <x:v>São Paulo, Brasil</x:v>
      </x:c>
      <x:c r="I492" s="10" t="str">
        <x:v>CNN Brasil</x:v>
      </x:c>
      <x:c r="J492" s="10" t="str">
        <x:v>Nenhum dos 115 mortos divulgados em megaoperação consta em decisão judicial</x:v>
      </x:c>
      <x:c r="K492" s="10" t="str">
        <x:v>Hemerográfico</x:v>
      </x:c>
      <x:c r="L492" s="10" t="str">
        <x:v>Texto (digital)</x:v>
      </x:c>
      <x:c r="M492" s="10" t="str">
        <x:v>CNN Brasil</x:v>
      </x:c>
      <x:c r="N492" s="10" t="str">
        <x:v>Português, Brasil</x:v>
      </x:c>
      <x:c r="O492" s="10" t="str">
        <x:v>"Operação contenção" no Google</x:v>
      </x:c>
      <x:c r="P492" s="10" t="str">
        <x:v>2025-11-11 00:00:00</x:v>
      </x:c>
      <x:c r="Q492" s="10" t="str">
        <x:v>Aberto</x:v>
      </x:c>
      <x:c r="R492" s="10" t="str">
        <x:v>Aqui</x:v>
      </x:c>
      <x:c r="S492" s="10" t="str">
        <x:v>SOUZA, Beto. Nenhum dos 115 mortos divulgados em megaoperação consta em decisão judicial. CNN Brasil, São Paulo, 3 nov. 2025. Disponível em: https://www.cnnbrasil.com.br/nacional/sudeste/rj/nenhum-dos-115-mortos-divulgados-em-megaoperacao-consta-em-decisao-judicial/. Acesso em: 11 nov. 2025.</x:v>
      </x:c>
      <x:c r="T492" s="10" t="str">
        <x:v>BR-SPDIREITOVIOLESTADO_MAPEAMENTOS-NOTICIAS-MSSCPENHA.xlsx</x:v>
      </x:c>
      <x:c r="U492" s="10" t="str">
        <x:v>Geral</x:v>
      </x:c>
      <x:c r="V492" s="11" t="n">
        <x:v>237</x:v>
      </x:c>
      <x:c r="W492" s="10" t="str">
        <x:v>BR-SPDIREITOVIOLESTADO_MAPEAMENTOS-NOTICIAS-MSSCPENHA.xlsx:Geral:237</x:v>
      </x:c>
      <x:c r="X492" s="11" t="n">
        <x:f>COLUMNS(A492:S492)-COUNTBLANK(A492:S492)</x:f>
        <x:v>19</x:v>
      </x:c>
    </x:row>
    <x:row r="493" ht="24" hidden="0" customHeight="1">
      <x:c r="A493" s="10" t="str">
        <x:v>Notícia</x:v>
      </x:c>
      <x:c r="B493" s="10" t="str">
        <x:v>Difusão</x:v>
      </x:c>
      <x:c r="C493" s="10" t="str">
        <x:v>Produção midiática</x:v>
      </x:c>
      <x:c r="D493" s="10" t="str">
        <x:v>Público Mediado</x:v>
      </x:c>
      <x:c r="E493" s="10" t="str">
        <x:v>Midiático</x:v>
      </x:c>
      <x:c r="F493" s="10" t="str">
        <x:v>31/10/2025</x:v>
      </x:c>
      <x:c r="G493" s="11" t="n">
        <x:v>2025</x:v>
      </x:c>
      <x:c r="H493" s="10" t="str">
        <x:v>São Paulo, Brasil</x:v>
      </x:c>
      <x:c r="I493" s="10" t="str">
        <x:v>CNN Brasil</x:v>
      </x:c>
      <x:c r="J493" s="10" t="str">
        <x:v>O que sabemos e o que falta saber sobre a ação policial mais letal do RJ</x:v>
      </x:c>
      <x:c r="K493" s="10" t="str">
        <x:v>Hemerográfico</x:v>
      </x:c>
      <x:c r="L493" s="10" t="str">
        <x:v>Texto (digital)</x:v>
      </x:c>
      <x:c r="M493" s="10" t="str">
        <x:v>CNN Brasil</x:v>
      </x:c>
      <x:c r="N493" s="10" t="str">
        <x:v>Português, Brasil</x:v>
      </x:c>
      <x:c r="O493" s="10" t="str">
        <x:v>"Operação contenção" no Google</x:v>
      </x:c>
      <x:c r="P493" s="10" t="str">
        <x:v>2025-11-11 00:00:00</x:v>
      </x:c>
      <x:c r="Q493" s="10" t="str">
        <x:v>Aberto</x:v>
      </x:c>
      <x:c r="R493" s="10" t="str">
        <x:v>Aqui</x:v>
      </x:c>
      <x:c r="S493" s="10" t="str">
        <x:v>SOUZA, Beto; FARIAS, Julia; COELHO, Thomaz. O que sabemos e o que falta saber sobre a ação policial mais letal do RJ. CNN Brasil, São Paulo, 31 out. 2025. Disponível em: https://www.cnnbrasil.com.br/nacional/sudeste/rj/o-que-sabemos-e-o-que-falta-saber-sobre-a-acao-policial-mais-letal-do-rj/. Acesso em: 11 nov. 2025.</x:v>
      </x:c>
      <x:c r="T493" s="10" t="str">
        <x:v>BR-SPDIREITOVIOLESTADO_MAPEAMENTOS-NOTICIAS-MSSCPENHA.xlsx</x:v>
      </x:c>
      <x:c r="U493" s="10" t="str">
        <x:v>Geral</x:v>
      </x:c>
      <x:c r="V493" s="11" t="n">
        <x:v>238</x:v>
      </x:c>
      <x:c r="W493" s="10" t="str">
        <x:v>BR-SPDIREITOVIOLESTADO_MAPEAMENTOS-NOTICIAS-MSSCPENHA.xlsx:Geral:238</x:v>
      </x:c>
      <x:c r="X493" s="11" t="n">
        <x:f>COLUMNS(A493:S493)-COUNTBLANK(A493:S493)</x:f>
        <x:v>19</x:v>
      </x:c>
    </x:row>
    <x:row r="494" ht="24" hidden="0" customHeight="1">
      <x:c r="A494" s="10" t="str">
        <x:v>Notícia</x:v>
      </x:c>
      <x:c r="B494" s="10" t="str">
        <x:v>Difusão</x:v>
      </x:c>
      <x:c r="C494" s="10" t="str">
        <x:v>Produção midiática</x:v>
      </x:c>
      <x:c r="D494" s="10" t="str">
        <x:v>Público Mediado</x:v>
      </x:c>
      <x:c r="E494" s="10" t="str">
        <x:v>Midiático</x:v>
      </x:c>
      <x:c r="F494" s="10" t="str">
        <x:v>29/10/2025</x:v>
      </x:c>
      <x:c r="G494" s="11" t="n">
        <x:v>2025</x:v>
      </x:c>
      <x:c r="H494" s="10" t="str">
        <x:v>Rio de Janeiro, Brasil</x:v>
      </x:c>
      <x:c r="I494" s="10" t="str">
        <x:v>BBC News Brasil</x:v>
      </x:c>
      <x:c r="J494" s="10" t="str">
        <x:v>Como Comando Vermelho surgiu e se espalhou pelo Brasil</x:v>
      </x:c>
      <x:c r="K494" s="10" t="str">
        <x:v>Hemerográfico</x:v>
      </x:c>
      <x:c r="L494" s="10" t="str">
        <x:v>Texto (digital)</x:v>
      </x:c>
      <x:c r="M494" s="10" t="str">
        <x:v>BBC News Brasil</x:v>
      </x:c>
      <x:c r="N494" s="10" t="str">
        <x:v>Português, Brasil</x:v>
      </x:c>
      <x:c r="O494" s="10" t="str">
        <x:v>"Operação contenção" no Google</x:v>
      </x:c>
      <x:c r="P494" s="10" t="str">
        <x:v>2025-11-11 00:00:00</x:v>
      </x:c>
      <x:c r="Q494" s="10" t="str">
        <x:v>Aberto</x:v>
      </x:c>
      <x:c r="R494" s="10" t="str">
        <x:v>Aqui</x:v>
      </x:c>
      <x:c r="S494" s="10" t="str">
        <x:v>CASTRO, Carol. Como Comando Vermelho surgiu e se espalhou pelo Brasil. BBC News Brasil, Rio de Janeiro, 29 out. 2025. Atualizado em 30 out. 2025. Disponível em: https://www.bbc.com/portuguese/articles/cx2p9re07p9oa. Acesso em: 11 nov. 2025.</x:v>
      </x:c>
      <x:c r="T494" s="10" t="str">
        <x:v>BR-SPDIREITOVIOLESTADO_MAPEAMENTOS-NOTICIAS-MSSCPENHA.xlsx</x:v>
      </x:c>
      <x:c r="U494" s="10" t="str">
        <x:v>Geral</x:v>
      </x:c>
      <x:c r="V494" s="11" t="n">
        <x:v>239</x:v>
      </x:c>
      <x:c r="W494" s="10" t="str">
        <x:v>BR-SPDIREITOVIOLESTADO_MAPEAMENTOS-NOTICIAS-MSSCPENHA.xlsx:Geral:239</x:v>
      </x:c>
      <x:c r="X494" s="11" t="n">
        <x:f>COLUMNS(A494:S494)-COUNTBLANK(A494:S494)</x:f>
        <x:v>19</x:v>
      </x:c>
    </x:row>
    <x:row r="495" ht="36" hidden="0" customHeight="1">
      <x:c r="A495" s="10" t="str">
        <x:v>Notícia</x:v>
      </x:c>
      <x:c r="B495" s="10" t="str">
        <x:v>Difusão</x:v>
      </x:c>
      <x:c r="C495" s="10" t="str">
        <x:v>Produção midiática</x:v>
      </x:c>
      <x:c r="D495" s="10" t="str">
        <x:v>Público Mediado</x:v>
      </x:c>
      <x:c r="E495" s="10" t="str">
        <x:v>Midiático</x:v>
      </x:c>
      <x:c r="F495" s="10" t="str">
        <x:v>05/11/2025</x:v>
      </x:c>
      <x:c r="G495" s="11" t="n">
        <x:v>2025</x:v>
      </x:c>
      <x:c r="H495" s="10" t="str">
        <x:v>Rio de Janeiro, Brasil</x:v>
      </x:c>
      <x:c r="I495" s="10" t="str">
        <x:v>O Globo</x:v>
      </x:c>
      <x:c r="J495" s="10" t="str">
        <x:v>Megaoperação no Rio: número de presos no Alemão e na Penha enviado ao STF não bate com o que foi divulgado pelo governo</x:v>
      </x:c>
      <x:c r="K495" s="10" t="str">
        <x:v>Hemerográfico</x:v>
      </x:c>
      <x:c r="L495" s="10" t="str">
        <x:v>Texto (digital)</x:v>
      </x:c>
      <x:c r="M495" s="10" t="str">
        <x:v>O Globo</x:v>
      </x:c>
      <x:c r="N495" s="10" t="str">
        <x:v>Português, Brasil</x:v>
      </x:c>
      <x:c r="O495" s="10" t="str">
        <x:v>"Operação contenção" no Google</x:v>
      </x:c>
      <x:c r="P495" s="10" t="str">
        <x:v>2025-11-11 00:00:00</x:v>
      </x:c>
      <x:c r="Q495" s="10" t="str">
        <x:v>Acesso restrito</x:v>
      </x:c>
      <x:c r="R495" s="10" t="str">
        <x:v>Aqui</x:v>
      </x:c>
      <x:c r="S495" s="10" t="str">
        <x:v>COSTA, João Vitor; NUNES, Marcos; ARAUJO, Camila. Megaoperação no Rio: número de presos no Alemão e na Penha enviado ao STF não bate com o que foi divulgado pelo governo. O Globo, Rio de Janeiro, 5 nov. 2025. Disponível em: https://oglobo.globo.com/rio/noticia/2025/11/05/megaoperacao-no-rio-numero-de-presos-no-alemao-e-na-penha-enviado-ao-stf-nao-bate-com-o-que-foi-divulgado-pelo-governo.ghtml. Acesso em: 11 nov. 2025.</x:v>
      </x:c>
      <x:c r="T495" s="10" t="str">
        <x:v>BR-SPDIREITOVIOLESTADO_MAPEAMENTOS-NOTICIAS-MSSCPENHA.xlsx</x:v>
      </x:c>
      <x:c r="U495" s="10" t="str">
        <x:v>Geral</x:v>
      </x:c>
      <x:c r="V495" s="11" t="n">
        <x:v>240</x:v>
      </x:c>
      <x:c r="W495" s="10" t="str">
        <x:v>BR-SPDIREITOVIOLESTADO_MAPEAMENTOS-NOTICIAS-MSSCPENHA.xlsx:Geral:240</x:v>
      </x:c>
      <x:c r="X495" s="11" t="n">
        <x:f>COLUMNS(A495:S495)-COUNTBLANK(A495:S495)</x:f>
        <x:v>19</x:v>
      </x:c>
    </x:row>
    <x:row r="496" ht="24" hidden="0" customHeight="1">
      <x:c r="A496" s="10" t="str">
        <x:v>Notícia</x:v>
      </x:c>
      <x:c r="B496" s="10" t="str">
        <x:v>Difusão</x:v>
      </x:c>
      <x:c r="C496" s="10" t="str">
        <x:v>Produção midiática</x:v>
      </x:c>
      <x:c r="D496" s="10" t="str">
        <x:v>Público Mediado</x:v>
      </x:c>
      <x:c r="E496" s="10" t="str">
        <x:v>Midiático</x:v>
      </x:c>
      <x:c r="F496" s="10" t="str">
        <x:v>04/11/2025</x:v>
      </x:c>
      <x:c r="G496" s="11" t="n">
        <x:v>2025</x:v>
      </x:c>
      <x:c r="H496" s="10" t="str">
        <x:v>Paraná, Brasil</x:v>
      </x:c>
      <x:c r="I496" s="10" t="str">
        <x:v>Gazeta do Povo</x:v>
      </x:c>
      <x:c r="J496" s="10" t="str">
        <x:v>Lula chama operação policial no Rio de “matança” e quer investigação federal</x:v>
      </x:c>
      <x:c r="K496" s="10" t="str">
        <x:v>Hemerográfico</x:v>
      </x:c>
      <x:c r="L496" s="10" t="str">
        <x:v>Texto (digital)</x:v>
      </x:c>
      <x:c r="M496" s="10" t="str">
        <x:v>Gazeta do Povo</x:v>
      </x:c>
      <x:c r="N496" s="10" t="str">
        <x:v>Português, Brasil</x:v>
      </x:c>
      <x:c r="O496" s="10" t="str">
        <x:v>"Operação contenção" no Google</x:v>
      </x:c>
      <x:c r="P496" s="10" t="str">
        <x:v>2025-11-11 00:00:00</x:v>
      </x:c>
      <x:c r="Q496" s="10" t="str">
        <x:v>Acesso restrito</x:v>
      </x:c>
      <x:c r="R496" s="10" t="str">
        <x:v>Aqui</x:v>
      </x:c>
      <x:c r="S496" s="10" t="str">
        <x:v>FREITAS, Hermano. Lula chama operação policial no Rio de “matança” e quer investigação federal. Gazeta do Povo, Paraná, Brasil, 4 nov. 2025. Disponível em: https://www.gazetadopovo.com.br/republica/lula-chama-operacao-policial-no-rio-de-matanca-e-quer-investigacao-federal/. Acesso em: 11 nov. 2025.</x:v>
      </x:c>
      <x:c r="T496" s="10" t="str">
        <x:v>BR-SPDIREITOVIOLESTADO_MAPEAMENTOS-NOTICIAS-MSSCPENHA.xlsx</x:v>
      </x:c>
      <x:c r="U496" s="10" t="str">
        <x:v>Geral</x:v>
      </x:c>
      <x:c r="V496" s="11" t="n">
        <x:v>241</x:v>
      </x:c>
      <x:c r="W496" s="10" t="str">
        <x:v>BR-SPDIREITOVIOLESTADO_MAPEAMENTOS-NOTICIAS-MSSCPENHA.xlsx:Geral:241</x:v>
      </x:c>
      <x:c r="X496" s="11" t="n">
        <x:f>COLUMNS(A496:S496)-COUNTBLANK(A496:S496)</x:f>
        <x:v>19</x:v>
      </x:c>
    </x:row>
    <x:row r="497" ht="24" hidden="0" customHeight="1">
      <x:c r="A497" s="10" t="str">
        <x:v>Notícia</x:v>
      </x:c>
      <x:c r="B497" s="10" t="str">
        <x:v>Difusão</x:v>
      </x:c>
      <x:c r="C497" s="10" t="str">
        <x:v>Produção midiática</x:v>
      </x:c>
      <x:c r="D497" s="10" t="str">
        <x:v>Público Mediado</x:v>
      </x:c>
      <x:c r="E497" s="10" t="str">
        <x:v>Midiático</x:v>
      </x:c>
      <x:c r="F497" s="10" t="str">
        <x:v>30/10/2025</x:v>
      </x:c>
      <x:c r="G497" s="11" t="n">
        <x:v>2025</x:v>
      </x:c>
      <x:c r="H497" s="10" t="str">
        <x:v>Paraná, Brasil</x:v>
      </x:c>
      <x:c r="I497" s="10" t="str">
        <x:v>Gazeta do Povo</x:v>
      </x:c>
      <x:c r="J497" s="10" t="str">
        <x:v>Moradores sofrem tortura do Comando Vermelho, diz decisão que autorizou operação</x:v>
      </x:c>
      <x:c r="K497" s="10" t="str">
        <x:v>Hemerográfico</x:v>
      </x:c>
      <x:c r="L497" s="10" t="str">
        <x:v>Texto (digital)</x:v>
      </x:c>
      <x:c r="M497" s="10" t="str">
        <x:v>Gazeta do Povo</x:v>
      </x:c>
      <x:c r="N497" s="10" t="str">
        <x:v>Português, Brasil</x:v>
      </x:c>
      <x:c r="O497" s="10" t="str">
        <x:v>"Operação contenção" no Google</x:v>
      </x:c>
      <x:c r="P497" s="10" t="str">
        <x:v>2025-11-11 00:00:00</x:v>
      </x:c>
      <x:c r="Q497" s="10" t="str">
        <x:v>Acesso restrito</x:v>
      </x:c>
      <x:c r="R497" s="10" t="str">
        <x:v>Aqui</x:v>
      </x:c>
      <x:c r="S497" s="10" t="str">
        <x:v>MACIA, Vinicius. Moradores sofrem tortura do Comando Vermelho, diz decisão que autorizou operação. Gazeta do Povo, 30 out. 2025. Disponível em: https://www.gazetadopovo.com.br/brasil/moradores-sofrem-tortura-do-comando-vermelho-diz-decisao-que-autorizou-operacao/. Acesso em: 11 nov. 2025.</x:v>
      </x:c>
      <x:c r="T497" s="10" t="str">
        <x:v>BR-SPDIREITOVIOLESTADO_MAPEAMENTOS-NOTICIAS-MSSCPENHA.xlsx</x:v>
      </x:c>
      <x:c r="U497" s="10" t="str">
        <x:v>Geral</x:v>
      </x:c>
      <x:c r="V497" s="11" t="n">
        <x:v>242</x:v>
      </x:c>
      <x:c r="W497" s="10" t="str">
        <x:v>BR-SPDIREITOVIOLESTADO_MAPEAMENTOS-NOTICIAS-MSSCPENHA.xlsx:Geral:242</x:v>
      </x:c>
      <x:c r="X497" s="11" t="n">
        <x:f>COLUMNS(A497:S497)-COUNTBLANK(A497:S497)</x:f>
        <x:v>19</x:v>
      </x:c>
    </x:row>
    <x:row r="498" ht="24" hidden="0" customHeight="1">
      <x:c r="A498" s="10" t="str">
        <x:v>Notícia</x:v>
      </x:c>
      <x:c r="B498" s="10" t="str">
        <x:v>Difusão</x:v>
      </x:c>
      <x:c r="C498" s="10" t="str">
        <x:v>Produção midiática</x:v>
      </x:c>
      <x:c r="D498" s="10" t="str">
        <x:v>Público Mediado</x:v>
      </x:c>
      <x:c r="E498" s="10" t="str">
        <x:v>Midiático</x:v>
      </x:c>
      <x:c r="F498" s="10" t="str">
        <x:v>30/10/2025</x:v>
      </x:c>
      <x:c r="G498" s="11" t="n">
        <x:v>2025</x:v>
      </x:c>
      <x:c r="H498" s="10" t="str">
        <x:v>Rio de Janeiro, Brasil</x:v>
      </x:c>
      <x:c r="I498" s="10" t="str">
        <x:v>BBC News Brasil</x:v>
      </x:c>
      <x:c r="J498" s="10" t="str">
        <x:v>Doca, o número 2 do CV que driblou a maior e mais letal operação policial da história do Brasil</x:v>
      </x:c>
      <x:c r="K498" s="10" t="str">
        <x:v>Hemerográfico</x:v>
      </x:c>
      <x:c r="L498" s="10" t="str">
        <x:v>Texto (digital)</x:v>
      </x:c>
      <x:c r="M498" s="10" t="str">
        <x:v>BBC News Brasil</x:v>
      </x:c>
      <x:c r="N498" s="10" t="str">
        <x:v>Português, Brasil</x:v>
      </x:c>
      <x:c r="O498" s="10" t="str">
        <x:v>"Operação contenção" no Google</x:v>
      </x:c>
      <x:c r="P498" s="10" t="str">
        <x:v>2025-11-11 00:00:00</x:v>
      </x:c>
      <x:c r="Q498" s="10" t="str">
        <x:v>Aberto</x:v>
      </x:c>
      <x:c r="R498" s="10" t="str"/>
      <x:c r="S498" s="10" t="str">
        <x:v>CASTRO, Carol. Doca, o número 2 do CV que driblou a maior e mais letal operação policial da história do Brasil. BBC News Brasil, Rio de Janeiro, 30 out. 2025. Atualizado em 31 out. 2025. Disponível em: http://bbc.com/portuguese/articles/cgr4qy9zpjdo. Acesso em: 11 nov. 2025.</x:v>
      </x:c>
      <x:c r="T498" s="10" t="str">
        <x:v>BR-SPDIREITOVIOLESTADO_MAPEAMENTOS-NOTICIAS-MSSCPENHA.xlsx</x:v>
      </x:c>
      <x:c r="U498" s="10" t="str">
        <x:v>Geral</x:v>
      </x:c>
      <x:c r="V498" s="11" t="n">
        <x:v>243</x:v>
      </x:c>
      <x:c r="W498" s="10" t="str">
        <x:v>BR-SPDIREITOVIOLESTADO_MAPEAMENTOS-NOTICIAS-MSSCPENHA.xlsx:Geral:243</x:v>
      </x:c>
      <x:c r="X498" s="11" t="n">
        <x:f>COLUMNS(A498:S498)-COUNTBLANK(A498:S498)</x:f>
        <x:v>18</x:v>
      </x:c>
    </x:row>
    <x:row r="499" ht="24" hidden="0" customHeight="1">
      <x:c r="A499" s="10" t="str">
        <x:v>Notícia</x:v>
      </x:c>
      <x:c r="B499" s="10" t="str">
        <x:v>Difusão</x:v>
      </x:c>
      <x:c r="C499" s="10" t="str">
        <x:v>Produção midiática</x:v>
      </x:c>
      <x:c r="D499" s="10" t="str">
        <x:v>Público Mediado</x:v>
      </x:c>
      <x:c r="E499" s="10" t="str">
        <x:v>Midiático</x:v>
      </x:c>
      <x:c r="F499" s="10" t="str">
        <x:v>28/10/2025</x:v>
      </x:c>
      <x:c r="G499" s="11" t="n">
        <x:v>2025</x:v>
      </x:c>
      <x:c r="H499" s="10" t="str">
        <x:v>Rio de Janeiro, Brasil</x:v>
      </x:c>
      <x:c r="I499" s="10" t="str">
        <x:v>CNN Brasil</x:v>
      </x:c>
      <x:c r="J499" s="10" t="str">
        <x:v>"Zona de guerra": entenda como fica o Rio de Janeiro após megaoperação</x:v>
      </x:c>
      <x:c r="K499" s="10" t="str">
        <x:v>Hemerográfico</x:v>
      </x:c>
      <x:c r="L499" s="10" t="str">
        <x:v>Texto (digital)</x:v>
      </x:c>
      <x:c r="M499" s="10" t="str">
        <x:v>CNN Brasil</x:v>
      </x:c>
      <x:c r="N499" s="10" t="str">
        <x:v>Português, Brasil</x:v>
      </x:c>
      <x:c r="O499" s="10" t="str">
        <x:v>"Operação contenção" no Google</x:v>
      </x:c>
      <x:c r="P499" s="10" t="str">
        <x:v>2025-11-11 00:00:00</x:v>
      </x:c>
      <x:c r="Q499" s="10" t="str">
        <x:v>Aberto</x:v>
      </x:c>
      <x:c r="R499" s="10" t="str">
        <x:v>Aqui</x:v>
      </x:c>
      <x:c r="S499" s="10" t="str">
        <x:v>BARRA, Helena; LEÃO, Luan; COUTO, Camille. "Zona de guerra": entenda como fica o Rio de Janeiro após megaoperação. CNN Brasil, São Paulo e Rio de Janeiro, 28 out. 2025. Atualizado em 29 out. 2025. Disponível em: https://cnnbrasil.com.br/nacional/sudeste/rj/zona-de-guerra-entenda-como-fica-o-rio-de-janeiro-apos-megaoperacao/. Acesso em: 11 nov. 2025.</x:v>
      </x:c>
      <x:c r="T499" s="10" t="str">
        <x:v>BR-SPDIREITOVIOLESTADO_MAPEAMENTOS-NOTICIAS-MSSCPENHA.xlsx</x:v>
      </x:c>
      <x:c r="U499" s="10" t="str">
        <x:v>Geral</x:v>
      </x:c>
      <x:c r="V499" s="11" t="n">
        <x:v>244</x:v>
      </x:c>
      <x:c r="W499" s="10" t="str">
        <x:v>BR-SPDIREITOVIOLESTADO_MAPEAMENTOS-NOTICIAS-MSSCPENHA.xlsx:Geral:244</x:v>
      </x:c>
      <x:c r="X499" s="11" t="n">
        <x:f>COLUMNS(A499:S499)-COUNTBLANK(A499:S499)</x:f>
        <x:v>19</x:v>
      </x:c>
    </x:row>
    <x:row r="500" ht="24" hidden="0" customHeight="1">
      <x:c r="A500" s="10" t="str">
        <x:v>Notícia</x:v>
      </x:c>
      <x:c r="B500" s="10" t="str">
        <x:v>Difusão</x:v>
      </x:c>
      <x:c r="C500" s="10" t="str">
        <x:v>Produção midiática</x:v>
      </x:c>
      <x:c r="D500" s="10" t="str">
        <x:v>Público Mediado</x:v>
      </x:c>
      <x:c r="E500" s="10" t="str">
        <x:v>Midiático</x:v>
      </x:c>
      <x:c r="F500" s="10" t="str">
        <x:v>10/11/2025</x:v>
      </x:c>
      <x:c r="G500" s="11" t="n">
        <x:v>2025</x:v>
      </x:c>
      <x:c r="H500" s="10" t="str">
        <x:v>Distrito Federal, Brasil</x:v>
      </x:c>
      <x:c r="I500" s="10" t="str">
        <x:v>Poder 360</x:v>
      </x:c>
      <x:c r="J500" s="10" t="str">
        <x:v>Moraes suspende inquérito contra pessoas que retiraram corpos no RJ</x:v>
      </x:c>
      <x:c r="K500" s="10" t="str">
        <x:v>Hemerográfico</x:v>
      </x:c>
      <x:c r="L500" s="10" t="str">
        <x:v>Texto (digital)</x:v>
      </x:c>
      <x:c r="M500" s="10" t="str">
        <x:v>Poder 360</x:v>
      </x:c>
      <x:c r="N500" s="10" t="str">
        <x:v>Português, Brasil</x:v>
      </x:c>
      <x:c r="O500" s="10" t="str">
        <x:v>"Operação contenção" no Google</x:v>
      </x:c>
      <x:c r="P500" s="10" t="str">
        <x:v>2025-11-11 00:00:00</x:v>
      </x:c>
      <x:c r="Q500" s="10" t="str">
        <x:v>Aberto</x:v>
      </x:c>
      <x:c r="R500" s="10" t="str">
        <x:v>Aqui</x:v>
      </x:c>
      <x:c r="S500" s="10" t="str">
        <x:v>GUIMARÃES, Nino. Moraes suspende inquérito contra pessoas que retiraram corpos no RJ. Poder360, Brasília, 10 nov. 2025. Disponível em: https://www.poder360.com.br/poder-justica/moraes-suspende-inquerito-contra-pessoas-que-retiraram-corpos-no-rj/. Acesso em: 11 nov. 2025.</x:v>
      </x:c>
      <x:c r="T500" s="10" t="str">
        <x:v>BR-SPDIREITOVIOLESTADO_MAPEAMENTOS-NOTICIAS-MSSCPENHA.xlsx</x:v>
      </x:c>
      <x:c r="U500" s="10" t="str">
        <x:v>Geral</x:v>
      </x:c>
      <x:c r="V500" s="11" t="n">
        <x:v>245</x:v>
      </x:c>
      <x:c r="W500" s="10" t="str">
        <x:v>BR-SPDIREITOVIOLESTADO_MAPEAMENTOS-NOTICIAS-MSSCPENHA.xlsx:Geral:245</x:v>
      </x:c>
      <x:c r="X500" s="11" t="n">
        <x:f>COLUMNS(A500:S500)-COUNTBLANK(A500:S500)</x:f>
        <x:v>19</x:v>
      </x:c>
    </x:row>
    <x:row r="501" ht="24" hidden="0" customHeight="1">
      <x:c r="A501" s="10" t="str">
        <x:v>Notícia</x:v>
      </x:c>
      <x:c r="B501" s="10" t="str">
        <x:v>Difusão</x:v>
      </x:c>
      <x:c r="C501" s="10" t="str">
        <x:v>Produção midiática</x:v>
      </x:c>
      <x:c r="D501" s="10" t="str">
        <x:v>Público Mediado</x:v>
      </x:c>
      <x:c r="E501" s="10" t="str">
        <x:v>Midiático</x:v>
      </x:c>
      <x:c r="F501" s="10" t="str">
        <x:v>28/10/2025</x:v>
      </x:c>
      <x:c r="G501" s="11" t="n">
        <x:v>2025</x:v>
      </x:c>
      <x:c r="H501" s="10" t="str">
        <x:v>Rio de Janeiro, Brasil</x:v>
      </x:c>
      <x:c r="I501" s="10" t="str">
        <x:v>O Globo</x:v>
      </x:c>
      <x:c r="J501" s="10" t="str">
        <x:v>Em gráficos, o que você precisa saber sobre a megaoperação para conter avanço do CV no Alemão e na Penha</x:v>
      </x:c>
      <x:c r="K501" s="10" t="str">
        <x:v>Hemerográfico</x:v>
      </x:c>
      <x:c r="L501" s="10" t="str">
        <x:v>Texto (digital)</x:v>
      </x:c>
      <x:c r="M501" s="10" t="str">
        <x:v>O Globo</x:v>
      </x:c>
      <x:c r="N501" s="10" t="str">
        <x:v>Português, Brasil</x:v>
      </x:c>
      <x:c r="O501" s="10" t="str">
        <x:v>"Operação contenção" no Google</x:v>
      </x:c>
      <x:c r="P501" s="10" t="str">
        <x:v>2025-11-11 00:00:00</x:v>
      </x:c>
      <x:c r="Q501" s="10" t="str">
        <x:v>Acesso restrito</x:v>
      </x:c>
      <x:c r="R501" s="10" t="str">
        <x:v>Aqui</x:v>
      </x:c>
      <x:c r="S501" s="10" t="str">
        <x:v>O GLOBO. Em gráficos, o que você precisa saber sobre a megaoperação para conter avanço do CV no Alemão e na Penha. O Globo, Rio de Janeiro, 28 out. 2025. Disponível em: https://oglobo.globo.com/rio/especial/em-graficos-o-que-voce-precisa-saber-sobre-a-megaoperacao-para-conter-avanco-do-cv-no-alemao-e-na-penha.ghtml. Acesso em: 11 nov. 2025.</x:v>
      </x:c>
      <x:c r="T501" s="10" t="str">
        <x:v>BR-SPDIREITOVIOLESTADO_MAPEAMENTOS-NOTICIAS-MSSCPENHA.xlsx</x:v>
      </x:c>
      <x:c r="U501" s="10" t="str">
        <x:v>Geral</x:v>
      </x:c>
      <x:c r="V501" s="11" t="n">
        <x:v>246</x:v>
      </x:c>
      <x:c r="W501" s="10" t="str">
        <x:v>BR-SPDIREITOVIOLESTADO_MAPEAMENTOS-NOTICIAS-MSSCPENHA.xlsx:Geral:246</x:v>
      </x:c>
      <x:c r="X501" s="11" t="n">
        <x:f>COLUMNS(A501:S501)-COUNTBLANK(A501:S501)</x:f>
        <x:v>19</x:v>
      </x:c>
    </x:row>
    <x:row r="502" ht="24" hidden="0" customHeight="1">
      <x:c r="A502" s="10" t="str">
        <x:v>Notícia</x:v>
      </x:c>
      <x:c r="B502" s="10" t="str">
        <x:v>Difusão</x:v>
      </x:c>
      <x:c r="C502" s="10" t="str">
        <x:v>Produção midiática</x:v>
      </x:c>
      <x:c r="D502" s="10" t="str">
        <x:v>Público Mediado</x:v>
      </x:c>
      <x:c r="E502" s="10" t="str">
        <x:v>Midiático</x:v>
      </x:c>
      <x:c r="F502" s="10" t="str">
        <x:v>28/10/2025</x:v>
      </x:c>
      <x:c r="G502" s="11" t="n">
        <x:v>2025</x:v>
      </x:c>
      <x:c r="H502" s="10" t="str">
        <x:v>Rio de Janeiro, Brasil</x:v>
      </x:c>
      <x:c r="I502" s="10" t="str">
        <x:v>Gazeta do Povo</x:v>
      </x:c>
      <x:c r="J502" s="10" t="str">
        <x:v>Megaoperação: 100 traficantes do CV no Rio de Janeiro</x:v>
      </x:c>
      <x:c r="K502" s="10" t="str">
        <x:v>Hemerográfico</x:v>
      </x:c>
      <x:c r="L502" s="10" t="str">
        <x:v>Texto (digital)</x:v>
      </x:c>
      <x:c r="M502" s="10" t="str">
        <x:v>Gazeta do Povo</x:v>
      </x:c>
      <x:c r="N502" s="10" t="str">
        <x:v>Português, Brasil</x:v>
      </x:c>
      <x:c r="O502" s="10" t="str">
        <x:v>"Operação contenção" no Google</x:v>
      </x:c>
      <x:c r="P502" s="10" t="str">
        <x:v>2025-11-11 00:00:00</x:v>
      </x:c>
      <x:c r="Q502" s="10" t="str">
        <x:v>Acesso restrito</x:v>
      </x:c>
      <x:c r="R502" s="10" t="str">
        <x:v>Aqui</x:v>
      </x:c>
      <x:c r="S502" s="10" t="str">
        <x:v>GAZETA DO POVO. Megaoperação: 100 traficantes do CV no Rio de Janeiro. Gazeta do Povo, 28 out. 2025. Disponível em: https://www.gazetadopovo.com.br/brasil/mega-operacao-100-traficantes-cv-rio-de-janeiro/. Acesso em: 11 nov. 2025.</x:v>
      </x:c>
      <x:c r="T502" s="10" t="str">
        <x:v>BR-SPDIREITOVIOLESTADO_MAPEAMENTOS-NOTICIAS-MSSCPENHA.xlsx</x:v>
      </x:c>
      <x:c r="U502" s="10" t="str">
        <x:v>Geral</x:v>
      </x:c>
      <x:c r="V502" s="11" t="n">
        <x:v>247</x:v>
      </x:c>
      <x:c r="W502" s="10" t="str">
        <x:v>BR-SPDIREITOVIOLESTADO_MAPEAMENTOS-NOTICIAS-MSSCPENHA.xlsx:Geral:247</x:v>
      </x:c>
      <x:c r="X502" s="11" t="n">
        <x:f>COLUMNS(A502:S502)-COUNTBLANK(A502:S502)</x:f>
        <x:v>19</x:v>
      </x:c>
    </x:row>
    <x:row r="503" ht="24" hidden="0" customHeight="1">
      <x:c r="A503" s="10" t="str">
        <x:v>Notícia</x:v>
      </x:c>
      <x:c r="B503" s="10" t="str">
        <x:v>Difusão</x:v>
      </x:c>
      <x:c r="C503" s="10" t="str">
        <x:v>Produção midiática</x:v>
      </x:c>
      <x:c r="D503" s="10" t="str">
        <x:v>Público Mediado</x:v>
      </x:c>
      <x:c r="E503" s="10" t="str">
        <x:v>Midiático</x:v>
      </x:c>
      <x:c r="F503" s="10" t="str">
        <x:v>07/11/2025</x:v>
      </x:c>
      <x:c r="G503" s="11" t="n">
        <x:v>2025</x:v>
      </x:c>
      <x:c r="H503" s="10" t="str">
        <x:v>Rio de Janeiro, Brasil</x:v>
      </x:c>
      <x:c r="I503" s="10" t="str">
        <x:v>Agência Brasil</x:v>
      </x:c>
      <x:c r="J503" s="10" t="str">
        <x:v>Lista de mortos em operação no RJ evidencia letalidade de jovens</x:v>
      </x:c>
      <x:c r="K503" s="10" t="str">
        <x:v>Hemerográfico</x:v>
      </x:c>
      <x:c r="L503" s="10" t="str">
        <x:v>Texto (digital)</x:v>
      </x:c>
      <x:c r="M503" s="10" t="str">
        <x:v>Agência Brasil</x:v>
      </x:c>
      <x:c r="N503" s="10" t="str">
        <x:v>Português, Brasil</x:v>
      </x:c>
      <x:c r="O503" s="10" t="str">
        <x:v>"Operação contenção" no Google</x:v>
      </x:c>
      <x:c r="P503" s="10" t="str">
        <x:v>2025-11-11 00:00:00</x:v>
      </x:c>
      <x:c r="Q503" s="10" t="str">
        <x:v>Aberto</x:v>
      </x:c>
      <x:c r="R503" s="10" t="str">
        <x:v>Aqui</x:v>
      </x:c>
      <x:c r="S503" s="10" t="str">
        <x:v>VIEIRA, Isabela. Lista de mortos em operação no RJ evidencia letalidade de jovens. Agência Brasil, Rio de Janeiro, 7 nov. 2025. Disponível em: https://agenciabrasil.ebc.com.br/direitos-humanos/noticia/2025-11/lista-de-mortos-em-operacao-no-rj-evidencia-letalidade-de-jovens. Acesso em: 11 nov. 2025.</x:v>
      </x:c>
      <x:c r="T503" s="10" t="str">
        <x:v>BR-SPDIREITOVIOLESTADO_MAPEAMENTOS-NOTICIAS-MSSCPENHA.xlsx</x:v>
      </x:c>
      <x:c r="U503" s="10" t="str">
        <x:v>Geral</x:v>
      </x:c>
      <x:c r="V503" s="11" t="n">
        <x:v>248</x:v>
      </x:c>
      <x:c r="W503" s="10" t="str">
        <x:v>BR-SPDIREITOVIOLESTADO_MAPEAMENTOS-NOTICIAS-MSSCPENHA.xlsx:Geral:248</x:v>
      </x:c>
      <x:c r="X503" s="11" t="n">
        <x:f>COLUMNS(A503:S503)-COUNTBLANK(A503:S503)</x:f>
        <x:v>19</x:v>
      </x:c>
    </x:row>
    <x:row r="504" ht="24" hidden="0" customHeight="1">
      <x:c r="A504" s="10" t="str">
        <x:v>Notícia</x:v>
      </x:c>
      <x:c r="B504" s="10" t="str">
        <x:v>Difusão</x:v>
      </x:c>
      <x:c r="C504" s="10" t="str">
        <x:v>Produção midiática</x:v>
      </x:c>
      <x:c r="D504" s="10" t="str">
        <x:v>Público Mediado</x:v>
      </x:c>
      <x:c r="E504" s="10" t="str">
        <x:v>Midiático</x:v>
      </x:c>
      <x:c r="F504" s="10" t="str">
        <x:v>10/11/2025</x:v>
      </x:c>
      <x:c r="G504" s="11" t="n">
        <x:v>2025</x:v>
      </x:c>
      <x:c r="H504" s="10" t="str">
        <x:v>Distrito Federal, Brasil</x:v>
      </x:c>
      <x:c r="I504" s="10" t="str">
        <x:v>Poder 360</x:v>
      </x:c>
      <x:c r="J504" s="10" t="str">
        <x:v>Moraes manda Castro enviar laudos da operação que deixou 121 mortos</x:v>
      </x:c>
      <x:c r="K504" s="10" t="str">
        <x:v>Hemerográfico</x:v>
      </x:c>
      <x:c r="L504" s="10" t="str">
        <x:v>Texto (digital)</x:v>
      </x:c>
      <x:c r="M504" s="10" t="str">
        <x:v>Poder 360</x:v>
      </x:c>
      <x:c r="N504" s="10" t="str">
        <x:v>Português, Brasil</x:v>
      </x:c>
      <x:c r="O504" s="10" t="str">
        <x:v>"Operação contenção" no Google</x:v>
      </x:c>
      <x:c r="P504" s="10" t="str">
        <x:v>2025-11-11 00:00:00</x:v>
      </x:c>
      <x:c r="Q504" s="10" t="str">
        <x:v>Aberto</x:v>
      </x:c>
      <x:c r="R504" s="10" t="str">
        <x:v>Aqui</x:v>
      </x:c>
      <x:c r="S504" s="10" t="str">
        <x:v>FONSECA, Fernanda. Moraes manda Castro enviar laudos da operação que deixou 121 mortos. Poder360, Brasília, 10 nov. 2025. Disponível em: https://www.poder360.com.br/poder-seguranca-publica/moraes-manda-castro-enviar-laudos-da-operacao-que-deixou-121-mortos/. Acesso em: 11 nov. 2025.</x:v>
      </x:c>
      <x:c r="T504" s="10" t="str">
        <x:v>BR-SPDIREITOVIOLESTADO_MAPEAMENTOS-NOTICIAS-MSSCPENHA.xlsx</x:v>
      </x:c>
      <x:c r="U504" s="10" t="str">
        <x:v>Geral</x:v>
      </x:c>
      <x:c r="V504" s="11" t="n">
        <x:v>249</x:v>
      </x:c>
      <x:c r="W504" s="10" t="str">
        <x:v>BR-SPDIREITOVIOLESTADO_MAPEAMENTOS-NOTICIAS-MSSCPENHA.xlsx:Geral:249</x:v>
      </x:c>
      <x:c r="X504" s="11" t="n">
        <x:f>COLUMNS(A504:S504)-COUNTBLANK(A504:S504)</x:f>
        <x:v>19</x:v>
      </x:c>
    </x:row>
    <x:row r="505" ht="24" hidden="0" customHeight="1">
      <x:c r="A505" s="10" t="str">
        <x:v>Notícia</x:v>
      </x:c>
      <x:c r="B505" s="10" t="str">
        <x:v>Difusão</x:v>
      </x:c>
      <x:c r="C505" s="10" t="str">
        <x:v>Produção midiática</x:v>
      </x:c>
      <x:c r="D505" s="10" t="str">
        <x:v>Público Mediado</x:v>
      </x:c>
      <x:c r="E505" s="10" t="str">
        <x:v>Midiático</x:v>
      </x:c>
      <x:c r="F505" s="10" t="str">
        <x:v>29/10/2025</x:v>
      </x:c>
      <x:c r="G505" s="11" t="n">
        <x:v>2025</x:v>
      </x:c>
      <x:c r="H505" s="10" t="str">
        <x:v>São Paulo, Brasil</x:v>
      </x:c>
      <x:c r="I505" s="10" t="str">
        <x:v>BBC News Brasil</x:v>
      </x:c>
      <x:c r="J505" s="10" t="str">
        <x:v>'Rio virou um abrigo para chefe do tráfico do Brasil inteiro', diz autor de livro sobre crime organizado</x:v>
      </x:c>
      <x:c r="K505" s="10" t="str">
        <x:v>Hemerográfico</x:v>
      </x:c>
      <x:c r="L505" s="10" t="str">
        <x:v>Texto (digital)</x:v>
      </x:c>
      <x:c r="M505" s="10" t="str">
        <x:v>BBC News Brasil</x:v>
      </x:c>
      <x:c r="N505" s="10" t="str">
        <x:v>Português, Brasil</x:v>
      </x:c>
      <x:c r="O505" s="10" t="str">
        <x:v>"Operação contenção" no Google</x:v>
      </x:c>
      <x:c r="P505" s="10" t="str">
        <x:v>2025-11-11 00:00:00</x:v>
      </x:c>
      <x:c r="Q505" s="10" t="str">
        <x:v>Aberto</x:v>
      </x:c>
      <x:c r="R505" s="10" t="str">
        <x:v>Aqui</x:v>
      </x:c>
      <x:c r="S505" s="10" t="str">
        <x:v>ROSSI, Marina; ALVIM, Mariana. 'Rio virou um abrigo para chefe do tráfico do Brasil inteiro', diz autor de livro sobre crime organizado. BBC News Brasil, São Paulo, 29 out. 2025. Atualizado em 30 out. 2025. Disponível em: https://www.bbc.com/portuguese/articles/cvgknnjgmrxo. Acesso em: 11 nov. 2025.</x:v>
      </x:c>
      <x:c r="T505" s="10" t="str">
        <x:v>BR-SPDIREITOVIOLESTADO_MAPEAMENTOS-NOTICIAS-MSSCPENHA.xlsx</x:v>
      </x:c>
      <x:c r="U505" s="10" t="str">
        <x:v>Geral</x:v>
      </x:c>
      <x:c r="V505" s="11" t="n">
        <x:v>250</x:v>
      </x:c>
      <x:c r="W505" s="10" t="str">
        <x:v>BR-SPDIREITOVIOLESTADO_MAPEAMENTOS-NOTICIAS-MSSCPENHA.xlsx:Geral:250</x:v>
      </x:c>
      <x:c r="X505" s="11" t="n">
        <x:f>COLUMNS(A505:S505)-COUNTBLANK(A505:S505)</x:f>
        <x:v>19</x:v>
      </x:c>
    </x:row>
    <x:row r="506" ht="24" hidden="0" customHeight="1">
      <x:c r="A506" s="10" t="str">
        <x:v>Notícia</x:v>
      </x:c>
      <x:c r="B506" s="10" t="str">
        <x:v>Difusão</x:v>
      </x:c>
      <x:c r="C506" s="10" t="str">
        <x:v>Produção midiática</x:v>
      </x:c>
      <x:c r="D506" s="10" t="str">
        <x:v>Público Mediado</x:v>
      </x:c>
      <x:c r="E506" s="10" t="str">
        <x:v>Midiático</x:v>
      </x:c>
      <x:c r="F506" s="10" t="str">
        <x:v>10/11/2025</x:v>
      </x:c>
      <x:c r="G506" s="11" t="n">
        <x:v>2025</x:v>
      </x:c>
      <x:c r="H506" s="10" t="str">
        <x:v>Rio de Janeiro, Brasil</x:v>
      </x:c>
      <x:c r="I506" s="10" t="str">
        <x:v>Folha de S. Paulo</x:v>
      </x:c>
      <x:c r="J506" s="10" t="str">
        <x:v>Suspeitos que morreram horas antes de ação no Rio foram incluídos em lista oficial de mortos da polícia</x:v>
      </x:c>
      <x:c r="K506" s="10" t="str">
        <x:v>Hemerográfico</x:v>
      </x:c>
      <x:c r="L506" s="10" t="str">
        <x:v>Texto (digital)</x:v>
      </x:c>
      <x:c r="M506" s="10" t="str">
        <x:v>Folha de S. Paulo</x:v>
      </x:c>
      <x:c r="N506" s="10" t="str">
        <x:v>Português, Brasil</x:v>
      </x:c>
      <x:c r="O506" s="10" t="str">
        <x:v>"Operação contenção" no Google</x:v>
      </x:c>
      <x:c r="P506" s="10" t="str">
        <x:v>2025-11-11 00:00:00</x:v>
      </x:c>
      <x:c r="Q506" s="10" t="str">
        <x:v>Aberto</x:v>
      </x:c>
      <x:c r="R506" s="10" t="str">
        <x:v>Aqui</x:v>
      </x:c>
      <x:c r="S506" s="10" t="str">
        <x:v>FANTTI, Bruna. Suspeitos que morreram horas antes de ação no Rio foram incluídos em lista oficial de mortos da polícia. Folha de S. Paulo, Rio de Janeiro, 10 nov. 2025. Disponível em: https://www1.folha.uol.com.br/cotidiano/2025/11/suspeito-que-morreu-horas-antes-de-acao-no-rio-foi-incluido-em-lista-oficial-de-mortos-da-policia.shtml. Acesso em: 11 nov. 2025.</x:v>
      </x:c>
      <x:c r="T506" s="10" t="str">
        <x:v>BR-SPDIREITOVIOLESTADO_MAPEAMENTOS-NOTICIAS-MSSCPENHA.xlsx</x:v>
      </x:c>
      <x:c r="U506" s="10" t="str">
        <x:v>Geral</x:v>
      </x:c>
      <x:c r="V506" s="11" t="n">
        <x:v>251</x:v>
      </x:c>
      <x:c r="W506" s="10" t="str">
        <x:v>BR-SPDIREITOVIOLESTADO_MAPEAMENTOS-NOTICIAS-MSSCPENHA.xlsx:Geral:251</x:v>
      </x:c>
      <x:c r="X506" s="11" t="n">
        <x:f>COLUMNS(A506:S506)-COUNTBLANK(A506:S506)</x:f>
        <x:v>19</x:v>
      </x:c>
    </x:row>
    <x:row r="507" ht="24" hidden="0" customHeight="1">
      <x:c r="A507" s="10" t="str">
        <x:v>Notícia</x:v>
      </x:c>
      <x:c r="B507" s="10" t="str">
        <x:v>Difusão</x:v>
      </x:c>
      <x:c r="C507" s="10" t="str">
        <x:v>Produção midiática</x:v>
      </x:c>
      <x:c r="D507" s="10" t="str">
        <x:v>Público Mediado</x:v>
      </x:c>
      <x:c r="E507" s="10" t="str">
        <x:v>Midiático</x:v>
      </x:c>
      <x:c r="F507" s="10" t="str">
        <x:v>10/11/2025</x:v>
      </x:c>
      <x:c r="G507" s="11" t="n">
        <x:v>2025</x:v>
      </x:c>
      <x:c r="H507" s="10" t="str">
        <x:v>São Paulo, Brasil</x:v>
      </x:c>
      <x:c r="I507" s="10" t="str">
        <x:v>Veja</x:v>
      </x:c>
      <x:c r="J507" s="10" t="str">
        <x:v>Moraes manda governo do Rio preservar imagens policiais de operação contra o CV</x:v>
      </x:c>
      <x:c r="K507" s="10" t="str">
        <x:v>Hemerográfico</x:v>
      </x:c>
      <x:c r="L507" s="10" t="str">
        <x:v>Texto (digital)</x:v>
      </x:c>
      <x:c r="M507" s="10" t="str">
        <x:v>Veja</x:v>
      </x:c>
      <x:c r="N507" s="10" t="str">
        <x:v>Português, Brasil</x:v>
      </x:c>
      <x:c r="O507" s="10" t="str">
        <x:v>"Operação contenção" no Google</x:v>
      </x:c>
      <x:c r="P507" s="10" t="str">
        <x:v>2025-11-11 00:00:00</x:v>
      </x:c>
      <x:c r="Q507" s="10" t="str">
        <x:v>Aberto</x:v>
      </x:c>
      <x:c r="R507" s="10" t="str">
        <x:v>Aqui</x:v>
      </x:c>
      <x:c r="S507" s="10" t="str">
        <x:v>MAZZOCO, Heitor. Moraes manda governo do Rio preservar imagens policiais de operação contra o CV. Veja, São Paulo, 10 nov. 2025. Disponível em: https://veja.abril.com.br/brasil/moraes-manda-governo-do-rio-preservar-imagens-policiais-de-operacao-contra-o-cv/. Acesso em: 11 nov. 2025.</x:v>
      </x:c>
      <x:c r="T507" s="10" t="str">
        <x:v>BR-SPDIREITOVIOLESTADO_MAPEAMENTOS-NOTICIAS-MSSCPENHA.xlsx</x:v>
      </x:c>
      <x:c r="U507" s="10" t="str">
        <x:v>Geral</x:v>
      </x:c>
      <x:c r="V507" s="11" t="n">
        <x:v>252</x:v>
      </x:c>
      <x:c r="W507" s="10" t="str">
        <x:v>BR-SPDIREITOVIOLESTADO_MAPEAMENTOS-NOTICIAS-MSSCPENHA.xlsx:Geral:252</x:v>
      </x:c>
      <x:c r="X507" s="11" t="n">
        <x:f>COLUMNS(A507:S507)-COUNTBLANK(A507:S507)</x:f>
        <x:v>19</x:v>
      </x:c>
    </x:row>
    <x:row r="508" ht="24" hidden="0" customHeight="1">
      <x:c r="A508" s="10" t="str">
        <x:v>Notícia</x:v>
      </x:c>
      <x:c r="B508" s="10" t="str">
        <x:v>Difusão</x:v>
      </x:c>
      <x:c r="C508" s="10" t="str">
        <x:v>Produção midiática</x:v>
      </x:c>
      <x:c r="D508" s="10" t="str">
        <x:v>Público Mediado</x:v>
      </x:c>
      <x:c r="E508" s="10" t="str">
        <x:v>Midiático</x:v>
      </x:c>
      <x:c r="F508" s="10" t="str">
        <x:v>28/10/2025</x:v>
      </x:c>
      <x:c r="G508" s="11" t="n">
        <x:v>2025</x:v>
      </x:c>
      <x:c r="H508" s="10" t="str">
        <x:v>São Paulo, Brasil</x:v>
      </x:c>
      <x:c r="I508" s="10" t="str">
        <x:v>UOL</x:v>
      </x:c>
      <x:c r="J508" s="10" t="str">
        <x:v>Operação mais letal do RJ gera pânico em moradores e tensão entre governos</x:v>
      </x:c>
      <x:c r="K508" s="10" t="str">
        <x:v>Hemerográfico</x:v>
      </x:c>
      <x:c r="L508" s="10" t="str">
        <x:v>Texto (digital)</x:v>
      </x:c>
      <x:c r="M508" s="10" t="str">
        <x:v>UOL</x:v>
      </x:c>
      <x:c r="N508" s="10" t="str">
        <x:v>Português, Brasil</x:v>
      </x:c>
      <x:c r="O508" s="10" t="str">
        <x:v>"Operação contenção" no Google</x:v>
      </x:c>
      <x:c r="P508" s="10" t="str">
        <x:v>2025-11-11 00:00:00</x:v>
      </x:c>
      <x:c r="Q508" s="10" t="str">
        <x:v>Aberto</x:v>
      </x:c>
      <x:c r="R508" s="10" t="str">
        <x:v>Aqui</x:v>
      </x:c>
      <x:c r="S508" s="10" t="str">
        <x:v>UOL. Operação mais letal do RJ gera pânico em moradores e tensão entre governos. UOL, São Paulo e Rio de Janeiro, 28 out. 2025. Atualizado em 29 out. 2025. Disponível em: https://noticias.uol.com.br/cotidiano/ultimas-noticias/2025/10/28/megaoperacao-rj.htm?cmpid=copiaecola. Acesso em: 11 nov. 2025.</x:v>
      </x:c>
      <x:c r="T508" s="10" t="str">
        <x:v>BR-SPDIREITOVIOLESTADO_MAPEAMENTOS-NOTICIAS-MSSCPENHA.xlsx</x:v>
      </x:c>
      <x:c r="U508" s="10" t="str">
        <x:v>Geral</x:v>
      </x:c>
      <x:c r="V508" s="11" t="n">
        <x:v>253</x:v>
      </x:c>
      <x:c r="W508" s="10" t="str">
        <x:v>BR-SPDIREITOVIOLESTADO_MAPEAMENTOS-NOTICIAS-MSSCPENHA.xlsx:Geral:253</x:v>
      </x:c>
      <x:c r="X508" s="11" t="n">
        <x:f>COLUMNS(A508:S508)-COUNTBLANK(A508:S508)</x:f>
        <x:v>19</x:v>
      </x:c>
    </x:row>
    <x:row r="509" ht="24" hidden="0" customHeight="1">
      <x:c r="A509" s="10" t="str">
        <x:v>Notícia</x:v>
      </x:c>
      <x:c r="B509" s="10" t="str">
        <x:v>Difusão</x:v>
      </x:c>
      <x:c r="C509" s="10" t="str">
        <x:v>Produção midiática</x:v>
      </x:c>
      <x:c r="D509" s="10" t="str">
        <x:v>Público Mediado</x:v>
      </x:c>
      <x:c r="E509" s="10" t="str">
        <x:v>Midiático</x:v>
      </x:c>
      <x:c r="F509" s="10" t="str">
        <x:v>07/11/2025</x:v>
      </x:c>
      <x:c r="G509" s="11" t="n">
        <x:v>2025</x:v>
      </x:c>
      <x:c r="H509" s="10" t="str">
        <x:v>Rio de Janeiro, Brasil</x:v>
      </x:c>
      <x:c r="I509" s="10" t="str">
        <x:v>Folha de S. Paulo</x:v>
      </x:c>
      <x:c r="J509" s="10" t="str">
        <x:v>Procuradores fazem evento em resort logo após Operação Contenção</x:v>
      </x:c>
      <x:c r="K509" s="10" t="str">
        <x:v>Hemerográfico</x:v>
      </x:c>
      <x:c r="L509" s="10" t="str">
        <x:v>Texto (digital)</x:v>
      </x:c>
      <x:c r="M509" s="10" t="str">
        <x:v>Folha de S. Paulo</x:v>
      </x:c>
      <x:c r="N509" s="10" t="str">
        <x:v>Português, Brasil</x:v>
      </x:c>
      <x:c r="O509" s="10" t="str">
        <x:v>"Operação contenção" no Google</x:v>
      </x:c>
      <x:c r="P509" s="10" t="str">
        <x:v>2025-11-11 00:00:00</x:v>
      </x:c>
      <x:c r="Q509" s="10" t="str">
        <x:v>Aberto</x:v>
      </x:c>
      <x:c r="R509" s="10" t="str">
        <x:v>Aqui</x:v>
      </x:c>
      <x:c r="S509" s="10" t="str">
        <x:v>VASCONCELOS, Frederico. Procuradores fazem evento em resort logo após Operação Contenção. Folha de S. Paulo, Rio de Janeiro, 7 nov. 2025. Disponível em: https://www1.folha.uol.com.br/blogs/frederico-vasconcelos/2025/11/procuradores-fazem-evento-em-resort-logo-apos-operacao-contencao.shtml. Acesso em: 11 nov. 2025.</x:v>
      </x:c>
      <x:c r="T509" s="10" t="str">
        <x:v>BR-SPDIREITOVIOLESTADO_MAPEAMENTOS-NOTICIAS-MSSCPENHA.xlsx</x:v>
      </x:c>
      <x:c r="U509" s="10" t="str">
        <x:v>Geral</x:v>
      </x:c>
      <x:c r="V509" s="11" t="n">
        <x:v>254</x:v>
      </x:c>
      <x:c r="W509" s="10" t="str">
        <x:v>BR-SPDIREITOVIOLESTADO_MAPEAMENTOS-NOTICIAS-MSSCPENHA.xlsx:Geral:254</x:v>
      </x:c>
      <x:c r="X509" s="11" t="n">
        <x:f>COLUMNS(A509:S509)-COUNTBLANK(A509:S509)</x:f>
        <x:v>19</x:v>
      </x:c>
    </x:row>
    <x:row r="510" ht="24" hidden="0" customHeight="1">
      <x:c r="A510" s="10" t="str">
        <x:v>Notícia</x:v>
      </x:c>
      <x:c r="B510" s="10" t="str">
        <x:v>Difusão</x:v>
      </x:c>
      <x:c r="C510" s="10" t="str">
        <x:v>Produção midiática</x:v>
      </x:c>
      <x:c r="D510" s="10" t="str">
        <x:v>Público Mediado</x:v>
      </x:c>
      <x:c r="E510" s="10" t="str">
        <x:v>Midiático</x:v>
      </x:c>
      <x:c r="F510" s="10" t="str">
        <x:v>29/10/2025</x:v>
      </x:c>
      <x:c r="G510" s="11" t="n">
        <x:v>2025</x:v>
      </x:c>
      <x:c r="H510" s="10" t="str">
        <x:v>São Paulo, Brasil</x:v>
      </x:c>
      <x:c r="I510" s="10" t="str">
        <x:v>O Estado de S. Paulo</x:v>
      </x:c>
      <x:c r="J510" s="10" t="str">
        <x:v>Estado: O que acontece agora</x:v>
      </x:c>
      <x:c r="K510" s="10" t="str">
        <x:v>Hemerográfico</x:v>
      </x:c>
      <x:c r="L510" s="10" t="str">
        <x:v>Texto (digital)</x:v>
      </x:c>
      <x:c r="M510" s="10" t="str">
        <x:v>O Estado de S. Paulo</x:v>
      </x:c>
      <x:c r="N510" s="10" t="str">
        <x:v>Português, Brasil</x:v>
      </x:c>
      <x:c r="O510" s="10" t="str">
        <x:v>"Operação contenção" no Google</x:v>
      </x:c>
      <x:c r="P510" s="10" t="str">
        <x:v>2025-11-11 00:00:00</x:v>
      </x:c>
      <x:c r="Q510" s="10" t="str">
        <x:v>Aberto</x:v>
      </x:c>
      <x:c r="R510" s="10" t="str">
        <x:v>Aqui</x:v>
      </x:c>
      <x:c r="S510" s="10" t="str">
        <x:v>HORA, Geovanna. Estado: O que acontece agora? Estadão, São Paulo, 29 out. 2025. Atualizado em 29 out. 2025. Disponível em: https://www.estadao.com.br/brasil/o-que-acontece-agora-rj-apos-operacao-mais-letal-npr/. Acesso em: 11 nov. 2025.</x:v>
      </x:c>
      <x:c r="T510" s="10" t="str">
        <x:v>BR-SPDIREITOVIOLESTADO_MAPEAMENTOS-NOTICIAS-MSSCPENHA.xlsx</x:v>
      </x:c>
      <x:c r="U510" s="10" t="str">
        <x:v>Geral</x:v>
      </x:c>
      <x:c r="V510" s="11" t="n">
        <x:v>255</x:v>
      </x:c>
      <x:c r="W510" s="10" t="str">
        <x:v>BR-SPDIREITOVIOLESTADO_MAPEAMENTOS-NOTICIAS-MSSCPENHA.xlsx:Geral:255</x:v>
      </x:c>
      <x:c r="X510" s="11" t="n">
        <x:f>COLUMNS(A510:S510)-COUNTBLANK(A510:S510)</x:f>
        <x:v>19</x:v>
      </x:c>
    </x:row>
    <x:row r="511" ht="24" hidden="0" customHeight="1">
      <x:c r="A511" s="10" t="str">
        <x:v>Notícia</x:v>
      </x:c>
      <x:c r="B511" s="10" t="str">
        <x:v>Difusão</x:v>
      </x:c>
      <x:c r="C511" s="10" t="str">
        <x:v>Produção midiática</x:v>
      </x:c>
      <x:c r="D511" s="10" t="str">
        <x:v>Público Mediado</x:v>
      </x:c>
      <x:c r="E511" s="10" t="str">
        <x:v>Midiático</x:v>
      </x:c>
      <x:c r="F511" s="10" t="str">
        <x:v>11/11/2025</x:v>
      </x:c>
      <x:c r="G511" s="11" t="n">
        <x:v>2025</x:v>
      </x:c>
      <x:c r="H511" s="10" t="str">
        <x:v>São Paulo, Brasil</x:v>
      </x:c>
      <x:c r="I511" s="10" t="str">
        <x:v>InfoMoney</x:v>
      </x:c>
      <x:c r="J511" s="10" t="str">
        <x:v>Moraes suspende inquérito contra pessoas que retiraram corpos após operação no Rio</x:v>
      </x:c>
      <x:c r="K511" s="10" t="str">
        <x:v>Hemerográfico</x:v>
      </x:c>
      <x:c r="L511" s="10" t="str">
        <x:v>Texto (digital)</x:v>
      </x:c>
      <x:c r="M511" s="10" t="str">
        <x:v>InfoMoney</x:v>
      </x:c>
      <x:c r="N511" s="10" t="str">
        <x:v>Português, Brasil</x:v>
      </x:c>
      <x:c r="O511" s="10" t="str">
        <x:v>"Operação contenção" no Google</x:v>
      </x:c>
      <x:c r="P511" s="10" t="str">
        <x:v>2025-11-11 00:00:00</x:v>
      </x:c>
      <x:c r="Q511" s="10" t="str">
        <x:v>Aberto</x:v>
      </x:c>
      <x:c r="R511" s="10" t="str">
        <x:v>Aqui</x:v>
      </x:c>
      <x:c r="S511" s="10" t="str">
        <x:v>VERENICZ, Marina. Moraes suspende inquérito contra pessoas que retiraram corpos após operação no Rio. InfoMoney, São Paulo, 11 nov. 2025. Disponível em: https://www.infomoney.com.br/politica/moraes-suspende-inquerito-contra-pessoas-que-retiraram-corpos-apos-operacao-no-rio/. Acesso em: 11 nov. 2025.</x:v>
      </x:c>
      <x:c r="T511" s="10" t="str">
        <x:v>BR-SPDIREITOVIOLESTADO_MAPEAMENTOS-NOTICIAS-MSSCPENHA.xlsx</x:v>
      </x:c>
      <x:c r="U511" s="10" t="str">
        <x:v>Geral</x:v>
      </x:c>
      <x:c r="V511" s="11" t="n">
        <x:v>256</x:v>
      </x:c>
      <x:c r="W511" s="10" t="str">
        <x:v>BR-SPDIREITOVIOLESTADO_MAPEAMENTOS-NOTICIAS-MSSCPENHA.xlsx:Geral:256</x:v>
      </x:c>
      <x:c r="X511" s="11" t="n">
        <x:f>COLUMNS(A511:S511)-COUNTBLANK(A511:S511)</x:f>
        <x:v>19</x:v>
      </x:c>
    </x:row>
    <x:row r="512" ht="24" hidden="0" customHeight="1">
      <x:c r="A512" s="10" t="str">
        <x:v>Notícia</x:v>
      </x:c>
      <x:c r="B512" s="10" t="str">
        <x:v>Difusão</x:v>
      </x:c>
      <x:c r="C512" s="10" t="str">
        <x:v>Produção midiática</x:v>
      </x:c>
      <x:c r="D512" s="10" t="str">
        <x:v>Público Mediado</x:v>
      </x:c>
      <x:c r="E512" s="10" t="str">
        <x:v>Midiático</x:v>
      </x:c>
      <x:c r="F512" s="10" t="str">
        <x:v>04/11/2025</x:v>
      </x:c>
      <x:c r="G512" s="11" t="n">
        <x:v>2025</x:v>
      </x:c>
      <x:c r="H512" s="10" t="str">
        <x:v>Distrito Federal, Brasil</x:v>
      </x:c>
      <x:c r="I512" s="10" t="str">
        <x:v>Agência Brasil</x:v>
      </x:c>
      <x:c r="J512" s="10" t="str">
        <x:v>Lula classifica Operação Contenção, no RJ, como "desastrosa"</x:v>
      </x:c>
      <x:c r="K512" s="10" t="str">
        <x:v>Hemerográfico</x:v>
      </x:c>
      <x:c r="L512" s="10" t="str">
        <x:v>Texto (digital)</x:v>
      </x:c>
      <x:c r="M512" s="10" t="str">
        <x:v>Agência Brasil</x:v>
      </x:c>
      <x:c r="N512" s="10" t="str">
        <x:v>Português, Brasil</x:v>
      </x:c>
      <x:c r="O512" s="10" t="str">
        <x:v>"Operação contenção" no Google</x:v>
      </x:c>
      <x:c r="P512" s="10" t="str">
        <x:v>2025-11-11 00:00:00</x:v>
      </x:c>
      <x:c r="Q512" s="10" t="str">
        <x:v>Aberto</x:v>
      </x:c>
      <x:c r="R512" s="10" t="str">
        <x:v>Aqui</x:v>
      </x:c>
      <x:c r="S512" s="10" t="str">
        <x:v>AGÊNCIA BRASIL. Lula classifica Operação Contenção, no RJ, como "desastrosa". Agência Brasil, Brasília, 4 nov. 2025. Disponível em: https://agenciabrasil.ebc.com.br/politica/noticia/2025-11/lula-classifica-operacao-contencao-no-rj-como-desastrosa. Acesso em: 11 nov. 2025.</x:v>
      </x:c>
      <x:c r="T512" s="10" t="str">
        <x:v>BR-SPDIREITOVIOLESTADO_MAPEAMENTOS-NOTICIAS-MSSCPENHA.xlsx</x:v>
      </x:c>
      <x:c r="U512" s="10" t="str">
        <x:v>Geral</x:v>
      </x:c>
      <x:c r="V512" s="11" t="n">
        <x:v>257</x:v>
      </x:c>
      <x:c r="W512" s="10" t="str">
        <x:v>BR-SPDIREITOVIOLESTADO_MAPEAMENTOS-NOTICIAS-MSSCPENHA.xlsx:Geral:257</x:v>
      </x:c>
      <x:c r="X512" s="11" t="n">
        <x:f>COLUMNS(A512:S512)-COUNTBLANK(A512:S512)</x:f>
        <x:v>19</x:v>
      </x:c>
    </x:row>
    <x:row r="513" ht="24" hidden="0" customHeight="1">
      <x:c r="A513" s="10" t="str">
        <x:v>Notícia</x:v>
      </x:c>
      <x:c r="B513" s="10" t="str">
        <x:v>Difusão</x:v>
      </x:c>
      <x:c r="C513" s="10" t="str">
        <x:v>Produção midiática</x:v>
      </x:c>
      <x:c r="D513" s="10" t="str">
        <x:v>Público Mediado</x:v>
      </x:c>
      <x:c r="E513" s="10" t="str">
        <x:v>Midiático</x:v>
      </x:c>
      <x:c r="F513" s="10" t="str">
        <x:v>10/11/2025</x:v>
      </x:c>
      <x:c r="G513" s="11" t="n">
        <x:v>2025</x:v>
      </x:c>
      <x:c r="H513" s="10" t="str">
        <x:v>Rio de Janeiro, Brasil</x:v>
      </x:c>
      <x:c r="I513" s="10" t="str">
        <x:v>ND Mais</x:v>
      </x:c>
      <x:c r="J513" s="10" t="str">
        <x:v>Moraes suspende inquérito contra famílias que retiraram corpos após megaoperação no Rio</x:v>
      </x:c>
      <x:c r="K513" s="10" t="str">
        <x:v>Hemerográfico</x:v>
      </x:c>
      <x:c r="L513" s="10" t="str">
        <x:v>Texto (digital)</x:v>
      </x:c>
      <x:c r="M513" s="10" t="str">
        <x:v>ND Mais</x:v>
      </x:c>
      <x:c r="N513" s="10" t="str">
        <x:v>Português, Brasil</x:v>
      </x:c>
      <x:c r="O513" s="10" t="str">
        <x:v>"Operação contenção" no Google</x:v>
      </x:c>
      <x:c r="P513" s="10" t="str">
        <x:v>2025-11-11 00:00:00</x:v>
      </x:c>
      <x:c r="Q513" s="10" t="str">
        <x:v>Aberto</x:v>
      </x:c>
      <x:c r="R513" s="10" t="str">
        <x:v>Aqui</x:v>
      </x:c>
      <x:c r="S513" s="10" t="str">
        <x:v>ND+. Moraes suspende inquérito contra famílias que retiraram corpos após megaoperação no Rio. ND+, Rio de Janeiro, 10 nov. 2025. Disponível em: https://ndmais.com.br/justica/megaoperacao-no-rio-stf-suspende-familiares/#google_vignette. Acesso em: 11 nov. 2025.</x:v>
      </x:c>
      <x:c r="T513" s="10" t="str">
        <x:v>BR-SPDIREITOVIOLESTADO_MAPEAMENTOS-NOTICIAS-MSSCPENHA.xlsx</x:v>
      </x:c>
      <x:c r="U513" s="10" t="str">
        <x:v>Geral</x:v>
      </x:c>
      <x:c r="V513" s="11" t="n">
        <x:v>258</x:v>
      </x:c>
      <x:c r="W513" s="10" t="str">
        <x:v>BR-SPDIREITOVIOLESTADO_MAPEAMENTOS-NOTICIAS-MSSCPENHA.xlsx:Geral:258</x:v>
      </x:c>
      <x:c r="X513" s="11" t="n">
        <x:f>COLUMNS(A513:S513)-COUNTBLANK(A513:S513)</x:f>
        <x:v>19</x:v>
      </x:c>
    </x:row>
    <x:row r="514" ht="24" hidden="0" customHeight="1">
      <x:c r="A514" s="10" t="str">
        <x:v>Notícia</x:v>
      </x:c>
      <x:c r="B514" s="10" t="str">
        <x:v>Difusão</x:v>
      </x:c>
      <x:c r="C514" s="10" t="str">
        <x:v>Produção midiática</x:v>
      </x:c>
      <x:c r="D514" s="10" t="str">
        <x:v>Público Mediado</x:v>
      </x:c>
      <x:c r="E514" s="10" t="str">
        <x:v>Midiático</x:v>
      </x:c>
      <x:c r="F514" s="10" t="str">
        <x:v>03/11/2025</x:v>
      </x:c>
      <x:c r="G514" s="11" t="n">
        <x:v>2025</x:v>
      </x:c>
      <x:c r="H514" s="10" t="str">
        <x:v>Distrito Federal, Brasil</x:v>
      </x:c>
      <x:c r="I514" s="10" t="str">
        <x:v>Poder 360</x:v>
      </x:c>
      <x:c r="J514" s="10" t="str">
        <x:v>Saiba quem são os mortos em megaoperação no Rio</x:v>
      </x:c>
      <x:c r="K514" s="10" t="str">
        <x:v>Hemerográfico</x:v>
      </x:c>
      <x:c r="L514" s="10" t="str">
        <x:v>Texto (digital)</x:v>
      </x:c>
      <x:c r="M514" s="10" t="str">
        <x:v>Poder 360</x:v>
      </x:c>
      <x:c r="N514" s="10" t="str">
        <x:v>Português, Brasil</x:v>
      </x:c>
      <x:c r="O514" s="10" t="str">
        <x:v>"Operação contenção" no Google</x:v>
      </x:c>
      <x:c r="P514" s="10" t="str">
        <x:v>2025-11-11 00:00:00</x:v>
      </x:c>
      <x:c r="Q514" s="10" t="str">
        <x:v>Aberto</x:v>
      </x:c>
      <x:c r="R514" s="10" t="str">
        <x:v>Aqui</x:v>
      </x:c>
      <x:c r="S514" s="10" t="str">
        <x:v>AMOÊDO, Julia. Saiba quem são os mortos em megaoperação no Rio. Poder360, Brasília, 3 nov. 2025. Disponível em: https://www.poder360.com.br/poder-seguranca-publica/saiba-quem-sao-os-mortos-em-megaoperacao-no-rio/. Acesso em: 11 nov. 2025.</x:v>
      </x:c>
      <x:c r="T514" s="10" t="str">
        <x:v>BR-SPDIREITOVIOLESTADO_MAPEAMENTOS-NOTICIAS-MSSCPENHA.xlsx</x:v>
      </x:c>
      <x:c r="U514" s="10" t="str">
        <x:v>Geral</x:v>
      </x:c>
      <x:c r="V514" s="11" t="n">
        <x:v>259</x:v>
      </x:c>
      <x:c r="W514" s="10" t="str">
        <x:v>BR-SPDIREITOVIOLESTADO_MAPEAMENTOS-NOTICIAS-MSSCPENHA.xlsx:Geral:259</x:v>
      </x:c>
      <x:c r="X514" s="11" t="n">
        <x:f>COLUMNS(A514:S514)-COUNTBLANK(A514:S514)</x:f>
        <x:v>19</x:v>
      </x:c>
    </x:row>
    <x:row r="515" ht="24" hidden="0" customHeight="1">
      <x:c r="A515" s="10" t="str">
        <x:v>Notícia</x:v>
      </x:c>
      <x:c r="B515" s="10" t="str">
        <x:v>Difusão</x:v>
      </x:c>
      <x:c r="C515" s="10" t="str">
        <x:v>Produção midiática</x:v>
      </x:c>
      <x:c r="D515" s="10" t="str">
        <x:v>Público Mediado</x:v>
      </x:c>
      <x:c r="E515" s="10" t="str">
        <x:v>Midiático</x:v>
      </x:c>
      <x:c r="F515" s="10" t="str">
        <x:v>28/10/2025</x:v>
      </x:c>
      <x:c r="G515" s="11" t="n">
        <x:v>2025</x:v>
      </x:c>
      <x:c r="H515" s="10" t="str">
        <x:v>São Paulo, Brasil</x:v>
      </x:c>
      <x:c r="I515" s="10" t="str">
        <x:v>UOL</x:v>
      </x:c>
      <x:c r="J515" s="10" t="str">
        <x:v>'CV fechou tudo': moradores vivem pânico após toque de recolher de facção</x:v>
      </x:c>
      <x:c r="K515" s="10" t="str">
        <x:v>Hemerográfico</x:v>
      </x:c>
      <x:c r="L515" s="10" t="str">
        <x:v>Texto (digital)</x:v>
      </x:c>
      <x:c r="M515" s="10" t="str">
        <x:v>UOL</x:v>
      </x:c>
      <x:c r="N515" s="10" t="str">
        <x:v>Português, Brasil</x:v>
      </x:c>
      <x:c r="O515" s="10" t="str">
        <x:v>"Operação contenção" no Google</x:v>
      </x:c>
      <x:c r="P515" s="10" t="str">
        <x:v>2025-11-11 00:00:00</x:v>
      </x:c>
      <x:c r="Q515" s="10" t="str">
        <x:v>Aberto</x:v>
      </x:c>
      <x:c r="R515" s="10" t="str">
        <x:v>Aqui</x:v>
      </x:c>
      <x:c r="S515" s="10" t="str">
        <x:v>DURÃES, Uesley; ADORNO, Luís. 'CV fechou tudo': moradores vivem pânico após toque de recolher de facção. UOL, São Paulo e Rio de Janeiro, 28 out. 2025. Disponível em: https://noticias.uol.com.br/cotidiano/ultimas-noticias/2025/10/28/cv-toque-de-recolher-comercios-operacao.htm?cmpid=copiaecola. Acesso em: 11 nov. 2025.</x:v>
      </x:c>
      <x:c r="T515" s="10" t="str">
        <x:v>BR-SPDIREITOVIOLESTADO_MAPEAMENTOS-NOTICIAS-MSSCPENHA.xlsx</x:v>
      </x:c>
      <x:c r="U515" s="10" t="str">
        <x:v>Geral</x:v>
      </x:c>
      <x:c r="V515" s="11" t="n">
        <x:v>260</x:v>
      </x:c>
      <x:c r="W515" s="10" t="str">
        <x:v>BR-SPDIREITOVIOLESTADO_MAPEAMENTOS-NOTICIAS-MSSCPENHA.xlsx:Geral:260</x:v>
      </x:c>
      <x:c r="X515" s="11" t="n">
        <x:f>COLUMNS(A515:S515)-COUNTBLANK(A515:S515)</x:f>
        <x:v>19</x:v>
      </x:c>
    </x:row>
    <x:row r="516" ht="24" hidden="0" customHeight="1">
      <x:c r="A516" s="10" t="str">
        <x:v>Notícia</x:v>
      </x:c>
      <x:c r="B516" s="10" t="str">
        <x:v>Difusão</x:v>
      </x:c>
      <x:c r="C516" s="10" t="str">
        <x:v>Produção midiática</x:v>
      </x:c>
      <x:c r="D516" s="10" t="str">
        <x:v>Público Mediado</x:v>
      </x:c>
      <x:c r="E516" s="10" t="str">
        <x:v>Midiático</x:v>
      </x:c>
      <x:c r="F516" s="10" t="str">
        <x:v>30/10/2025</x:v>
      </x:c>
      <x:c r="G516" s="11" t="n">
        <x:v>2025</x:v>
      </x:c>
      <x:c r="H516" s="10" t="str">
        <x:v>Londres, Reino Unido</x:v>
      </x:c>
      <x:c r="I516" s="10" t="str">
        <x:v>BBC News Brasil</x:v>
      </x:c>
      <x:c r="J516" s="10" t="str">
        <x:v>Mensagens contra operação predominam no WhatsApp no Rio, mas apoio nacional foi maior</x:v>
      </x:c>
      <x:c r="K516" s="10" t="str">
        <x:v>Hemerográfico</x:v>
      </x:c>
      <x:c r="L516" s="10" t="str">
        <x:v>Texto (digital)</x:v>
      </x:c>
      <x:c r="M516" s="10" t="str">
        <x:v>BBC News Brasil</x:v>
      </x:c>
      <x:c r="N516" s="10" t="str">
        <x:v>Português, Brasil</x:v>
      </x:c>
      <x:c r="O516" s="10" t="str">
        <x:v>"Operação contenção" no Google</x:v>
      </x:c>
      <x:c r="P516" s="10" t="str">
        <x:v>2025-11-11 00:00:00</x:v>
      </x:c>
      <x:c r="Q516" s="10" t="str">
        <x:v>Aberto</x:v>
      </x:c>
      <x:c r="R516" s="10" t="str">
        <x:v>Aqui</x:v>
      </x:c>
      <x:c r="S516" s="10" t="str">
        <x:v>BBC NEWS BRASIL. Mensagens contra operação predominam no WhatsApp no Rio, mas apoio nacional foi maior. Londres, Reino Unido, 30 out. 2025. Disponível em: https://www.bbc.com/portuguese/articles/c3ep7v2xyl0o. Acesso em: 11 nov. 2025.</x:v>
      </x:c>
      <x:c r="T516" s="10" t="str">
        <x:v>BR-SPDIREITOVIOLESTADO_MAPEAMENTOS-NOTICIAS-MSSCPENHA.xlsx</x:v>
      </x:c>
      <x:c r="U516" s="10" t="str">
        <x:v>Geral</x:v>
      </x:c>
      <x:c r="V516" s="11" t="n">
        <x:v>261</x:v>
      </x:c>
      <x:c r="W516" s="10" t="str">
        <x:v>BR-SPDIREITOVIOLESTADO_MAPEAMENTOS-NOTICIAS-MSSCPENHA.xlsx:Geral:261</x:v>
      </x:c>
      <x:c r="X516" s="11" t="n">
        <x:f>COLUMNS(A516:S516)-COUNTBLANK(A516:S516)</x:f>
        <x:v>19</x:v>
      </x:c>
    </x:row>
    <x:row r="517" ht="24" hidden="0" customHeight="1">
      <x:c r="A517" s="10" t="str">
        <x:v>Notícia</x:v>
      </x:c>
      <x:c r="B517" s="10" t="str">
        <x:v>Difusão</x:v>
      </x:c>
      <x:c r="C517" s="10" t="str">
        <x:v>Produção midiática</x:v>
      </x:c>
      <x:c r="D517" s="10" t="str">
        <x:v>Público Mediado</x:v>
      </x:c>
      <x:c r="E517" s="10" t="str">
        <x:v>Midiático</x:v>
      </x:c>
      <x:c r="F517" s="10" t="str">
        <x:v>06/11/2025</x:v>
      </x:c>
      <x:c r="G517" s="11" t="n">
        <x:v>2025</x:v>
      </x:c>
      <x:c r="H517" s="10" t="str">
        <x:v>São Paulo, Brasil</x:v>
      </x:c>
      <x:c r="I517" s="10" t="str">
        <x:v>Agência Pública</x:v>
      </x:c>
      <x:c r="J517" s="10" t="str">
        <x:v>Secretário de Segurança do Brasil minimiza carta dos EUA sobre Operação Contenção</x:v>
      </x:c>
      <x:c r="K517" s="10" t="str">
        <x:v>Hemerográfico</x:v>
      </x:c>
      <x:c r="L517" s="10" t="str">
        <x:v>Texto (digital)</x:v>
      </x:c>
      <x:c r="M517" s="10" t="str">
        <x:v>Agência Pública</x:v>
      </x:c>
      <x:c r="N517" s="10" t="str">
        <x:v>Português, Brasil</x:v>
      </x:c>
      <x:c r="O517" s="10" t="str">
        <x:v>"Operação contenção" no Google</x:v>
      </x:c>
      <x:c r="P517" s="10" t="str">
        <x:v>2025-11-11 00:00:00</x:v>
      </x:c>
      <x:c r="Q517" s="10" t="str">
        <x:v>Aberto</x:v>
      </x:c>
      <x:c r="R517" s="10" t="str">
        <x:v>Aqui</x:v>
      </x:c>
      <x:c r="S517" s="10" t="str">
        <x:v>CUSTÓDIO, Rafael. Secretário de Segurança do Brasil minimiza carta dos EUA sobre Operação Contenção. Agência Pública, São Paulo, 6 nov. 2025. Disponível em: https://apublica.org/2025/11/secretario-ve-risco-a-soberania-em-pedido-de-castro/. Acesso em: 11 nov. 2025.</x:v>
      </x:c>
      <x:c r="T517" s="10" t="str">
        <x:v>BR-SPDIREITOVIOLESTADO_MAPEAMENTOS-NOTICIAS-MSSCPENHA.xlsx</x:v>
      </x:c>
      <x:c r="U517" s="10" t="str">
        <x:v>Geral</x:v>
      </x:c>
      <x:c r="V517" s="11" t="n">
        <x:v>262</x:v>
      </x:c>
      <x:c r="W517" s="10" t="str">
        <x:v>BR-SPDIREITOVIOLESTADO_MAPEAMENTOS-NOTICIAS-MSSCPENHA.xlsx:Geral:262</x:v>
      </x:c>
      <x:c r="X517" s="11" t="n">
        <x:f>COLUMNS(A517:S517)-COUNTBLANK(A517:S517)</x:f>
        <x:v>19</x:v>
      </x:c>
    </x:row>
    <x:row r="518" ht="24" hidden="0" customHeight="1">
      <x:c r="A518" s="10" t="str">
        <x:v>Notícia</x:v>
      </x:c>
      <x:c r="B518" s="10" t="str">
        <x:v>Difusão</x:v>
      </x:c>
      <x:c r="C518" s="10" t="str">
        <x:v>Produção midiática</x:v>
      </x:c>
      <x:c r="D518" s="10" t="str">
        <x:v>Público Mediado</x:v>
      </x:c>
      <x:c r="E518" s="10" t="str">
        <x:v>Midiático</x:v>
      </x:c>
      <x:c r="F518" s="10" t="str">
        <x:v>10/11/2025</x:v>
      </x:c>
      <x:c r="G518" s="11" t="n">
        <x:v>2025</x:v>
      </x:c>
      <x:c r="H518" s="10" t="str">
        <x:v>São Paulo, Brasil</x:v>
      </x:c>
      <x:c r="I518" s="10" t="str">
        <x:v>O Estado de S. Paulo</x:v>
      </x:c>
      <x:c r="J518" s="10" t="str">
        <x:v>Investigação da PF, explicações de Castro e perícias: o que Moraes já decidiu sobre operação no Rio</x:v>
      </x:c>
      <x:c r="K518" s="10" t="str">
        <x:v>Hemerográfico</x:v>
      </x:c>
      <x:c r="L518" s="10" t="str">
        <x:v>Texto (digital)</x:v>
      </x:c>
      <x:c r="M518" s="10" t="str">
        <x:v>O Estado de S. Paulo</x:v>
      </x:c>
      <x:c r="N518" s="10" t="str">
        <x:v>Português, Brasil</x:v>
      </x:c>
      <x:c r="O518" s="10" t="str">
        <x:v>"Operação contenção" no Google</x:v>
      </x:c>
      <x:c r="P518" s="10" t="str">
        <x:v>2025-11-11 00:00:00</x:v>
      </x:c>
      <x:c r="Q518" s="10" t="str">
        <x:v>Acesso restrito</x:v>
      </x:c>
      <x:c r="R518" s="10" t="str">
        <x:v>Aqui</x:v>
      </x:c>
      <x:c r="S518" s="10" t="str">
        <x:v>GUERRA, Rayanderson. Investigação da PF, explicações de Castro e perícias: o que Moraes já decidiu sobre operação no Rio? Estadão, São Paulo, 10 nov. 2025. Disponível em: https://www.estadao.com.br/brasil/investigacao-da-pf-explicacoes-de-castro-e-pericias-o-que-moraes-ja-decidiu-sobre-operacao-no-rio-npr/. Acesso em: 11 nov. 2025.</x:v>
      </x:c>
      <x:c r="T518" s="10" t="str">
        <x:v>BR-SPDIREITOVIOLESTADO_MAPEAMENTOS-NOTICIAS-MSSCPENHA.xlsx</x:v>
      </x:c>
      <x:c r="U518" s="10" t="str">
        <x:v>Geral</x:v>
      </x:c>
      <x:c r="V518" s="11" t="n">
        <x:v>263</x:v>
      </x:c>
      <x:c r="W518" s="10" t="str">
        <x:v>BR-SPDIREITOVIOLESTADO_MAPEAMENTOS-NOTICIAS-MSSCPENHA.xlsx:Geral:263</x:v>
      </x:c>
      <x:c r="X518" s="11" t="n">
        <x:f>COLUMNS(A518:S518)-COUNTBLANK(A518:S518)</x:f>
        <x:v>19</x:v>
      </x:c>
    </x:row>
    <x:row r="519" ht="24" hidden="0" customHeight="1">
      <x:c r="A519" s="10" t="str">
        <x:v>Notícia</x:v>
      </x:c>
      <x:c r="B519" s="10" t="str">
        <x:v>Difusão</x:v>
      </x:c>
      <x:c r="C519" s="10" t="str">
        <x:v>Produção midiática</x:v>
      </x:c>
      <x:c r="D519" s="10" t="str">
        <x:v>Público Mediado</x:v>
      </x:c>
      <x:c r="E519" s="10" t="str">
        <x:v>Midiático</x:v>
      </x:c>
      <x:c r="F519" s="10" t="str">
        <x:v>03/11/2025</x:v>
      </x:c>
      <x:c r="G519" s="11" t="n">
        <x:v>2025</x:v>
      </x:c>
      <x:c r="H519" s="10" t="str">
        <x:v>São Paulo, Brasil</x:v>
      </x:c>
      <x:c r="I519" s="10" t="str">
        <x:v>Carta Capital</x:v>
      </x:c>
      <x:c r="J519" s="10" t="str">
        <x:v>As alegações de Castro a Moraes sobre a operação mais letal do Brasil</x:v>
      </x:c>
      <x:c r="K519" s="10" t="str">
        <x:v>Hemerográfico</x:v>
      </x:c>
      <x:c r="L519" s="10" t="str">
        <x:v>Texto (digital)</x:v>
      </x:c>
      <x:c r="M519" s="10" t="str">
        <x:v>Carta Capital</x:v>
      </x:c>
      <x:c r="N519" s="10" t="str">
        <x:v>Português, Brasil</x:v>
      </x:c>
      <x:c r="O519" s="10" t="str">
        <x:v>"Operação contenção" no Google</x:v>
      </x:c>
      <x:c r="P519" s="10" t="str">
        <x:v>2025-11-11 00:00:00</x:v>
      </x:c>
      <x:c r="Q519" s="10" t="str">
        <x:v>Acesso restrito</x:v>
      </x:c>
      <x:c r="R519" s="10" t="str">
        <x:v>Aqui</x:v>
      </x:c>
      <x:c r="S519" s="10" t="str">
        <x:v>CARTA CAPITAL. As alegações de Castro a Moraes sobre a operação mais letal do Brasil. São Paulo, 3 nov. 2025. Disponível em: https://www.cartacapital.com.br/politica/as-alegacoes-de-castro-a-moraes-sobre-a-operacao-mais-letal-do-brasil/. Acesso em: 11 nov. 2025.</x:v>
      </x:c>
      <x:c r="T519" s="10" t="str">
        <x:v>BR-SPDIREITOVIOLESTADO_MAPEAMENTOS-NOTICIAS-MSSCPENHA.xlsx</x:v>
      </x:c>
      <x:c r="U519" s="10" t="str">
        <x:v>Geral</x:v>
      </x:c>
      <x:c r="V519" s="11" t="n">
        <x:v>264</x:v>
      </x:c>
      <x:c r="W519" s="10" t="str">
        <x:v>BR-SPDIREITOVIOLESTADO_MAPEAMENTOS-NOTICIAS-MSSCPENHA.xlsx:Geral:264</x:v>
      </x:c>
      <x:c r="X519" s="11" t="n">
        <x:f>COLUMNS(A519:S519)-COUNTBLANK(A519:S519)</x:f>
        <x:v>19</x:v>
      </x:c>
    </x:row>
    <x:row r="520" ht="24" hidden="0" customHeight="1">
      <x:c r="A520" s="10" t="str">
        <x:v>Notícia</x:v>
      </x:c>
      <x:c r="B520" s="10" t="str">
        <x:v>Difusão</x:v>
      </x:c>
      <x:c r="C520" s="10" t="str">
        <x:v>Produção midiática</x:v>
      </x:c>
      <x:c r="D520" s="10" t="str">
        <x:v>Público Mediado</x:v>
      </x:c>
      <x:c r="E520" s="10" t="str">
        <x:v>Midiático</x:v>
      </x:c>
      <x:c r="F520" s="10" t="str">
        <x:v>03/11/2025</x:v>
      </x:c>
      <x:c r="G520" s="11" t="n">
        <x:v>2025</x:v>
      </x:c>
      <x:c r="H520" s="10" t="str">
        <x:v>São Paulo, Brasil</x:v>
      </x:c>
      <x:c r="I520" s="10" t="str">
        <x:v>Veja</x:v>
      </x:c>
      <x:c r="J520" s="10" t="str">
        <x:v>Quem são os chefões do Comando Vermelho mortos na megaoperação do Rio</x:v>
      </x:c>
      <x:c r="K520" s="10" t="str">
        <x:v>Hemerográfico</x:v>
      </x:c>
      <x:c r="L520" s="10" t="str">
        <x:v>Texto (digital)</x:v>
      </x:c>
      <x:c r="M520" s="10" t="str">
        <x:v>Veja</x:v>
      </x:c>
      <x:c r="N520" s="10" t="str">
        <x:v>Português, Brasil</x:v>
      </x:c>
      <x:c r="O520" s="10" t="str">
        <x:v>"Operação contenção" no Google</x:v>
      </x:c>
      <x:c r="P520" s="10" t="str">
        <x:v>2025-11-11 00:00:00</x:v>
      </x:c>
      <x:c r="Q520" s="10" t="str">
        <x:v>Aberto</x:v>
      </x:c>
      <x:c r="R520" s="10" t="str">
        <x:v>Aqui</x:v>
      </x:c>
      <x:c r="S520" s="10" t="str">
        <x:v>PRADO, Anita. Quem são os chefões do Comando Vermelho mortos na megaoperação do Rio. Veja, São Paulo, 3 nov. 2025. Disponível em: https://veja.abril.com.br/brasil/saiba-quem-sao-os-chefoes-do-comando-vermelho-mortos-na-megaoperacao/. Acesso em: 11 nov. 2025.</x:v>
      </x:c>
      <x:c r="T520" s="10" t="str">
        <x:v>BR-SPDIREITOVIOLESTADO_MAPEAMENTOS-NOTICIAS-MSSCPENHA.xlsx</x:v>
      </x:c>
      <x:c r="U520" s="10" t="str">
        <x:v>Geral</x:v>
      </x:c>
      <x:c r="V520" s="11" t="n">
        <x:v>265</x:v>
      </x:c>
      <x:c r="W520" s="10" t="str">
        <x:v>BR-SPDIREITOVIOLESTADO_MAPEAMENTOS-NOTICIAS-MSSCPENHA.xlsx:Geral:265</x:v>
      </x:c>
      <x:c r="X520" s="11" t="n">
        <x:f>COLUMNS(A520:S520)-COUNTBLANK(A520:S520)</x:f>
        <x:v>19</x:v>
      </x:c>
    </x:row>
    <x:row r="521" ht="24" hidden="0" customHeight="1">
      <x:c r="A521" s="10" t="str">
        <x:v>Notícia</x:v>
      </x:c>
      <x:c r="B521" s="10" t="str">
        <x:v>Difusão</x:v>
      </x:c>
      <x:c r="C521" s="10" t="str">
        <x:v>Produção midiática</x:v>
      </x:c>
      <x:c r="D521" s="10" t="str">
        <x:v>Público Mediado</x:v>
      </x:c>
      <x:c r="E521" s="10" t="str">
        <x:v>Midiático</x:v>
      </x:c>
      <x:c r="F521" s="10" t="str">
        <x:v>10/11/2025</x:v>
      </x:c>
      <x:c r="G521" s="11" t="n">
        <x:v>2025</x:v>
      </x:c>
      <x:c r="H521" s="10" t="str">
        <x:v>Paraná, Brasil</x:v>
      </x:c>
      <x:c r="I521" s="10" t="str">
        <x:v>Gazeta do Povo</x:v>
      </x:c>
      <x:c r="J521" s="10" t="str">
        <x:v>Moraes aponta contradições em informações sobre operação no RJ e pede laudos e dados de prisões</x:v>
      </x:c>
      <x:c r="K521" s="10" t="str">
        <x:v>Hemerográfico</x:v>
      </x:c>
      <x:c r="L521" s="10" t="str">
        <x:v>Texto (digital)</x:v>
      </x:c>
      <x:c r="M521" s="10" t="str">
        <x:v>Gazeta do Povo</x:v>
      </x:c>
      <x:c r="N521" s="10" t="str">
        <x:v>Português, Brasil</x:v>
      </x:c>
      <x:c r="O521" s="10" t="str">
        <x:v>"Operação contenção" no Google</x:v>
      </x:c>
      <x:c r="P521" s="10" t="str">
        <x:v>2025-11-11 00:00:00</x:v>
      </x:c>
      <x:c r="Q521" s="10" t="str">
        <x:v>Acesso restrito</x:v>
      </x:c>
      <x:c r="R521" s="10" t="str">
        <x:v>Aqui</x:v>
      </x:c>
      <x:c r="S521" s="10" t="str">
        <x:v>GRANDI, Guilherme. Moraes aponta contradições em informações sobre operação no RJ e pede laudos e dados de prisões. Gazeta do Povo, Paraná, 10 nov. 2025. Disponível em: https://www.gazetadopovo.com.br/republica/moraes-aponta-contradicoes-informacoes-operacao-rj/. Acesso em: 11 nov. 2025.</x:v>
      </x:c>
      <x:c r="T521" s="10" t="str">
        <x:v>BR-SPDIREITOVIOLESTADO_MAPEAMENTOS-NOTICIAS-MSSCPENHA.xlsx</x:v>
      </x:c>
      <x:c r="U521" s="10" t="str">
        <x:v>Geral</x:v>
      </x:c>
      <x:c r="V521" s="11" t="n">
        <x:v>266</x:v>
      </x:c>
      <x:c r="W521" s="10" t="str">
        <x:v>BR-SPDIREITOVIOLESTADO_MAPEAMENTOS-NOTICIAS-MSSCPENHA.xlsx:Geral:266</x:v>
      </x:c>
      <x:c r="X521" s="11" t="n">
        <x:f>COLUMNS(A521:S521)-COUNTBLANK(A521:S521)</x:f>
        <x:v>19</x:v>
      </x:c>
    </x:row>
    <x:row r="522" ht="24" hidden="0" customHeight="1">
      <x:c r="A522" s="10" t="str">
        <x:v>Notícia</x:v>
      </x:c>
      <x:c r="B522" s="10" t="str">
        <x:v>Difusão</x:v>
      </x:c>
      <x:c r="C522" s="10" t="str">
        <x:v>Produção midiática</x:v>
      </x:c>
      <x:c r="D522" s="10" t="str">
        <x:v>Público Mediado</x:v>
      </x:c>
      <x:c r="E522" s="10" t="str">
        <x:v>Midiático</x:v>
      </x:c>
      <x:c r="F522" s="10" t="str">
        <x:v>10/11/2025</x:v>
      </x:c>
      <x:c r="G522" s="11" t="n">
        <x:v>2025</x:v>
      </x:c>
      <x:c r="H522" s="10" t="str">
        <x:v>Rio de Janeiro, Brasil</x:v>
      </x:c>
      <x:c r="I522" s="10" t="str">
        <x:v>Rádio Pampa</x:v>
      </x:c>
      <x:c r="J522" s="10" t="str">
        <x:v>Câmara de Porto Alegre aprova moção em apoio à Operação Contenção e às forças de segurança do Rio de Janeiro</x:v>
      </x:c>
      <x:c r="K522" s="10" t="str">
        <x:v>Hemerográfico</x:v>
      </x:c>
      <x:c r="L522" s="10" t="str">
        <x:v>Texto (digital)</x:v>
      </x:c>
      <x:c r="M522" s="10" t="str">
        <x:v>Rádio Pampa</x:v>
      </x:c>
      <x:c r="N522" s="10" t="str">
        <x:v>Português, Brasil</x:v>
      </x:c>
      <x:c r="O522" s="10" t="str">
        <x:v>"Operação contenção" no Google</x:v>
      </x:c>
      <x:c r="P522" s="10" t="str">
        <x:v>2025-11-11 00:00:00</x:v>
      </x:c>
      <x:c r="Q522" s="10" t="str">
        <x:v>Aberto</x:v>
      </x:c>
      <x:c r="R522" s="10" t="str">
        <x:v>Aqui</x:v>
      </x:c>
      <x:c r="S522" s="10" t="str">
        <x:v>REDAÇÃO RÁDIO PAMPA. Câmara de Porto Alegre aprova moção em apoio à Operação Contenção e às forças de segurança do Rio de Janeiro. Rádio Pampa, Porto Alegre, 10 nov. 2025. Disponível em: https://www.radiopampa.com.br/camara-de-porto-alegre-aprova-mocao-em-apoio-a-operacao-contencao-e-as-forcas-de-seguranca-do-rio-de-janeiro/. Acesso em: 11 nov. 2025.</x:v>
      </x:c>
      <x:c r="T522" s="10" t="str">
        <x:v>BR-SPDIREITOVIOLESTADO_MAPEAMENTOS-NOTICIAS-MSSCPENHA.xlsx</x:v>
      </x:c>
      <x:c r="U522" s="10" t="str">
        <x:v>Geral</x:v>
      </x:c>
      <x:c r="V522" s="11" t="n">
        <x:v>267</x:v>
      </x:c>
      <x:c r="W522" s="10" t="str">
        <x:v>BR-SPDIREITOVIOLESTADO_MAPEAMENTOS-NOTICIAS-MSSCPENHA.xlsx:Geral:267</x:v>
      </x:c>
      <x:c r="X522" s="11" t="n">
        <x:f>COLUMNS(A522:S522)-COUNTBLANK(A522:S522)</x:f>
        <x:v>19</x:v>
      </x:c>
    </x:row>
    <x:row r="523" ht="24" hidden="0" customHeight="1">
      <x:c r="A523" s="10" t="str">
        <x:v>Notícia</x:v>
      </x:c>
      <x:c r="B523" s="10" t="str">
        <x:v>Difusão</x:v>
      </x:c>
      <x:c r="C523" s="10" t="str">
        <x:v>Produção midiática</x:v>
      </x:c>
      <x:c r="D523" s="10" t="str">
        <x:v>Público Mediado</x:v>
      </x:c>
      <x:c r="E523" s="10" t="str">
        <x:v>Midiático</x:v>
      </x:c>
      <x:c r="F523" s="10" t="str">
        <x:v>03/11/2025</x:v>
      </x:c>
      <x:c r="G523" s="11" t="n">
        <x:v>2025</x:v>
      </x:c>
      <x:c r="H523" s="10" t="str">
        <x:v>Distrito Federal, Brasil</x:v>
      </x:c>
      <x:c r="I523" s="10" t="str">
        <x:v>Poder 360</x:v>
      </x:c>
      <x:c r="J523" s="10" t="str">
        <x:v>Assista a vídeos da megaoperação no Rio contra o CV</x:v>
      </x:c>
      <x:c r="K523" s="10" t="str">
        <x:v>Hemerográfico</x:v>
      </x:c>
      <x:c r="L523" s="10" t="str">
        <x:v>Texto (digital)</x:v>
      </x:c>
      <x:c r="M523" s="10" t="str">
        <x:v>Poder 360</x:v>
      </x:c>
      <x:c r="N523" s="10" t="str">
        <x:v>Português, Brasil</x:v>
      </x:c>
      <x:c r="O523" s="10" t="str">
        <x:v>"Operação contenção" no Google</x:v>
      </x:c>
      <x:c r="P523" s="10" t="str">
        <x:v>2025-11-11 00:00:00</x:v>
      </x:c>
      <x:c r="Q523" s="10" t="str">
        <x:v>Aberto</x:v>
      </x:c>
      <x:c r="R523" s="10" t="str">
        <x:v>Aqui</x:v>
      </x:c>
      <x:c r="S523" s="10" t="str">
        <x:v>PODER360. Assista a vídeos da megaoperação no Rio contra o CV. Brasília, 3 nov. 2025. Disponível em: https://www.poder360.com.br/poder-seguranca-publica/assista-a-videos-da-megaoperacao-no-rio-contra-o-cv/. Acesso em: 11 nov. 2025.</x:v>
      </x:c>
      <x:c r="T523" s="10" t="str">
        <x:v>BR-SPDIREITOVIOLESTADO_MAPEAMENTOS-NOTICIAS-MSSCPENHA.xlsx</x:v>
      </x:c>
      <x:c r="U523" s="10" t="str">
        <x:v>Geral</x:v>
      </x:c>
      <x:c r="V523" s="11" t="n">
        <x:v>268</x:v>
      </x:c>
      <x:c r="W523" s="10" t="str">
        <x:v>BR-SPDIREITOVIOLESTADO_MAPEAMENTOS-NOTICIAS-MSSCPENHA.xlsx:Geral:268</x:v>
      </x:c>
      <x:c r="X523" s="11" t="n">
        <x:f>COLUMNS(A523:S523)-COUNTBLANK(A523:S523)</x:f>
        <x:v>19</x:v>
      </x:c>
    </x:row>
    <x:row r="524" ht="24" hidden="0" customHeight="1">
      <x:c r="A524" s="10" t="str">
        <x:v>Notícia</x:v>
      </x:c>
      <x:c r="B524" s="10" t="str">
        <x:v>Difusão</x:v>
      </x:c>
      <x:c r="C524" s="10" t="str">
        <x:v>Produção midiática</x:v>
      </x:c>
      <x:c r="D524" s="10" t="str">
        <x:v>Público Mediado</x:v>
      </x:c>
      <x:c r="E524" s="10" t="str">
        <x:v>Midiático</x:v>
      </x:c>
      <x:c r="F524" s="10" t="str">
        <x:v>31/10/2025</x:v>
      </x:c>
      <x:c r="G524" s="11" t="n">
        <x:v>2025</x:v>
      </x:c>
      <x:c r="H524" s="10" t="str">
        <x:v>Minas Gerais, Brasil</x:v>
      </x:c>
      <x:c r="I524" s="10" t="str">
        <x:v>Blog do PCO</x:v>
      </x:c>
      <x:c r="J524" s="10" t="str">
        <x:v>Comunicação do presidente assume tom sóbrio para lidar com Operação Contenção</x:v>
      </x:c>
      <x:c r="K524" s="10" t="str">
        <x:v>Hemerográfico</x:v>
      </x:c>
      <x:c r="L524" s="10" t="str">
        <x:v>Texto (digital)</x:v>
      </x:c>
      <x:c r="M524" s="10" t="str">
        <x:v>Blog do PCO</x:v>
      </x:c>
      <x:c r="N524" s="10" t="str">
        <x:v>Português, Brasil</x:v>
      </x:c>
      <x:c r="O524" s="10" t="str">
        <x:v>"Operação contenção" no Google</x:v>
      </x:c>
      <x:c r="P524" s="10" t="str">
        <x:v>2025-11-11 00:00:00</x:v>
      </x:c>
      <x:c r="Q524" s="10" t="str">
        <x:v>Aberto</x:v>
      </x:c>
      <x:c r="R524" s="10" t="str">
        <x:v>Aqui</x:v>
      </x:c>
      <x:c r="S524" s="10" t="str">
        <x:v>OLIVEIRA, Paulo César de. Comunicação do presidente assume tom sóbrio para lidar com Operação Contenção. Blog do PCO, Belo Horizonte, 31 out. 2025. Disponível em: https://blogdopco.com.br/politica/comunicacao-do-presidente-assume-tom-sobrio-para-lidar-com-operacao-contencao/. Acesso em: 11 nov. 2025.</x:v>
      </x:c>
      <x:c r="T524" s="10" t="str">
        <x:v>BR-SPDIREITOVIOLESTADO_MAPEAMENTOS-NOTICIAS-MSSCPENHA.xlsx</x:v>
      </x:c>
      <x:c r="U524" s="10" t="str">
        <x:v>Geral</x:v>
      </x:c>
      <x:c r="V524" s="11" t="n">
        <x:v>269</x:v>
      </x:c>
      <x:c r="W524" s="10" t="str">
        <x:v>BR-SPDIREITOVIOLESTADO_MAPEAMENTOS-NOTICIAS-MSSCPENHA.xlsx:Geral:269</x:v>
      </x:c>
      <x:c r="X524" s="11" t="n">
        <x:f>COLUMNS(A524:S524)-COUNTBLANK(A524:S524)</x:f>
        <x:v>19</x:v>
      </x:c>
    </x:row>
    <x:row r="525" ht="36" hidden="0" customHeight="1">
      <x:c r="A525" s="10" t="str">
        <x:v>Notícia</x:v>
      </x:c>
      <x:c r="B525" s="10" t="str">
        <x:v>Difusão</x:v>
      </x:c>
      <x:c r="C525" s="10" t="str">
        <x:v>Produção midiática</x:v>
      </x:c>
      <x:c r="D525" s="10" t="str">
        <x:v>Público Mediado</x:v>
      </x:c>
      <x:c r="E525" s="10" t="str">
        <x:v>Midiático</x:v>
      </x:c>
      <x:c r="F525" s="10" t="str">
        <x:v>03/11/2025</x:v>
      </x:c>
      <x:c r="G525" s="11" t="n">
        <x:v>2025</x:v>
      </x:c>
      <x:c r="H525" s="10" t="str">
        <x:v>Rio de Janeiro, Brasil</x:v>
      </x:c>
      <x:c r="I525" s="10" t="str">
        <x:v>Terra</x:v>
      </x:c>
      <x:c r="J525" s="10" t="str">
        <x:v>Cláudio Castro homenageia policiais mortos em operação contra o CV no Rio: ‘Não haverá retrocesso’</x:v>
      </x:c>
      <x:c r="K525" s="10" t="str">
        <x:v>Hemerográfico</x:v>
      </x:c>
      <x:c r="L525" s="10" t="str">
        <x:v>Texto (digital)</x:v>
      </x:c>
      <x:c r="M525" s="10" t="str">
        <x:v>Terra</x:v>
      </x:c>
      <x:c r="N525" s="10" t="str">
        <x:v>Português, Brasil</x:v>
      </x:c>
      <x:c r="O525" s="10" t="str">
        <x:v>"Operação contenção" no Google</x:v>
      </x:c>
      <x:c r="P525" s="10" t="str">
        <x:v>2025-11-11 00:00:00</x:v>
      </x:c>
      <x:c r="Q525" s="10" t="str">
        <x:v>Aberto</x:v>
      </x:c>
      <x:c r="R525" s="10" t="str">
        <x:v>Aqui</x:v>
      </x:c>
      <x:c r="S525" s="10" t="str">
        <x:v>TERRA. Cláudio Castro homenageia policiais mortos em operação contra o CV no Rio: ‘Não haverá retrocesso’. Rio de Janeiro, 3 nov. 2025. Disponível em: https://www.terra.com.br/noticias/videos/claudio-castro-homenageia-policiais-mortos-em-operacao-contra-o-cv-no-rio-nao-havera-retrocesso,49097c9c3daec42f43cb62c4a59c5a42y5rfzhqr.html. Acesso em: 11 nov. 2025.</x:v>
      </x:c>
      <x:c r="T525" s="10" t="str">
        <x:v>BR-SPDIREITOVIOLESTADO_MAPEAMENTOS-NOTICIAS-MSSCPENHA.xlsx</x:v>
      </x:c>
      <x:c r="U525" s="10" t="str">
        <x:v>Geral</x:v>
      </x:c>
      <x:c r="V525" s="11" t="n">
        <x:v>270</x:v>
      </x:c>
      <x:c r="W525" s="10" t="str">
        <x:v>BR-SPDIREITOVIOLESTADO_MAPEAMENTOS-NOTICIAS-MSSCPENHA.xlsx:Geral:270</x:v>
      </x:c>
      <x:c r="X525" s="11" t="n">
        <x:f>COLUMNS(A525:S525)-COUNTBLANK(A525:S525)</x:f>
        <x:v>19</x:v>
      </x:c>
    </x:row>
    <x:row r="526" ht="24" hidden="0" customHeight="1">
      <x:c r="A526" s="10" t="str">
        <x:v>Notícia</x:v>
      </x:c>
      <x:c r="B526" s="10" t="str">
        <x:v>Difusão</x:v>
      </x:c>
      <x:c r="C526" s="10" t="str">
        <x:v>Produção midiática</x:v>
      </x:c>
      <x:c r="D526" s="10" t="str">
        <x:v>Público Mediado</x:v>
      </x:c>
      <x:c r="E526" s="10" t="str">
        <x:v>Midiático</x:v>
      </x:c>
      <x:c r="F526" s="10" t="str">
        <x:v>11/11/2025</x:v>
      </x:c>
      <x:c r="G526" s="11" t="n">
        <x:v>2025</x:v>
      </x:c>
      <x:c r="H526" s="10" t="str">
        <x:v>Rio de Janeiro, Brasil</x:v>
      </x:c>
      <x:c r="I526" s="10" t="str">
        <x:v>Rádio Roquette Pinto</x:v>
      </x:c>
      <x:c r="J526" s="10" t="str">
        <x:v>Identificação dos mortos na Operação Contenção avança no IML</x:v>
      </x:c>
      <x:c r="K526" s="10" t="str">
        <x:v>Hemerográfico</x:v>
      </x:c>
      <x:c r="L526" s="10" t="str">
        <x:v>Texto (digital)</x:v>
      </x:c>
      <x:c r="M526" s="10" t="str">
        <x:v>Rádio Roquette Pinto</x:v>
      </x:c>
      <x:c r="N526" s="10" t="str">
        <x:v>Português, Brasil</x:v>
      </x:c>
      <x:c r="O526" s="10" t="str">
        <x:v>"Operação contenção" no Google</x:v>
      </x:c>
      <x:c r="P526" s="10" t="str">
        <x:v>2025-11-11 00:00:00</x:v>
      </x:c>
      <x:c r="Q526" s="10" t="str">
        <x:v>Aberto</x:v>
      </x:c>
      <x:c r="R526" s="10" t="str">
        <x:v>Aqui</x:v>
      </x:c>
      <x:c r="S526" s="10" t="str">
        <x:v>SANTIAGO, Daniel. Identificação dos mortos na Operação Contenção avança no IML. Rádio Roquette Pinto, Rio de Janeiro, 11 nov. 2025. Disponível em: https://www.rj.gov.br/radioroquettepinto/node/12542. Acesso em: 11 nov. 2025.</x:v>
      </x:c>
      <x:c r="T526" s="10" t="str">
        <x:v>BR-SPDIREITOVIOLESTADO_MAPEAMENTOS-NOTICIAS-MSSCPENHA.xlsx</x:v>
      </x:c>
      <x:c r="U526" s="10" t="str">
        <x:v>Geral</x:v>
      </x:c>
      <x:c r="V526" s="11" t="n">
        <x:v>271</x:v>
      </x:c>
      <x:c r="W526" s="10" t="str">
        <x:v>BR-SPDIREITOVIOLESTADO_MAPEAMENTOS-NOTICIAS-MSSCPENHA.xlsx:Geral:271</x:v>
      </x:c>
      <x:c r="X526" s="11" t="n">
        <x:f>COLUMNS(A526:S526)-COUNTBLANK(A526:S526)</x:f>
        <x:v>19</x:v>
      </x:c>
    </x:row>
    <x:row r="527" ht="24" hidden="0" customHeight="1">
      <x:c r="A527" s="10" t="str">
        <x:v>Notícia</x:v>
      </x:c>
      <x:c r="B527" s="10" t="str">
        <x:v>Difusão</x:v>
      </x:c>
      <x:c r="C527" s="10" t="str">
        <x:v>Produção midiática</x:v>
      </x:c>
      <x:c r="D527" s="10" t="str">
        <x:v>Público Mediado</x:v>
      </x:c>
      <x:c r="E527" s="10" t="str">
        <x:v>Midiático</x:v>
      </x:c>
      <x:c r="F527" s="10" t="str">
        <x:v>05/11/2025</x:v>
      </x:c>
      <x:c r="G527" s="11" t="n">
        <x:v>2025</x:v>
      </x:c>
      <x:c r="H527" s="10" t="str">
        <x:v>Bahia, Brasil</x:v>
      </x:c>
      <x:c r="I527" s="10" t="str">
        <x:v>Revista Afirmativa</x:v>
      </x:c>
      <x:c r="J527" s="10" t="str">
        <x:v>STF determina preservação das provas da Operação Contenção</x:v>
      </x:c>
      <x:c r="K527" s="10" t="str">
        <x:v>Hemerográfico</x:v>
      </x:c>
      <x:c r="L527" s="10" t="str">
        <x:v>Texto (digital)</x:v>
      </x:c>
      <x:c r="M527" s="10" t="str">
        <x:v>Revista Afirmativa</x:v>
      </x:c>
      <x:c r="N527" s="10" t="str">
        <x:v>Português, Brasil</x:v>
      </x:c>
      <x:c r="O527" s="10" t="str">
        <x:v>"Operação contenção" no Google</x:v>
      </x:c>
      <x:c r="P527" s="10" t="str">
        <x:v>2025-11-11 00:00:00</x:v>
      </x:c>
      <x:c r="Q527" s="10" t="str">
        <x:v>Aberto</x:v>
      </x:c>
      <x:c r="R527" s="10" t="str">
        <x:v>Aqui</x:v>
      </x:c>
      <x:c r="S527" s="10" t="str">
        <x:v>PEREIRA, Catiane. STF determina preservação das provas da Operação Contenção. Revista Afirmativa, Salvador, 5 nov. 2025. Disponível em: https://revistaafirmativa.com.br/stf-determina-preservacao-das-provas-da-operacao-contencao/. Acesso em: 11 nov. 2025.</x:v>
      </x:c>
      <x:c r="T527" s="10" t="str">
        <x:v>BR-SPDIREITOVIOLESTADO_MAPEAMENTOS-NOTICIAS-MSSCPENHA.xlsx</x:v>
      </x:c>
      <x:c r="U527" s="10" t="str">
        <x:v>Geral</x:v>
      </x:c>
      <x:c r="V527" s="11" t="n">
        <x:v>272</x:v>
      </x:c>
      <x:c r="W527" s="10" t="str">
        <x:v>BR-SPDIREITOVIOLESTADO_MAPEAMENTOS-NOTICIAS-MSSCPENHA.xlsx:Geral:272</x:v>
      </x:c>
      <x:c r="X527" s="11" t="n">
        <x:f>COLUMNS(A527:S527)-COUNTBLANK(A527:S527)</x:f>
        <x:v>19</x:v>
      </x:c>
    </x:row>
    <x:row r="528" ht="24" hidden="0" customHeight="1">
      <x:c r="A528" s="10" t="str">
        <x:v>Notícia</x:v>
      </x:c>
      <x:c r="B528" s="10" t="str">
        <x:v>Difusão</x:v>
      </x:c>
      <x:c r="C528" s="10" t="str">
        <x:v>Produção midiática</x:v>
      </x:c>
      <x:c r="D528" s="10" t="str">
        <x:v>Público Mediado</x:v>
      </x:c>
      <x:c r="E528" s="10" t="str">
        <x:v>Midiático</x:v>
      </x:c>
      <x:c r="F528" s="10" t="str">
        <x:v>10/11/2025</x:v>
      </x:c>
      <x:c r="G528" s="11" t="n">
        <x:v>2025</x:v>
      </x:c>
      <x:c r="H528" s="10" t="str">
        <x:v>São Paulo, Brasil</x:v>
      </x:c>
      <x:c r="I528" s="10" t="str">
        <x:v>ICL Notícias</x:v>
      </x:c>
      <x:c r="J528" s="10" t="str">
        <x:v>Moraes determina que governo Castro prove motivos para operação com 121 mortos</x:v>
      </x:c>
      <x:c r="K528" s="10" t="str">
        <x:v>Hemerográfico</x:v>
      </x:c>
      <x:c r="L528" s="10" t="str">
        <x:v>Texto (digital)</x:v>
      </x:c>
      <x:c r="M528" s="10" t="str">
        <x:v>ICL Notícias</x:v>
      </x:c>
      <x:c r="N528" s="10" t="str">
        <x:v>Português, Brasil</x:v>
      </x:c>
      <x:c r="O528" s="10" t="str">
        <x:v>"Operação contenção" no Google</x:v>
      </x:c>
      <x:c r="P528" s="10" t="str">
        <x:v>2025-11-11 00:00:00</x:v>
      </x:c>
      <x:c r="Q528" s="10" t="str">
        <x:v>Aberto</x:v>
      </x:c>
      <x:c r="R528" s="10" t="str">
        <x:v>Aqui</x:v>
      </x:c>
      <x:c r="S528" s="10" t="str">
        <x:v>MELO, Igor. Moraes determina que governo Castro prove motivos para operação com 121 mortos. ICL Notícias, 10 nov. 2025. Disponível em: https://iclnoticias.com.br/moraes-governo-castro-prove-motivos-operacao/. Acesso em: 11 nov. 2025.</x:v>
      </x:c>
      <x:c r="T528" s="10" t="str">
        <x:v>BR-SPDIREITOVIOLESTADO_MAPEAMENTOS-NOTICIAS-MSSCPENHA.xlsx</x:v>
      </x:c>
      <x:c r="U528" s="10" t="str">
        <x:v>Geral</x:v>
      </x:c>
      <x:c r="V528" s="11" t="n">
        <x:v>273</x:v>
      </x:c>
      <x:c r="W528" s="10" t="str">
        <x:v>BR-SPDIREITOVIOLESTADO_MAPEAMENTOS-NOTICIAS-MSSCPENHA.xlsx:Geral:273</x:v>
      </x:c>
      <x:c r="X528" s="11" t="n">
        <x:f>COLUMNS(A528:S528)-COUNTBLANK(A528:S528)</x:f>
        <x:v>19</x:v>
      </x:c>
    </x:row>
    <x:row r="529" ht="24" hidden="0" customHeight="1">
      <x:c r="A529" s="10" t="str">
        <x:v>Notícia</x:v>
      </x:c>
      <x:c r="B529" s="10" t="str">
        <x:v>Difusão</x:v>
      </x:c>
      <x:c r="C529" s="10" t="str">
        <x:v>Produção midiática</x:v>
      </x:c>
      <x:c r="D529" s="10" t="str">
        <x:v>Público Mediado</x:v>
      </x:c>
      <x:c r="E529" s="10" t="str">
        <x:v>Midiático</x:v>
      </x:c>
      <x:c r="F529" s="10" t="str">
        <x:v>11/11/2025</x:v>
      </x:c>
      <x:c r="G529" s="11" t="n">
        <x:v>2025</x:v>
      </x:c>
      <x:c r="H529" s="10" t="str">
        <x:v>Distrito Federal, Brasil</x:v>
      </x:c>
      <x:c r="I529" s="10" t="str">
        <x:v>Correio Brasiliense</x:v>
      </x:c>
      <x:c r="J529" s="10" t="str">
        <x:v>Cláudio Castro vira ídolo entre políticos no GP de Fórmula 1</x:v>
      </x:c>
      <x:c r="K529" s="10" t="str">
        <x:v>Hemerográfico</x:v>
      </x:c>
      <x:c r="L529" s="10" t="str">
        <x:v>Texto (digital)</x:v>
      </x:c>
      <x:c r="M529" s="10" t="str">
        <x:v>Correio Brasiliense</x:v>
      </x:c>
      <x:c r="N529" s="10" t="str">
        <x:v>Português, Brasil</x:v>
      </x:c>
      <x:c r="O529" s="10" t="str">
        <x:v>"Operação contenção" no Google</x:v>
      </x:c>
      <x:c r="P529" s="10" t="str">
        <x:v>2025-11-12 00:00:00</x:v>
      </x:c>
      <x:c r="Q529" s="10" t="str">
        <x:v>Aberto</x:v>
      </x:c>
      <x:c r="R529" s="10" t="str">
        <x:v>Aqui</x:v>
      </x:c>
      <x:c r="S529" s="10" t="str">
        <x:v>CAMPOS, Ana Maria. Cláudio Castro vira ídolo entre políticos no GP de Fórmula 1. Correio Braziliense, Brasília, 11 nov. 2025. Disponível em: https://blogs.correiobraziliense.com.br/cbpoder/tag/operacao-contencao/. Acesso em: 12 nov. 2025.</x:v>
      </x:c>
      <x:c r="T529" s="10" t="str">
        <x:v>BR-SPDIREITOVIOLESTADO_MAPEAMENTOS-NOTICIAS-MSSCPENHA.xlsx</x:v>
      </x:c>
      <x:c r="U529" s="10" t="str">
        <x:v>Geral</x:v>
      </x:c>
      <x:c r="V529" s="11" t="n">
        <x:v>274</x:v>
      </x:c>
      <x:c r="W529" s="10" t="str">
        <x:v>BR-SPDIREITOVIOLESTADO_MAPEAMENTOS-NOTICIAS-MSSCPENHA.xlsx:Geral:274</x:v>
      </x:c>
      <x:c r="X529" s="11" t="n">
        <x:f>COLUMNS(A529:S529)-COUNTBLANK(A529:S529)</x:f>
        <x:v>19</x:v>
      </x:c>
    </x:row>
    <x:row r="530" ht="24" hidden="0" customHeight="1">
      <x:c r="A530" s="10" t="str">
        <x:v>Notícia</x:v>
      </x:c>
      <x:c r="B530" s="10" t="str">
        <x:v>Difusão</x:v>
      </x:c>
      <x:c r="C530" s="10" t="str">
        <x:v>Produção midiática</x:v>
      </x:c>
      <x:c r="D530" s="10" t="str">
        <x:v>Público Mediado</x:v>
      </x:c>
      <x:c r="E530" s="10" t="str">
        <x:v>Midiático</x:v>
      </x:c>
      <x:c r="F530" s="10" t="str">
        <x:v>10/11/2025</x:v>
      </x:c>
      <x:c r="G530" s="11" t="n">
        <x:v>2025</x:v>
      </x:c>
      <x:c r="H530" s="10" t="str">
        <x:v>Distrito Federal, Brasil</x:v>
      </x:c>
      <x:c r="I530" s="10" t="str">
        <x:v>Supremo Tribunal Federal</x:v>
      </x:c>
      <x:c r="J530" s="10" t="str">
        <x:v>STF requer informações adicionais de autoridades do RJ sobre operação nos Complexos do Alemão e da Penha</x:v>
      </x:c>
      <x:c r="K530" s="10" t="str">
        <x:v>Hemerográfico</x:v>
      </x:c>
      <x:c r="L530" s="10" t="str">
        <x:v>Texto (digital)</x:v>
      </x:c>
      <x:c r="M530" s="10" t="str">
        <x:v>Supremo Tribunal Federal</x:v>
      </x:c>
      <x:c r="N530" s="10" t="str">
        <x:v>Português, Brasil</x:v>
      </x:c>
      <x:c r="O530" s="10" t="str">
        <x:v>"Operação contenção" no Google</x:v>
      </x:c>
      <x:c r="P530" s="10" t="str">
        <x:v>2025-11-12 00:00:00</x:v>
      </x:c>
      <x:c r="Q530" s="10" t="str">
        <x:v>Aberto</x:v>
      </x:c>
      <x:c r="R530" s="10" t="str">
        <x:v>Aqui</x:v>
      </x:c>
      <x:c r="S530" s="10" t="str">
        <x:v>SUPREMO TRIBUNAL FEDERAL. STF requer informações adicionais de autoridades do RJ sobre operação nos Complexos do Alemão e da Penha. Brasília, 10 nov. 2025. Disponível em: https://noticias.stf.jus.br/postsnoticias/stf-requer-informacoes-adicionais-de-autoridades-do-rj-sobre-operacao-nos-complexos-do-alemao-e-da-penha/. Acesso em: 12 nov. 2025.</x:v>
      </x:c>
      <x:c r="T530" s="10" t="str">
        <x:v>BR-SPDIREITOVIOLESTADO_MAPEAMENTOS-NOTICIAS-MSSCPENHA.xlsx</x:v>
      </x:c>
      <x:c r="U530" s="10" t="str">
        <x:v>Geral</x:v>
      </x:c>
      <x:c r="V530" s="11" t="n">
        <x:v>275</x:v>
      </x:c>
      <x:c r="W530" s="10" t="str">
        <x:v>BR-SPDIREITOVIOLESTADO_MAPEAMENTOS-NOTICIAS-MSSCPENHA.xlsx:Geral:275</x:v>
      </x:c>
      <x:c r="X530" s="11" t="n">
        <x:f>COLUMNS(A530:S530)-COUNTBLANK(A530:S530)</x:f>
        <x:v>19</x:v>
      </x:c>
    </x:row>
    <x:row r="531" ht="24" hidden="0" customHeight="1">
      <x:c r="A531" s="10" t="str">
        <x:v>Notícia</x:v>
      </x:c>
      <x:c r="B531" s="10" t="str">
        <x:v>Difusão</x:v>
      </x:c>
      <x:c r="C531" s="10" t="str">
        <x:v>Produção midiática</x:v>
      </x:c>
      <x:c r="D531" s="10" t="str">
        <x:v>Público Mediado</x:v>
      </x:c>
      <x:c r="E531" s="10" t="str">
        <x:v>Midiático</x:v>
      </x:c>
      <x:c r="F531" s="10" t="str">
        <x:v>11/11/2025</x:v>
      </x:c>
      <x:c r="G531" s="11" t="n">
        <x:v>2025</x:v>
      </x:c>
      <x:c r="H531" s="10" t="str">
        <x:v>São Paulo, Brasil</x:v>
      </x:c>
      <x:c r="I531" s="10" t="str">
        <x:v>InfoMoney</x:v>
      </x:c>
      <x:c r="J531" s="10" t="str">
        <x:v>Secretário do Rio promete entregar documentos exigidos por Moraes sobre operação</x:v>
      </x:c>
      <x:c r="K531" s="10" t="str">
        <x:v>Hemerográfico</x:v>
      </x:c>
      <x:c r="L531" s="10" t="str">
        <x:v>Texto (digital)</x:v>
      </x:c>
      <x:c r="M531" s="10" t="str">
        <x:v>InfoMoney</x:v>
      </x:c>
      <x:c r="N531" s="10" t="str">
        <x:v>Português, Brasil</x:v>
      </x:c>
      <x:c r="O531" s="10" t="str">
        <x:v>"Operação contenção" no Google</x:v>
      </x:c>
      <x:c r="P531" s="10" t="str">
        <x:v>2025-11-12 00:00:00</x:v>
      </x:c>
      <x:c r="Q531" s="10" t="str">
        <x:v>Aberto</x:v>
      </x:c>
      <x:c r="R531" s="10" t="str">
        <x:v>Aqui</x:v>
      </x:c>
      <x:c r="S531" s="10" t="str">
        <x:v>VERENICZ, Marina. Secretário do Rio promete entregar documentos exigidos por Moraes sobre operação. InfoMoney, São Paulo, 11 nov. 2025. Disponível em: https://www.infomoney.com.br/politica/secretario-do-rio-promete-entregar-documentos-exigidos-por-moraes-sobre-operacao/. Acesso em: 12 nov. 2025.</x:v>
      </x:c>
      <x:c r="T531" s="10" t="str">
        <x:v>BR-SPDIREITOVIOLESTADO_MAPEAMENTOS-NOTICIAS-MSSCPENHA.xlsx</x:v>
      </x:c>
      <x:c r="U531" s="10" t="str">
        <x:v>Geral</x:v>
      </x:c>
      <x:c r="V531" s="11" t="n">
        <x:v>276</x:v>
      </x:c>
      <x:c r="W531" s="10" t="str">
        <x:v>BR-SPDIREITOVIOLESTADO_MAPEAMENTOS-NOTICIAS-MSSCPENHA.xlsx:Geral:276</x:v>
      </x:c>
      <x:c r="X531" s="11" t="n">
        <x:f>COLUMNS(A531:S531)-COUNTBLANK(A531:S531)</x:f>
        <x:v>19</x:v>
      </x:c>
    </x:row>
    <x:row r="532" ht="24" hidden="0" customHeight="1">
      <x:c r="A532" s="10" t="str">
        <x:v>Notícia</x:v>
      </x:c>
      <x:c r="B532" s="10" t="str">
        <x:v>Difusão</x:v>
      </x:c>
      <x:c r="C532" s="10" t="str">
        <x:v>Produção midiática</x:v>
      </x:c>
      <x:c r="D532" s="10" t="str">
        <x:v>Público Mediado</x:v>
      </x:c>
      <x:c r="E532" s="10" t="str">
        <x:v>Midiático</x:v>
      </x:c>
      <x:c r="F532" s="10" t="str">
        <x:v>03/11/2025</x:v>
      </x:c>
      <x:c r="G532" s="11" t="n">
        <x:v>2025</x:v>
      </x:c>
      <x:c r="H532" s="10" t="str">
        <x:v>Rio de Janeiro, Brasil</x:v>
      </x:c>
      <x:c r="I532" s="10" t="str">
        <x:v>Diário do Rio</x:v>
      </x:c>
      <x:c r="J532" s="10" t="str">
        <x:v>Governo divulga perfil dos mortos na Operação Contenção; 95% ligados ao Comando Vermelho; veja a lista</x:v>
      </x:c>
      <x:c r="K532" s="10" t="str">
        <x:v>Hemerográfico</x:v>
      </x:c>
      <x:c r="L532" s="10" t="str">
        <x:v>Texto (digital)</x:v>
      </x:c>
      <x:c r="M532" s="10" t="str">
        <x:v>Diário do Rio</x:v>
      </x:c>
      <x:c r="N532" s="10" t="str">
        <x:v>Português, Brasil</x:v>
      </x:c>
      <x:c r="O532" s="10" t="str">
        <x:v>"Operação contenção" no Google</x:v>
      </x:c>
      <x:c r="P532" s="10" t="str">
        <x:v>2025-11-12 00:00:00</x:v>
      </x:c>
      <x:c r="Q532" s="10" t="str">
        <x:v>Aberto</x:v>
      </x:c>
      <x:c r="R532" s="10" t="str">
        <x:v>Aqui</x:v>
      </x:c>
      <x:c r="S532" s="10" t="str">
        <x:v>DIÁRIO DO RIO. Governo divulga perfil dos mortos na Operação Contenção; 95% ligados ao Comando Vermelho; veja a lista. Diário do Rio, Rio de Janeiro, 3 nov. 2025. Disponível em: https://diariodorio.com/governo-divulga-perfil-dos-mortos-na-operacao-contencao-95-ligados-ao-comando-vermelho-veja-a-lista/. Acesso em: 12 nov. 2025.</x:v>
      </x:c>
      <x:c r="T532" s="10" t="str">
        <x:v>BR-SPDIREITOVIOLESTADO_MAPEAMENTOS-NOTICIAS-MSSCPENHA.xlsx</x:v>
      </x:c>
      <x:c r="U532" s="10" t="str">
        <x:v>Geral</x:v>
      </x:c>
      <x:c r="V532" s="11" t="n">
        <x:v>277</x:v>
      </x:c>
      <x:c r="W532" s="10" t="str">
        <x:v>BR-SPDIREITOVIOLESTADO_MAPEAMENTOS-NOTICIAS-MSSCPENHA.xlsx:Geral:277</x:v>
      </x:c>
      <x:c r="X532" s="11" t="n">
        <x:f>COLUMNS(A532:S532)-COUNTBLANK(A532:S532)</x:f>
        <x:v>19</x:v>
      </x:c>
    </x:row>
    <x:row r="533" ht="24" hidden="0" customHeight="1">
      <x:c r="A533" s="10" t="str">
        <x:v>Notícia</x:v>
      </x:c>
      <x:c r="B533" s="10" t="str">
        <x:v>Difusão</x:v>
      </x:c>
      <x:c r="C533" s="10" t="str">
        <x:v>Produção midiática</x:v>
      </x:c>
      <x:c r="D533" s="10" t="str">
        <x:v>Público Mediado</x:v>
      </x:c>
      <x:c r="E533" s="10" t="str">
        <x:v>Midiático</x:v>
      </x:c>
      <x:c r="F533" s="10" t="str">
        <x:v>10/11/2025</x:v>
      </x:c>
      <x:c r="G533" s="11" t="n">
        <x:v>2025</x:v>
      </x:c>
      <x:c r="H533" s="10" t="str">
        <x:v>Rio de Janeiro, Brasil</x:v>
      </x:c>
      <x:c r="I533" s="10" t="str">
        <x:v>Monitor Mercantil</x:v>
      </x:c>
      <x:c r="J533" s="10" t="str">
        <x:v>Ainda a Operação Contenção: reflexões sobre a cidadania</x:v>
      </x:c>
      <x:c r="K533" s="10" t="str">
        <x:v>Hemerográfico</x:v>
      </x:c>
      <x:c r="L533" s="10" t="str">
        <x:v>Texto (digital)</x:v>
      </x:c>
      <x:c r="M533" s="10" t="str">
        <x:v>Monitor Mercantil</x:v>
      </x:c>
      <x:c r="N533" s="10" t="str">
        <x:v>Português, Brasil</x:v>
      </x:c>
      <x:c r="O533" s="10" t="str">
        <x:v>"Operação contenção" no Google</x:v>
      </x:c>
      <x:c r="P533" s="10" t="str">
        <x:v>2025-11-12 00:00:00</x:v>
      </x:c>
      <x:c r="Q533" s="10" t="str">
        <x:v>Aberto</x:v>
      </x:c>
      <x:c r="R533" s="10" t="str">
        <x:v>Aqui</x:v>
      </x:c>
      <x:c r="S533" s="10" t="str">
        <x:v>MONITOR MERCANTIL. Ainda a Operação Contenção: reflexões sobre a cidadania. Rio de Janeiro, 10 nov. 2025. Disponível em: https://monitormercantil.com.br/ainda-a-operacao-contencao-reflexoes-sobre-a-cidadania/. Acesso em: 12 nov. 2025.</x:v>
      </x:c>
      <x:c r="T533" s="10" t="str">
        <x:v>BR-SPDIREITOVIOLESTADO_MAPEAMENTOS-NOTICIAS-MSSCPENHA.xlsx</x:v>
      </x:c>
      <x:c r="U533" s="10" t="str">
        <x:v>Geral</x:v>
      </x:c>
      <x:c r="V533" s="11" t="n">
        <x:v>278</x:v>
      </x:c>
      <x:c r="W533" s="10" t="str">
        <x:v>BR-SPDIREITOVIOLESTADO_MAPEAMENTOS-NOTICIAS-MSSCPENHA.xlsx:Geral:278</x:v>
      </x:c>
      <x:c r="X533" s="11" t="n">
        <x:f>COLUMNS(A533:S533)-COUNTBLANK(A533:S533)</x:f>
        <x:v>19</x:v>
      </x:c>
    </x:row>
    <x:row r="534" ht="24" hidden="0" customHeight="1">
      <x:c r="A534" s="10" t="str">
        <x:v>Notícia</x:v>
      </x:c>
      <x:c r="B534" s="10" t="str">
        <x:v>Difusão</x:v>
      </x:c>
      <x:c r="C534" s="10" t="str">
        <x:v>Produção midiática</x:v>
      </x:c>
      <x:c r="D534" s="10" t="str">
        <x:v>Público Mediado</x:v>
      </x:c>
      <x:c r="E534" s="10" t="str">
        <x:v>Midiático</x:v>
      </x:c>
      <x:c r="F534" s="10" t="str">
        <x:v>03/11/2025</x:v>
      </x:c>
      <x:c r="G534" s="11" t="n">
        <x:v>2025</x:v>
      </x:c>
      <x:c r="H534" s="10" t="str">
        <x:v>São Paulo, Brasil</x:v>
      </x:c>
      <x:c r="I534" s="10" t="str">
        <x:v>Veja</x:v>
      </x:c>
      <x:c r="J534" s="10" t="str">
        <x:v>Polícia revela o perfil dos 117 civis mortos em megaoperação no Rio</x:v>
      </x:c>
      <x:c r="K534" s="10" t="str">
        <x:v>Hemerográfico</x:v>
      </x:c>
      <x:c r="L534" s="10" t="str">
        <x:v>Texto (digital)</x:v>
      </x:c>
      <x:c r="M534" s="10" t="str">
        <x:v>Veja</x:v>
      </x:c>
      <x:c r="N534" s="10" t="str">
        <x:v>Português, Brasil</x:v>
      </x:c>
      <x:c r="O534" s="10" t="str">
        <x:v>"Operação contenção" no Google</x:v>
      </x:c>
      <x:c r="P534" s="10" t="str">
        <x:v>2025-11-12 00:00:00</x:v>
      </x:c>
      <x:c r="Q534" s="10" t="str">
        <x:v>Aberto</x:v>
      </x:c>
      <x:c r="R534" s="10" t="str">
        <x:v>Aqui</x:v>
      </x:c>
      <x:c r="S534" s="10" t="str">
        <x:v>MONTEIRO, Flávio. Polícia revela o perfil dos 117 civis mortos em megaoperação no Rio. Veja, São Paulo, 3 nov. 2025. Disponível em: https://veja.abril.com.br/brasil/policia-revela-o-perfil-dos-117-civis-mortos-em-megaoperacao-no-rio/. Acesso em: 12 nov. 2025.</x:v>
      </x:c>
      <x:c r="T534" s="10" t="str">
        <x:v>BR-SPDIREITOVIOLESTADO_MAPEAMENTOS-NOTICIAS-MSSCPENHA.xlsx</x:v>
      </x:c>
      <x:c r="U534" s="10" t="str">
        <x:v>Geral</x:v>
      </x:c>
      <x:c r="V534" s="11" t="n">
        <x:v>279</x:v>
      </x:c>
      <x:c r="W534" s="10" t="str">
        <x:v>BR-SPDIREITOVIOLESTADO_MAPEAMENTOS-NOTICIAS-MSSCPENHA.xlsx:Geral:279</x:v>
      </x:c>
      <x:c r="X534" s="11" t="n">
        <x:f>COLUMNS(A534:S534)-COUNTBLANK(A534:S534)</x:f>
        <x:v>19</x:v>
      </x:c>
    </x:row>
    <x:row r="535" ht="24" hidden="0" customHeight="1">
      <x:c r="A535" s="10" t="str">
        <x:v>Notícia</x:v>
      </x:c>
      <x:c r="B535" s="10" t="str">
        <x:v>Difusão</x:v>
      </x:c>
      <x:c r="C535" s="10" t="str">
        <x:v>Produção midiática</x:v>
      </x:c>
      <x:c r="D535" s="10" t="str">
        <x:v>Público Mediado</x:v>
      </x:c>
      <x:c r="E535" s="10" t="str">
        <x:v>Midiático</x:v>
      </x:c>
      <x:c r="F535" s="10" t="str">
        <x:v>06/11/2025</x:v>
      </x:c>
      <x:c r="G535" s="11" t="n">
        <x:v>2025</x:v>
      </x:c>
      <x:c r="H535" s="10" t="str">
        <x:v>Melbourne, Austrália</x:v>
      </x:c>
      <x:c r="I535" s="10" t="str">
        <x:v>Terra e The Conversation</x:v>
      </x:c>
      <x:c r="J535" s="10" t="str">
        <x:v>Análise: 'Operação Contenção' não vai ajudar na luta contra o narcotráfico</x:v>
      </x:c>
      <x:c r="K535" s="10" t="str">
        <x:v>Hemerográfico</x:v>
      </x:c>
      <x:c r="L535" s="10" t="str">
        <x:v>Texto (digital)</x:v>
      </x:c>
      <x:c r="M535" s="10" t="str">
        <x:v>Terra e The Conversation</x:v>
      </x:c>
      <x:c r="N535" s="10" t="str">
        <x:v>Português, Brasil</x:v>
      </x:c>
      <x:c r="O535" s="10" t="str">
        <x:v>"Operação contenção" no Google</x:v>
      </x:c>
      <x:c r="P535" s="10" t="str">
        <x:v>2025-11-12 00:00:00</x:v>
      </x:c>
      <x:c r="Q535" s="10" t="str">
        <x:v>Aberto</x:v>
      </x:c>
      <x:c r="R535" s="10" t="str">
        <x:v>Aqui</x:v>
      </x:c>
      <x:c r="S535" s="10" t="str">
        <x:v>VARSORI, Andrea. Análise: 'Operação Contenção' não vai ajudar na luta contra o narcotráfico. Terra / The Conversation, 6 nov. 2025. Disponível em: https://www.terra.com.br/noticias/analise-operacao-contencao-nao-vai-ajudar-na-luta-contra-o-narcotrafico,71e799e036b5f8cd9a1aa43604774350x0b94qfe.html. Acesso em: 12 nov. 2025.</x:v>
      </x:c>
      <x:c r="T535" s="10" t="str">
        <x:v>BR-SPDIREITOVIOLESTADO_MAPEAMENTOS-NOTICIAS-MSSCPENHA.xlsx</x:v>
      </x:c>
      <x:c r="U535" s="10" t="str">
        <x:v>Geral</x:v>
      </x:c>
      <x:c r="V535" s="11" t="n">
        <x:v>280</x:v>
      </x:c>
      <x:c r="W535" s="10" t="str">
        <x:v>BR-SPDIREITOVIOLESTADO_MAPEAMENTOS-NOTICIAS-MSSCPENHA.xlsx:Geral:280</x:v>
      </x:c>
      <x:c r="X535" s="11" t="n">
        <x:f>COLUMNS(A535:S535)-COUNTBLANK(A535:S535)</x:f>
        <x:v>19</x:v>
      </x:c>
    </x:row>
    <x:row r="536" ht="24" hidden="0" customHeight="1">
      <x:c r="A536" s="10" t="str">
        <x:v>Notícia</x:v>
      </x:c>
      <x:c r="B536" s="10" t="str">
        <x:v>Difusão</x:v>
      </x:c>
      <x:c r="C536" s="10" t="str">
        <x:v>Produção midiática</x:v>
      </x:c>
      <x:c r="D536" s="10" t="str">
        <x:v>Público Mediado</x:v>
      </x:c>
      <x:c r="E536" s="10" t="str">
        <x:v>Midiático</x:v>
      </x:c>
      <x:c r="F536" s="10" t="str">
        <x:v>31/10/2025</x:v>
      </x:c>
      <x:c r="G536" s="11" t="n">
        <x:v>2025</x:v>
      </x:c>
      <x:c r="H536" s="10" t="str">
        <x:v>São Paulo, Brasil</x:v>
      </x:c>
      <x:c r="I536" s="10" t="str">
        <x:v>BBC News Brasil</x:v>
      </x:c>
      <x:c r="J536" s="10" t="str">
        <x:v>Corpos dos 117 mortos na operação no Rio são liberados do IML; apoio à ação da polícia é majoritário no Brasil, no Rio e em favelas cariocas, diz pesquisa</x:v>
      </x:c>
      <x:c r="K536" s="10" t="str">
        <x:v>Hemerográfico</x:v>
      </x:c>
      <x:c r="L536" s="10" t="str">
        <x:v>Texto (digital)</x:v>
      </x:c>
      <x:c r="M536" s="10" t="str">
        <x:v>BBC News Brasil</x:v>
      </x:c>
      <x:c r="N536" s="10" t="str">
        <x:v>Português, Brasil</x:v>
      </x:c>
      <x:c r="O536" s="10" t="str">
        <x:v>"Operação contenção" no Google</x:v>
      </x:c>
      <x:c r="P536" s="10" t="str">
        <x:v>2025-11-12 00:00:00</x:v>
      </x:c>
      <x:c r="Q536" s="10" t="str">
        <x:v>Aberto</x:v>
      </x:c>
      <x:c r="R536" s="10" t="str">
        <x:v>Aqui</x:v>
      </x:c>
      <x:c r="S536" s="10" t="str">
        <x:v>ROSSI, Marina; DINIZ, Iara. Corpos dos 117 mortos na operação no Rio são liberados do IML; apoio à ação da polícia é majoritário no Brasil, no Rio e em favelas cariocas, diz pesquisa. BBC News Brasil, São Paulo, 31 out. 2025. Atualizado em 3 nov. 2025. Disponível em: https://www.bbc.com/portuguese/articles/c625z2n88pxo. Acesso em: 12 nov. 2025.</x:v>
      </x:c>
      <x:c r="T536" s="10" t="str">
        <x:v>BR-SPDIREITOVIOLESTADO_MAPEAMENTOS-NOTICIAS-MSSCPENHA.xlsx</x:v>
      </x:c>
      <x:c r="U536" s="10" t="str">
        <x:v>Geral</x:v>
      </x:c>
      <x:c r="V536" s="11" t="n">
        <x:v>281</x:v>
      </x:c>
      <x:c r="W536" s="10" t="str">
        <x:v>BR-SPDIREITOVIOLESTADO_MAPEAMENTOS-NOTICIAS-MSSCPENHA.xlsx:Geral:281</x:v>
      </x:c>
      <x:c r="X536" s="11" t="n">
        <x:f>COLUMNS(A536:S536)-COUNTBLANK(A536:S536)</x:f>
        <x:v>19</x:v>
      </x:c>
    </x:row>
    <x:row r="537" ht="24" hidden="0" customHeight="1">
      <x:c r="A537" s="10" t="str">
        <x:v>Notícia</x:v>
      </x:c>
      <x:c r="B537" s="10" t="str">
        <x:v>Difusão</x:v>
      </x:c>
      <x:c r="C537" s="10" t="str">
        <x:v>Produção midiática</x:v>
      </x:c>
      <x:c r="D537" s="10" t="str">
        <x:v>Público Mediado</x:v>
      </x:c>
      <x:c r="E537" s="10" t="str">
        <x:v>Midiático</x:v>
      </x:c>
      <x:c r="F537" s="10" t="str">
        <x:v>31/10/2025</x:v>
      </x:c>
      <x:c r="G537" s="11" t="n">
        <x:v>2025</x:v>
      </x:c>
      <x:c r="H537" s="10" t="str">
        <x:v>Distrito Federal, Brasil</x:v>
      </x:c>
      <x:c r="I537" s="10" t="str">
        <x:v>Poder 360</x:v>
      </x:c>
      <x:c r="J537" s="10" t="str">
        <x:v>IML do Rio identifica 99 dos 121 mortos na operação Contenção</x:v>
      </x:c>
      <x:c r="K537" s="10" t="str">
        <x:v>Hemerográfico</x:v>
      </x:c>
      <x:c r="L537" s="10" t="str">
        <x:v>Texto (digital)</x:v>
      </x:c>
      <x:c r="M537" s="10" t="str">
        <x:v>Poder 360</x:v>
      </x:c>
      <x:c r="N537" s="10" t="str">
        <x:v>Português, Brasil</x:v>
      </x:c>
      <x:c r="O537" s="10" t="str">
        <x:v>"Operação contenção" no Google</x:v>
      </x:c>
      <x:c r="P537" s="10" t="str">
        <x:v>2025-11-12 00:00:00</x:v>
      </x:c>
      <x:c r="Q537" s="10" t="str">
        <x:v>Aberto</x:v>
      </x:c>
      <x:c r="R537" s="10" t="str">
        <x:v>Aqui</x:v>
      </x:c>
      <x:c r="S537" s="10" t="str">
        <x:v>PODER360. IML do Rio identifica 99 dos 121 mortos na operação Contenção. Brasília, 31 out. 2025. Disponível em: https://www.poder360.com.br/poder-seguranca-publica/iml-do-rio-identifica-100-dos-121-mortos-na-operacao-contencao/. Acesso em: 12 nov. 2025.</x:v>
      </x:c>
      <x:c r="T537" s="10" t="str">
        <x:v>BR-SPDIREITOVIOLESTADO_MAPEAMENTOS-NOTICIAS-MSSCPENHA.xlsx</x:v>
      </x:c>
      <x:c r="U537" s="10" t="str">
        <x:v>Geral</x:v>
      </x:c>
      <x:c r="V537" s="11" t="n">
        <x:v>282</x:v>
      </x:c>
      <x:c r="W537" s="10" t="str">
        <x:v>BR-SPDIREITOVIOLESTADO_MAPEAMENTOS-NOTICIAS-MSSCPENHA.xlsx:Geral:282</x:v>
      </x:c>
      <x:c r="X537" s="11" t="n">
        <x:f>COLUMNS(A537:S537)-COUNTBLANK(A537:S537)</x:f>
        <x:v>19</x:v>
      </x:c>
    </x:row>
    <x:row r="538" ht="48" hidden="0" customHeight="1">
      <x:c r="A538" s="10" t="str">
        <x:v>Notícia</x:v>
      </x:c>
      <x:c r="B538" s="10" t="str">
        <x:v>Difusão</x:v>
      </x:c>
      <x:c r="C538" s="10" t="str">
        <x:v>Produção midiática</x:v>
      </x:c>
      <x:c r="D538" s="10" t="str">
        <x:v>Público Mediado</x:v>
      </x:c>
      <x:c r="E538" s="10" t="str">
        <x:v>Midiático</x:v>
      </x:c>
      <x:c r="F538" s="10" t="str">
        <x:v>29/10/2025</x:v>
      </x:c>
      <x:c r="G538" s="11" t="n">
        <x:v>2025</x:v>
      </x:c>
      <x:c r="H538" s="10" t="str">
        <x:v>Rio de Janeiro, Brasil</x:v>
      </x:c>
      <x:c r="I538" s="10" t="str">
        <x:v>Rede de Observatórios da Segurança</x:v>
      </x:c>
      <x:c r="J538" s="10" t="str">
        <x:v>Operação Contenção: organizações de direitos humanos repudiam operação mais letal da história do Rio e denunciam política de guerra nas favelas</x:v>
      </x:c>
      <x:c r="K538" s="10" t="str">
        <x:v>Hemerográfico</x:v>
      </x:c>
      <x:c r="L538" s="10" t="str">
        <x:v>Texto (digital)</x:v>
      </x:c>
      <x:c r="M538" s="10" t="str">
        <x:v>Rede de Observatórios da Segurança</x:v>
      </x:c>
      <x:c r="N538" s="10" t="str">
        <x:v>Português, Brasil</x:v>
      </x:c>
      <x:c r="O538" s="10" t="str">
        <x:v>"Operação contenção" no Google</x:v>
      </x:c>
      <x:c r="P538" s="10" t="str">
        <x:v>2025-11-12 00:00:00</x:v>
      </x:c>
      <x:c r="Q538" s="10" t="str">
        <x:v>Aberto</x:v>
      </x:c>
      <x:c r="R538" s="10" t="str">
        <x:v>Aqui</x:v>
      </x:c>
      <x:c r="S538" s="10" t="str">
        <x:v>REDE DE OBSERVATÓRIOS DA SEGURANÇA. Operação Contenção: organizações de direitos humanos repudiam operação mais letal da história do Rio e denunciam política de guerra nas favelas. Observatório da Segurança, Rio de Janeiro, 29 out. 2025. Disponível em: https://observatorioseguranca.com.br/operacao-contencao-organizacoes-de-direitos-humanos-repudiam-operacao-mais-letal-da-historia-do-rio-e-denunciam-politica-de-guerra-nas-favelas/. Acesso em: 12 nov. 2025.</x:v>
      </x:c>
      <x:c r="T538" s="10" t="str">
        <x:v>BR-SPDIREITOVIOLESTADO_MAPEAMENTOS-NOTICIAS-MSSCPENHA.xlsx</x:v>
      </x:c>
      <x:c r="U538" s="10" t="str">
        <x:v>Geral</x:v>
      </x:c>
      <x:c r="V538" s="11" t="n">
        <x:v>283</x:v>
      </x:c>
      <x:c r="W538" s="10" t="str">
        <x:v>BR-SPDIREITOVIOLESTADO_MAPEAMENTOS-NOTICIAS-MSSCPENHA.xlsx:Geral:283</x:v>
      </x:c>
      <x:c r="X538" s="11" t="n">
        <x:f>COLUMNS(A538:S538)-COUNTBLANK(A538:S538)</x:f>
        <x:v>19</x:v>
      </x:c>
    </x:row>
    <x:row r="539" ht="24" hidden="0" customHeight="1">
      <x:c r="A539" s="10" t="str">
        <x:v>Notícia</x:v>
      </x:c>
      <x:c r="B539" s="10" t="str">
        <x:v>Difusão</x:v>
      </x:c>
      <x:c r="C539" s="10" t="str">
        <x:v>Produção midiática</x:v>
      </x:c>
      <x:c r="D539" s="10" t="str">
        <x:v>Público Mediado</x:v>
      </x:c>
      <x:c r="E539" s="10" t="str">
        <x:v>Midiático</x:v>
      </x:c>
      <x:c r="F539" s="10" t="str">
        <x:v>06/11/2025</x:v>
      </x:c>
      <x:c r="G539" s="11" t="n">
        <x:v>2025</x:v>
      </x:c>
      <x:c r="H539" s="10" t="str">
        <x:v>São Paulo, Brasil</x:v>
      </x:c>
      <x:c r="I539" s="10" t="str">
        <x:v>Carta Capital</x:v>
      </x:c>
      <x:c r="J539" s="10" t="str">
        <x:v>Cancelados na Operação Contenção</x:v>
      </x:c>
      <x:c r="K539" s="10" t="str">
        <x:v>Hemerográfico</x:v>
      </x:c>
      <x:c r="L539" s="10" t="str">
        <x:v>Texto (digital)</x:v>
      </x:c>
      <x:c r="M539" s="10" t="str">
        <x:v>Carta Capital</x:v>
      </x:c>
      <x:c r="N539" s="10" t="str">
        <x:v>Português, Brasil</x:v>
      </x:c>
      <x:c r="O539" s="10" t="str">
        <x:v>"Operação contenção" no Google</x:v>
      </x:c>
      <x:c r="P539" s="10" t="str">
        <x:v>2025-11-12 00:00:00</x:v>
      </x:c>
      <x:c r="Q539" s="10" t="str">
        <x:v>Acesso restrito</x:v>
      </x:c>
      <x:c r="R539" s="10" t="str">
        <x:v>Aqui</x:v>
      </x:c>
      <x:c r="S539" s="10" t="str">
        <x:v>SERRANO, Pedro. Cancelados na Operação Contenção. CartaCapital, São Paulo, 6 nov. 2025. Disponível em: https://www.cartacapital.com.br/opiniao/cancelados-na-operacao-contencao/. Acesso em: 12 nov. 2025.</x:v>
      </x:c>
      <x:c r="T539" s="10" t="str">
        <x:v>BR-SPDIREITOVIOLESTADO_MAPEAMENTOS-NOTICIAS-MSSCPENHA.xlsx</x:v>
      </x:c>
      <x:c r="U539" s="10" t="str">
        <x:v>Geral</x:v>
      </x:c>
      <x:c r="V539" s="11" t="n">
        <x:v>284</x:v>
      </x:c>
      <x:c r="W539" s="10" t="str">
        <x:v>BR-SPDIREITOVIOLESTADO_MAPEAMENTOS-NOTICIAS-MSSCPENHA.xlsx:Geral:284</x:v>
      </x:c>
      <x:c r="X539" s="11" t="n">
        <x:f>COLUMNS(A539:S539)-COUNTBLANK(A539:S539)</x:f>
        <x:v>19</x:v>
      </x:c>
    </x:row>
    <x:row r="540" ht="24" hidden="0" customHeight="1">
      <x:c r="A540" s="10" t="str">
        <x:v>Notícia</x:v>
      </x:c>
      <x:c r="B540" s="10" t="str">
        <x:v>Difusão</x:v>
      </x:c>
      <x:c r="C540" s="10" t="str">
        <x:v>Produção midiática</x:v>
      </x:c>
      <x:c r="D540" s="10" t="str">
        <x:v>Público Mediado</x:v>
      </x:c>
      <x:c r="E540" s="10" t="str">
        <x:v>Midiático</x:v>
      </x:c>
      <x:c r="F540" s="10" t="str">
        <x:v>09/11/2025</x:v>
      </x:c>
      <x:c r="G540" s="11" t="n">
        <x:v>2025</x:v>
      </x:c>
      <x:c r="H540" s="10" t="str">
        <x:v>Rio de Janeiro, Brasil</x:v>
      </x:c>
      <x:c r="I540" s="10" t="str">
        <x:v>BBC News Brasil</x:v>
      </x:c>
      <x:c r="J540" s="10" t="str">
        <x:v>Como é viver sob a lei de ferro do Comando Vermelho (que continua exatamente como antes da megaoperação policial no Rio)</x:v>
      </x:c>
      <x:c r="K540" s="10" t="str">
        <x:v>Hemerográfico</x:v>
      </x:c>
      <x:c r="L540" s="10" t="str">
        <x:v>Texto (digital)</x:v>
      </x:c>
      <x:c r="M540" s="10" t="str">
        <x:v>BBC News Brasil</x:v>
      </x:c>
      <x:c r="N540" s="10" t="str">
        <x:v>Português, Brasil</x:v>
      </x:c>
      <x:c r="O540" s="10" t="str">
        <x:v>"Operação contenção" no Google</x:v>
      </x:c>
      <x:c r="P540" s="10" t="str">
        <x:v>2025-11-12 00:00:00</x:v>
      </x:c>
      <x:c r="Q540" s="10" t="str">
        <x:v>Aberto</x:v>
      </x:c>
      <x:c r="R540" s="10" t="str">
        <x:v>Aqui</x:v>
      </x:c>
      <x:c r="S540" s="10" t="str">
        <x:v>CASTRO, Carol. Como é viver sob a lei de ferro do Comando Vermelho (que continua exatamente como antes da megaoperação policial no Rio). BBC News Brasil, Rio de Janeiro, 9 nov. 2025. Disponível em: https://www.bbc.com/portuguese/articles/c1k0ger47geo. Acesso em: 12 nov. 2025.</x:v>
      </x:c>
      <x:c r="T540" s="10" t="str">
        <x:v>BR-SPDIREITOVIOLESTADO_MAPEAMENTOS-NOTICIAS-MSSCPENHA.xlsx</x:v>
      </x:c>
      <x:c r="U540" s="10" t="str">
        <x:v>Geral</x:v>
      </x:c>
      <x:c r="V540" s="11" t="n">
        <x:v>285</x:v>
      </x:c>
      <x:c r="W540" s="10" t="str">
        <x:v>BR-SPDIREITOVIOLESTADO_MAPEAMENTOS-NOTICIAS-MSSCPENHA.xlsx:Geral:285</x:v>
      </x:c>
      <x:c r="X540" s="11" t="n">
        <x:f>COLUMNS(A540:S540)-COUNTBLANK(A540:S540)</x:f>
        <x:v>19</x:v>
      </x:c>
    </x:row>
    <x:row r="541" ht="24" hidden="0" customHeight="1">
      <x:c r="A541" s="10" t="str">
        <x:v>Notícia</x:v>
      </x:c>
      <x:c r="B541" s="10" t="str">
        <x:v>Difusão</x:v>
      </x:c>
      <x:c r="C541" s="10" t="str">
        <x:v>Produção midiática</x:v>
      </x:c>
      <x:c r="D541" s="10" t="str">
        <x:v>Público Mediado</x:v>
      </x:c>
      <x:c r="E541" s="10" t="str">
        <x:v>Midiático</x:v>
      </x:c>
      <x:c r="F541" s="10" t="str">
        <x:v>29/10/2025</x:v>
      </x:c>
      <x:c r="G541" s="11" t="n">
        <x:v>2025</x:v>
      </x:c>
      <x:c r="H541" s="10" t="str">
        <x:v>Distrito Federal, Brasil</x:v>
      </x:c>
      <x:c r="I541" s="10" t="str">
        <x:v>Rádio Senado</x:v>
      </x:c>
      <x:c r="J541" s="10" t="str">
        <x:v>Operação policial no Rio será investigada pela Comissão de Direitos Humanos</x:v>
      </x:c>
      <x:c r="K541" s="10" t="str">
        <x:v>Hemerográfico</x:v>
      </x:c>
      <x:c r="L541" s="10" t="str">
        <x:v>Texto (digital)</x:v>
      </x:c>
      <x:c r="M541" s="10" t="str">
        <x:v>Rádio Senado</x:v>
      </x:c>
      <x:c r="N541" s="10" t="str">
        <x:v>Português, Brasil</x:v>
      </x:c>
      <x:c r="O541" s="10" t="str">
        <x:v>"Operação contenção" no Google</x:v>
      </x:c>
      <x:c r="P541" s="10" t="str">
        <x:v>2025-11-12 00:00:00</x:v>
      </x:c>
      <x:c r="Q541" s="10" t="str">
        <x:v>Aberto</x:v>
      </x:c>
      <x:c r="R541" s="10" t="str">
        <x:v>Aqui</x:v>
      </x:c>
      <x:c r="S541" s="10" t="str">
        <x:v>DINIZ, Marcela. Operação policial no Rio será investigada pela Comissão de Direitos Humanos. Rádio Senado, Brasília, 29 out. 2025. Disponível em: https://www12.senado.leg.br/radio/1/noticia/2025/10/29/operacao-policial-no-rio-com-132-mortos-sera-investigada-pela-comissao-de-direitos-humanos. Acesso em: 12 nov. 2025.</x:v>
      </x:c>
      <x:c r="T541" s="10" t="str">
        <x:v>BR-SPDIREITOVIOLESTADO_MAPEAMENTOS-NOTICIAS-MSSCPENHA.xlsx</x:v>
      </x:c>
      <x:c r="U541" s="10" t="str">
        <x:v>Geral</x:v>
      </x:c>
      <x:c r="V541" s="11" t="n">
        <x:v>286</x:v>
      </x:c>
      <x:c r="W541" s="10" t="str">
        <x:v>BR-SPDIREITOVIOLESTADO_MAPEAMENTOS-NOTICIAS-MSSCPENHA.xlsx:Geral:286</x:v>
      </x:c>
      <x:c r="X541" s="11" t="n">
        <x:f>COLUMNS(A541:S541)-COUNTBLANK(A541:S541)</x:f>
        <x:v>19</x:v>
      </x:c>
    </x:row>
    <x:row r="542" ht="24" hidden="0" customHeight="1">
      <x:c r="A542" s="10" t="str">
        <x:v>Notícia</x:v>
      </x:c>
      <x:c r="B542" s="10" t="str">
        <x:v>Difusão</x:v>
      </x:c>
      <x:c r="C542" s="10" t="str">
        <x:v>Produção midiática</x:v>
      </x:c>
      <x:c r="D542" s="10" t="str">
        <x:v>Público Mediado</x:v>
      </x:c>
      <x:c r="E542" s="10" t="str">
        <x:v>Midiático</x:v>
      </x:c>
      <x:c r="F542" s="10" t="str">
        <x:v>10/11/2025</x:v>
      </x:c>
      <x:c r="G542" s="11" t="n">
        <x:v>2025</x:v>
      </x:c>
      <x:c r="H542" s="10" t="str">
        <x:v>Distrito Federal, Brasil</x:v>
      </x:c>
      <x:c r="I542" s="10" t="str">
        <x:v>Agência Brasil</x:v>
      </x:c>
      <x:c r="J542" s="10" t="str">
        <x:v>Moraes manda RJ preservar vídeos e enviar laudos e fotos de operação</x:v>
      </x:c>
      <x:c r="K542" s="10" t="str">
        <x:v>Hemerográfico</x:v>
      </x:c>
      <x:c r="L542" s="10" t="str">
        <x:v>Texto (digital)</x:v>
      </x:c>
      <x:c r="M542" s="10" t="str">
        <x:v>Agência Brasil</x:v>
      </x:c>
      <x:c r="N542" s="10" t="str">
        <x:v>Português, Brasil</x:v>
      </x:c>
      <x:c r="O542" s="10" t="str">
        <x:v>"Operação contenção" no Google</x:v>
      </x:c>
      <x:c r="P542" s="10" t="str">
        <x:v>2025-11-12 00:00:00</x:v>
      </x:c>
      <x:c r="Q542" s="10" t="str">
        <x:v>Aberto</x:v>
      </x:c>
      <x:c r="R542" s="10" t="str">
        <x:v>Aqui</x:v>
      </x:c>
      <x:c r="S542" s="10" t="str">
        <x:v>PONTES, Felipe. Moraes manda RJ preservar vídeos e enviar laudos e fotos de operação. Agência Brasil, Brasília, 10 nov. 2025. Disponível em: https://agenciabrasil.ebc.com.br/justica/noticia/2025-11/moraes-manda-rj-preservar-videos-e-enviar-laudos-e-fotos-de-operacao. Acesso em: 12 nov. 2025.</x:v>
      </x:c>
      <x:c r="T542" s="10" t="str">
        <x:v>BR-SPDIREITOVIOLESTADO_MAPEAMENTOS-NOTICIAS-MSSCPENHA.xlsx</x:v>
      </x:c>
      <x:c r="U542" s="10" t="str">
        <x:v>Geral</x:v>
      </x:c>
      <x:c r="V542" s="11" t="n">
        <x:v>287</x:v>
      </x:c>
      <x:c r="W542" s="10" t="str">
        <x:v>BR-SPDIREITOVIOLESTADO_MAPEAMENTOS-NOTICIAS-MSSCPENHA.xlsx:Geral:287</x:v>
      </x:c>
      <x:c r="X542" s="11" t="n">
        <x:f>COLUMNS(A542:S542)-COUNTBLANK(A542:S542)</x:f>
        <x:v>19</x:v>
      </x:c>
    </x:row>
    <x:row r="543" ht="24" hidden="0" customHeight="1">
      <x:c r="A543" s="10" t="str">
        <x:v>Notícia</x:v>
      </x:c>
      <x:c r="B543" s="10" t="str">
        <x:v>Difusão</x:v>
      </x:c>
      <x:c r="C543" s="10" t="str">
        <x:v>Produção midiática</x:v>
      </x:c>
      <x:c r="D543" s="10" t="str">
        <x:v>Público Mediado</x:v>
      </x:c>
      <x:c r="E543" s="10" t="str">
        <x:v>Midiático</x:v>
      </x:c>
      <x:c r="F543" s="10" t="str">
        <x:v>03/11/2025</x:v>
      </x:c>
      <x:c r="G543" s="11" t="n">
        <x:v>2025</x:v>
      </x:c>
      <x:c r="H543" s="10" t="str">
        <x:v>Paraná, Brasil</x:v>
      </x:c>
      <x:c r="I543" s="10" t="str">
        <x:v>Gazeta do Povo</x:v>
      </x:c>
      <x:c r="J543" s="10" t="str">
        <x:v>Polícia Civil: 95% dos mortos em operação do Rio tinham ligação com o CV</x:v>
      </x:c>
      <x:c r="K543" s="10" t="str">
        <x:v>Hemerográfico</x:v>
      </x:c>
      <x:c r="L543" s="10" t="str">
        <x:v>Texto (digital)</x:v>
      </x:c>
      <x:c r="M543" s="10" t="str">
        <x:v>Gazeta do Povo</x:v>
      </x:c>
      <x:c r="N543" s="10" t="str">
        <x:v>Português, Brasil</x:v>
      </x:c>
      <x:c r="O543" s="10" t="str">
        <x:v>"Operação contenção" no Google</x:v>
      </x:c>
      <x:c r="P543" s="10" t="str">
        <x:v>2025-11-12 00:00:00</x:v>
      </x:c>
      <x:c r="Q543" s="10" t="str">
        <x:v>Acesso restrito</x:v>
      </x:c>
      <x:c r="R543" s="10" t="str">
        <x:v>Aqui</x:v>
      </x:c>
      <x:c r="S543" s="10" t="str">
        <x:v>MACIA, Vinicius. Polícia Civil: 95% dos mortos em operação do Rio tinham ligação com o CV. Gazeta do Povo, Curitiba, 3 nov. 2025. Disponível em: https://www.gazetadopovo.com.br/brasil/policia-civil-identifica-115-mortos-na-operacao-contencao/. Acesso em: 12 nov. 2025.</x:v>
      </x:c>
      <x:c r="T543" s="10" t="str">
        <x:v>BR-SPDIREITOVIOLESTADO_MAPEAMENTOS-NOTICIAS-MSSCPENHA.xlsx</x:v>
      </x:c>
      <x:c r="U543" s="10" t="str">
        <x:v>Geral</x:v>
      </x:c>
      <x:c r="V543" s="11" t="n">
        <x:v>288</x:v>
      </x:c>
      <x:c r="W543" s="10" t="str">
        <x:v>BR-SPDIREITOVIOLESTADO_MAPEAMENTOS-NOTICIAS-MSSCPENHA.xlsx:Geral:288</x:v>
      </x:c>
      <x:c r="X543" s="11" t="n">
        <x:f>COLUMNS(A543:S543)-COUNTBLANK(A543:S543)</x:f>
        <x:v>19</x:v>
      </x:c>
    </x:row>
    <x:row r="544" ht="24" hidden="0" customHeight="1">
      <x:c r="A544" s="10" t="str">
        <x:v>Notícia</x:v>
      </x:c>
      <x:c r="B544" s="10" t="str">
        <x:v>Difusão</x:v>
      </x:c>
      <x:c r="C544" s="10" t="str">
        <x:v>Produção midiática</x:v>
      </x:c>
      <x:c r="D544" s="10" t="str">
        <x:v>Público Mediado</x:v>
      </x:c>
      <x:c r="E544" s="10" t="str">
        <x:v>Midiático</x:v>
      </x:c>
      <x:c r="F544" s="10" t="str">
        <x:v>06/11/2025</x:v>
      </x:c>
      <x:c r="G544" s="11" t="n">
        <x:v>2025</x:v>
      </x:c>
      <x:c r="H544" s="10" t="str">
        <x:v>Melbourne, Austrália</x:v>
      </x:c>
      <x:c r="I544" s="10" t="str">
        <x:v>The Conversation</x:v>
      </x:c>
      <x:c r="J544" s="10" t="str">
        <x:v>Análise: ‘Operação Contenção’ não vai ajudar na luta contra o narcotráfico</x:v>
      </x:c>
      <x:c r="K544" s="10" t="str">
        <x:v>Hemerográfico</x:v>
      </x:c>
      <x:c r="L544" s="10" t="str">
        <x:v>Texto (digital)</x:v>
      </x:c>
      <x:c r="M544" s="10" t="str">
        <x:v>The Conversation</x:v>
      </x:c>
      <x:c r="N544" s="10" t="str">
        <x:v>Português, Brasil</x:v>
      </x:c>
      <x:c r="O544" s="10" t="str">
        <x:v>"Operação contenção" no Google</x:v>
      </x:c>
      <x:c r="P544" s="10" t="str">
        <x:v>2025-11-12 00:00:00</x:v>
      </x:c>
      <x:c r="Q544" s="10" t="str">
        <x:v>Aberto</x:v>
      </x:c>
      <x:c r="R544" s="10" t="str">
        <x:v>Aqui</x:v>
      </x:c>
      <x:c r="S544" s="10" t="str">
        <x:v>JULIÃO, Luciana. Análise: ‘Operação Contenção’ não vai ajudar na luta contra o narcotráfico. The Conversation, 6 nov. 2025. Disponível em: https://theconversation.com/analise-operacao-contencao-nao-vai-ajudar-na-luta-contra-o-narcotrafico-269235. Acesso em: 12 nov. 2025.</x:v>
      </x:c>
      <x:c r="T544" s="10" t="str">
        <x:v>BR-SPDIREITOVIOLESTADO_MAPEAMENTOS-NOTICIAS-MSSCPENHA.xlsx</x:v>
      </x:c>
      <x:c r="U544" s="10" t="str">
        <x:v>Geral</x:v>
      </x:c>
      <x:c r="V544" s="11" t="n">
        <x:v>289</x:v>
      </x:c>
      <x:c r="W544" s="10" t="str">
        <x:v>BR-SPDIREITOVIOLESTADO_MAPEAMENTOS-NOTICIAS-MSSCPENHA.xlsx:Geral:289</x:v>
      </x:c>
      <x:c r="X544" s="11" t="n">
        <x:f>COLUMNS(A544:S544)-COUNTBLANK(A544:S544)</x:f>
        <x:v>19</x:v>
      </x:c>
    </x:row>
    <x:row r="545" ht="24" hidden="0" customHeight="1">
      <x:c r="A545" s="10" t="str">
        <x:v>Notícia</x:v>
      </x:c>
      <x:c r="B545" s="10" t="str">
        <x:v>Difusão</x:v>
      </x:c>
      <x:c r="C545" s="10" t="str">
        <x:v>Produção midiática</x:v>
      </x:c>
      <x:c r="D545" s="10" t="str">
        <x:v>Público Mediado</x:v>
      </x:c>
      <x:c r="E545" s="10" t="str">
        <x:v>Midiático</x:v>
      </x:c>
      <x:c r="F545" s="10" t="str">
        <x:v>12/11/2025</x:v>
      </x:c>
      <x:c r="G545" s="11" t="n">
        <x:v>2025</x:v>
      </x:c>
      <x:c r="H545" s="10" t="str">
        <x:v>Distrito Federal, Brasil</x:v>
      </x:c>
      <x:c r="I545" s="10" t="str">
        <x:v>Metrópoles</x:v>
      </x:c>
      <x:c r="J545" s="10" t="str">
        <x:v>Operação Contenção apreende arsenal ligado ao Comando Vermelho</x:v>
      </x:c>
      <x:c r="K545" s="10" t="str">
        <x:v>Hemerográfico</x:v>
      </x:c>
      <x:c r="L545" s="10" t="str">
        <x:v>Texto (digital)</x:v>
      </x:c>
      <x:c r="M545" s="10" t="str">
        <x:v>Metrópoles</x:v>
      </x:c>
      <x:c r="N545" s="10" t="str">
        <x:v>Português, Brasil</x:v>
      </x:c>
      <x:c r="O545" s="10" t="str">
        <x:v>"Operação contenção" no Google</x:v>
      </x:c>
      <x:c r="P545" s="10" t="str">
        <x:v>2025-11-12 00:00:00</x:v>
      </x:c>
      <x:c r="Q545" s="10" t="str">
        <x:v>Aberto</x:v>
      </x:c>
      <x:c r="R545" s="10" t="str">
        <x:v>Aqui</x:v>
      </x:c>
      <x:c r="S545" s="10" t="str">
        <x:v>PINHEIRO, Mirelle. Operação Contenção apreende arsenal ligado ao Comando Vermelho. Metrópoles, Brasília, 12 nov. 2025. Disponível em: https://www.metropoles.com/colunas/mirelle-pinheiro/operacao-contencao-apreende-arsenal-ligado-ao-comando-vermelho. Acesso em: 12 nov. 2025.</x:v>
      </x:c>
      <x:c r="T545" s="10" t="str">
        <x:v>BR-SPDIREITOVIOLESTADO_MAPEAMENTOS-NOTICIAS-MSSCPENHA.xlsx</x:v>
      </x:c>
      <x:c r="U545" s="10" t="str">
        <x:v>Geral</x:v>
      </x:c>
      <x:c r="V545" s="11" t="n">
        <x:v>290</x:v>
      </x:c>
      <x:c r="W545" s="10" t="str">
        <x:v>BR-SPDIREITOVIOLESTADO_MAPEAMENTOS-NOTICIAS-MSSCPENHA.xlsx:Geral:290</x:v>
      </x:c>
      <x:c r="X545" s="11" t="n">
        <x:f>COLUMNS(A545:S545)-COUNTBLANK(A545:S545)</x:f>
        <x:v>19</x:v>
      </x:c>
    </x:row>
    <x:row r="546" ht="24" hidden="0" customHeight="1">
      <x:c r="A546" s="10" t="str">
        <x:v>Notícia</x:v>
      </x:c>
      <x:c r="B546" s="10" t="str">
        <x:v>Difusão</x:v>
      </x:c>
      <x:c r="C546" s="10" t="str">
        <x:v>Produção midiática</x:v>
      </x:c>
      <x:c r="D546" s="10" t="str">
        <x:v>Público Mediado</x:v>
      </x:c>
      <x:c r="E546" s="10" t="str">
        <x:v>Midiático</x:v>
      </x:c>
      <x:c r="F546" s="10" t="str">
        <x:v>01/11/2025</x:v>
      </x:c>
      <x:c r="G546" s="11" t="n">
        <x:v>2025</x:v>
      </x:c>
      <x:c r="H546" s="10" t="str">
        <x:v>Distrito Federal, Brasil</x:v>
      </x:c>
      <x:c r="I546" s="10" t="str">
        <x:v>Poder 360</x:v>
      </x:c>
      <x:c r="J546" s="10" t="str">
        <x:v>Leia o balanço sobre a operação contra o Comando Vermelho no Rio</x:v>
      </x:c>
      <x:c r="K546" s="10" t="str">
        <x:v>Hemerográfico</x:v>
      </x:c>
      <x:c r="L546" s="10" t="str">
        <x:v>Texto (digital)</x:v>
      </x:c>
      <x:c r="M546" s="10" t="str">
        <x:v>Poder 360</x:v>
      </x:c>
      <x:c r="N546" s="10" t="str">
        <x:v>Português, Brasil</x:v>
      </x:c>
      <x:c r="O546" s="10" t="str">
        <x:v>"Operação contenção" no Google</x:v>
      </x:c>
      <x:c r="P546" s="10" t="str">
        <x:v>2025-11-12 00:00:00</x:v>
      </x:c>
      <x:c r="Q546" s="10" t="str">
        <x:v>Aberto</x:v>
      </x:c>
      <x:c r="R546" s="10" t="str">
        <x:v>Aqui</x:v>
      </x:c>
      <x:c r="S546" s="10" t="str">
        <x:v>PODER360. Leia o balanço sobre a operação contra o Comando Vermelho no Rio. Brasília, 1 nov. 2025. Disponível em: https://www.poder360.com.br/poder-seguranca-publica/leia-o-balanco-sobre-a-operacao-contra-o-comando-vermelho-no-rio/. Acesso em: 12 nov. 2025.</x:v>
      </x:c>
      <x:c r="T546" s="10" t="str">
        <x:v>BR-SPDIREITOVIOLESTADO_MAPEAMENTOS-NOTICIAS-MSSCPENHA.xlsx</x:v>
      </x:c>
      <x:c r="U546" s="10" t="str">
        <x:v>Geral</x:v>
      </x:c>
      <x:c r="V546" s="11" t="n">
        <x:v>291</x:v>
      </x:c>
      <x:c r="W546" s="10" t="str">
        <x:v>BR-SPDIREITOVIOLESTADO_MAPEAMENTOS-NOTICIAS-MSSCPENHA.xlsx:Geral:291</x:v>
      </x:c>
      <x:c r="X546" s="11" t="n">
        <x:f>COLUMNS(A546:S546)-COUNTBLANK(A546:S546)</x:f>
        <x:v>19</x:v>
      </x:c>
    </x:row>
    <x:row r="547" ht="24" hidden="0" customHeight="1">
      <x:c r="A547" s="10" t="str">
        <x:v>Notícia</x:v>
      </x:c>
      <x:c r="B547" s="10" t="str">
        <x:v>Difusão</x:v>
      </x:c>
      <x:c r="C547" s="10" t="str">
        <x:v>Produção midiática</x:v>
      </x:c>
      <x:c r="D547" s="10" t="str">
        <x:v>Público Mediado</x:v>
      </x:c>
      <x:c r="E547" s="10" t="str">
        <x:v>Midiático</x:v>
      </x:c>
      <x:c r="F547" s="10" t="str">
        <x:v>06/11/2025</x:v>
      </x:c>
      <x:c r="G547" s="11" t="n">
        <x:v>2025</x:v>
      </x:c>
      <x:c r="H547" s="10" t="str">
        <x:v>Londres, Reino Unido</x:v>
      </x:c>
      <x:c r="I547" s="10" t="str">
        <x:v>BBC News Brasil</x:v>
      </x:c>
      <x:c r="J547" s="10" t="str">
        <x:v>Os detalhes da lista que polícia fez para divulgar suspeitos mortos em megaoperação no Rio</x:v>
      </x:c>
      <x:c r="K547" s="10" t="str">
        <x:v>Hemerográfico</x:v>
      </x:c>
      <x:c r="L547" s="10" t="str">
        <x:v>Texto (digital)</x:v>
      </x:c>
      <x:c r="M547" s="10" t="str">
        <x:v>BBC News Brasil</x:v>
      </x:c>
      <x:c r="N547" s="10" t="str">
        <x:v>Português, Brasil</x:v>
      </x:c>
      <x:c r="O547" s="10" t="str">
        <x:v>"Operação contenção" no Google</x:v>
      </x:c>
      <x:c r="P547" s="10" t="str">
        <x:v>2025-11-12 00:00:00</x:v>
      </x:c>
      <x:c r="Q547" s="10" t="str">
        <x:v>Aberto</x:v>
      </x:c>
      <x:c r="R547" s="10" t="str">
        <x:v>Aqui</x:v>
      </x:c>
      <x:c r="S547" s="10" t="str">
        <x:v>GALLAS, Daniel. Os detalhes da lista que polícia fez para divulgar suspeitos mortos em megaoperação no Rio. BBC News Brasil, Londres, 6 nov. 2025. Disponível em: https://www.bbc.com/portuguese/articles/c7v80pll5mno. Acesso em: 12 nov. 2025.</x:v>
      </x:c>
      <x:c r="T547" s="10" t="str">
        <x:v>BR-SPDIREITOVIOLESTADO_MAPEAMENTOS-NOTICIAS-MSSCPENHA.xlsx</x:v>
      </x:c>
      <x:c r="U547" s="10" t="str">
        <x:v>Geral</x:v>
      </x:c>
      <x:c r="V547" s="11" t="n">
        <x:v>292</x:v>
      </x:c>
      <x:c r="W547" s="10" t="str">
        <x:v>BR-SPDIREITOVIOLESTADO_MAPEAMENTOS-NOTICIAS-MSSCPENHA.xlsx:Geral:292</x:v>
      </x:c>
      <x:c r="X547" s="11" t="n">
        <x:f>COLUMNS(A547:S547)-COUNTBLANK(A547:S547)</x:f>
        <x:v>19</x:v>
      </x:c>
    </x:row>
    <x:row r="548" ht="24" hidden="0" customHeight="1">
      <x:c r="A548" s="10" t="str">
        <x:v>Notícia</x:v>
      </x:c>
      <x:c r="B548" s="10" t="str">
        <x:v>Difusão</x:v>
      </x:c>
      <x:c r="C548" s="10" t="str">
        <x:v>Produção midiática</x:v>
      </x:c>
      <x:c r="D548" s="10" t="str">
        <x:v>Público Mediado</x:v>
      </x:c>
      <x:c r="E548" s="10" t="str">
        <x:v>Midiático</x:v>
      </x:c>
      <x:c r="F548" s="10" t="str">
        <x:v>12/11/2025</x:v>
      </x:c>
      <x:c r="G548" s="11" t="n">
        <x:v>2025</x:v>
      </x:c>
      <x:c r="H548" s="10" t="str">
        <x:v>Distrito Federal, Brasil</x:v>
      </x:c>
      <x:c r="I548" s="10" t="str">
        <x:v>Agência Brasil</x:v>
      </x:c>
      <x:c r="J548" s="10" t="str">
        <x:v>Congresso homenageia policiais mortos durante a Operação Contenção</x:v>
      </x:c>
      <x:c r="K548" s="10" t="str">
        <x:v>Hemerográfico</x:v>
      </x:c>
      <x:c r="L548" s="10" t="str">
        <x:v>Texto (digital)</x:v>
      </x:c>
      <x:c r="M548" s="10" t="str">
        <x:v>Agência Brasil</x:v>
      </x:c>
      <x:c r="N548" s="10" t="str">
        <x:v>Português, Brasil</x:v>
      </x:c>
      <x:c r="O548" s="10" t="str">
        <x:v>"Operação contenção" no Google</x:v>
      </x:c>
      <x:c r="P548" s="10" t="str">
        <x:v>2025-11-12 00:00:00</x:v>
      </x:c>
      <x:c r="Q548" s="10" t="str">
        <x:v>Aberto</x:v>
      </x:c>
      <x:c r="R548" s="10" t="str">
        <x:v>Aqui</x:v>
      </x:c>
      <x:c r="S548" s="10" t="str">
        <x:v>RODRIGUES, Alex. Congresso homenageia policiais mortos durante a Operação Contenção. Agência Brasil, Brasília, 12 nov. 2025. Disponível em: https://agenciabrasil.ebc.com.br/politica/noticia/2025-11/congresso-homenageia-policiais-mortos-durante-operacao-contencao. Acesso em: 12 nov. 2025.</x:v>
      </x:c>
      <x:c r="T548" s="10" t="str">
        <x:v>BR-SPDIREITOVIOLESTADO_MAPEAMENTOS-NOTICIAS-MSSCPENHA.xlsx</x:v>
      </x:c>
      <x:c r="U548" s="10" t="str">
        <x:v>Geral</x:v>
      </x:c>
      <x:c r="V548" s="11" t="n">
        <x:v>293</x:v>
      </x:c>
      <x:c r="W548" s="10" t="str">
        <x:v>BR-SPDIREITOVIOLESTADO_MAPEAMENTOS-NOTICIAS-MSSCPENHA.xlsx:Geral:293</x:v>
      </x:c>
      <x:c r="X548" s="11" t="n">
        <x:f>COLUMNS(A548:S548)-COUNTBLANK(A548:S548)</x:f>
        <x:v>19</x:v>
      </x:c>
    </x:row>
    <x:row r="549" ht="24" hidden="0" customHeight="1">
      <x:c r="A549" s="10" t="str">
        <x:v>Notícia</x:v>
      </x:c>
      <x:c r="B549" s="10" t="str">
        <x:v>Difusão</x:v>
      </x:c>
      <x:c r="C549" s="10" t="str">
        <x:v>Produção midiática</x:v>
      </x:c>
      <x:c r="D549" s="10" t="str">
        <x:v>Público Mediado</x:v>
      </x:c>
      <x:c r="E549" s="10" t="str">
        <x:v>Midiático</x:v>
      </x:c>
      <x:c r="F549" s="10" t="str">
        <x:v>29/10/2025</x:v>
      </x:c>
      <x:c r="G549" s="11" t="n">
        <x:v>2025</x:v>
      </x:c>
      <x:c r="H549" s="10" t="str">
        <x:v>São Paulo, Brasil</x:v>
      </x:c>
      <x:c r="I549" s="10" t="str">
        <x:v>Blog da Boitempo</x:v>
      </x:c>
      <x:c r="J549" s="10" t="str">
        <x:v>“Operação Contenção”: a chacina como combustível para a extrema direita</x:v>
      </x:c>
      <x:c r="K549" s="10" t="str">
        <x:v>Hemerográfico</x:v>
      </x:c>
      <x:c r="L549" s="10" t="str">
        <x:v>Texto (digital)</x:v>
      </x:c>
      <x:c r="M549" s="10" t="str">
        <x:v>Blog da Boitempo</x:v>
      </x:c>
      <x:c r="N549" s="10" t="str">
        <x:v>Português, Brasil</x:v>
      </x:c>
      <x:c r="O549" s="10" t="str">
        <x:v>"Operação contenção" no Google</x:v>
      </x:c>
      <x:c r="P549" s="10" t="str">
        <x:v>2025-11-12 00:00:00</x:v>
      </x:c>
      <x:c r="Q549" s="10" t="str">
        <x:v>Aberto</x:v>
      </x:c>
      <x:c r="R549" s="10" t="str">
        <x:v>Aqui</x:v>
      </x:c>
      <x:c r="S549" s="10" t="str">
        <x:v>BRITO, Felipe. “Operação Contenção”: a chacina como combustível para a extrema direita. Blog da Boitempo, 29 out. 2025. Disponível em: https://blogdaboitempo.com.br/2025/10/29/operacao-contencao-a-chacina-como-combustivel-para-a-extrema-direita/. Acesso em: 12 nov. 2025.</x:v>
      </x:c>
      <x:c r="T549" s="10" t="str">
        <x:v>BR-SPDIREITOVIOLESTADO_MAPEAMENTOS-NOTICIAS-MSSCPENHA.xlsx</x:v>
      </x:c>
      <x:c r="U549" s="10" t="str">
        <x:v>Geral</x:v>
      </x:c>
      <x:c r="V549" s="11" t="n">
        <x:v>294</x:v>
      </x:c>
      <x:c r="W549" s="10" t="str">
        <x:v>BR-SPDIREITOVIOLESTADO_MAPEAMENTOS-NOTICIAS-MSSCPENHA.xlsx:Geral:294</x:v>
      </x:c>
      <x:c r="X549" s="11" t="n">
        <x:f>COLUMNS(A549:S549)-COUNTBLANK(A549:S549)</x:f>
        <x:v>19</x:v>
      </x:c>
    </x:row>
    <x:row r="550" ht="24" hidden="0" customHeight="1">
      <x:c r="A550" s="10" t="str">
        <x:v>Notícia</x:v>
      </x:c>
      <x:c r="B550" s="10" t="str">
        <x:v>Difusão</x:v>
      </x:c>
      <x:c r="C550" s="10" t="str">
        <x:v>Produção midiática</x:v>
      </x:c>
      <x:c r="D550" s="10" t="str">
        <x:v>Público Mediado</x:v>
      </x:c>
      <x:c r="E550" s="10" t="str">
        <x:v>Midiático</x:v>
      </x:c>
      <x:c r="F550" s="10" t="str">
        <x:v>12/11/2025</x:v>
      </x:c>
      <x:c r="G550" s="11" t="n">
        <x:v>2025</x:v>
      </x:c>
      <x:c r="H550" s="10" t="str">
        <x:v>Paraná, Brasil</x:v>
      </x:c>
      <x:c r="I550" s="10" t="str">
        <x:v>Gazeta do Povo</x:v>
      </x:c>
      <x:c r="J550" s="10" t="str">
        <x:v>Operação Contenção intercepta arsenal do Comando Vermelho</x:v>
      </x:c>
      <x:c r="K550" s="10" t="str">
        <x:v>Hemerográfico</x:v>
      </x:c>
      <x:c r="L550" s="10" t="str">
        <x:v>Texto (digital)</x:v>
      </x:c>
      <x:c r="M550" s="10" t="str">
        <x:v>Gazeta do Povo</x:v>
      </x:c>
      <x:c r="N550" s="10" t="str">
        <x:v>Português, Brasil</x:v>
      </x:c>
      <x:c r="O550" s="10" t="str">
        <x:v>"Operação contenção" no Google</x:v>
      </x:c>
      <x:c r="P550" s="10" t="str">
        <x:v>2025-11-12 00:00:00</x:v>
      </x:c>
      <x:c r="Q550" s="10" t="str">
        <x:v>Acesso restrito</x:v>
      </x:c>
      <x:c r="R550" s="10" t="str">
        <x:v>Aqui</x:v>
      </x:c>
      <x:c r="S550" s="10" t="str">
        <x:v>MACIA, Vinicius. Operação Contenção intercepta arsenal do Comando Vermelho. Gazeta do Povo, Curitiba, 12 nov. 2025. Disponível em: https://www.gazetadopovo.com.br/brasil/operacao-contencao-intercepta-arsenal-do-comando-vermelho/. Acesso em: 12 nov. 2025.</x:v>
      </x:c>
      <x:c r="T550" s="10" t="str">
        <x:v>BR-SPDIREITOVIOLESTADO_MAPEAMENTOS-NOTICIAS-MSSCPENHA.xlsx</x:v>
      </x:c>
      <x:c r="U550" s="10" t="str">
        <x:v>Geral</x:v>
      </x:c>
      <x:c r="V550" s="11" t="n">
        <x:v>295</x:v>
      </x:c>
      <x:c r="W550" s="10" t="str">
        <x:v>BR-SPDIREITOVIOLESTADO_MAPEAMENTOS-NOTICIAS-MSSCPENHA.xlsx:Geral:295</x:v>
      </x:c>
      <x:c r="X550" s="11" t="n">
        <x:f>COLUMNS(A550:S550)-COUNTBLANK(A550:S550)</x:f>
        <x:v>19</x:v>
      </x:c>
    </x:row>
    <x:row r="551" ht="24" hidden="0" customHeight="1">
      <x:c r="A551" s="10" t="str">
        <x:v>Notícia</x:v>
      </x:c>
      <x:c r="B551" s="10" t="str">
        <x:v>Difusão</x:v>
      </x:c>
      <x:c r="C551" s="10" t="str">
        <x:v>Produção midiática</x:v>
      </x:c>
      <x:c r="D551" s="10" t="str">
        <x:v>Público Mediado</x:v>
      </x:c>
      <x:c r="E551" s="10" t="str">
        <x:v>Midiático</x:v>
      </x:c>
      <x:c r="F551" s="10" t="str">
        <x:v>06/11/2025</x:v>
      </x:c>
      <x:c r="G551" s="11" t="n">
        <x:v>2025</x:v>
      </x:c>
      <x:c r="H551" s="10" t="str">
        <x:v>Paraná, Brasil</x:v>
      </x:c>
      <x:c r="I551" s="10" t="str">
        <x:v>Gazeta do Povo</x:v>
      </x:c>
      <x:c r="J551" s="10" t="str">
        <x:v>Operação Contenção foi desastrosa? 74% do RJ discorda de Lula, segundo Real Time</x:v>
      </x:c>
      <x:c r="K551" s="10" t="str">
        <x:v>Hemerográfico</x:v>
      </x:c>
      <x:c r="L551" s="10" t="str">
        <x:v>Texto (digital)</x:v>
      </x:c>
      <x:c r="M551" s="10" t="str">
        <x:v>Gazeta do Povo</x:v>
      </x:c>
      <x:c r="N551" s="10" t="str">
        <x:v>Português, Brasil</x:v>
      </x:c>
      <x:c r="O551" s="10" t="str">
        <x:v>"Operação contenção" no Google</x:v>
      </x:c>
      <x:c r="P551" s="10" t="str">
        <x:v>2025-11-12 00:00:00</x:v>
      </x:c>
      <x:c r="Q551" s="10" t="str">
        <x:v>Acesso restrito</x:v>
      </x:c>
      <x:c r="R551" s="10" t="str">
        <x:v>Aqui</x:v>
      </x:c>
      <x:c r="S551" s="10" t="str">
        <x:v>MACIA, Vinicius. Operação Contenção foi desastrosa? 74% do RJ discorda de Lula, segundo Real Time. Gazeta do Povo, Curitiba, 6 nov. 2025. Disponível em: https://www.gazetadopovo.com.br/brasil/operacao-contencao-74-discordam-que-foi-desastrosa/. Acesso em: 12 nov. 2025.</x:v>
      </x:c>
      <x:c r="T551" s="10" t="str">
        <x:v>BR-SPDIREITOVIOLESTADO_MAPEAMENTOS-NOTICIAS-MSSCPENHA.xlsx</x:v>
      </x:c>
      <x:c r="U551" s="10" t="str">
        <x:v>Geral</x:v>
      </x:c>
      <x:c r="V551" s="11" t="n">
        <x:v>296</x:v>
      </x:c>
      <x:c r="W551" s="10" t="str">
        <x:v>BR-SPDIREITOVIOLESTADO_MAPEAMENTOS-NOTICIAS-MSSCPENHA.xlsx:Geral:296</x:v>
      </x:c>
      <x:c r="X551" s="11" t="n">
        <x:f>COLUMNS(A551:S551)-COUNTBLANK(A551:S551)</x:f>
        <x:v>19</x:v>
      </x:c>
    </x:row>
    <x:row r="552" ht="15" hidden="0" customHeight="1">
      <x:c r="A552" s="10" t="str">
        <x:v>Notícia</x:v>
      </x:c>
      <x:c r="B552" s="10" t="str">
        <x:v>Difusão</x:v>
      </x:c>
      <x:c r="C552" s="10" t="str">
        <x:v>Produção midiática</x:v>
      </x:c>
      <x:c r="D552" s="10" t="str">
        <x:v>Público Mediado</x:v>
      </x:c>
      <x:c r="E552" s="10" t="str">
        <x:v>Midiático</x:v>
      </x:c>
      <x:c r="F552" s="10" t="str">
        <x:v>11/11/2025</x:v>
      </x:c>
      <x:c r="G552" s="11" t="n">
        <x:v>2025</x:v>
      </x:c>
      <x:c r="H552" s="10" t="str">
        <x:v>São Paulo, Brasil</x:v>
      </x:c>
      <x:c r="I552" s="10" t="str">
        <x:v>Istoé</x:v>
      </x:c>
      <x:c r="J552" s="10" t="str">
        <x:v>Moraes suspende inquérito contra famílias de mortos na Operação Contenção</x:v>
      </x:c>
      <x:c r="K552" s="10" t="str">
        <x:v>Hemerográfico</x:v>
      </x:c>
      <x:c r="L552" s="10" t="str">
        <x:v>Texto (digital)</x:v>
      </x:c>
      <x:c r="M552" s="10" t="str">
        <x:v>Istoé</x:v>
      </x:c>
      <x:c r="N552" s="10" t="str">
        <x:v>Português, Brasil</x:v>
      </x:c>
      <x:c r="O552" s="10" t="str">
        <x:v>"Operação contenção" no Google</x:v>
      </x:c>
      <x:c r="P552" s="10" t="str">
        <x:v>2025-11-12 00:00:00</x:v>
      </x:c>
      <x:c r="Q552" s="10" t="str">
        <x:v>Aberto</x:v>
      </x:c>
      <x:c r="R552" s="10" t="str">
        <x:v>Aqui</x:v>
      </x:c>
      <x:c r="S552" s="10" t="str">
        <x:v>ISTOÉ. Moraes suspende inquérito contra famílias de mortos na Operação Contenção. São Paulo, 11 nov. 2025. Disponível em: https://istoe.com.br/moraes-suspende-familias-mortos. Acesso em: 12 nov. 2025.</x:v>
      </x:c>
      <x:c r="T552" s="10" t="str">
        <x:v>BR-SPDIREITOVIOLESTADO_MAPEAMENTOS-NOTICIAS-MSSCPENHA.xlsx</x:v>
      </x:c>
      <x:c r="U552" s="10" t="str">
        <x:v>Geral</x:v>
      </x:c>
      <x:c r="V552" s="11" t="n">
        <x:v>297</x:v>
      </x:c>
      <x:c r="W552" s="10" t="str">
        <x:v>BR-SPDIREITOVIOLESTADO_MAPEAMENTOS-NOTICIAS-MSSCPENHA.xlsx:Geral:297</x:v>
      </x:c>
      <x:c r="X552" s="11" t="n">
        <x:f>COLUMNS(A552:S552)-COUNTBLANK(A552:S552)</x:f>
        <x:v>19</x:v>
      </x:c>
    </x:row>
    <x:row r="553" ht="24" hidden="0" customHeight="1">
      <x:c r="A553" s="10" t="str">
        <x:v>Notícia</x:v>
      </x:c>
      <x:c r="B553" s="10" t="str">
        <x:v>Difusão</x:v>
      </x:c>
      <x:c r="C553" s="10" t="str">
        <x:v>Produção midiática</x:v>
      </x:c>
      <x:c r="D553" s="10" t="str">
        <x:v>Público Mediado</x:v>
      </x:c>
      <x:c r="E553" s="10" t="str">
        <x:v>Midiático</x:v>
      </x:c>
      <x:c r="F553" s="10" t="str">
        <x:v>10/11/2025</x:v>
      </x:c>
      <x:c r="G553" s="11" t="n">
        <x:v>2025</x:v>
      </x:c>
      <x:c r="H553" s="10" t="str">
        <x:v>Distrito Federal, Brasil</x:v>
      </x:c>
      <x:c r="I553" s="10" t="str">
        <x:v>G1</x:v>
      </x:c>
      <x:c r="J553" s="10" t="str">
        <x:v>Megaoperação no Rio: Moraes aponta contradições e determina envio de laudos e dados de prisões</x:v>
      </x:c>
      <x:c r="K553" s="10" t="str">
        <x:v>Hemerográfico</x:v>
      </x:c>
      <x:c r="L553" s="10" t="str">
        <x:v>Texto (digital)</x:v>
      </x:c>
      <x:c r="M553" s="10" t="str">
        <x:v>G1</x:v>
      </x:c>
      <x:c r="N553" s="10" t="str">
        <x:v>Português, Brasil</x:v>
      </x:c>
      <x:c r="O553" s="10" t="str">
        <x:v>"Operação contenção" no Google</x:v>
      </x:c>
      <x:c r="P553" s="10" t="str">
        <x:v>2025-11-12 00:00:00</x:v>
      </x:c>
      <x:c r="Q553" s="10" t="str">
        <x:v>Aberto</x:v>
      </x:c>
      <x:c r="R553" s="10" t="str">
        <x:v>Aqui</x:v>
      </x:c>
      <x:c r="S553" s="10" t="str">
        <x:v>FALCÃO, Márcio; CASTRO, Ana Flávia. Megaoperação no Rio: Moraes aponta contradições e determina envio de laudos e dados de prisões. G1, Brasília, 10 nov. 2025. Disponível em: https://g1.globo.com/politica/noticia/2025/11/10/megaoperacao-no-rio-moraes-aponta-contradicoes-e-determina-envio-de-laudos-e-dados-de-prisoes.ghtml. Acesso em: 12 nov. 2025.</x:v>
      </x:c>
      <x:c r="T553" s="10" t="str">
        <x:v>BR-SPDIREITOVIOLESTADO_MAPEAMENTOS-NOTICIAS-MSSCPENHA.xlsx</x:v>
      </x:c>
      <x:c r="U553" s="10" t="str">
        <x:v>Geral</x:v>
      </x:c>
      <x:c r="V553" s="11" t="n">
        <x:v>298</x:v>
      </x:c>
      <x:c r="W553" s="10" t="str">
        <x:v>BR-SPDIREITOVIOLESTADO_MAPEAMENTOS-NOTICIAS-MSSCPENHA.xlsx:Geral:298</x:v>
      </x:c>
      <x:c r="X553" s="11" t="n">
        <x:f>COLUMNS(A553:S553)-COUNTBLANK(A553:S553)</x:f>
        <x:v>19</x:v>
      </x:c>
    </x:row>
    <x:row r="554" ht="24" hidden="0" customHeight="1">
      <x:c r="A554" s="10" t="str">
        <x:v>Notícia</x:v>
      </x:c>
      <x:c r="B554" s="10" t="str">
        <x:v>Difusão</x:v>
      </x:c>
      <x:c r="C554" s="10" t="str">
        <x:v>Produção midiática</x:v>
      </x:c>
      <x:c r="D554" s="10" t="str">
        <x:v>Público Mediado</x:v>
      </x:c>
      <x:c r="E554" s="10" t="str">
        <x:v>Midiático</x:v>
      </x:c>
      <x:c r="F554" s="10" t="str">
        <x:v>10/11/2025</x:v>
      </x:c>
      <x:c r="G554" s="11" t="n">
        <x:v>2025</x:v>
      </x:c>
      <x:c r="H554" s="10" t="str">
        <x:v>São Paulo, Brasil</x:v>
      </x:c>
      <x:c r="I554" s="10" t="str">
        <x:v>O Estado de S. Paulo</x:v>
      </x:c>
      <x:c r="J554" s="10" t="str">
        <x:v>Moraes manda Castro preservar imagens das câmeras de policiais envolvidos na Operação Contenção</x:v>
      </x:c>
      <x:c r="K554" s="10" t="str">
        <x:v>Hemerográfico</x:v>
      </x:c>
      <x:c r="L554" s="10" t="str">
        <x:v>Texto (digital)</x:v>
      </x:c>
      <x:c r="M554" s="10" t="str">
        <x:v>O Estado de S. Paulo</x:v>
      </x:c>
      <x:c r="N554" s="10" t="str">
        <x:v>Português, Brasil</x:v>
      </x:c>
      <x:c r="O554" s="10" t="str">
        <x:v>"Operação contenção" no Google</x:v>
      </x:c>
      <x:c r="P554" s="10" t="str">
        <x:v>2025-11-12 00:00:00</x:v>
      </x:c>
      <x:c r="Q554" s="10" t="str">
        <x:v>Aberto</x:v>
      </x:c>
      <x:c r="R554" s="10" t="str">
        <x:v>Aqui</x:v>
      </x:c>
      <x:c r="S554" s="10" t="str">
        <x:v>MOTTA, Rayssa. Moraes manda Castro preservar imagens das câmeras de policiais envolvidos na Operação Contenção. Estadão – Blog do Fausto Macedo, São Paulo, 10 nov. 2025. Disponível em: https://www.estadao.com.br/politica/blog-do-fausto-macedo/moraes-stf-claudio-castro-rio-imagens-cameras-policiais-documentos-pericias-operacao-contencao/. Acesso em: 12 nov. 2025.</x:v>
      </x:c>
      <x:c r="T554" s="10" t="str">
        <x:v>BR-SPDIREITOVIOLESTADO_MAPEAMENTOS-NOTICIAS-MSSCPENHA.xlsx</x:v>
      </x:c>
      <x:c r="U554" s="10" t="str">
        <x:v>Geral</x:v>
      </x:c>
      <x:c r="V554" s="11" t="n">
        <x:v>299</x:v>
      </x:c>
      <x:c r="W554" s="10" t="str">
        <x:v>BR-SPDIREITOVIOLESTADO_MAPEAMENTOS-NOTICIAS-MSSCPENHA.xlsx:Geral:299</x:v>
      </x:c>
      <x:c r="X554" s="11" t="n">
        <x:f>COLUMNS(A554:S554)-COUNTBLANK(A554:S554)</x:f>
        <x:v>19</x:v>
      </x:c>
    </x:row>
    <x:row r="555" ht="24" hidden="0" customHeight="1">
      <x:c r="A555" s="10" t="str">
        <x:v>Notícia</x:v>
      </x:c>
      <x:c r="B555" s="10" t="str">
        <x:v>Difusão</x:v>
      </x:c>
      <x:c r="C555" s="10" t="str">
        <x:v>Produção midiática</x:v>
      </x:c>
      <x:c r="D555" s="10" t="str">
        <x:v>Público Mediado</x:v>
      </x:c>
      <x:c r="E555" s="10" t="str">
        <x:v>Midiático</x:v>
      </x:c>
      <x:c r="F555" s="10" t="str">
        <x:v>11/11/2025</x:v>
      </x:c>
      <x:c r="G555" s="11" t="n">
        <x:v>2025</x:v>
      </x:c>
      <x:c r="H555" s="10" t="str">
        <x:v>Rio de Janeiro, Brasil</x:v>
      </x:c>
      <x:c r="I555" s="10" t="str">
        <x:v>Folha de S. Paulo</x:v>
      </x:c>
      <x:c r="J555" s="10" t="str">
        <x:v>Corpo de homem encontrado decapitado em operação no RJ tem marcas que indicam tiros, aponta perícia</x:v>
      </x:c>
      <x:c r="K555" s="10" t="str">
        <x:v>Hemerográfico</x:v>
      </x:c>
      <x:c r="L555" s="10" t="str">
        <x:v>Texto (digital)</x:v>
      </x:c>
      <x:c r="M555" s="10" t="str">
        <x:v>Folha de S. Paulo</x:v>
      </x:c>
      <x:c r="N555" s="10" t="str">
        <x:v>Português, Brasil</x:v>
      </x:c>
      <x:c r="O555" s="10" t="str">
        <x:v>"Operação contenção" no Google</x:v>
      </x:c>
      <x:c r="P555" s="10" t="str">
        <x:v>2025-11-12 00:00:00</x:v>
      </x:c>
      <x:c r="Q555" s="10" t="str">
        <x:v>Acesso restrito</x:v>
      </x:c>
      <x:c r="R555" s="10" t="str">
        <x:v>Aqui</x:v>
      </x:c>
      <x:c r="S555" s="10" t="str">
        <x:v>EIRAS, Yuri. Corpo de homem encontrado decapitado em operação no RJ tem marcas que indicam tiros, aponta perícia. Folha de S.Paulo, Rio de Janeiro, 11 nov. 2025. Disponível em: https://www1.folha.uol.com.br/cotidiano/2025/11/corpo-de-homem-encontrado-decapitado-em-operacao-no-rj-tem-marcas-que-indicam-tiros-aponta-pericia.shtml. Acesso em: 12 nov. 2025.</x:v>
      </x:c>
      <x:c r="T555" s="10" t="str">
        <x:v>BR-SPDIREITOVIOLESTADO_MAPEAMENTOS-NOTICIAS-MSSCPENHA.xlsx</x:v>
      </x:c>
      <x:c r="U555" s="10" t="str">
        <x:v>Geral</x:v>
      </x:c>
      <x:c r="V555" s="11" t="n">
        <x:v>300</x:v>
      </x:c>
      <x:c r="W555" s="10" t="str">
        <x:v>BR-SPDIREITOVIOLESTADO_MAPEAMENTOS-NOTICIAS-MSSCPENHA.xlsx:Geral:300</x:v>
      </x:c>
      <x:c r="X555" s="11" t="n">
        <x:f>COLUMNS(A555:S555)-COUNTBLANK(A555:S555)</x:f>
        <x:v>19</x:v>
      </x:c>
    </x:row>
    <x:row r="556" ht="24" hidden="0" customHeight="1">
      <x:c r="A556" s="10" t="str">
        <x:v>Notícia</x:v>
      </x:c>
      <x:c r="B556" s="10" t="str">
        <x:v>Difusão</x:v>
      </x:c>
      <x:c r="C556" s="10" t="str">
        <x:v>Produção midiática</x:v>
      </x:c>
      <x:c r="D556" s="10" t="str">
        <x:v>Público Mediado</x:v>
      </x:c>
      <x:c r="E556" s="10" t="str">
        <x:v>Midiático</x:v>
      </x:c>
      <x:c r="F556" s="10" t="str">
        <x:v>10/11/2025</x:v>
      </x:c>
      <x:c r="G556" s="11" t="n">
        <x:v>2025</x:v>
      </x:c>
      <x:c r="H556" s="10" t="str">
        <x:v>São Paulo, Brasil</x:v>
      </x:c>
      <x:c r="I556" s="10" t="str">
        <x:v>Folha de S. Paulo</x:v>
      </x:c>
      <x:c r="J556" s="10" t="str">
        <x:v>Podcast- as investigações sobre a operação policial mais letal do Brasil</x:v>
      </x:c>
      <x:c r="K556" s="10" t="str">
        <x:v>Hemerográfico</x:v>
      </x:c>
      <x:c r="L556" s="10" t="str">
        <x:v>Texto (digital)</x:v>
      </x:c>
      <x:c r="M556" s="10" t="str">
        <x:v>Folha de S. Paulo</x:v>
      </x:c>
      <x:c r="N556" s="10" t="str">
        <x:v>Português, Brasil</x:v>
      </x:c>
      <x:c r="O556" s="10" t="str">
        <x:v>"Operação contenção" no Google</x:v>
      </x:c>
      <x:c r="P556" s="10" t="str">
        <x:v>2025-11-12 00:00:00</x:v>
      </x:c>
      <x:c r="Q556" s="10" t="str">
        <x:v>Acesso restrito</x:v>
      </x:c>
      <x:c r="R556" s="10" t="str">
        <x:v>Aqui</x:v>
      </x:c>
      <x:c r="S556" s="10" t="str">
        <x:v>Podcast- as investigações sobre a operação policial mais letal do Brasil. Folha de S. Paulo, São Paulo, 10 nov. 2025. Disponível em: https://www1.folha.uol.com.br/podcasts/2025/11/podcast-as-investigacoes-sobre-a-operacao-policial-mais-letal-do-brasil.shtml. Acesso em: 12 nov. 2025.</x:v>
      </x:c>
      <x:c r="T556" s="10" t="str">
        <x:v>BR-SPDIREITOVIOLESTADO_MAPEAMENTOS-NOTICIAS-MSSCPENHA.xlsx</x:v>
      </x:c>
      <x:c r="U556" s="10" t="str">
        <x:v>Geral</x:v>
      </x:c>
      <x:c r="V556" s="11" t="n">
        <x:v>301</x:v>
      </x:c>
      <x:c r="W556" s="10" t="str">
        <x:v>BR-SPDIREITOVIOLESTADO_MAPEAMENTOS-NOTICIAS-MSSCPENHA.xlsx:Geral:301</x:v>
      </x:c>
      <x:c r="X556" s="11" t="n">
        <x:f>COLUMNS(A556:S556)-COUNTBLANK(A556:S556)</x:f>
        <x:v>19</x:v>
      </x:c>
    </x:row>
    <x:row r="557" ht="24" hidden="0" customHeight="1">
      <x:c r="A557" s="10" t="str">
        <x:v>Notícia</x:v>
      </x:c>
      <x:c r="B557" s="10" t="str">
        <x:v>Difusão</x:v>
      </x:c>
      <x:c r="C557" s="10" t="str">
        <x:v>Produção midiática</x:v>
      </x:c>
      <x:c r="D557" s="10" t="str">
        <x:v>Público Mediado</x:v>
      </x:c>
      <x:c r="E557" s="10" t="str">
        <x:v>Midiático</x:v>
      </x:c>
      <x:c r="F557" s="10" t="str">
        <x:v>03/11/2025</x:v>
      </x:c>
      <x:c r="G557" s="11" t="n">
        <x:v>2025</x:v>
      </x:c>
      <x:c r="H557" s="10" t="str">
        <x:v>Rio de Janeiro, Brasil</x:v>
      </x:c>
      <x:c r="I557" s="10" t="str">
        <x:v>Agência Brasil</x:v>
      </x:c>
      <x:c r="J557" s="10" t="str">
        <x:v>Polícia divulga perfis dos mortos; 17 não tinham histórico criminal</x:v>
      </x:c>
      <x:c r="K557" s="10" t="str">
        <x:v>Hemerográfico</x:v>
      </x:c>
      <x:c r="L557" s="10" t="str">
        <x:v>Texto (digital)</x:v>
      </x:c>
      <x:c r="M557" s="10" t="str">
        <x:v>Agência Brasil</x:v>
      </x:c>
      <x:c r="N557" s="10" t="str">
        <x:v>Português, Brasil</x:v>
      </x:c>
      <x:c r="O557" s="10" t="str">
        <x:v>"Operação contenção" no Google</x:v>
      </x:c>
      <x:c r="P557" s="10" t="str">
        <x:v>2025-11-12 00:00:00</x:v>
      </x:c>
      <x:c r="Q557" s="10" t="str">
        <x:v>Aberto</x:v>
      </x:c>
      <x:c r="R557" s="10" t="str">
        <x:v>Aqui</x:v>
      </x:c>
      <x:c r="S557" s="10" t="str">
        <x:v>AGÊNCIA BRASIL. Polícia divulga perfis dos mortos; 17 não tinham histórico criminal. Rio de Janeiro, 3 nov. 2025. Disponível em: https://agenciabrasil.ebc.com.br/geral/noticia/2025-11/policia-divulga-perfis-dos-mortos-17-nao-tinham-historico-criminal. Acesso em: 12 nov. 2025.</x:v>
      </x:c>
      <x:c r="T557" s="10" t="str">
        <x:v>BR-SPDIREITOVIOLESTADO_MAPEAMENTOS-NOTICIAS-MSSCPENHA.xlsx</x:v>
      </x:c>
      <x:c r="U557" s="10" t="str">
        <x:v>Geral</x:v>
      </x:c>
      <x:c r="V557" s="11" t="n">
        <x:v>302</x:v>
      </x:c>
      <x:c r="W557" s="10" t="str">
        <x:v>BR-SPDIREITOVIOLESTADO_MAPEAMENTOS-NOTICIAS-MSSCPENHA.xlsx:Geral:302</x:v>
      </x:c>
      <x:c r="X557" s="11" t="n">
        <x:f>COLUMNS(A557:S557)-COUNTBLANK(A557:S557)</x:f>
        <x:v>19</x:v>
      </x:c>
    </x:row>
    <x:row r="558" ht="24" hidden="0" customHeight="1">
      <x:c r="A558" s="10" t="str">
        <x:v>Notícia</x:v>
      </x:c>
      <x:c r="B558" s="10" t="str">
        <x:v>Difusão</x:v>
      </x:c>
      <x:c r="C558" s="10" t="str">
        <x:v>Produção midiática</x:v>
      </x:c>
      <x:c r="D558" s="10" t="str">
        <x:v>Público Mediado</x:v>
      </x:c>
      <x:c r="E558" s="10" t="str">
        <x:v>Midiático</x:v>
      </x:c>
      <x:c r="F558" s="10" t="str">
        <x:v>29/10/2025</x:v>
      </x:c>
      <x:c r="G558" s="11" t="n">
        <x:v>2025</x:v>
      </x:c>
      <x:c r="H558" s="10" t="str">
        <x:v>Madri, Espanha</x:v>
      </x:c>
      <x:c r="I558" s="10" t="str">
        <x:v>El País</x:v>
      </x:c>
      <x:c r="J558" s="10" t="str">
        <x:v>La operación policial más letal de Brasil siembra de cadáveres Río de Janeiro</x:v>
      </x:c>
      <x:c r="K558" s="10" t="str">
        <x:v>Hemerográfico</x:v>
      </x:c>
      <x:c r="L558" s="10" t="str">
        <x:v>Texto (digital)</x:v>
      </x:c>
      <x:c r="M558" s="10" t="str">
        <x:v>El País</x:v>
      </x:c>
      <x:c r="N558" s="10" t="str">
        <x:v>Espanhol, Espanha</x:v>
      </x:c>
      <x:c r="O558" s="10" t="str">
        <x:v>Hiperlink</x:v>
      </x:c>
      <x:c r="P558" s="10" t="str">
        <x:v>2025-11-12 00:00:00</x:v>
      </x:c>
      <x:c r="Q558" s="10" t="str">
        <x:v>Aberto</x:v>
      </x:c>
      <x:c r="R558" s="10" t="str">
        <x:v>Aqui</x:v>
      </x:c>
      <x:c r="S558" s="10" t="str">
        <x:v>GALARRAGA GORTÁZAR, Naiara. La operación policial más letal de Brasil siembra de cadáveres Río de Janeiro. El País, Madri, 29 out. 2025. Disponível em: https://elpais.com/internacional/2025-10-29/los-vecinos-de-rio-de-janeiro-hallan-mas-de-60-cadaveres-tras-la-megaoperacion-contra-el-crimen-organizado.html. Acesso em: 12 nov. 2025.</x:v>
      </x:c>
      <x:c r="T558" s="10" t="str">
        <x:v>BR-SPDIREITOVIOLESTADO_MAPEAMENTOS-NOTICIAS-MSSCPENHA.xlsx</x:v>
      </x:c>
      <x:c r="U558" s="10" t="str">
        <x:v>Geral</x:v>
      </x:c>
      <x:c r="V558" s="11" t="n">
        <x:v>303</x:v>
      </x:c>
      <x:c r="W558" s="10" t="str">
        <x:v>BR-SPDIREITOVIOLESTADO_MAPEAMENTOS-NOTICIAS-MSSCPENHA.xlsx:Geral:303</x:v>
      </x:c>
      <x:c r="X558" s="11" t="n">
        <x:f>COLUMNS(A558:S558)-COUNTBLANK(A558:S558)</x:f>
        <x:v>19</x:v>
      </x:c>
    </x:row>
    <x:row r="559" ht="24" hidden="0" customHeight="1">
      <x:c r="A559" s="10" t="str">
        <x:v>Notícia</x:v>
      </x:c>
      <x:c r="B559" s="10" t="str">
        <x:v>Difusão</x:v>
      </x:c>
      <x:c r="C559" s="10" t="str">
        <x:v>Produção midiática</x:v>
      </x:c>
      <x:c r="D559" s="10" t="str">
        <x:v>Público Mediado</x:v>
      </x:c>
      <x:c r="E559" s="10" t="str">
        <x:v>Midiático</x:v>
      </x:c>
      <x:c r="F559" s="10" t="str">
        <x:v>28/10/2025</x:v>
      </x:c>
      <x:c r="G559" s="11" t="n">
        <x:v>2025</x:v>
      </x:c>
      <x:c r="H559" s="10" t="str">
        <x:v>Rio de Janeiro, Brasil</x:v>
      </x:c>
      <x:c r="I559" s="10" t="str">
        <x:v>The New York Times</x:v>
      </x:c>
      <x:c r="J559" s="10" t="str">
        <x:v>At least 64 dead in Rio de Janeiro as authorities crack down on drug gangs</x:v>
      </x:c>
      <x:c r="K559" s="10" t="str">
        <x:v>Hemerográfico</x:v>
      </x:c>
      <x:c r="L559" s="10" t="str">
        <x:v>Texto (digital)</x:v>
      </x:c>
      <x:c r="M559" s="10" t="str">
        <x:v>The New York Times</x:v>
      </x:c>
      <x:c r="N559" s="10" t="str">
        <x:v>Inglês, Estados Unidos</x:v>
      </x:c>
      <x:c r="O559" s="10" t="str">
        <x:v>Hiperlink</x:v>
      </x:c>
      <x:c r="P559" s="10" t="str">
        <x:v>2025-11-12 00:00:00</x:v>
      </x:c>
      <x:c r="Q559" s="10" t="str">
        <x:v>Acesso restrito</x:v>
      </x:c>
      <x:c r="R559" s="10" t="str">
        <x:v>Aqui</x:v>
      </x:c>
      <x:c r="S559" s="10" t="str">
        <x:v>IONOVA, Ana. At least 64 dead in Rio de Janeiro as authorities crack down on drug gangs. The New York Times, Nova Iorque, 28 out. 2025. Disponível em: https://www.nytimes.com/2025/10/28/world/brazil-rio-de-janeiro-police-drug-raids-deaths.html. Acesso em: 12 nov. 2025.</x:v>
      </x:c>
      <x:c r="T559" s="10" t="str">
        <x:v>BR-SPDIREITOVIOLESTADO_MAPEAMENTOS-NOTICIAS-MSSCPENHA.xlsx</x:v>
      </x:c>
      <x:c r="U559" s="10" t="str">
        <x:v>Geral</x:v>
      </x:c>
      <x:c r="V559" s="11" t="n">
        <x:v>304</x:v>
      </x:c>
      <x:c r="W559" s="10" t="str">
        <x:v>BR-SPDIREITOVIOLESTADO_MAPEAMENTOS-NOTICIAS-MSSCPENHA.xlsx:Geral:304</x:v>
      </x:c>
      <x:c r="X559" s="11" t="n">
        <x:f>COLUMNS(A559:S559)-COUNTBLANK(A559:S559)</x:f>
        <x:v>19</x:v>
      </x:c>
    </x:row>
    <x:row r="560" ht="24" hidden="0" customHeight="1">
      <x:c r="A560" s="10" t="str">
        <x:v>Notícia</x:v>
      </x:c>
      <x:c r="B560" s="10" t="str">
        <x:v>Difusão</x:v>
      </x:c>
      <x:c r="C560" s="10" t="str">
        <x:v>Produção midiática</x:v>
      </x:c>
      <x:c r="D560" s="10" t="str">
        <x:v>Público Mediado</x:v>
      </x:c>
      <x:c r="E560" s="10" t="str">
        <x:v>Midiático</x:v>
      </x:c>
      <x:c r="F560" s="10" t="str">
        <x:v>28/10/2025</x:v>
      </x:c>
      <x:c r="G560" s="11" t="n">
        <x:v>2025</x:v>
      </x:c>
      <x:c r="H560" s="10" t="str">
        <x:v>Londres, Reino Unido</x:v>
      </x:c>
      <x:c r="I560" s="10" t="str">
        <x:v>The Guardian</x:v>
      </x:c>
      <x:c r="J560" s="10" t="str">
        <x:v>Brazil: at least 64 reported killed in Rio’s worst day of violence amid police favela raids</x:v>
      </x:c>
      <x:c r="K560" s="10" t="str">
        <x:v>Hemerográfico</x:v>
      </x:c>
      <x:c r="L560" s="10" t="str">
        <x:v>Texto (digital)</x:v>
      </x:c>
      <x:c r="M560" s="10" t="str">
        <x:v>The Guardian</x:v>
      </x:c>
      <x:c r="N560" s="10" t="str">
        <x:v>Inglês, Reino Unido</x:v>
      </x:c>
      <x:c r="O560" s="10" t="str">
        <x:v>Hiperlink</x:v>
      </x:c>
      <x:c r="P560" s="10" t="str">
        <x:v>2025-11-12 00:00:00</x:v>
      </x:c>
      <x:c r="Q560" s="10" t="str">
        <x:v>Aberto</x:v>
      </x:c>
      <x:c r="R560" s="10" t="str">
        <x:v>Aqui</x:v>
      </x:c>
      <x:c r="S560" s="10" t="str">
        <x:v>PHILLIPS, Tom. Brazil: at least 64 reported killed in Rio’s worst day of violence amid police favela raids. The Guardian, Londres, 28 out. 2025. Disponível em: https://www.theguardian.com/world/2025/oct/28/brazil-rio-at-war-police-drug-raids-favelas. Acesso em: 12 nov. 2025.</x:v>
      </x:c>
      <x:c r="T560" s="10" t="str">
        <x:v>BR-SPDIREITOVIOLESTADO_MAPEAMENTOS-NOTICIAS-MSSCPENHA.xlsx</x:v>
      </x:c>
      <x:c r="U560" s="10" t="str">
        <x:v>Geral</x:v>
      </x:c>
      <x:c r="V560" s="11" t="n">
        <x:v>305</x:v>
      </x:c>
      <x:c r="W560" s="10" t="str">
        <x:v>BR-SPDIREITOVIOLESTADO_MAPEAMENTOS-NOTICIAS-MSSCPENHA.xlsx:Geral:305</x:v>
      </x:c>
      <x:c r="X560" s="11" t="n">
        <x:f>COLUMNS(A560:S560)-COUNTBLANK(A560:S560)</x:f>
        <x:v>19</x:v>
      </x:c>
    </x:row>
    <x:row r="561" ht="24" hidden="0" customHeight="1">
      <x:c r="A561" s="10" t="str">
        <x:v>Notícia</x:v>
      </x:c>
      <x:c r="B561" s="10" t="str">
        <x:v>Difusão</x:v>
      </x:c>
      <x:c r="C561" s="10" t="str">
        <x:v>Produção midiática</x:v>
      </x:c>
      <x:c r="D561" s="10" t="str">
        <x:v>Público Mediado</x:v>
      </x:c>
      <x:c r="E561" s="10" t="str">
        <x:v>Midiático</x:v>
      </x:c>
      <x:c r="F561" s="10" t="str">
        <x:v>30/10/2025</x:v>
      </x:c>
      <x:c r="G561" s="11" t="n">
        <x:v>2025</x:v>
      </x:c>
      <x:c r="H561" s="10" t="str">
        <x:v>Paris, França</x:v>
      </x:c>
      <x:c r="I561" s="10" t="str">
        <x:v>LE FIGARO e AFP</x:v>
      </x:c>
      <x:c r="J561" s="10" t="str">
        <x:v>Opération antidrogue à Rio : des habitants récupèrent des corps, 132 morts selon un organisme public</x:v>
      </x:c>
      <x:c r="K561" s="10" t="str">
        <x:v>Hemerográfico</x:v>
      </x:c>
      <x:c r="L561" s="10" t="str">
        <x:v>Texto (digital)</x:v>
      </x:c>
      <x:c r="M561" s="10" t="str">
        <x:v>LE FIGARO e AFP</x:v>
      </x:c>
      <x:c r="N561" s="10" t="str">
        <x:v>Francês, França</x:v>
      </x:c>
      <x:c r="O561" s="10" t="str">
        <x:v>Hiperlink</x:v>
      </x:c>
      <x:c r="P561" s="10" t="str">
        <x:v>2025-11-12 00:00:00</x:v>
      </x:c>
      <x:c r="Q561" s="10" t="str">
        <x:v>Acesso restrito</x:v>
      </x:c>
      <x:c r="R561" s="10" t="str">
        <x:v>Aqui</x:v>
      </x:c>
      <x:c r="S561" s="10" t="str">
        <x:v>LE FIGARO avec AFP. Opération antidrogue à Rio : des habitants récupèrent des corps, 132 morts selon un organisme public. Le Figaro, 30 out. 2025. Disponível em: https://www.lefigaro.fr/flash-actu/bresil-plus-de-40-corps-alignes-sur-une-place-d-une-favela-de-rio-apres-un-raid-policier-20251029. Acesso em: 12 nov. 2025.</x:v>
      </x:c>
      <x:c r="T561" s="10" t="str">
        <x:v>BR-SPDIREITOVIOLESTADO_MAPEAMENTOS-NOTICIAS-MSSCPENHA.xlsx</x:v>
      </x:c>
      <x:c r="U561" s="10" t="str">
        <x:v>Geral</x:v>
      </x:c>
      <x:c r="V561" s="11" t="n">
        <x:v>306</x:v>
      </x:c>
      <x:c r="W561" s="10" t="str">
        <x:v>BR-SPDIREITOVIOLESTADO_MAPEAMENTOS-NOTICIAS-MSSCPENHA.xlsx:Geral:306</x:v>
      </x:c>
      <x:c r="X561" s="11" t="n">
        <x:f>COLUMNS(A561:S561)-COUNTBLANK(A561:S561)</x:f>
        <x:v>19</x:v>
      </x:c>
    </x:row>
  </x:sheetData>
  <x:pageMargins left="0.7" right="0.7" top="0.75" bottom="0.75" header="0.3" footer="0.3"/>
  <x:tableParts count="1">
    <x:tablePart xmlns:r="http://schemas.openxmlformats.org/officeDocument/2006/relationships" r:id="R7db41f39093a45c7"/>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70" hidden="0" customWidth="1"/>
    <x:col min="2" max="2" width="30" hidden="0" customWidth="1"/>
    <x:col min="3" max="3" width="19" hidden="0" customWidth="1"/>
    <x:col min="4" max="4" width="70" hidden="0" customWidth="1"/>
    <x:col min="5" max="5" width="58" hidden="0" customWidth="1"/>
    <x:col min="6" max="6" width="30" hidden="0" customWidth="1"/>
    <x:col min="7" max="7" width="30" hidden="0" customWidth="1"/>
    <x:col min="8" max="8" width="30" hidden="0" customWidth="1"/>
    <x:col min="9" max="9" width="30" hidden="0" customWidth="1"/>
    <x:col min="10" max="10" width="30" hidden="0" customWidth="1"/>
  </x:cols>
  <x:sheetData>
    <x:row r="1" ht="42" customHeight="1">
      <x:c r="A1" s="6" t="str">
        <x:v>Arquivo_origem</x:v>
      </x:c>
      <x:c r="B1" s="6" t="str">
        <x:v>Aba_origem</x:v>
      </x:c>
      <x:c r="C1" s="6" t="str">
        <x:v>Linha_origem</x:v>
      </x:c>
      <x:c r="D1" s="6" t="str">
        <x:v>Representação_ID</x:v>
      </x:c>
      <x:c r="E1" s="6" t="str">
        <x:v>Referência do arquivo</x:v>
      </x:c>
      <x:c r="F1" s="6" t="str">
        <x:v>Subconjunto documental</x:v>
      </x:c>
      <x:c r="G1" s="6" t="str">
        <x:v>Gênero documental</x:v>
      </x:c>
      <x:c r="H1" s="6" t="str">
        <x:v>Espécie/Tipo documental</x:v>
      </x:c>
      <x:c r="I1" s="6" t="str">
        <x:v>Técnica de registro</x:v>
      </x:c>
      <x:c r="J1" s="6" t="str">
        <x:v>Forma documental</x:v>
      </x:c>
    </x:row>
    <x:row r="2" ht="15" hidden="0" customHeight="1">
      <x:c r="A2" s="10" t="str">
        <x:v>BR-SPAPESP_CPOS-PLNCARANDIRU.xlsx</x:v>
      </x:c>
      <x:c r="B2" s="10" t="str">
        <x:v>Geral</x:v>
      </x:c>
      <x:c r="C2" s="11" t="n">
        <x:v>2</x:v>
      </x:c>
      <x:c r="D2" s="10" t="str">
        <x:v>BR-SPAPESP_CPOS-PLNCARANDIRU.xlsx:Geral:2</x:v>
      </x:c>
      <x:c r="E2" s="10" t="str">
        <x:v>BRSPAPESP_CPOSPLNCARANDIRU_ICOFOTDGZMT0_3350-0001001F.jpeg</x:v>
      </x:c>
      <x:c r="F2" s="10" t="str">
        <x:v>PLNCARANDIRU</x:v>
      </x:c>
      <x:c r="G2" s="10" t="str">
        <x:v>ICO</x:v>
      </x:c>
      <x:c r="H2" s="10" t="str">
        <x:v>FOT</x:v>
      </x:c>
      <x:c r="I2" s="10" t="str">
        <x:v>DGZ</x:v>
      </x:c>
      <x:c r="J2" s="10" t="str">
        <x:v>MT0</x:v>
      </x:c>
    </x:row>
    <x:row r="3" ht="15" hidden="0" customHeight="1">
      <x:c r="A3" s="10" t="str">
        <x:v>BR-SPAPESP_CPOS-PLNCARANDIRU.xlsx</x:v>
      </x:c>
      <x:c r="B3" s="10" t="str">
        <x:v>Geral</x:v>
      </x:c>
      <x:c r="C3" s="11" t="n">
        <x:v>3</x:v>
      </x:c>
      <x:c r="D3" s="10" t="str">
        <x:v>BR-SPAPESP_CPOS-PLNCARANDIRU.xlsx:Geral:3</x:v>
      </x:c>
      <x:c r="E3" s="10" t="str">
        <x:v>BRSPAPESP_CPOSPLNCARANDIRU_ICOPLNFOTMT0_3350-0001002F.jpeg</x:v>
      </x:c>
      <x:c r="F3" s="10" t="str">
        <x:v>PLNCARANDIRU</x:v>
      </x:c>
      <x:c r="G3" s="10" t="str">
        <x:v>ICO</x:v>
      </x:c>
      <x:c r="H3" s="10" t="str">
        <x:v>PLN</x:v>
      </x:c>
      <x:c r="I3" s="10" t="str">
        <x:v>FOT</x:v>
      </x:c>
      <x:c r="J3" s="10" t="str">
        <x:v>MT0</x:v>
      </x:c>
    </x:row>
    <x:row r="4" ht="15" hidden="0" customHeight="1">
      <x:c r="A4" s="10" t="str">
        <x:v>BR-SPAPESP_CPOS-PLNCARANDIRU.xlsx</x:v>
      </x:c>
      <x:c r="B4" s="10" t="str">
        <x:v>Geral</x:v>
      </x:c>
      <x:c r="C4" s="11" t="n">
        <x:v>4</x:v>
      </x:c>
      <x:c r="D4" s="10" t="str">
        <x:v>BR-SPAPESP_CPOS-PLNCARANDIRU.xlsx:Geral:4</x:v>
      </x:c>
      <x:c r="E4" s="10" t="str">
        <x:v>BRSPAPESP_CPOSPLNCARANDIRU_ICOPLNFOTMT0_3350-0001003F.jpeg</x:v>
      </x:c>
      <x:c r="F4" s="10" t="str">
        <x:v>PLNCARANDIRU</x:v>
      </x:c>
      <x:c r="G4" s="10" t="str">
        <x:v>ICO</x:v>
      </x:c>
      <x:c r="H4" s="10" t="str">
        <x:v>PLN</x:v>
      </x:c>
      <x:c r="I4" s="10" t="str">
        <x:v>FOT</x:v>
      </x:c>
      <x:c r="J4" s="10" t="str">
        <x:v>MT0</x:v>
      </x:c>
    </x:row>
    <x:row r="5" ht="15" hidden="0" customHeight="1">
      <x:c r="A5" s="10" t="str">
        <x:v>BR-SPAPESP_CPOS-PLNCARANDIRU.xlsx</x:v>
      </x:c>
      <x:c r="B5" s="10" t="str">
        <x:v>Geral</x:v>
      </x:c>
      <x:c r="C5" s="11" t="n">
        <x:v>5</x:v>
      </x:c>
      <x:c r="D5" s="10" t="str">
        <x:v>BR-SPAPESP_CPOS-PLNCARANDIRU.xlsx:Geral:5</x:v>
      </x:c>
      <x:c r="E5" s="10" t="str">
        <x:v>BRSPAPESP_CPOSPLNCARANDIRU_ICOPLNFOTMT0_3350-0001004F.jpeg</x:v>
      </x:c>
      <x:c r="F5" s="10" t="str">
        <x:v>PLNCARANDIRU</x:v>
      </x:c>
      <x:c r="G5" s="10" t="str">
        <x:v>ICO</x:v>
      </x:c>
      <x:c r="H5" s="10" t="str">
        <x:v>PLN</x:v>
      </x:c>
      <x:c r="I5" s="10" t="str">
        <x:v>FOT</x:v>
      </x:c>
      <x:c r="J5" s="10" t="str">
        <x:v>MT0</x:v>
      </x:c>
    </x:row>
    <x:row r="6" ht="15" hidden="0" customHeight="1">
      <x:c r="A6" s="10" t="str">
        <x:v>BR-SPAPESP_CPOS-PLNCARANDIRU.xlsx</x:v>
      </x:c>
      <x:c r="B6" s="10" t="str">
        <x:v>Geral</x:v>
      </x:c>
      <x:c r="C6" s="11" t="n">
        <x:v>6</x:v>
      </x:c>
      <x:c r="D6" s="10" t="str">
        <x:v>BR-SPAPESP_CPOS-PLNCARANDIRU.xlsx:Geral:6</x:v>
      </x:c>
      <x:c r="E6" s="10" t="str">
        <x:v>BRSPAPESP_CPOSPLNCARANDIRU_ICOPLNFOTMT0_3350-0001005F.jpeg</x:v>
      </x:c>
      <x:c r="F6" s="10" t="str">
        <x:v>PLNCARANDIRU</x:v>
      </x:c>
      <x:c r="G6" s="10" t="str">
        <x:v>ICO</x:v>
      </x:c>
      <x:c r="H6" s="10" t="str">
        <x:v>PLN</x:v>
      </x:c>
      <x:c r="I6" s="10" t="str">
        <x:v>FOT</x:v>
      </x:c>
      <x:c r="J6" s="10" t="str">
        <x:v>MT0</x:v>
      </x:c>
    </x:row>
    <x:row r="7" ht="15" hidden="0" customHeight="1">
      <x:c r="A7" s="10" t="str">
        <x:v>BR-SPAPESP_CPOS-PLNCARANDIRU.xlsx</x:v>
      </x:c>
      <x:c r="B7" s="10" t="str">
        <x:v>Geral</x:v>
      </x:c>
      <x:c r="C7" s="11" t="n">
        <x:v>7</x:v>
      </x:c>
      <x:c r="D7" s="10" t="str">
        <x:v>BR-SPAPESP_CPOS-PLNCARANDIRU.xlsx:Geral:7</x:v>
      </x:c>
      <x:c r="E7" s="10" t="str">
        <x:v>BRSPAPESP_CPOSPLNCARANDIRU_ICOPLNFOTMT0_3350-0001006F.jpeg</x:v>
      </x:c>
      <x:c r="F7" s="10" t="str">
        <x:v>PLNCARANDIRU</x:v>
      </x:c>
      <x:c r="G7" s="10" t="str">
        <x:v>ICO</x:v>
      </x:c>
      <x:c r="H7" s="10" t="str">
        <x:v>PLN</x:v>
      </x:c>
      <x:c r="I7" s="10" t="str">
        <x:v>FOT</x:v>
      </x:c>
      <x:c r="J7" s="10" t="str">
        <x:v>MT0</x:v>
      </x:c>
    </x:row>
    <x:row r="8" ht="15" hidden="0" customHeight="1">
      <x:c r="A8" s="10" t="str">
        <x:v>BR-SPAPESP_CPOS-PLNCARANDIRU.xlsx</x:v>
      </x:c>
      <x:c r="B8" s="10" t="str">
        <x:v>Geral</x:v>
      </x:c>
      <x:c r="C8" s="11" t="n">
        <x:v>8</x:v>
      </x:c>
      <x:c r="D8" s="10" t="str">
        <x:v>BR-SPAPESP_CPOS-PLNCARANDIRU.xlsx:Geral:8</x:v>
      </x:c>
      <x:c r="E8" s="10" t="str">
        <x:v>BRSPAPESP_CPOSPLNCARANDIRU_ICOPLNFOTMT0_3350-0001007F.jpeg</x:v>
      </x:c>
      <x:c r="F8" s="10" t="str">
        <x:v>PLNCARANDIRU</x:v>
      </x:c>
      <x:c r="G8" s="10" t="str">
        <x:v>ICO</x:v>
      </x:c>
      <x:c r="H8" s="10" t="str">
        <x:v>PLN</x:v>
      </x:c>
      <x:c r="I8" s="10" t="str">
        <x:v>FOT</x:v>
      </x:c>
      <x:c r="J8" s="10" t="str">
        <x:v>MT0</x:v>
      </x:c>
    </x:row>
    <x:row r="9" ht="15" hidden="0" customHeight="1">
      <x:c r="A9" s="10" t="str">
        <x:v>BR-SPAPESP_CPOS-PLNCARANDIRU.xlsx</x:v>
      </x:c>
      <x:c r="B9" s="10" t="str">
        <x:v>Geral</x:v>
      </x:c>
      <x:c r="C9" s="11" t="n">
        <x:v>9</x:v>
      </x:c>
      <x:c r="D9" s="10" t="str">
        <x:v>BR-SPAPESP_CPOS-PLNCARANDIRU.xlsx:Geral:9</x:v>
      </x:c>
      <x:c r="E9" s="10" t="str">
        <x:v>BRSPAPESP_CPOSPLNCARANDIRU_ICOPLNFOTMT0_3350-0001008F.jpeg</x:v>
      </x:c>
      <x:c r="F9" s="10" t="str">
        <x:v>PLNCARANDIRU</x:v>
      </x:c>
      <x:c r="G9" s="10" t="str">
        <x:v>ICO</x:v>
      </x:c>
      <x:c r="H9" s="10" t="str">
        <x:v>PLN</x:v>
      </x:c>
      <x:c r="I9" s="10" t="str">
        <x:v>FOT</x:v>
      </x:c>
      <x:c r="J9" s="10" t="str">
        <x:v>MT0</x:v>
      </x:c>
    </x:row>
    <x:row r="10" ht="15" hidden="0" customHeight="1">
      <x:c r="A10" s="10" t="str">
        <x:v>BR-SPAPESP_CPOS-PLNCARANDIRU.xlsx</x:v>
      </x:c>
      <x:c r="B10" s="10" t="str">
        <x:v>Geral</x:v>
      </x:c>
      <x:c r="C10" s="11" t="n">
        <x:v>10</x:v>
      </x:c>
      <x:c r="D10" s="10" t="str">
        <x:v>BR-SPAPESP_CPOS-PLNCARANDIRU.xlsx:Geral:10</x:v>
      </x:c>
      <x:c r="E10" s="10" t="str">
        <x:v>BRSPAPESP_CPOSPLNCARANDIRU_ICOFOTFOTMT0_3350-0001009F.jpeg</x:v>
      </x:c>
      <x:c r="F10" s="10" t="str">
        <x:v>PLNCARANDIRU</x:v>
      </x:c>
      <x:c r="G10" s="10" t="str">
        <x:v>ICO</x:v>
      </x:c>
      <x:c r="H10" s="10" t="str">
        <x:v>FOT</x:v>
      </x:c>
      <x:c r="I10" s="10" t="str">
        <x:v>FOT</x:v>
      </x:c>
      <x:c r="J10" s="10" t="str">
        <x:v>MT0</x:v>
      </x:c>
    </x:row>
    <x:row r="11" ht="15" hidden="0" customHeight="1">
      <x:c r="A11" s="10" t="str">
        <x:v>BR-SPAPESP_CPOS-PLNCARANDIRU.xlsx</x:v>
      </x:c>
      <x:c r="B11" s="10" t="str">
        <x:v>Geral</x:v>
      </x:c>
      <x:c r="C11" s="11" t="n">
        <x:v>11</x:v>
      </x:c>
      <x:c r="D11" s="10" t="str">
        <x:v>BR-SPAPESP_CPOS-PLNCARANDIRU.xlsx:Geral:11</x:v>
      </x:c>
      <x:c r="E11" s="10" t="str">
        <x:v>BRSPAPESP_CPOSPLNCARANDIRU_ICOFOTFOTMT0_3350-0001010F.jpeg</x:v>
      </x:c>
      <x:c r="F11" s="10" t="str">
        <x:v>PLNCARANDIRU</x:v>
      </x:c>
      <x:c r="G11" s="10" t="str">
        <x:v>ICO</x:v>
      </x:c>
      <x:c r="H11" s="10" t="str">
        <x:v>FOT</x:v>
      </x:c>
      <x:c r="I11" s="10" t="str">
        <x:v>FOT</x:v>
      </x:c>
      <x:c r="J11" s="10" t="str">
        <x:v>MT0</x:v>
      </x:c>
    </x:row>
    <x:row r="12" ht="15" hidden="0" customHeight="1">
      <x:c r="A12" s="10" t="str">
        <x:v>BR-SPAPESP_CPOS-PLNCARANDIRU.xlsx</x:v>
      </x:c>
      <x:c r="B12" s="10" t="str">
        <x:v>Geral</x:v>
      </x:c>
      <x:c r="C12" s="11" t="n">
        <x:v>12</x:v>
      </x:c>
      <x:c r="D12" s="10" t="str">
        <x:v>BR-SPAPESP_CPOS-PLNCARANDIRU.xlsx:Geral:12</x:v>
      </x:c>
      <x:c r="E12" s="10" t="str">
        <x:v>BRSPAPESP_CPOSPLNCARANDIRU_ICOPLNFOTMT0_3350-0001011F.jpeg</x:v>
      </x:c>
      <x:c r="F12" s="10" t="str">
        <x:v>PLNCARANDIRU</x:v>
      </x:c>
      <x:c r="G12" s="10" t="str">
        <x:v>ICO</x:v>
      </x:c>
      <x:c r="H12" s="10" t="str">
        <x:v>PLN</x:v>
      </x:c>
      <x:c r="I12" s="10" t="str">
        <x:v>FOT</x:v>
      </x:c>
      <x:c r="J12" s="10" t="str">
        <x:v>MT0</x:v>
      </x:c>
    </x:row>
    <x:row r="13" ht="15" hidden="0" customHeight="1">
      <x:c r="A13" s="10" t="str">
        <x:v>BR-SPAPESP_CPOS-PLNCARANDIRU.xlsx</x:v>
      </x:c>
      <x:c r="B13" s="10" t="str">
        <x:v>Geral</x:v>
      </x:c>
      <x:c r="C13" s="11" t="n">
        <x:v>13</x:v>
      </x:c>
      <x:c r="D13" s="10" t="str">
        <x:v>BR-SPAPESP_CPOS-PLNCARANDIRU.xlsx:Geral:13</x:v>
      </x:c>
      <x:c r="E13" s="10" t="str">
        <x:v>BRSPAPESP_CPOSPLNCARANDIRU_ICOFOTFOTMT0_3350-0001012F.jpeg</x:v>
      </x:c>
      <x:c r="F13" s="10" t="str">
        <x:v>PLNCARANDIRU</x:v>
      </x:c>
      <x:c r="G13" s="10" t="str">
        <x:v>ICO</x:v>
      </x:c>
      <x:c r="H13" s="10" t="str">
        <x:v>FOT</x:v>
      </x:c>
      <x:c r="I13" s="10" t="str">
        <x:v>FOT</x:v>
      </x:c>
      <x:c r="J13" s="10" t="str">
        <x:v>MT0</x:v>
      </x:c>
    </x:row>
    <x:row r="14" ht="15" hidden="0" customHeight="1">
      <x:c r="A14" s="10" t="str">
        <x:v>BR-SPAPESP_CPOS-PLNCARANDIRU.xlsx</x:v>
      </x:c>
      <x:c r="B14" s="10" t="str">
        <x:v>Geral</x:v>
      </x:c>
      <x:c r="C14" s="11" t="n">
        <x:v>14</x:v>
      </x:c>
      <x:c r="D14" s="10" t="str">
        <x:v>BR-SPAPESP_CPOS-PLNCARANDIRU.xlsx:Geral:14</x:v>
      </x:c>
      <x:c r="E14" s="10" t="str">
        <x:v>BRSPAPESP_CPOSPLNCARANDIRU_ICOFOTFOTMT0_3350-0001013F.jpeg</x:v>
      </x:c>
      <x:c r="F14" s="10" t="str">
        <x:v>PLNCARANDIRU</x:v>
      </x:c>
      <x:c r="G14" s="10" t="str">
        <x:v>ICO</x:v>
      </x:c>
      <x:c r="H14" s="10" t="str">
        <x:v>FOT</x:v>
      </x:c>
      <x:c r="I14" s="10" t="str">
        <x:v>FOT</x:v>
      </x:c>
      <x:c r="J14" s="10" t="str">
        <x:v>MT0</x:v>
      </x:c>
    </x:row>
    <x:row r="15" ht="24" hidden="0" customHeight="1">
      <x:c r="A15" s="10" t="str">
        <x:v>BR-SPAPESP_DASP-PENITPRE-CSDTCARANDIRU.xlsx</x:v>
      </x:c>
      <x:c r="B15" s="10" t="str">
        <x:v>Geral</x:v>
      </x:c>
      <x:c r="C15" s="11" t="n">
        <x:v>2</x:v>
      </x:c>
      <x:c r="D15" s="10" t="str">
        <x:v>BR-SPAPESP_DASP-PENITPRE-CSDTCARANDIRU.xlsx:Geral:2</x:v>
      </x:c>
      <x:c r="E15" s="10" t="str">
        <x:v>BRSPAPESP_DASPPENITPRE-CSDTCARANDIRU_ICOFOTDGZMT0_3055-005-001F.jpg</x:v>
      </x:c>
      <x:c r="F15" s="10" t="str">
        <x:v>PENITPRE-CSDTCARANDIRU</x:v>
      </x:c>
      <x:c r="G15" s="10" t="str">
        <x:v>ICO</x:v>
      </x:c>
      <x:c r="H15" s="10" t="str">
        <x:v>FOT</x:v>
      </x:c>
      <x:c r="I15" s="10" t="str">
        <x:v>DGZ</x:v>
      </x:c>
      <x:c r="J15" s="10" t="str">
        <x:v>MT0</x:v>
      </x:c>
    </x:row>
    <x:row r="16" ht="24" hidden="0" customHeight="1">
      <x:c r="A16" s="10" t="str">
        <x:v>BR-SPAPESP_DASP-PENITPRE-CSDTCARANDIRU.xlsx</x:v>
      </x:c>
      <x:c r="B16" s="10" t="str">
        <x:v>Geral</x:v>
      </x:c>
      <x:c r="C16" s="11" t="n">
        <x:v>3</x:v>
      </x:c>
      <x:c r="D16" s="10" t="str">
        <x:v>BR-SPAPESP_DASP-PENITPRE-CSDTCARANDIRU.xlsx:Geral:3</x:v>
      </x:c>
      <x:c r="E16" s="10" t="str">
        <x:v>BRSPAPESP_DASPPENITPRE-CSDTCARANDIRU_ICOFOTDGZMT0_3055-005-001V.jpg</x:v>
      </x:c>
      <x:c r="F16" s="10" t="str">
        <x:v>PENITPRE-CSDTCARANDIRU</x:v>
      </x:c>
      <x:c r="G16" s="10" t="str">
        <x:v>ICO</x:v>
      </x:c>
      <x:c r="H16" s="10" t="str">
        <x:v>FOT</x:v>
      </x:c>
      <x:c r="I16" s="10" t="str">
        <x:v>DGZ</x:v>
      </x:c>
      <x:c r="J16" s="10" t="str">
        <x:v>MT0</x:v>
      </x:c>
    </x:row>
    <x:row r="17" ht="24" hidden="0" customHeight="1">
      <x:c r="A17" s="10" t="str">
        <x:v>BR-SPAPESP_DASP-PENITPRE-CSDTCARANDIRU.xlsx</x:v>
      </x:c>
      <x:c r="B17" s="10" t="str">
        <x:v>Geral</x:v>
      </x:c>
      <x:c r="C17" s="11" t="n">
        <x:v>4</x:v>
      </x:c>
      <x:c r="D17" s="10" t="str">
        <x:v>BR-SPAPESP_DASP-PENITPRE-CSDTCARANDIRU.xlsx:Geral:4</x:v>
      </x:c>
      <x:c r="E17" s="10" t="str">
        <x:v>BRSPAPESP_DASPPENITPRE-CSDTCARANDIRU_ICOFOTDGZMT0_3055-005-002F.jpg</x:v>
      </x:c>
      <x:c r="F17" s="10" t="str">
        <x:v>PENITPRE-CSDTCARANDIRU</x:v>
      </x:c>
      <x:c r="G17" s="10" t="str">
        <x:v>ICO</x:v>
      </x:c>
      <x:c r="H17" s="10" t="str">
        <x:v>FOT</x:v>
      </x:c>
      <x:c r="I17" s="10" t="str">
        <x:v>DGZ</x:v>
      </x:c>
      <x:c r="J17" s="10" t="str">
        <x:v>MT0</x:v>
      </x:c>
    </x:row>
    <x:row r="18" ht="24" hidden="0" customHeight="1">
      <x:c r="A18" s="10" t="str">
        <x:v>BR-SPAPESP_DASP-PENITPRE-CSDTCARANDIRU.xlsx</x:v>
      </x:c>
      <x:c r="B18" s="10" t="str">
        <x:v>Geral</x:v>
      </x:c>
      <x:c r="C18" s="11" t="n">
        <x:v>5</x:v>
      </x:c>
      <x:c r="D18" s="10" t="str">
        <x:v>BR-SPAPESP_DASP-PENITPRE-CSDTCARANDIRU.xlsx:Geral:5</x:v>
      </x:c>
      <x:c r="E18" s="10" t="str">
        <x:v>BRSPAPESP_DASPPENITPRE-CSDTCARANDIRU_ICOFOTDGZMT0_3055-005-002V.jpg</x:v>
      </x:c>
      <x:c r="F18" s="10" t="str">
        <x:v>PENITPRE-CSDTCARANDIRU</x:v>
      </x:c>
      <x:c r="G18" s="10" t="str">
        <x:v>ICO</x:v>
      </x:c>
      <x:c r="H18" s="10" t="str">
        <x:v>FOT</x:v>
      </x:c>
      <x:c r="I18" s="10" t="str">
        <x:v>DGZ</x:v>
      </x:c>
      <x:c r="J18" s="10" t="str">
        <x:v>MT0</x:v>
      </x:c>
    </x:row>
    <x:row r="19" ht="24" hidden="0" customHeight="1">
      <x:c r="A19" s="10" t="str">
        <x:v>BR-SPAPESP_DASP-PENITPRE-CSDTCARANDIRU.xlsx</x:v>
      </x:c>
      <x:c r="B19" s="10" t="str">
        <x:v>Geral</x:v>
      </x:c>
      <x:c r="C19" s="11" t="n">
        <x:v>6</x:v>
      </x:c>
      <x:c r="D19" s="10" t="str">
        <x:v>BR-SPAPESP_DASP-PENITPRE-CSDTCARANDIRU.xlsx:Geral:6</x:v>
      </x:c>
      <x:c r="E19" s="10" t="str">
        <x:v>BRSPAPESP_DASPPENITPRE-CSDTCARANDIRU_ICOFOTDGZMT0_3055-005-003F.jpg</x:v>
      </x:c>
      <x:c r="F19" s="10" t="str">
        <x:v>PENITPRE-CSDTCARANDIRU</x:v>
      </x:c>
      <x:c r="G19" s="10" t="str">
        <x:v>ICO</x:v>
      </x:c>
      <x:c r="H19" s="10" t="str">
        <x:v>FOT</x:v>
      </x:c>
      <x:c r="I19" s="10" t="str">
        <x:v>DGZ</x:v>
      </x:c>
      <x:c r="J19" s="10" t="str">
        <x:v>MT0</x:v>
      </x:c>
    </x:row>
    <x:row r="20" ht="24" hidden="0" customHeight="1">
      <x:c r="A20" s="10" t="str">
        <x:v>BR-SPAPESP_DASP-PENITPRE-CSDTCARANDIRU.xlsx</x:v>
      </x:c>
      <x:c r="B20" s="10" t="str">
        <x:v>Geral</x:v>
      </x:c>
      <x:c r="C20" s="11" t="n">
        <x:v>7</x:v>
      </x:c>
      <x:c r="D20" s="10" t="str">
        <x:v>BR-SPAPESP_DASP-PENITPRE-CSDTCARANDIRU.xlsx:Geral:7</x:v>
      </x:c>
      <x:c r="E20" s="10" t="str">
        <x:v>BRSPAPESP_DASPPENITPRE-CSDTCARANDIRU_ICOFOTDGZMT0_3055-005-003V.jpg</x:v>
      </x:c>
      <x:c r="F20" s="10" t="str">
        <x:v>PENITPRE-CSDTCARANDIRU</x:v>
      </x:c>
      <x:c r="G20" s="10" t="str">
        <x:v>ICO</x:v>
      </x:c>
      <x:c r="H20" s="10" t="str">
        <x:v>FOT</x:v>
      </x:c>
      <x:c r="I20" s="10" t="str">
        <x:v>DGZ</x:v>
      </x:c>
      <x:c r="J20" s="10" t="str">
        <x:v>MT0</x:v>
      </x:c>
    </x:row>
    <x:row r="21" ht="24" hidden="0" customHeight="1">
      <x:c r="A21" s="10" t="str">
        <x:v>BR-SPAPESP_DASP-PENITPRE-CSDTCARANDIRU.xlsx</x:v>
      </x:c>
      <x:c r="B21" s="10" t="str">
        <x:v>Geral</x:v>
      </x:c>
      <x:c r="C21" s="11" t="n">
        <x:v>8</x:v>
      </x:c>
      <x:c r="D21" s="10" t="str">
        <x:v>BR-SPAPESP_DASP-PENITPRE-CSDTCARANDIRU.xlsx:Geral:8</x:v>
      </x:c>
      <x:c r="E21" s="10" t="str">
        <x:v>BRSPAPESP_DASPPENITPRE-CSDTCARANDIRU_ICOFOTDGZMT0_3055-005-004F.jpg</x:v>
      </x:c>
      <x:c r="F21" s="10" t="str">
        <x:v>PENITPRE-CSDTCARANDIRU</x:v>
      </x:c>
      <x:c r="G21" s="10" t="str">
        <x:v>ICO</x:v>
      </x:c>
      <x:c r="H21" s="10" t="str">
        <x:v>FOT</x:v>
      </x:c>
      <x:c r="I21" s="10" t="str">
        <x:v>DGZ</x:v>
      </x:c>
      <x:c r="J21" s="10" t="str">
        <x:v>MT0</x:v>
      </x:c>
    </x:row>
    <x:row r="22" ht="24" hidden="0" customHeight="1">
      <x:c r="A22" s="10" t="str">
        <x:v>BR-SPAPESP_DASP-PENITPRE-CSDTCARANDIRU.xlsx</x:v>
      </x:c>
      <x:c r="B22" s="10" t="str">
        <x:v>Geral</x:v>
      </x:c>
      <x:c r="C22" s="11" t="n">
        <x:v>9</x:v>
      </x:c>
      <x:c r="D22" s="10" t="str">
        <x:v>BR-SPAPESP_DASP-PENITPRE-CSDTCARANDIRU.xlsx:Geral:9</x:v>
      </x:c>
      <x:c r="E22" s="10" t="str">
        <x:v>BRSPAPESP_DASPPENITPRE-CSDTCARANDIRU_ICOFOTDGZMT0_3055-005-004V.jpg</x:v>
      </x:c>
      <x:c r="F22" s="10" t="str">
        <x:v>PENITPRE-CSDTCARANDIRU</x:v>
      </x:c>
      <x:c r="G22" s="10" t="str">
        <x:v>ICO</x:v>
      </x:c>
      <x:c r="H22" s="10" t="str">
        <x:v>FOT</x:v>
      </x:c>
      <x:c r="I22" s="10" t="str">
        <x:v>DGZ</x:v>
      </x:c>
      <x:c r="J22" s="10" t="str">
        <x:v>MT0</x:v>
      </x:c>
    </x:row>
    <x:row r="23" ht="24" hidden="0" customHeight="1">
      <x:c r="A23" s="10" t="str">
        <x:v>BR-SPAPESP_DASP-PENITPRE-CSDTCARANDIRU.xlsx</x:v>
      </x:c>
      <x:c r="B23" s="10" t="str">
        <x:v>Geral</x:v>
      </x:c>
      <x:c r="C23" s="11" t="n">
        <x:v>10</x:v>
      </x:c>
      <x:c r="D23" s="10" t="str">
        <x:v>BR-SPAPESP_DASP-PENITPRE-CSDTCARANDIRU.xlsx:Geral:10</x:v>
      </x:c>
      <x:c r="E23" s="10" t="str">
        <x:v>BRSPAPESP_DASPPENITPRE-CSDTCARANDIRU_ICOFOTDGZMT0_3055-005-006F.jpg</x:v>
      </x:c>
      <x:c r="F23" s="10" t="str">
        <x:v>PENITPRE-CSDTCARANDIRU</x:v>
      </x:c>
      <x:c r="G23" s="10" t="str">
        <x:v>ICO</x:v>
      </x:c>
      <x:c r="H23" s="10" t="str">
        <x:v>FOT</x:v>
      </x:c>
      <x:c r="I23" s="10" t="str">
        <x:v>DGZ</x:v>
      </x:c>
      <x:c r="J23" s="10" t="str">
        <x:v>MT0</x:v>
      </x:c>
    </x:row>
    <x:row r="24" ht="24" hidden="0" customHeight="1">
      <x:c r="A24" s="10" t="str">
        <x:v>BR-SPAPESP_DASP-PENITPRE-CSDTCARANDIRU.xlsx</x:v>
      </x:c>
      <x:c r="B24" s="10" t="str">
        <x:v>Geral</x:v>
      </x:c>
      <x:c r="C24" s="11" t="n">
        <x:v>11</x:v>
      </x:c>
      <x:c r="D24" s="10" t="str">
        <x:v>BR-SPAPESP_DASP-PENITPRE-CSDTCARANDIRU.xlsx:Geral:11</x:v>
      </x:c>
      <x:c r="E24" s="10" t="str">
        <x:v>BRSPAPESP_DASPPENITPRE-CSDTCARANDIRU_ICOFOTDGZMT0_3055-005-006V.jpg</x:v>
      </x:c>
      <x:c r="F24" s="10" t="str">
        <x:v>PENITPRE-CSDTCARANDIRU</x:v>
      </x:c>
      <x:c r="G24" s="10" t="str">
        <x:v>ICO</x:v>
      </x:c>
      <x:c r="H24" s="10" t="str">
        <x:v>FOT</x:v>
      </x:c>
      <x:c r="I24" s="10" t="str">
        <x:v>DGZ</x:v>
      </x:c>
      <x:c r="J24" s="10" t="str">
        <x:v>MT0</x:v>
      </x:c>
    </x:row>
    <x:row r="25" ht="24" hidden="0" customHeight="1">
      <x:c r="A25" s="10" t="str">
        <x:v>BR-SPAPESP_DASP-PENITPRE-CSDTCARANDIRU.xlsx</x:v>
      </x:c>
      <x:c r="B25" s="10" t="str">
        <x:v>Geral</x:v>
      </x:c>
      <x:c r="C25" s="11" t="n">
        <x:v>12</x:v>
      </x:c>
      <x:c r="D25" s="10" t="str">
        <x:v>BR-SPAPESP_DASP-PENITPRE-CSDTCARANDIRU.xlsx:Geral:12</x:v>
      </x:c>
      <x:c r="E25" s="10" t="str">
        <x:v>BRSPAPESP_DASPPENITPRE-CSDTCARANDIRU_ICOFOTDGZMT0_3055-005-007F.jpg</x:v>
      </x:c>
      <x:c r="F25" s="10" t="str">
        <x:v>PENITPRE-CSDTCARANDIRU</x:v>
      </x:c>
      <x:c r="G25" s="10" t="str">
        <x:v>ICO</x:v>
      </x:c>
      <x:c r="H25" s="10" t="str">
        <x:v>FOT</x:v>
      </x:c>
      <x:c r="I25" s="10" t="str">
        <x:v>DGZ</x:v>
      </x:c>
      <x:c r="J25" s="10" t="str">
        <x:v>MT0</x:v>
      </x:c>
    </x:row>
    <x:row r="26" ht="24" hidden="0" customHeight="1">
      <x:c r="A26" s="10" t="str">
        <x:v>BR-SPAPESP_DASP-PENITPRE-CSDTCARANDIRU.xlsx</x:v>
      </x:c>
      <x:c r="B26" s="10" t="str">
        <x:v>Geral</x:v>
      </x:c>
      <x:c r="C26" s="11" t="n">
        <x:v>13</x:v>
      </x:c>
      <x:c r="D26" s="10" t="str">
        <x:v>BR-SPAPESP_DASP-PENITPRE-CSDTCARANDIRU.xlsx:Geral:13</x:v>
      </x:c>
      <x:c r="E26" s="10" t="str">
        <x:v>BRSPAPESP_DASPPENITPRE-CSDTCARANDIRU_ICOFOTDGZMT0_3055-005-007V.jpg</x:v>
      </x:c>
      <x:c r="F26" s="10" t="str">
        <x:v>PENITPRE-CSDTCARANDIRU</x:v>
      </x:c>
      <x:c r="G26" s="10" t="str">
        <x:v>ICO</x:v>
      </x:c>
      <x:c r="H26" s="10" t="str">
        <x:v>FOT</x:v>
      </x:c>
      <x:c r="I26" s="10" t="str">
        <x:v>DGZ</x:v>
      </x:c>
      <x:c r="J26" s="10" t="str">
        <x:v>MT0</x:v>
      </x:c>
    </x:row>
    <x:row r="27" ht="24" hidden="0" customHeight="1">
      <x:c r="A27" s="10" t="str">
        <x:v>BR-SPAPESP_DASP-PENITPRE-CSDTCARANDIRU.xlsx</x:v>
      </x:c>
      <x:c r="B27" s="10" t="str">
        <x:v>Geral</x:v>
      </x:c>
      <x:c r="C27" s="11" t="n">
        <x:v>14</x:v>
      </x:c>
      <x:c r="D27" s="10" t="str">
        <x:v>BR-SPAPESP_DASP-PENITPRE-CSDTCARANDIRU.xlsx:Geral:14</x:v>
      </x:c>
      <x:c r="E27" s="10" t="str">
        <x:v>BRSPAPESP_DASPPENITPRE-CSDTCARANDIRU_ICOFOTDGZMT0_3055-005-008F.jpg</x:v>
      </x:c>
      <x:c r="F27" s="10" t="str">
        <x:v>PENITPRE-CSDTCARANDIRU</x:v>
      </x:c>
      <x:c r="G27" s="10" t="str">
        <x:v>ICO</x:v>
      </x:c>
      <x:c r="H27" s="10" t="str">
        <x:v>FOT</x:v>
      </x:c>
      <x:c r="I27" s="10" t="str">
        <x:v>DGZ</x:v>
      </x:c>
      <x:c r="J27" s="10" t="str">
        <x:v>MT0</x:v>
      </x:c>
    </x:row>
    <x:row r="28" ht="24" hidden="0" customHeight="1">
      <x:c r="A28" s="10" t="str">
        <x:v>BR-SPAPESP_DASP-PENITPRE-CSDTCARANDIRU.xlsx</x:v>
      </x:c>
      <x:c r="B28" s="10" t="str">
        <x:v>Geral</x:v>
      </x:c>
      <x:c r="C28" s="11" t="n">
        <x:v>15</x:v>
      </x:c>
      <x:c r="D28" s="10" t="str">
        <x:v>BR-SPAPESP_DASP-PENITPRE-CSDTCARANDIRU.xlsx:Geral:15</x:v>
      </x:c>
      <x:c r="E28" s="10" t="str">
        <x:v>BRSPAPESP_DASPPENITPRE-CSDTCARANDIRU_ICOFOTDGZMT0_3055-005-008V.jpg</x:v>
      </x:c>
      <x:c r="F28" s="10" t="str">
        <x:v>PENITPRE-CSDTCARANDIRU</x:v>
      </x:c>
      <x:c r="G28" s="10" t="str">
        <x:v>ICO</x:v>
      </x:c>
      <x:c r="H28" s="10" t="str">
        <x:v>FOT</x:v>
      </x:c>
      <x:c r="I28" s="10" t="str">
        <x:v>DGZ</x:v>
      </x:c>
      <x:c r="J28" s="10" t="str">
        <x:v>MT0</x:v>
      </x:c>
    </x:row>
    <x:row r="29" ht="24" hidden="0" customHeight="1">
      <x:c r="A29" s="10" t="str">
        <x:v>BR-SPAPESP_DASP-PENITPRE-CSDTCARANDIRU.xlsx</x:v>
      </x:c>
      <x:c r="B29" s="10" t="str">
        <x:v>Geral</x:v>
      </x:c>
      <x:c r="C29" s="11" t="n">
        <x:v>16</x:v>
      </x:c>
      <x:c r="D29" s="10" t="str">
        <x:v>BR-SPAPESP_DASP-PENITPRE-CSDTCARANDIRU.xlsx:Geral:16</x:v>
      </x:c>
      <x:c r="E29" s="10" t="str">
        <x:v>BRSPAPESP_DASPPENITPRE-CSDTCARANDIRU_ICOFOTDGZMT0_3055-005-009F.jpg</x:v>
      </x:c>
      <x:c r="F29" s="10" t="str">
        <x:v>PENITPRE-CSDTCARANDIRU</x:v>
      </x:c>
      <x:c r="G29" s="10" t="str">
        <x:v>ICO</x:v>
      </x:c>
      <x:c r="H29" s="10" t="str">
        <x:v>FOT</x:v>
      </x:c>
      <x:c r="I29" s="10" t="str">
        <x:v>DGZ</x:v>
      </x:c>
      <x:c r="J29" s="10" t="str">
        <x:v>MT0</x:v>
      </x:c>
    </x:row>
    <x:row r="30" ht="24" hidden="0" customHeight="1">
      <x:c r="A30" s="10" t="str">
        <x:v>BR-SPAPESP_DASP-PENITPRE-CSDTCARANDIRU.xlsx</x:v>
      </x:c>
      <x:c r="B30" s="10" t="str">
        <x:v>Geral</x:v>
      </x:c>
      <x:c r="C30" s="11" t="n">
        <x:v>17</x:v>
      </x:c>
      <x:c r="D30" s="10" t="str">
        <x:v>BR-SPAPESP_DASP-PENITPRE-CSDTCARANDIRU.xlsx:Geral:17</x:v>
      </x:c>
      <x:c r="E30" s="10" t="str">
        <x:v>BRSPAPESP_DASPPENITPRE-CSDTCARANDIRU_ICOFOTDGZMT0_3055-005-009V.jpg</x:v>
      </x:c>
      <x:c r="F30" s="10" t="str">
        <x:v>PENITPRE-CSDTCARANDIRU</x:v>
      </x:c>
      <x:c r="G30" s="10" t="str">
        <x:v>ICO</x:v>
      </x:c>
      <x:c r="H30" s="10" t="str">
        <x:v>FOT</x:v>
      </x:c>
      <x:c r="I30" s="10" t="str">
        <x:v>DGZ</x:v>
      </x:c>
      <x:c r="J30" s="10" t="str">
        <x:v>MT0</x:v>
      </x:c>
    </x:row>
    <x:row r="31" ht="24" hidden="0" customHeight="1">
      <x:c r="A31" s="10" t="str">
        <x:v>BR-SPAPESP_DASP-PENITPRE-CSDTCARANDIRU.xlsx</x:v>
      </x:c>
      <x:c r="B31" s="10" t="str">
        <x:v>Geral</x:v>
      </x:c>
      <x:c r="C31" s="11" t="n">
        <x:v>18</x:v>
      </x:c>
      <x:c r="D31" s="10" t="str">
        <x:v>BR-SPAPESP_DASP-PENITPRE-CSDTCARANDIRU.xlsx:Geral:18</x:v>
      </x:c>
      <x:c r="E31" s="10" t="str">
        <x:v>BRSPAPESP_DASPPENITPRE-CSDTCARANDIRU_ICOFOTDGZMT0_3055-005-010F.jpg</x:v>
      </x:c>
      <x:c r="F31" s="10" t="str">
        <x:v>PENITPRE-CSDTCARANDIRU</x:v>
      </x:c>
      <x:c r="G31" s="10" t="str">
        <x:v>ICO</x:v>
      </x:c>
      <x:c r="H31" s="10" t="str">
        <x:v>FOT</x:v>
      </x:c>
      <x:c r="I31" s="10" t="str">
        <x:v>DGZ</x:v>
      </x:c>
      <x:c r="J31" s="10" t="str">
        <x:v>MT0</x:v>
      </x:c>
    </x:row>
    <x:row r="32" ht="24" hidden="0" customHeight="1">
      <x:c r="A32" s="10" t="str">
        <x:v>BR-SPAPESP_DASP-PENITPRE-CSDTCARANDIRU.xlsx</x:v>
      </x:c>
      <x:c r="B32" s="10" t="str">
        <x:v>Geral</x:v>
      </x:c>
      <x:c r="C32" s="11" t="n">
        <x:v>19</x:v>
      </x:c>
      <x:c r="D32" s="10" t="str">
        <x:v>BR-SPAPESP_DASP-PENITPRE-CSDTCARANDIRU.xlsx:Geral:19</x:v>
      </x:c>
      <x:c r="E32" s="10" t="str">
        <x:v>BRSPAPESP_DASPPENITPRE-CSDTCARANDIRU_ICOFOTDGZMT0_3055-005-010V.jpg</x:v>
      </x:c>
      <x:c r="F32" s="10" t="str">
        <x:v>PENITPRE-CSDTCARANDIRU</x:v>
      </x:c>
      <x:c r="G32" s="10" t="str">
        <x:v>ICO</x:v>
      </x:c>
      <x:c r="H32" s="10" t="str">
        <x:v>FOT</x:v>
      </x:c>
      <x:c r="I32" s="10" t="str">
        <x:v>DGZ</x:v>
      </x:c>
      <x:c r="J32" s="10" t="str">
        <x:v>MT0</x:v>
      </x:c>
    </x:row>
    <x:row r="33" ht="24" hidden="0" customHeight="1">
      <x:c r="A33" s="10" t="str">
        <x:v>BR-SPAPESP_DASP-PENITPRE-CSDTCARANDIRU.xlsx</x:v>
      </x:c>
      <x:c r="B33" s="10" t="str">
        <x:v>Geral</x:v>
      </x:c>
      <x:c r="C33" s="11" t="n">
        <x:v>20</x:v>
      </x:c>
      <x:c r="D33" s="10" t="str">
        <x:v>BR-SPAPESP_DASP-PENITPRE-CSDTCARANDIRU.xlsx:Geral:20</x:v>
      </x:c>
      <x:c r="E33" s="10" t="str">
        <x:v>BRSPAPESP_DASPPENITPRE-CSDTCARANDIRU_ICOFOTDGZMT0_3055-005-011F.jpg</x:v>
      </x:c>
      <x:c r="F33" s="10" t="str">
        <x:v>PENITPRE-CSDTCARANDIRU</x:v>
      </x:c>
      <x:c r="G33" s="10" t="str">
        <x:v>ICO</x:v>
      </x:c>
      <x:c r="H33" s="10" t="str">
        <x:v>FOT</x:v>
      </x:c>
      <x:c r="I33" s="10" t="str">
        <x:v>DGZ</x:v>
      </x:c>
      <x:c r="J33" s="10" t="str">
        <x:v>MT0</x:v>
      </x:c>
    </x:row>
    <x:row r="34" ht="24" hidden="0" customHeight="1">
      <x:c r="A34" s="10" t="str">
        <x:v>BR-SPAPESP_DASP-PENITPRE-CSDTCARANDIRU.xlsx</x:v>
      </x:c>
      <x:c r="B34" s="10" t="str">
        <x:v>Geral</x:v>
      </x:c>
      <x:c r="C34" s="11" t="n">
        <x:v>21</x:v>
      </x:c>
      <x:c r="D34" s="10" t="str">
        <x:v>BR-SPAPESP_DASP-PENITPRE-CSDTCARANDIRU.xlsx:Geral:21</x:v>
      </x:c>
      <x:c r="E34" s="10" t="str">
        <x:v>BRSPAPESP_DASPPENITPRE-CSDTCARANDIRU_ICOFOTDGZMT0_3055-005-011V.jpg</x:v>
      </x:c>
      <x:c r="F34" s="10" t="str">
        <x:v>PENITPRE-CSDTCARANDIRU</x:v>
      </x:c>
      <x:c r="G34" s="10" t="str">
        <x:v>ICO</x:v>
      </x:c>
      <x:c r="H34" s="10" t="str">
        <x:v>FOT</x:v>
      </x:c>
      <x:c r="I34" s="10" t="str">
        <x:v>DGZ</x:v>
      </x:c>
      <x:c r="J34" s="10" t="str">
        <x:v>MT0</x:v>
      </x:c>
    </x:row>
    <x:row r="35" ht="24" hidden="0" customHeight="1">
      <x:c r="A35" s="10" t="str">
        <x:v>BR-SPAPESP_DASP-PENITPRE-CSDTCARANDIRU.xlsx</x:v>
      </x:c>
      <x:c r="B35" s="10" t="str">
        <x:v>Geral</x:v>
      </x:c>
      <x:c r="C35" s="11" t="n">
        <x:v>22</x:v>
      </x:c>
      <x:c r="D35" s="10" t="str">
        <x:v>BR-SPAPESP_DASP-PENITPRE-CSDTCARANDIRU.xlsx:Geral:22</x:v>
      </x:c>
      <x:c r="E35" s="10" t="str">
        <x:v>BRSPAPESP_DASPPENITPRE-CSDTCARANDIRU_ICOFOTDGZMT0_3055-005-012F.jpg</x:v>
      </x:c>
      <x:c r="F35" s="10" t="str">
        <x:v>PENITPRE-CSDTCARANDIRU</x:v>
      </x:c>
      <x:c r="G35" s="10" t="str">
        <x:v>ICO</x:v>
      </x:c>
      <x:c r="H35" s="10" t="str">
        <x:v>FOT</x:v>
      </x:c>
      <x:c r="I35" s="10" t="str">
        <x:v>DGZ</x:v>
      </x:c>
      <x:c r="J35" s="10" t="str">
        <x:v>MT0</x:v>
      </x:c>
    </x:row>
    <x:row r="36" ht="24" hidden="0" customHeight="1">
      <x:c r="A36" s="10" t="str">
        <x:v>BR-SPAPESP_DASP-PENITPRE-CSDTCARANDIRU.xlsx</x:v>
      </x:c>
      <x:c r="B36" s="10" t="str">
        <x:v>Geral</x:v>
      </x:c>
      <x:c r="C36" s="11" t="n">
        <x:v>23</x:v>
      </x:c>
      <x:c r="D36" s="10" t="str">
        <x:v>BR-SPAPESP_DASP-PENITPRE-CSDTCARANDIRU.xlsx:Geral:23</x:v>
      </x:c>
      <x:c r="E36" s="10" t="str">
        <x:v>BRSPAPESP_DASPPENITPRE-CSDTCARANDIRU_ICOFOTDGZMT0_3055-005-012V.jpg</x:v>
      </x:c>
      <x:c r="F36" s="10" t="str">
        <x:v>PENITPRE-CSDTCARANDIRU</x:v>
      </x:c>
      <x:c r="G36" s="10" t="str">
        <x:v>ICO</x:v>
      </x:c>
      <x:c r="H36" s="10" t="str">
        <x:v>FOT</x:v>
      </x:c>
      <x:c r="I36" s="10" t="str">
        <x:v>DGZ</x:v>
      </x:c>
      <x:c r="J36" s="10" t="str">
        <x:v>MT0</x:v>
      </x:c>
    </x:row>
    <x:row r="37" ht="24" hidden="0" customHeight="1">
      <x:c r="A37" s="10" t="str">
        <x:v>BR-SPAPESP_DASP-PENITPRE-CSDTCARANDIRU.xlsx</x:v>
      </x:c>
      <x:c r="B37" s="10" t="str">
        <x:v>Geral</x:v>
      </x:c>
      <x:c r="C37" s="11" t="n">
        <x:v>24</x:v>
      </x:c>
      <x:c r="D37" s="10" t="str">
        <x:v>BR-SPAPESP_DASP-PENITPRE-CSDTCARANDIRU.xlsx:Geral:24</x:v>
      </x:c>
      <x:c r="E37" s="10" t="str">
        <x:v>BRSPAPESP_DASPPENITPRE-CSDTCARANDIRU_ICOFOTDGZMT0_3055-005-014F.jpg</x:v>
      </x:c>
      <x:c r="F37" s="10" t="str">
        <x:v>PENITPRE-CSDTCARANDIRU</x:v>
      </x:c>
      <x:c r="G37" s="10" t="str">
        <x:v>ICO</x:v>
      </x:c>
      <x:c r="H37" s="10" t="str">
        <x:v>FOT</x:v>
      </x:c>
      <x:c r="I37" s="10" t="str">
        <x:v>DGZ</x:v>
      </x:c>
      <x:c r="J37" s="10" t="str">
        <x:v>MT0</x:v>
      </x:c>
    </x:row>
    <x:row r="38" ht="24" hidden="0" customHeight="1">
      <x:c r="A38" s="10" t="str">
        <x:v>BR-SPAPESP_DASP-PENITPRE-CSDTCARANDIRU.xlsx</x:v>
      </x:c>
      <x:c r="B38" s="10" t="str">
        <x:v>Geral</x:v>
      </x:c>
      <x:c r="C38" s="11" t="n">
        <x:v>25</x:v>
      </x:c>
      <x:c r="D38" s="10" t="str">
        <x:v>BR-SPAPESP_DASP-PENITPRE-CSDTCARANDIRU.xlsx:Geral:25</x:v>
      </x:c>
      <x:c r="E38" s="10" t="str">
        <x:v>BRSPAPESP_DASPPENITPRE-CSDTCARANDIRU_ICOFOTDGZMT0_3055-005-014V.jpg</x:v>
      </x:c>
      <x:c r="F38" s="10" t="str">
        <x:v>PENITPRE-CSDTCARANDIRU</x:v>
      </x:c>
      <x:c r="G38" s="10" t="str">
        <x:v>ICO</x:v>
      </x:c>
      <x:c r="H38" s="10" t="str">
        <x:v>FOT</x:v>
      </x:c>
      <x:c r="I38" s="10" t="str">
        <x:v>DGZ</x:v>
      </x:c>
      <x:c r="J38" s="10" t="str">
        <x:v>MT0</x:v>
      </x:c>
    </x:row>
    <x:row r="39" ht="24" hidden="0" customHeight="1">
      <x:c r="A39" s="10" t="str">
        <x:v>BR-SPAPESP_DASP-PENITPRE-CSDTCARANDIRU.xlsx</x:v>
      </x:c>
      <x:c r="B39" s="10" t="str">
        <x:v>Geral</x:v>
      </x:c>
      <x:c r="C39" s="11" t="n">
        <x:v>26</x:v>
      </x:c>
      <x:c r="D39" s="10" t="str">
        <x:v>BR-SPAPESP_DASP-PENITPRE-CSDTCARANDIRU.xlsx:Geral:26</x:v>
      </x:c>
      <x:c r="E39" s="10" t="str">
        <x:v>BRSPAPESP_DASPPENITPRE-CSDTCARANDIRU_ICOFOTDGZMT0_3055-005-013F.jpg</x:v>
      </x:c>
      <x:c r="F39" s="10" t="str">
        <x:v>PENITPRE-CSDTCARANDIRU</x:v>
      </x:c>
      <x:c r="G39" s="10" t="str">
        <x:v>ICO</x:v>
      </x:c>
      <x:c r="H39" s="10" t="str">
        <x:v>FOT</x:v>
      </x:c>
      <x:c r="I39" s="10" t="str">
        <x:v>DGZ</x:v>
      </x:c>
      <x:c r="J39" s="10" t="str">
        <x:v>MT0</x:v>
      </x:c>
    </x:row>
    <x:row r="40" ht="24" hidden="0" customHeight="1">
      <x:c r="A40" s="10" t="str">
        <x:v>BR-SPAPESP_DASP-PENITPRE-CSDTCARANDIRU.xlsx</x:v>
      </x:c>
      <x:c r="B40" s="10" t="str">
        <x:v>Geral</x:v>
      </x:c>
      <x:c r="C40" s="11" t="n">
        <x:v>27</x:v>
      </x:c>
      <x:c r="D40" s="10" t="str">
        <x:v>BR-SPAPESP_DASP-PENITPRE-CSDTCARANDIRU.xlsx:Geral:27</x:v>
      </x:c>
      <x:c r="E40" s="10" t="str">
        <x:v>BRSPAPESP_DASPPENITPRE-CSDTCARANDIRU_ICOFOTDGZMT0_3055-005-013V.jpg</x:v>
      </x:c>
      <x:c r="F40" s="10" t="str">
        <x:v>PENITPRE-CSDTCARANDIRU</x:v>
      </x:c>
      <x:c r="G40" s="10" t="str">
        <x:v>ICO</x:v>
      </x:c>
      <x:c r="H40" s="10" t="str">
        <x:v>FOT</x:v>
      </x:c>
      <x:c r="I40" s="10" t="str">
        <x:v>DGZ</x:v>
      </x:c>
      <x:c r="J40" s="10" t="str">
        <x:v>MT0</x:v>
      </x:c>
    </x:row>
    <x:row r="41" ht="24" hidden="0" customHeight="1">
      <x:c r="A41" s="10" t="str">
        <x:v>BR-SPAPESP_DASP-PENITPRE-CSDTCARANDIRU.xlsx</x:v>
      </x:c>
      <x:c r="B41" s="10" t="str">
        <x:v>Geral</x:v>
      </x:c>
      <x:c r="C41" s="11" t="n">
        <x:v>28</x:v>
      </x:c>
      <x:c r="D41" s="10" t="str">
        <x:v>BR-SPAPESP_DASP-PENITPRE-CSDTCARANDIRU.xlsx:Geral:28</x:v>
      </x:c>
      <x:c r="E41" s="10" t="str">
        <x:v>BRSPAPESP_DASPPENITPRE-CSDTCARANDIRU_ICOFOTDGZMT0_3055-005-015F.jpg</x:v>
      </x:c>
      <x:c r="F41" s="10" t="str">
        <x:v>PENITPRE-CSDTCARANDIRU</x:v>
      </x:c>
      <x:c r="G41" s="10" t="str">
        <x:v>ICO</x:v>
      </x:c>
      <x:c r="H41" s="10" t="str">
        <x:v>FOT</x:v>
      </x:c>
      <x:c r="I41" s="10" t="str">
        <x:v>DGZ</x:v>
      </x:c>
      <x:c r="J41" s="10" t="str">
        <x:v>MT0</x:v>
      </x:c>
    </x:row>
    <x:row r="42" ht="24" hidden="0" customHeight="1">
      <x:c r="A42" s="10" t="str">
        <x:v>BR-SPAPESP_DASP-PENITPRE-CSDTCARANDIRU.xlsx</x:v>
      </x:c>
      <x:c r="B42" s="10" t="str">
        <x:v>Geral</x:v>
      </x:c>
      <x:c r="C42" s="11" t="n">
        <x:v>29</x:v>
      </x:c>
      <x:c r="D42" s="10" t="str">
        <x:v>BR-SPAPESP_DASP-PENITPRE-CSDTCARANDIRU.xlsx:Geral:29</x:v>
      </x:c>
      <x:c r="E42" s="10" t="str">
        <x:v>BRSPAPESP_DASPPENITPRE-CSDTCARANDIRU_ICOFOTDGZMT0_3055-005-015V.jpg</x:v>
      </x:c>
      <x:c r="F42" s="10" t="str">
        <x:v>PENITPRE-CSDTCARANDIRU</x:v>
      </x:c>
      <x:c r="G42" s="10" t="str">
        <x:v>ICO</x:v>
      </x:c>
      <x:c r="H42" s="10" t="str">
        <x:v>FOT</x:v>
      </x:c>
      <x:c r="I42" s="10" t="str">
        <x:v>DGZ</x:v>
      </x:c>
      <x:c r="J42" s="10" t="str">
        <x:v>MT0</x:v>
      </x:c>
    </x:row>
    <x:row r="43" ht="24" hidden="0" customHeight="1">
      <x:c r="A43" s="10" t="str">
        <x:v>BR-SPAPESP_DASP-PENITPRE-CSDTCARANDIRU.xlsx</x:v>
      </x:c>
      <x:c r="B43" s="10" t="str">
        <x:v>Geral</x:v>
      </x:c>
      <x:c r="C43" s="11" t="n">
        <x:v>30</x:v>
      </x:c>
      <x:c r="D43" s="10" t="str">
        <x:v>BR-SPAPESP_DASP-PENITPRE-CSDTCARANDIRU.xlsx:Geral:30</x:v>
      </x:c>
      <x:c r="E43" s="10" t="str">
        <x:v>BRSPAPESP_DASPPENITPRE-CSDTCARANDIRU_ICOFOTDGZMT0_3055-005-016F.jpg</x:v>
      </x:c>
      <x:c r="F43" s="10" t="str">
        <x:v>PENITPRE-CSDTCARANDIRU</x:v>
      </x:c>
      <x:c r="G43" s="10" t="str">
        <x:v>ICO</x:v>
      </x:c>
      <x:c r="H43" s="10" t="str">
        <x:v>FOT</x:v>
      </x:c>
      <x:c r="I43" s="10" t="str">
        <x:v>DGZ</x:v>
      </x:c>
      <x:c r="J43" s="10" t="str">
        <x:v>MT0</x:v>
      </x:c>
    </x:row>
    <x:row r="44" ht="24" hidden="0" customHeight="1">
      <x:c r="A44" s="10" t="str">
        <x:v>BR-SPAPESP_DASP-PENITPRE-CSDTCARANDIRU.xlsx</x:v>
      </x:c>
      <x:c r="B44" s="10" t="str">
        <x:v>Geral</x:v>
      </x:c>
      <x:c r="C44" s="11" t="n">
        <x:v>31</x:v>
      </x:c>
      <x:c r="D44" s="10" t="str">
        <x:v>BR-SPAPESP_DASP-PENITPRE-CSDTCARANDIRU.xlsx:Geral:31</x:v>
      </x:c>
      <x:c r="E44" s="10" t="str">
        <x:v>BRSPAPESP_DASPPENITPRE-CSDTCARANDIRU_ICOFOTDGZMT0_3055-005-016V.jpg</x:v>
      </x:c>
      <x:c r="F44" s="10" t="str">
        <x:v>PENITPRE-CSDTCARANDIRU</x:v>
      </x:c>
      <x:c r="G44" s="10" t="str">
        <x:v>ICO</x:v>
      </x:c>
      <x:c r="H44" s="10" t="str">
        <x:v>FOT</x:v>
      </x:c>
      <x:c r="I44" s="10" t="str">
        <x:v>DGZ</x:v>
      </x:c>
      <x:c r="J44" s="10" t="str">
        <x:v>MT0</x:v>
      </x:c>
    </x:row>
    <x:row r="45" ht="24" hidden="0" customHeight="1">
      <x:c r="A45" s="10" t="str">
        <x:v>BR-SPAPESP_DASP-PENITPRE-CSDTCARANDIRU.xlsx</x:v>
      </x:c>
      <x:c r="B45" s="10" t="str">
        <x:v>Geral</x:v>
      </x:c>
      <x:c r="C45" s="11" t="n">
        <x:v>32</x:v>
      </x:c>
      <x:c r="D45" s="10" t="str">
        <x:v>BR-SPAPESP_DASP-PENITPRE-CSDTCARANDIRU.xlsx:Geral:32</x:v>
      </x:c>
      <x:c r="E45" s="10" t="str">
        <x:v>BRSPAPESP_DASPPENITPRE-CSDTCARANDIRU_ICOFOTDGZMT0_3055-005-017F.jpg</x:v>
      </x:c>
      <x:c r="F45" s="10" t="str">
        <x:v>PENITPRE-CSDTCARANDIRU</x:v>
      </x:c>
      <x:c r="G45" s="10" t="str">
        <x:v>ICO</x:v>
      </x:c>
      <x:c r="H45" s="10" t="str">
        <x:v>FOT</x:v>
      </x:c>
      <x:c r="I45" s="10" t="str">
        <x:v>DGZ</x:v>
      </x:c>
      <x:c r="J45" s="10" t="str">
        <x:v>MT0</x:v>
      </x:c>
    </x:row>
    <x:row r="46" ht="24" hidden="0" customHeight="1">
      <x:c r="A46" s="10" t="str">
        <x:v>BR-SPAPESP_DASP-PENITPRE-CSDTCARANDIRU.xlsx</x:v>
      </x:c>
      <x:c r="B46" s="10" t="str">
        <x:v>Geral</x:v>
      </x:c>
      <x:c r="C46" s="11" t="n">
        <x:v>33</x:v>
      </x:c>
      <x:c r="D46" s="10" t="str">
        <x:v>BR-SPAPESP_DASP-PENITPRE-CSDTCARANDIRU.xlsx:Geral:33</x:v>
      </x:c>
      <x:c r="E46" s="10" t="str">
        <x:v>BRSPAPESP_DASPPENITPRE-CSDTCARANDIRU_ICOFOTDGZMT0_3055-005-017V.jpg</x:v>
      </x:c>
      <x:c r="F46" s="10" t="str">
        <x:v>PENITPRE-CSDTCARANDIRU</x:v>
      </x:c>
      <x:c r="G46" s="10" t="str">
        <x:v>ICO</x:v>
      </x:c>
      <x:c r="H46" s="10" t="str">
        <x:v>FOT</x:v>
      </x:c>
      <x:c r="I46" s="10" t="str">
        <x:v>DGZ</x:v>
      </x:c>
      <x:c r="J46" s="10" t="str">
        <x:v>MT0</x:v>
      </x:c>
    </x:row>
    <x:row r="47" ht="24" hidden="0" customHeight="1">
      <x:c r="A47" s="10" t="str">
        <x:v>BR-SPAPESP_DASP-PENITPRE-CSDTCARANDIRU.xlsx</x:v>
      </x:c>
      <x:c r="B47" s="10" t="str">
        <x:v>Geral</x:v>
      </x:c>
      <x:c r="C47" s="11" t="n">
        <x:v>34</x:v>
      </x:c>
      <x:c r="D47" s="10" t="str">
        <x:v>BR-SPAPESP_DASP-PENITPRE-CSDTCARANDIRU.xlsx:Geral:34</x:v>
      </x:c>
      <x:c r="E47" s="10" t="str">
        <x:v>BRSPAPESP_DASPPENITPRE-CSDTCARANDIRU_ICOFOTDGZMT0_3055-005-018F.jpg</x:v>
      </x:c>
      <x:c r="F47" s="10" t="str">
        <x:v>PENITPRE-CSDTCARANDIRU</x:v>
      </x:c>
      <x:c r="G47" s="10" t="str">
        <x:v>ICO</x:v>
      </x:c>
      <x:c r="H47" s="10" t="str">
        <x:v>FOT</x:v>
      </x:c>
      <x:c r="I47" s="10" t="str">
        <x:v>DGZ</x:v>
      </x:c>
      <x:c r="J47" s="10" t="str">
        <x:v>MT0</x:v>
      </x:c>
    </x:row>
    <x:row r="48" ht="24" hidden="0" customHeight="1">
      <x:c r="A48" s="10" t="str">
        <x:v>BR-SPAPESP_DASP-PENITPRE-CSDTCARANDIRU.xlsx</x:v>
      </x:c>
      <x:c r="B48" s="10" t="str">
        <x:v>Geral</x:v>
      </x:c>
      <x:c r="C48" s="11" t="n">
        <x:v>35</x:v>
      </x:c>
      <x:c r="D48" s="10" t="str">
        <x:v>BR-SPAPESP_DASP-PENITPRE-CSDTCARANDIRU.xlsx:Geral:35</x:v>
      </x:c>
      <x:c r="E48" s="10" t="str">
        <x:v>BRSPAPESP_DASPPENITPRE-CSDTCARANDIRU_ICOFOTDGZMT0_3055-005-018V.jpg</x:v>
      </x:c>
      <x:c r="F48" s="10" t="str">
        <x:v>PENITPRE-CSDTCARANDIRU</x:v>
      </x:c>
      <x:c r="G48" s="10" t="str">
        <x:v>ICO</x:v>
      </x:c>
      <x:c r="H48" s="10" t="str">
        <x:v>FOT</x:v>
      </x:c>
      <x:c r="I48" s="10" t="str">
        <x:v>DGZ</x:v>
      </x:c>
      <x:c r="J48" s="10" t="str">
        <x:v>MT0</x:v>
      </x:c>
    </x:row>
    <x:row r="49" ht="24" hidden="0" customHeight="1">
      <x:c r="A49" s="10" t="str">
        <x:v>BR-SPAPESP_DASP-PENITPRE-CSDTCARANDIRU.xlsx</x:v>
      </x:c>
      <x:c r="B49" s="10" t="str">
        <x:v>Geral</x:v>
      </x:c>
      <x:c r="C49" s="11" t="n">
        <x:v>36</x:v>
      </x:c>
      <x:c r="D49" s="10" t="str">
        <x:v>BR-SPAPESP_DASP-PENITPRE-CSDTCARANDIRU.xlsx:Geral:36</x:v>
      </x:c>
      <x:c r="E49" s="10" t="str">
        <x:v>BRSPAPESP_DASPPENITPRE-CSDTCARANDIRU_ICOFOTDGZMT0_3055-005-019F.jpg</x:v>
      </x:c>
      <x:c r="F49" s="10" t="str">
        <x:v>PENITPRE-CSDTCARANDIRU</x:v>
      </x:c>
      <x:c r="G49" s="10" t="str">
        <x:v>ICO</x:v>
      </x:c>
      <x:c r="H49" s="10" t="str">
        <x:v>FOT</x:v>
      </x:c>
      <x:c r="I49" s="10" t="str">
        <x:v>DGZ</x:v>
      </x:c>
      <x:c r="J49" s="10" t="str">
        <x:v>MT0</x:v>
      </x:c>
    </x:row>
    <x:row r="50" ht="24" hidden="0" customHeight="1">
      <x:c r="A50" s="10" t="str">
        <x:v>BR-SPAPESP_DASP-PENITPRE-CSDTCARANDIRU.xlsx</x:v>
      </x:c>
      <x:c r="B50" s="10" t="str">
        <x:v>Geral</x:v>
      </x:c>
      <x:c r="C50" s="11" t="n">
        <x:v>37</x:v>
      </x:c>
      <x:c r="D50" s="10" t="str">
        <x:v>BR-SPAPESP_DASP-PENITPRE-CSDTCARANDIRU.xlsx:Geral:37</x:v>
      </x:c>
      <x:c r="E50" s="10" t="str">
        <x:v>BRSPAPESP_DASPPENITPRE-CSDTCARANDIRU_ICOFOTDGZMT0_3055-005-019V.jpg</x:v>
      </x:c>
      <x:c r="F50" s="10" t="str">
        <x:v>PENITPRE-CSDTCARANDIRU</x:v>
      </x:c>
      <x:c r="G50" s="10" t="str">
        <x:v>ICO</x:v>
      </x:c>
      <x:c r="H50" s="10" t="str">
        <x:v>FOT</x:v>
      </x:c>
      <x:c r="I50" s="10" t="str">
        <x:v>DGZ</x:v>
      </x:c>
      <x:c r="J50" s="10" t="str">
        <x:v>MT0</x:v>
      </x:c>
    </x:row>
    <x:row r="51" ht="24" hidden="0" customHeight="1">
      <x:c r="A51" s="10" t="str">
        <x:v>BR-SPAPESP_DASP-PENITPRE-CSDTCARANDIRU.xlsx</x:v>
      </x:c>
      <x:c r="B51" s="10" t="str">
        <x:v>Geral</x:v>
      </x:c>
      <x:c r="C51" s="11" t="n">
        <x:v>38</x:v>
      </x:c>
      <x:c r="D51" s="10" t="str">
        <x:v>BR-SPAPESP_DASP-PENITPRE-CSDTCARANDIRU.xlsx:Geral:38</x:v>
      </x:c>
      <x:c r="E51" s="10" t="str">
        <x:v>BRSPAPESP_DASPPENITPRE-CSDTCARANDIRU_ICOFOTDGZMT0_3055-005-020F.jpg</x:v>
      </x:c>
      <x:c r="F51" s="10" t="str">
        <x:v>PENITPRE-CSDTCARANDIRU</x:v>
      </x:c>
      <x:c r="G51" s="10" t="str">
        <x:v>ICO</x:v>
      </x:c>
      <x:c r="H51" s="10" t="str">
        <x:v>FOT</x:v>
      </x:c>
      <x:c r="I51" s="10" t="str">
        <x:v>DGZ</x:v>
      </x:c>
      <x:c r="J51" s="10" t="str">
        <x:v>MT0</x:v>
      </x:c>
    </x:row>
    <x:row r="52" ht="24" hidden="0" customHeight="1">
      <x:c r="A52" s="10" t="str">
        <x:v>BR-SPAPESP_DASP-PENITPRE-CSDTCARANDIRU.xlsx</x:v>
      </x:c>
      <x:c r="B52" s="10" t="str">
        <x:v>Geral</x:v>
      </x:c>
      <x:c r="C52" s="11" t="n">
        <x:v>39</x:v>
      </x:c>
      <x:c r="D52" s="10" t="str">
        <x:v>BR-SPAPESP_DASP-PENITPRE-CSDTCARANDIRU.xlsx:Geral:39</x:v>
      </x:c>
      <x:c r="E52" s="10" t="str">
        <x:v>BRSPAPESP_DASPPENITPRE-CSDTCARANDIRU_ICOFOTDGZMT0_3055-005-020V.jpg</x:v>
      </x:c>
      <x:c r="F52" s="10" t="str">
        <x:v>PENITPRE-CSDTCARANDIRU</x:v>
      </x:c>
      <x:c r="G52" s="10" t="str">
        <x:v>ICO</x:v>
      </x:c>
      <x:c r="H52" s="10" t="str">
        <x:v>FOT</x:v>
      </x:c>
      <x:c r="I52" s="10" t="str">
        <x:v>DGZ</x:v>
      </x:c>
      <x:c r="J52" s="10" t="str">
        <x:v>MT0</x:v>
      </x:c>
    </x:row>
    <x:row r="53" ht="24" hidden="0" customHeight="1">
      <x:c r="A53" s="10" t="str">
        <x:v>BR-SPAPESP_DASP-PENITPRE-CSDTCARANDIRU.xlsx</x:v>
      </x:c>
      <x:c r="B53" s="10" t="str">
        <x:v>Geral</x:v>
      </x:c>
      <x:c r="C53" s="11" t="n">
        <x:v>40</x:v>
      </x:c>
      <x:c r="D53" s="10" t="str">
        <x:v>BR-SPAPESP_DASP-PENITPRE-CSDTCARANDIRU.xlsx:Geral:40</x:v>
      </x:c>
      <x:c r="E53" s="10" t="str">
        <x:v>BRSPAPESP_DASPPENITPRE-CSDTCARANDIRU_ICOFOTDGZMT0_3055-005-021F.jpg</x:v>
      </x:c>
      <x:c r="F53" s="10" t="str">
        <x:v>PENITPRE-CSDTCARANDIRU</x:v>
      </x:c>
      <x:c r="G53" s="10" t="str">
        <x:v>ICO</x:v>
      </x:c>
      <x:c r="H53" s="10" t="str">
        <x:v>FOT</x:v>
      </x:c>
      <x:c r="I53" s="10" t="str">
        <x:v>DGZ</x:v>
      </x:c>
      <x:c r="J53" s="10" t="str">
        <x:v>MT0</x:v>
      </x:c>
    </x:row>
    <x:row r="54" ht="24" hidden="0" customHeight="1">
      <x:c r="A54" s="10" t="str">
        <x:v>BR-SPAPESP_DASP-PENITPRE-CSDTCARANDIRU.xlsx</x:v>
      </x:c>
      <x:c r="B54" s="10" t="str">
        <x:v>Geral</x:v>
      </x:c>
      <x:c r="C54" s="11" t="n">
        <x:v>41</x:v>
      </x:c>
      <x:c r="D54" s="10" t="str">
        <x:v>BR-SPAPESP_DASP-PENITPRE-CSDTCARANDIRU.xlsx:Geral:41</x:v>
      </x:c>
      <x:c r="E54" s="10" t="str">
        <x:v>BRSPAPESP_DASPPENITPRE-CSDTCARANDIRU_ICOFOTDGZMT0_3055-005-021V.jpg</x:v>
      </x:c>
      <x:c r="F54" s="10" t="str">
        <x:v>PENITPRE-CSDTCARANDIRU</x:v>
      </x:c>
      <x:c r="G54" s="10" t="str">
        <x:v>ICO</x:v>
      </x:c>
      <x:c r="H54" s="10" t="str">
        <x:v>FOT</x:v>
      </x:c>
      <x:c r="I54" s="10" t="str">
        <x:v>DGZ</x:v>
      </x:c>
      <x:c r="J54" s="10" t="str">
        <x:v>MT0</x:v>
      </x:c>
    </x:row>
    <x:row r="55" ht="24" hidden="0" customHeight="1">
      <x:c r="A55" s="10" t="str">
        <x:v>BR-SPAPESP_DASP-PENITPRE-CSDTCARANDIRU.xlsx</x:v>
      </x:c>
      <x:c r="B55" s="10" t="str">
        <x:v>Geral</x:v>
      </x:c>
      <x:c r="C55" s="11" t="n">
        <x:v>42</x:v>
      </x:c>
      <x:c r="D55" s="10" t="str">
        <x:v>BR-SPAPESP_DASP-PENITPRE-CSDTCARANDIRU.xlsx:Geral:42</x:v>
      </x:c>
      <x:c r="E55" s="10" t="str">
        <x:v>BRSPAPESP_DASPPENITPRE-CSDTCARANDIRU_ICOFOTDGZMT0_3055-005-022F.jpg</x:v>
      </x:c>
      <x:c r="F55" s="10" t="str">
        <x:v>PENITPRE-CSDTCARANDIRU</x:v>
      </x:c>
      <x:c r="G55" s="10" t="str">
        <x:v>ICO</x:v>
      </x:c>
      <x:c r="H55" s="10" t="str">
        <x:v>FOT</x:v>
      </x:c>
      <x:c r="I55" s="10" t="str">
        <x:v>DGZ</x:v>
      </x:c>
      <x:c r="J55" s="10" t="str">
        <x:v>MT0</x:v>
      </x:c>
    </x:row>
    <x:row r="56" ht="24" hidden="0" customHeight="1">
      <x:c r="A56" s="10" t="str">
        <x:v>BR-SPAPESP_DASP-PENITPRE-CSDTCARANDIRU.xlsx</x:v>
      </x:c>
      <x:c r="B56" s="10" t="str">
        <x:v>Geral</x:v>
      </x:c>
      <x:c r="C56" s="11" t="n">
        <x:v>43</x:v>
      </x:c>
      <x:c r="D56" s="10" t="str">
        <x:v>BR-SPAPESP_DASP-PENITPRE-CSDTCARANDIRU.xlsx:Geral:43</x:v>
      </x:c>
      <x:c r="E56" s="10" t="str">
        <x:v>BRSPAPESP_DASPPENITPRE-CSDTCARANDIRU_ICOFOTDGZMT0_3055-005-022V.jpg</x:v>
      </x:c>
      <x:c r="F56" s="10" t="str">
        <x:v>PENITPRE-CSDTCARANDIRU</x:v>
      </x:c>
      <x:c r="G56" s="10" t="str">
        <x:v>ICO</x:v>
      </x:c>
      <x:c r="H56" s="10" t="str">
        <x:v>FOT</x:v>
      </x:c>
      <x:c r="I56" s="10" t="str">
        <x:v>DGZ</x:v>
      </x:c>
      <x:c r="J56" s="10" t="str">
        <x:v>MT0</x:v>
      </x:c>
    </x:row>
    <x:row r="57" ht="24" hidden="0" customHeight="1">
      <x:c r="A57" s="10" t="str">
        <x:v>BR-SPAPESP_DASP-PENITPRE-CSDTCARANDIRU.xlsx</x:v>
      </x:c>
      <x:c r="B57" s="10" t="str">
        <x:v>Geral</x:v>
      </x:c>
      <x:c r="C57" s="11" t="n">
        <x:v>44</x:v>
      </x:c>
      <x:c r="D57" s="10" t="str">
        <x:v>BR-SPAPESP_DASP-PENITPRE-CSDTCARANDIRU.xlsx:Geral:44</x:v>
      </x:c>
      <x:c r="E57" s="10" t="str">
        <x:v>BRSPAPESP_DASPPENITPRE-CSDTCARANDIRU_ICOFOTDGZMT0_3055-005-023F.jpg</x:v>
      </x:c>
      <x:c r="F57" s="10" t="str">
        <x:v>PENITPRE-CSDTCARANDIRU</x:v>
      </x:c>
      <x:c r="G57" s="10" t="str">
        <x:v>ICO</x:v>
      </x:c>
      <x:c r="H57" s="10" t="str">
        <x:v>FOT</x:v>
      </x:c>
      <x:c r="I57" s="10" t="str">
        <x:v>DGZ</x:v>
      </x:c>
      <x:c r="J57" s="10" t="str">
        <x:v>MT0</x:v>
      </x:c>
    </x:row>
    <x:row r="58" ht="24" hidden="0" customHeight="1">
      <x:c r="A58" s="10" t="str">
        <x:v>BR-SPAPESP_DASP-PENITPRE-CSDTCARANDIRU.xlsx</x:v>
      </x:c>
      <x:c r="B58" s="10" t="str">
        <x:v>Geral</x:v>
      </x:c>
      <x:c r="C58" s="11" t="n">
        <x:v>45</x:v>
      </x:c>
      <x:c r="D58" s="10" t="str">
        <x:v>BR-SPAPESP_DASP-PENITPRE-CSDTCARANDIRU.xlsx:Geral:45</x:v>
      </x:c>
      <x:c r="E58" s="10" t="str">
        <x:v>BRSPAPESP_DASPPENITPRE-CSDTCARANDIRU_ICOFOTDGZMT0_3055-005-023V.jpg</x:v>
      </x:c>
      <x:c r="F58" s="10" t="str">
        <x:v>PENITPRE-CSDTCARANDIRU</x:v>
      </x:c>
      <x:c r="G58" s="10" t="str">
        <x:v>ICO</x:v>
      </x:c>
      <x:c r="H58" s="10" t="str">
        <x:v>FOT</x:v>
      </x:c>
      <x:c r="I58" s="10" t="str">
        <x:v>DGZ</x:v>
      </x:c>
      <x:c r="J58" s="10" t="str">
        <x:v>MT0</x:v>
      </x:c>
    </x:row>
    <x:row r="59" ht="24" hidden="0" customHeight="1">
      <x:c r="A59" s="10" t="str">
        <x:v>BR-SPAPESP_DASP-PENITPRE-CSDTCARANDIRU.xlsx</x:v>
      </x:c>
      <x:c r="B59" s="10" t="str">
        <x:v>Geral</x:v>
      </x:c>
      <x:c r="C59" s="11" t="n">
        <x:v>46</x:v>
      </x:c>
      <x:c r="D59" s="10" t="str">
        <x:v>BR-SPAPESP_DASP-PENITPRE-CSDTCARANDIRU.xlsx:Geral:46</x:v>
      </x:c>
      <x:c r="E59" s="10" t="str">
        <x:v>BRSPAPESP_DASPPENITPRE-CSDTCARANDIRU_ICOFOTDGZMT0_3055-005-024F.jpg</x:v>
      </x:c>
      <x:c r="F59" s="10" t="str">
        <x:v>PENITPRE-CSDTCARANDIRU</x:v>
      </x:c>
      <x:c r="G59" s="10" t="str">
        <x:v>ICO</x:v>
      </x:c>
      <x:c r="H59" s="10" t="str">
        <x:v>FOT</x:v>
      </x:c>
      <x:c r="I59" s="10" t="str">
        <x:v>DGZ</x:v>
      </x:c>
      <x:c r="J59" s="10" t="str">
        <x:v>MT0</x:v>
      </x:c>
    </x:row>
    <x:row r="60" ht="24" hidden="0" customHeight="1">
      <x:c r="A60" s="10" t="str">
        <x:v>BR-SPAPESP_DASP-PENITPRE-CSDTCARANDIRU.xlsx</x:v>
      </x:c>
      <x:c r="B60" s="10" t="str">
        <x:v>Geral</x:v>
      </x:c>
      <x:c r="C60" s="11" t="n">
        <x:v>47</x:v>
      </x:c>
      <x:c r="D60" s="10" t="str">
        <x:v>BR-SPAPESP_DASP-PENITPRE-CSDTCARANDIRU.xlsx:Geral:47</x:v>
      </x:c>
      <x:c r="E60" s="10" t="str">
        <x:v>BRSPAPESP_DASPPENITPRE-CSDTCARANDIRU_ICOFOTDGZMT0_3055-005-024V.jpg</x:v>
      </x:c>
      <x:c r="F60" s="10" t="str">
        <x:v>PENITPRE-CSDTCARANDIRU</x:v>
      </x:c>
      <x:c r="G60" s="10" t="str">
        <x:v>ICO</x:v>
      </x:c>
      <x:c r="H60" s="10" t="str">
        <x:v>FOT</x:v>
      </x:c>
      <x:c r="I60" s="10" t="str">
        <x:v>DGZ</x:v>
      </x:c>
      <x:c r="J60" s="10" t="str">
        <x:v>MT0</x:v>
      </x:c>
    </x:row>
    <x:row r="61" ht="24" hidden="0" customHeight="1">
      <x:c r="A61" s="10" t="str">
        <x:v>BR-SPAPESP_DASP-PENITPRE-CSDTCARANDIRU.xlsx</x:v>
      </x:c>
      <x:c r="B61" s="10" t="str">
        <x:v>Geral</x:v>
      </x:c>
      <x:c r="C61" s="11" t="n">
        <x:v>48</x:v>
      </x:c>
      <x:c r="D61" s="10" t="str">
        <x:v>BR-SPAPESP_DASP-PENITPRE-CSDTCARANDIRU.xlsx:Geral:48</x:v>
      </x:c>
      <x:c r="E61" s="10" t="str">
        <x:v>BRSPAPESP_DASPPENITPRE-CSDTCARANDIRU_ICOFOTDGZMT0_3055-005-025F.jpg</x:v>
      </x:c>
      <x:c r="F61" s="10" t="str">
        <x:v>PENITPRE-CSDTCARANDIRU</x:v>
      </x:c>
      <x:c r="G61" s="10" t="str">
        <x:v>ICO</x:v>
      </x:c>
      <x:c r="H61" s="10" t="str">
        <x:v>FOT</x:v>
      </x:c>
      <x:c r="I61" s="10" t="str">
        <x:v>DGZ</x:v>
      </x:c>
      <x:c r="J61" s="10" t="str">
        <x:v>MT0</x:v>
      </x:c>
    </x:row>
    <x:row r="62" ht="24" hidden="0" customHeight="1">
      <x:c r="A62" s="10" t="str">
        <x:v>BR-SPAPESP_DASP-PENITPRE-CSDTCARANDIRU.xlsx</x:v>
      </x:c>
      <x:c r="B62" s="10" t="str">
        <x:v>Geral</x:v>
      </x:c>
      <x:c r="C62" s="11" t="n">
        <x:v>49</x:v>
      </x:c>
      <x:c r="D62" s="10" t="str">
        <x:v>BR-SPAPESP_DASP-PENITPRE-CSDTCARANDIRU.xlsx:Geral:49</x:v>
      </x:c>
      <x:c r="E62" s="10" t="str">
        <x:v>BRSPAPESP_DASPPENITPRE-CSDTCARANDIRU_ICOFOTDGZMT0_3055-005-025V.jpg</x:v>
      </x:c>
      <x:c r="F62" s="10" t="str">
        <x:v>PENITPRE-CSDTCARANDIRU</x:v>
      </x:c>
      <x:c r="G62" s="10" t="str">
        <x:v>ICO</x:v>
      </x:c>
      <x:c r="H62" s="10" t="str">
        <x:v>FOT</x:v>
      </x:c>
      <x:c r="I62" s="10" t="str">
        <x:v>DGZ</x:v>
      </x:c>
      <x:c r="J62" s="10" t="str">
        <x:v>MT0</x:v>
      </x:c>
    </x:row>
    <x:row r="63" ht="24" hidden="0" customHeight="1">
      <x:c r="A63" s="10" t="str">
        <x:v>BR-SPAPESP_DASP-PENITPRE-CSDTCARANDIRU.xlsx</x:v>
      </x:c>
      <x:c r="B63" s="10" t="str">
        <x:v>Geral</x:v>
      </x:c>
      <x:c r="C63" s="11" t="n">
        <x:v>50</x:v>
      </x:c>
      <x:c r="D63" s="10" t="str">
        <x:v>BR-SPAPESP_DASP-PENITPRE-CSDTCARANDIRU.xlsx:Geral:50</x:v>
      </x:c>
      <x:c r="E63" s="10" t="str">
        <x:v>BRSPAPESP_DASPPENITPRE-CSDTCARANDIRU_ICOFOTDGZMT0_3055-005-026F.jpg</x:v>
      </x:c>
      <x:c r="F63" s="10" t="str">
        <x:v>PENITPRE-CSDTCARANDIRU</x:v>
      </x:c>
      <x:c r="G63" s="10" t="str">
        <x:v>ICO</x:v>
      </x:c>
      <x:c r="H63" s="10" t="str">
        <x:v>FOT</x:v>
      </x:c>
      <x:c r="I63" s="10" t="str">
        <x:v>DGZ</x:v>
      </x:c>
      <x:c r="J63" s="10" t="str">
        <x:v>MT0</x:v>
      </x:c>
    </x:row>
    <x:row r="64" ht="24" hidden="0" customHeight="1">
      <x:c r="A64" s="10" t="str">
        <x:v>BR-SPAPESP_DASP-PENITPRE-CSDTCARANDIRU.xlsx</x:v>
      </x:c>
      <x:c r="B64" s="10" t="str">
        <x:v>Geral</x:v>
      </x:c>
      <x:c r="C64" s="11" t="n">
        <x:v>51</x:v>
      </x:c>
      <x:c r="D64" s="10" t="str">
        <x:v>BR-SPAPESP_DASP-PENITPRE-CSDTCARANDIRU.xlsx:Geral:51</x:v>
      </x:c>
      <x:c r="E64" s="10" t="str">
        <x:v>BRSPAPESP_DASPPENITPRE-CSDTCARANDIRU_ICOFOTDGZMT0_3055-005-026V.jpg</x:v>
      </x:c>
      <x:c r="F64" s="10" t="str">
        <x:v>PENITPRE-CSDTCARANDIRU</x:v>
      </x:c>
      <x:c r="G64" s="10" t="str">
        <x:v>ICO</x:v>
      </x:c>
      <x:c r="H64" s="10" t="str">
        <x:v>FOT</x:v>
      </x:c>
      <x:c r="I64" s="10" t="str">
        <x:v>DGZ</x:v>
      </x:c>
      <x:c r="J64" s="10" t="str">
        <x:v>MT0</x:v>
      </x:c>
    </x:row>
    <x:row r="65" ht="24" hidden="0" customHeight="1">
      <x:c r="A65" s="10" t="str">
        <x:v>BR-SPAPESP_DASP-PENITPRE-CSDTCARANDIRU.xlsx</x:v>
      </x:c>
      <x:c r="B65" s="10" t="str">
        <x:v>Geral</x:v>
      </x:c>
      <x:c r="C65" s="11" t="n">
        <x:v>52</x:v>
      </x:c>
      <x:c r="D65" s="10" t="str">
        <x:v>BR-SPAPESP_DASP-PENITPRE-CSDTCARANDIRU.xlsx:Geral:52</x:v>
      </x:c>
      <x:c r="E65" s="10" t="str">
        <x:v>BRSPAPESP_DASPPENITPRE-CSDTCARANDIRU_ICOFOTDGZMT0_3055-005-027F.jpg</x:v>
      </x:c>
      <x:c r="F65" s="10" t="str">
        <x:v>PENITPRE-CSDTCARANDIRU</x:v>
      </x:c>
      <x:c r="G65" s="10" t="str">
        <x:v>ICO</x:v>
      </x:c>
      <x:c r="H65" s="10" t="str">
        <x:v>FOT</x:v>
      </x:c>
      <x:c r="I65" s="10" t="str">
        <x:v>DGZ</x:v>
      </x:c>
      <x:c r="J65" s="10" t="str">
        <x:v>MT0</x:v>
      </x:c>
    </x:row>
    <x:row r="66" ht="24" hidden="0" customHeight="1">
      <x:c r="A66" s="10" t="str">
        <x:v>BR-SPAPESP_DASP-PENITPRE-CSDTCARANDIRU.xlsx</x:v>
      </x:c>
      <x:c r="B66" s="10" t="str">
        <x:v>Geral</x:v>
      </x:c>
      <x:c r="C66" s="11" t="n">
        <x:v>53</x:v>
      </x:c>
      <x:c r="D66" s="10" t="str">
        <x:v>BR-SPAPESP_DASP-PENITPRE-CSDTCARANDIRU.xlsx:Geral:53</x:v>
      </x:c>
      <x:c r="E66" s="10" t="str">
        <x:v>BRSPAPESP_DASPPENITPRE-CSDTCARANDIRU_ICOFOTDGZMT0_3055-005-027V.jpg</x:v>
      </x:c>
      <x:c r="F66" s="10" t="str">
        <x:v>PENITPRE-CSDTCARANDIRU</x:v>
      </x:c>
      <x:c r="G66" s="10" t="str">
        <x:v>ICO</x:v>
      </x:c>
      <x:c r="H66" s="10" t="str">
        <x:v>FOT</x:v>
      </x:c>
      <x:c r="I66" s="10" t="str">
        <x:v>DGZ</x:v>
      </x:c>
      <x:c r="J66" s="10" t="str">
        <x:v>MT0</x:v>
      </x:c>
    </x:row>
    <x:row r="67" ht="24" hidden="0" customHeight="1">
      <x:c r="A67" s="10" t="str">
        <x:v>BR-SPAPESP_DASP-PENITPRE-CSDTCARANDIRU.xlsx</x:v>
      </x:c>
      <x:c r="B67" s="10" t="str">
        <x:v>Geral</x:v>
      </x:c>
      <x:c r="C67" s="11" t="n">
        <x:v>54</x:v>
      </x:c>
      <x:c r="D67" s="10" t="str">
        <x:v>BR-SPAPESP_DASP-PENITPRE-CSDTCARANDIRU.xlsx:Geral:54</x:v>
      </x:c>
      <x:c r="E67" s="10" t="str">
        <x:v>BRSPAPESP_DASPPENITPRE-CSDTCARANDIRU_ICOFOTDGZMT0_3055-005-028F.jpg</x:v>
      </x:c>
      <x:c r="F67" s="10" t="str">
        <x:v>PENITPRE-CSDTCARANDIRU</x:v>
      </x:c>
      <x:c r="G67" s="10" t="str">
        <x:v>ICO</x:v>
      </x:c>
      <x:c r="H67" s="10" t="str">
        <x:v>FOT</x:v>
      </x:c>
      <x:c r="I67" s="10" t="str">
        <x:v>DGZ</x:v>
      </x:c>
      <x:c r="J67" s="10" t="str">
        <x:v>MT0</x:v>
      </x:c>
    </x:row>
    <x:row r="68" ht="24" hidden="0" customHeight="1">
      <x:c r="A68" s="10" t="str">
        <x:v>BR-SPAPESP_DASP-PENITPRE-CSDTCARANDIRU.xlsx</x:v>
      </x:c>
      <x:c r="B68" s="10" t="str">
        <x:v>Geral</x:v>
      </x:c>
      <x:c r="C68" s="11" t="n">
        <x:v>55</x:v>
      </x:c>
      <x:c r="D68" s="10" t="str">
        <x:v>BR-SPAPESP_DASP-PENITPRE-CSDTCARANDIRU.xlsx:Geral:55</x:v>
      </x:c>
      <x:c r="E68" s="10" t="str">
        <x:v>BRSPAPESP_DASPPENITPRE-CSDTCARANDIRU_ICOFOTDGZMT0_3055-005-028V.jpg</x:v>
      </x:c>
      <x:c r="F68" s="10" t="str">
        <x:v>PENITPRE-CSDTCARANDIRU</x:v>
      </x:c>
      <x:c r="G68" s="10" t="str">
        <x:v>ICO</x:v>
      </x:c>
      <x:c r="H68" s="10" t="str">
        <x:v>FOT</x:v>
      </x:c>
      <x:c r="I68" s="10" t="str">
        <x:v>DGZ</x:v>
      </x:c>
      <x:c r="J68" s="10" t="str">
        <x:v>MT0</x:v>
      </x:c>
    </x:row>
    <x:row r="69" ht="24" hidden="0" customHeight="1">
      <x:c r="A69" s="10" t="str">
        <x:v>BR-SPAPESP_DASP-PENITPRE-CSDTCARANDIRU.xlsx</x:v>
      </x:c>
      <x:c r="B69" s="10" t="str">
        <x:v>Geral</x:v>
      </x:c>
      <x:c r="C69" s="11" t="n">
        <x:v>56</x:v>
      </x:c>
      <x:c r="D69" s="10" t="str">
        <x:v>BR-SPAPESP_DASP-PENITPRE-CSDTCARANDIRU.xlsx:Geral:56</x:v>
      </x:c>
      <x:c r="E69" s="10" t="str">
        <x:v>BRSPAPESP_DASPPENITPRE-CSDTCARANDIRU_ICOFOTDGZMT0_3055-005-029F.jpg</x:v>
      </x:c>
      <x:c r="F69" s="10" t="str">
        <x:v>PENITPRE-CSDTCARANDIRU</x:v>
      </x:c>
      <x:c r="G69" s="10" t="str">
        <x:v>ICO</x:v>
      </x:c>
      <x:c r="H69" s="10" t="str">
        <x:v>FOT</x:v>
      </x:c>
      <x:c r="I69" s="10" t="str">
        <x:v>DGZ</x:v>
      </x:c>
      <x:c r="J69" s="10" t="str">
        <x:v>MT0</x:v>
      </x:c>
    </x:row>
    <x:row r="70" ht="24" hidden="0" customHeight="1">
      <x:c r="A70" s="10" t="str">
        <x:v>BR-SPAPESP_DASP-PENITPRE-CSDTCARANDIRU.xlsx</x:v>
      </x:c>
      <x:c r="B70" s="10" t="str">
        <x:v>Geral</x:v>
      </x:c>
      <x:c r="C70" s="11" t="n">
        <x:v>57</x:v>
      </x:c>
      <x:c r="D70" s="10" t="str">
        <x:v>BR-SPAPESP_DASP-PENITPRE-CSDTCARANDIRU.xlsx:Geral:57</x:v>
      </x:c>
      <x:c r="E70" s="10" t="str">
        <x:v>BRSPAPESP_DASPPENITPRE-CSDTCARANDIRU_ICOFOTDGZMT0_3055-005-029V.jpg</x:v>
      </x:c>
      <x:c r="F70" s="10" t="str">
        <x:v>PENITPRE-CSDTCARANDIRU</x:v>
      </x:c>
      <x:c r="G70" s="10" t="str">
        <x:v>ICO</x:v>
      </x:c>
      <x:c r="H70" s="10" t="str">
        <x:v>FOT</x:v>
      </x:c>
      <x:c r="I70" s="10" t="str">
        <x:v>DGZ</x:v>
      </x:c>
      <x:c r="J70" s="10" t="str">
        <x:v>MT0</x:v>
      </x:c>
    </x:row>
    <x:row r="71" ht="24" hidden="0" customHeight="1">
      <x:c r="A71" s="10" t="str">
        <x:v>BR-SPAPESP_DASP-PENITPRE-CSDTCARANDIRU.xlsx</x:v>
      </x:c>
      <x:c r="B71" s="10" t="str">
        <x:v>Geral</x:v>
      </x:c>
      <x:c r="C71" s="11" t="n">
        <x:v>58</x:v>
      </x:c>
      <x:c r="D71" s="10" t="str">
        <x:v>BR-SPAPESP_DASP-PENITPRE-CSDTCARANDIRU.xlsx:Geral:58</x:v>
      </x:c>
      <x:c r="E71" s="10" t="str">
        <x:v>BRSPAPESP_DASPPENITPRE-CSDTCARANDIRU_ICOFOTDGZMT0_3055-005-030F.jpg</x:v>
      </x:c>
      <x:c r="F71" s="10" t="str">
        <x:v>PENITPRE-CSDTCARANDIRU</x:v>
      </x:c>
      <x:c r="G71" s="10" t="str">
        <x:v>ICO</x:v>
      </x:c>
      <x:c r="H71" s="10" t="str">
        <x:v>FOT</x:v>
      </x:c>
      <x:c r="I71" s="10" t="str">
        <x:v>DGZ</x:v>
      </x:c>
      <x:c r="J71" s="10" t="str">
        <x:v>MT0</x:v>
      </x:c>
    </x:row>
    <x:row r="72" ht="24" hidden="0" customHeight="1">
      <x:c r="A72" s="10" t="str">
        <x:v>BR-SPAPESP_DASP-PENITPRE-CSDTCARANDIRU.xlsx</x:v>
      </x:c>
      <x:c r="B72" s="10" t="str">
        <x:v>Geral</x:v>
      </x:c>
      <x:c r="C72" s="11" t="n">
        <x:v>59</x:v>
      </x:c>
      <x:c r="D72" s="10" t="str">
        <x:v>BR-SPAPESP_DASP-PENITPRE-CSDTCARANDIRU.xlsx:Geral:59</x:v>
      </x:c>
      <x:c r="E72" s="10" t="str">
        <x:v>BRSPAPESP_DASPPENITPRE-CSDTCARANDIRU_ICOFOTDGZMT0_3055-005-030V.jpg</x:v>
      </x:c>
      <x:c r="F72" s="10" t="str">
        <x:v>PENITPRE-CSDTCARANDIRU</x:v>
      </x:c>
      <x:c r="G72" s="10" t="str">
        <x:v>ICO</x:v>
      </x:c>
      <x:c r="H72" s="10" t="str">
        <x:v>FOT</x:v>
      </x:c>
      <x:c r="I72" s="10" t="str">
        <x:v>DGZ</x:v>
      </x:c>
      <x:c r="J72" s="10" t="str">
        <x:v>MT0</x:v>
      </x:c>
    </x:row>
    <x:row r="73" ht="24" hidden="0" customHeight="1">
      <x:c r="A73" s="10" t="str">
        <x:v>BR-SPAPESP_DASP-PENITPRE-CSDTCARANDIRU.xlsx</x:v>
      </x:c>
      <x:c r="B73" s="10" t="str">
        <x:v>Geral</x:v>
      </x:c>
      <x:c r="C73" s="11" t="n">
        <x:v>60</x:v>
      </x:c>
      <x:c r="D73" s="10" t="str">
        <x:v>BR-SPAPESP_DASP-PENITPRE-CSDTCARANDIRU.xlsx:Geral:60</x:v>
      </x:c>
      <x:c r="E73" s="10" t="str">
        <x:v>BRSPAPESP_DASPPENITPRE-CSDTCARANDIRU_ICOFOTDGZMT0_3055-005-031F.jpg</x:v>
      </x:c>
      <x:c r="F73" s="10" t="str">
        <x:v>PENITPRE-CSDTCARANDIRU</x:v>
      </x:c>
      <x:c r="G73" s="10" t="str">
        <x:v>ICO</x:v>
      </x:c>
      <x:c r="H73" s="10" t="str">
        <x:v>FOT</x:v>
      </x:c>
      <x:c r="I73" s="10" t="str">
        <x:v>DGZ</x:v>
      </x:c>
      <x:c r="J73" s="10" t="str">
        <x:v>MT0</x:v>
      </x:c>
    </x:row>
    <x:row r="74" ht="24" hidden="0" customHeight="1">
      <x:c r="A74" s="10" t="str">
        <x:v>BR-SPAPESP_DASP-PENITPRE-CSDTCARANDIRU.xlsx</x:v>
      </x:c>
      <x:c r="B74" s="10" t="str">
        <x:v>Geral</x:v>
      </x:c>
      <x:c r="C74" s="11" t="n">
        <x:v>61</x:v>
      </x:c>
      <x:c r="D74" s="10" t="str">
        <x:v>BR-SPAPESP_DASP-PENITPRE-CSDTCARANDIRU.xlsx:Geral:61</x:v>
      </x:c>
      <x:c r="E74" s="10" t="str">
        <x:v>BRSPAPESP_DASPPENITPRE-CSDTCARANDIRU_ICOFOTDGZMT0_3055-005-031V.jpg</x:v>
      </x:c>
      <x:c r="F74" s="10" t="str">
        <x:v>PENITPRE-CSDTCARANDIRU</x:v>
      </x:c>
      <x:c r="G74" s="10" t="str">
        <x:v>ICO</x:v>
      </x:c>
      <x:c r="H74" s="10" t="str">
        <x:v>FOT</x:v>
      </x:c>
      <x:c r="I74" s="10" t="str">
        <x:v>DGZ</x:v>
      </x:c>
      <x:c r="J74" s="10" t="str">
        <x:v>MT0</x:v>
      </x:c>
    </x:row>
    <x:row r="75" ht="24" hidden="0" customHeight="1">
      <x:c r="A75" s="10" t="str">
        <x:v>BR-SPAPESP_DASP-PENITPRE-CSDTCARANDIRU.xlsx</x:v>
      </x:c>
      <x:c r="B75" s="10" t="str">
        <x:v>Geral</x:v>
      </x:c>
      <x:c r="C75" s="11" t="n">
        <x:v>62</x:v>
      </x:c>
      <x:c r="D75" s="10" t="str">
        <x:v>BR-SPAPESP_DASP-PENITPRE-CSDTCARANDIRU.xlsx:Geral:62</x:v>
      </x:c>
      <x:c r="E75" s="10" t="str">
        <x:v>BRSPAPESP_DASPPENITPRE-CSDTCARANDIRU_ICOFOTDGZMT0_3055-005-032F.jpg</x:v>
      </x:c>
      <x:c r="F75" s="10" t="str">
        <x:v>PENITPRE-CSDTCARANDIRU</x:v>
      </x:c>
      <x:c r="G75" s="10" t="str">
        <x:v>ICO</x:v>
      </x:c>
      <x:c r="H75" s="10" t="str">
        <x:v>FOT</x:v>
      </x:c>
      <x:c r="I75" s="10" t="str">
        <x:v>DGZ</x:v>
      </x:c>
      <x:c r="J75" s="10" t="str">
        <x:v>MT0</x:v>
      </x:c>
    </x:row>
    <x:row r="76" ht="24" hidden="0" customHeight="1">
      <x:c r="A76" s="10" t="str">
        <x:v>BR-SPAPESP_DASP-PENITPRE-CSDTCARANDIRU.xlsx</x:v>
      </x:c>
      <x:c r="B76" s="10" t="str">
        <x:v>Geral</x:v>
      </x:c>
      <x:c r="C76" s="11" t="n">
        <x:v>63</x:v>
      </x:c>
      <x:c r="D76" s="10" t="str">
        <x:v>BR-SPAPESP_DASP-PENITPRE-CSDTCARANDIRU.xlsx:Geral:63</x:v>
      </x:c>
      <x:c r="E76" s="10" t="str">
        <x:v>BRSPAPESP_DASPPENITPRE-CSDTCARANDIRU_ICOFOTDGZMT0_3055-005-032V.jpg</x:v>
      </x:c>
      <x:c r="F76" s="10" t="str">
        <x:v>PENITPRE-CSDTCARANDIRU</x:v>
      </x:c>
      <x:c r="G76" s="10" t="str">
        <x:v>ICO</x:v>
      </x:c>
      <x:c r="H76" s="10" t="str">
        <x:v>FOT</x:v>
      </x:c>
      <x:c r="I76" s="10" t="str">
        <x:v>DGZ</x:v>
      </x:c>
      <x:c r="J76" s="10" t="str">
        <x:v>MT0</x:v>
      </x:c>
    </x:row>
    <x:row r="77" ht="24" hidden="0" customHeight="1">
      <x:c r="A77" s="10" t="str">
        <x:v>BR-SPAPESP_DASP-PENITPRE-CSDTCARANDIRU.xlsx</x:v>
      </x:c>
      <x:c r="B77" s="10" t="str">
        <x:v>Geral</x:v>
      </x:c>
      <x:c r="C77" s="11" t="n">
        <x:v>64</x:v>
      </x:c>
      <x:c r="D77" s="10" t="str">
        <x:v>BR-SPAPESP_DASP-PENITPRE-CSDTCARANDIRU.xlsx:Geral:64</x:v>
      </x:c>
      <x:c r="E77" s="10" t="str">
        <x:v>BRSPAPESP_DASPPENITPRE-CSDTCARANDIRU_ICOFOTDGZMT0_3055-005-033F.jpg</x:v>
      </x:c>
      <x:c r="F77" s="10" t="str">
        <x:v>PENITPRE-CSDTCARANDIRU</x:v>
      </x:c>
      <x:c r="G77" s="10" t="str">
        <x:v>ICO</x:v>
      </x:c>
      <x:c r="H77" s="10" t="str">
        <x:v>FOT</x:v>
      </x:c>
      <x:c r="I77" s="10" t="str">
        <x:v>DGZ</x:v>
      </x:c>
      <x:c r="J77" s="10" t="str">
        <x:v>MT0</x:v>
      </x:c>
    </x:row>
    <x:row r="78" ht="24" hidden="0" customHeight="1">
      <x:c r="A78" s="10" t="str">
        <x:v>BR-SPAPESP_DASP-PENITPRE-CSDTCARANDIRU.xlsx</x:v>
      </x:c>
      <x:c r="B78" s="10" t="str">
        <x:v>Geral</x:v>
      </x:c>
      <x:c r="C78" s="11" t="n">
        <x:v>65</x:v>
      </x:c>
      <x:c r="D78" s="10" t="str">
        <x:v>BR-SPAPESP_DASP-PENITPRE-CSDTCARANDIRU.xlsx:Geral:65</x:v>
      </x:c>
      <x:c r="E78" s="10" t="str">
        <x:v>BRSPAPESP_DASPPENITPRE-CSDTCARANDIRU_ICOFOTDGZMT0_3055-005-033V.jpg</x:v>
      </x:c>
      <x:c r="F78" s="10" t="str">
        <x:v>PENITPRE-CSDTCARANDIRU</x:v>
      </x:c>
      <x:c r="G78" s="10" t="str">
        <x:v>ICO</x:v>
      </x:c>
      <x:c r="H78" s="10" t="str">
        <x:v>FOT</x:v>
      </x:c>
      <x:c r="I78" s="10" t="str">
        <x:v>DGZ</x:v>
      </x:c>
      <x:c r="J78" s="10" t="str">
        <x:v>MT0</x:v>
      </x:c>
    </x:row>
    <x:row r="79" ht="24" hidden="0" customHeight="1">
      <x:c r="A79" s="10" t="str">
        <x:v>BR-SPAPESP_DASP-PENITPRE-CSDTCARANDIRU.xlsx</x:v>
      </x:c>
      <x:c r="B79" s="10" t="str">
        <x:v>Geral</x:v>
      </x:c>
      <x:c r="C79" s="11" t="n">
        <x:v>66</x:v>
      </x:c>
      <x:c r="D79" s="10" t="str">
        <x:v>BR-SPAPESP_DASP-PENITPRE-CSDTCARANDIRU.xlsx:Geral:66</x:v>
      </x:c>
      <x:c r="E79" s="10" t="str">
        <x:v>BRSPAPESP_DASPPENITPRE-CSDTCARANDIRU_ICOFOTDGZMT0_3055-005-034F.jpg</x:v>
      </x:c>
      <x:c r="F79" s="10" t="str">
        <x:v>PENITPRE-CSDTCARANDIRU</x:v>
      </x:c>
      <x:c r="G79" s="10" t="str">
        <x:v>ICO</x:v>
      </x:c>
      <x:c r="H79" s="10" t="str">
        <x:v>FOT</x:v>
      </x:c>
      <x:c r="I79" s="10" t="str">
        <x:v>DGZ</x:v>
      </x:c>
      <x:c r="J79" s="10" t="str">
        <x:v>MT0</x:v>
      </x:c>
    </x:row>
    <x:row r="80" ht="24" hidden="0" customHeight="1">
      <x:c r="A80" s="10" t="str">
        <x:v>BR-SPAPESP_DASP-PENITPRE-CSDTCARANDIRU.xlsx</x:v>
      </x:c>
      <x:c r="B80" s="10" t="str">
        <x:v>Geral</x:v>
      </x:c>
      <x:c r="C80" s="11" t="n">
        <x:v>67</x:v>
      </x:c>
      <x:c r="D80" s="10" t="str">
        <x:v>BR-SPAPESP_DASP-PENITPRE-CSDTCARANDIRU.xlsx:Geral:67</x:v>
      </x:c>
      <x:c r="E80" s="10" t="str">
        <x:v>BRSPAPESP_DASPPENITPRE-CSDTCARANDIRU_ICOFOTDGZMT0_3055-005-034V.jpg</x:v>
      </x:c>
      <x:c r="F80" s="10" t="str">
        <x:v>PENITPRE-CSDTCARANDIRU</x:v>
      </x:c>
      <x:c r="G80" s="10" t="str">
        <x:v>ICO</x:v>
      </x:c>
      <x:c r="H80" s="10" t="str">
        <x:v>FOT</x:v>
      </x:c>
      <x:c r="I80" s="10" t="str">
        <x:v>DGZ</x:v>
      </x:c>
      <x:c r="J80" s="10" t="str">
        <x:v>MT0</x:v>
      </x:c>
    </x:row>
    <x:row r="81" ht="24" hidden="0" customHeight="1">
      <x:c r="A81" s="10" t="str">
        <x:v>BR-SPAPESP_DASP-PENITPRE-CSDTCARANDIRU.xlsx</x:v>
      </x:c>
      <x:c r="B81" s="10" t="str">
        <x:v>Geral</x:v>
      </x:c>
      <x:c r="C81" s="11" t="n">
        <x:v>68</x:v>
      </x:c>
      <x:c r="D81" s="10" t="str">
        <x:v>BR-SPAPESP_DASP-PENITPRE-CSDTCARANDIRU.xlsx:Geral:68</x:v>
      </x:c>
      <x:c r="E81" s="10" t="str">
        <x:v>BRSPAPESP_DASPPENITPRE-CSDTCARANDIRU_ICOFOTDGZMT0_3055-005-035F.jpg</x:v>
      </x:c>
      <x:c r="F81" s="10" t="str">
        <x:v>PENITPRE-CSDTCARANDIRU</x:v>
      </x:c>
      <x:c r="G81" s="10" t="str">
        <x:v>ICO</x:v>
      </x:c>
      <x:c r="H81" s="10" t="str">
        <x:v>FOT</x:v>
      </x:c>
      <x:c r="I81" s="10" t="str">
        <x:v>DGZ</x:v>
      </x:c>
      <x:c r="J81" s="10" t="str">
        <x:v>MT0</x:v>
      </x:c>
    </x:row>
    <x:row r="82" ht="24" hidden="0" customHeight="1">
      <x:c r="A82" s="10" t="str">
        <x:v>BR-SPAPESP_DASP-PENITPRE-CSDTCARANDIRU.xlsx</x:v>
      </x:c>
      <x:c r="B82" s="10" t="str">
        <x:v>Geral</x:v>
      </x:c>
      <x:c r="C82" s="11" t="n">
        <x:v>69</x:v>
      </x:c>
      <x:c r="D82" s="10" t="str">
        <x:v>BR-SPAPESP_DASP-PENITPRE-CSDTCARANDIRU.xlsx:Geral:69</x:v>
      </x:c>
      <x:c r="E82" s="10" t="str">
        <x:v>BRSPAPESP_DASPPENITPRE-CSDTCARANDIRU_ICOFOTDGZMT0_3055-005-035V.jpg</x:v>
      </x:c>
      <x:c r="F82" s="10" t="str">
        <x:v>PENITPRE-CSDTCARANDIRU</x:v>
      </x:c>
      <x:c r="G82" s="10" t="str">
        <x:v>ICO</x:v>
      </x:c>
      <x:c r="H82" s="10" t="str">
        <x:v>FOT</x:v>
      </x:c>
      <x:c r="I82" s="10" t="str">
        <x:v>DGZ</x:v>
      </x:c>
      <x:c r="J82" s="10" t="str">
        <x:v>MT0</x:v>
      </x:c>
    </x:row>
    <x:row r="83" ht="24" hidden="0" customHeight="1">
      <x:c r="A83" s="10" t="str">
        <x:v>BR-SPAPESP_DASP-PENITPRE-CSDTCARANDIRU.xlsx</x:v>
      </x:c>
      <x:c r="B83" s="10" t="str">
        <x:v>Geral</x:v>
      </x:c>
      <x:c r="C83" s="11" t="n">
        <x:v>70</x:v>
      </x:c>
      <x:c r="D83" s="10" t="str">
        <x:v>BR-SPAPESP_DASP-PENITPRE-CSDTCARANDIRU.xlsx:Geral:70</x:v>
      </x:c>
      <x:c r="E83" s="10" t="str">
        <x:v>BRSPAPESP_DASPPENITPRE-CSDTCARANDIRU_ICOFOTDGZMT0_3055-005-036F.jpg</x:v>
      </x:c>
      <x:c r="F83" s="10" t="str">
        <x:v>PENITPRE-CSDTCARANDIRU</x:v>
      </x:c>
      <x:c r="G83" s="10" t="str">
        <x:v>ICO</x:v>
      </x:c>
      <x:c r="H83" s="10" t="str">
        <x:v>FOT</x:v>
      </x:c>
      <x:c r="I83" s="10" t="str">
        <x:v>DGZ</x:v>
      </x:c>
      <x:c r="J83" s="10" t="str">
        <x:v>MT0</x:v>
      </x:c>
    </x:row>
    <x:row r="84" ht="24" hidden="0" customHeight="1">
      <x:c r="A84" s="10" t="str">
        <x:v>BR-SPAPESP_DASP-PENITPRE-CSDTCARANDIRU.xlsx</x:v>
      </x:c>
      <x:c r="B84" s="10" t="str">
        <x:v>Geral</x:v>
      </x:c>
      <x:c r="C84" s="11" t="n">
        <x:v>71</x:v>
      </x:c>
      <x:c r="D84" s="10" t="str">
        <x:v>BR-SPAPESP_DASP-PENITPRE-CSDTCARANDIRU.xlsx:Geral:71</x:v>
      </x:c>
      <x:c r="E84" s="10" t="str">
        <x:v>BRSPAPESP_DASPPENITPRE-CSDTCARANDIRU_ICOFOTDGZMT0_3055-005-036V.jpg</x:v>
      </x:c>
      <x:c r="F84" s="10" t="str">
        <x:v>PENITPRE-CSDTCARANDIRU</x:v>
      </x:c>
      <x:c r="G84" s="10" t="str">
        <x:v>ICO</x:v>
      </x:c>
      <x:c r="H84" s="10" t="str">
        <x:v>FOT</x:v>
      </x:c>
      <x:c r="I84" s="10" t="str">
        <x:v>DGZ</x:v>
      </x:c>
      <x:c r="J84" s="10" t="str">
        <x:v>MT0</x:v>
      </x:c>
    </x:row>
    <x:row r="85" ht="24" hidden="0" customHeight="1">
      <x:c r="A85" s="10" t="str">
        <x:v>BR-SPAPESP_DASP-PENITPRE-CSDTCARANDIRU.xlsx</x:v>
      </x:c>
      <x:c r="B85" s="10" t="str">
        <x:v>Geral</x:v>
      </x:c>
      <x:c r="C85" s="11" t="n">
        <x:v>72</x:v>
      </x:c>
      <x:c r="D85" s="10" t="str">
        <x:v>BR-SPAPESP_DASP-PENITPRE-CSDTCARANDIRU.xlsx:Geral:72</x:v>
      </x:c>
      <x:c r="E85" s="10" t="str">
        <x:v>BRSPAPESP_DASPPENITPRE-CSDTCARANDIRU_ICOFOTDGZMT0_3055-005-037F.jpg</x:v>
      </x:c>
      <x:c r="F85" s="10" t="str">
        <x:v>PENITPRE-CSDTCARANDIRU</x:v>
      </x:c>
      <x:c r="G85" s="10" t="str">
        <x:v>ICO</x:v>
      </x:c>
      <x:c r="H85" s="10" t="str">
        <x:v>FOT</x:v>
      </x:c>
      <x:c r="I85" s="10" t="str">
        <x:v>DGZ</x:v>
      </x:c>
      <x:c r="J85" s="10" t="str">
        <x:v>MT0</x:v>
      </x:c>
    </x:row>
    <x:row r="86" ht="24" hidden="0" customHeight="1">
      <x:c r="A86" s="10" t="str">
        <x:v>BR-SPAPESP_DASP-PENITPRE-CSDTCARANDIRU.xlsx</x:v>
      </x:c>
      <x:c r="B86" s="10" t="str">
        <x:v>Geral</x:v>
      </x:c>
      <x:c r="C86" s="11" t="n">
        <x:v>73</x:v>
      </x:c>
      <x:c r="D86" s="10" t="str">
        <x:v>BR-SPAPESP_DASP-PENITPRE-CSDTCARANDIRU.xlsx:Geral:73</x:v>
      </x:c>
      <x:c r="E86" s="10" t="str">
        <x:v>BRSPAPESP_DASPPENITPRE-CSDTCARANDIRU_ICOFOTDGZMT0_3055-005-037V.jpg</x:v>
      </x:c>
      <x:c r="F86" s="10" t="str">
        <x:v>PENITPRE-CSDTCARANDIRU</x:v>
      </x:c>
      <x:c r="G86" s="10" t="str">
        <x:v>ICO</x:v>
      </x:c>
      <x:c r="H86" s="10" t="str">
        <x:v>FOT</x:v>
      </x:c>
      <x:c r="I86" s="10" t="str">
        <x:v>DGZ</x:v>
      </x:c>
      <x:c r="J86" s="10" t="str">
        <x:v>MT0</x:v>
      </x:c>
    </x:row>
    <x:row r="87" ht="24" hidden="0" customHeight="1">
      <x:c r="A87" s="10" t="str">
        <x:v>BR-SPAPESP_DASP-PENITPRE-CSDTCARANDIRU.xlsx</x:v>
      </x:c>
      <x:c r="B87" s="10" t="str">
        <x:v>Geral</x:v>
      </x:c>
      <x:c r="C87" s="11" t="n">
        <x:v>74</x:v>
      </x:c>
      <x:c r="D87" s="10" t="str">
        <x:v>BR-SPAPESP_DASP-PENITPRE-CSDTCARANDIRU.xlsx:Geral:74</x:v>
      </x:c>
      <x:c r="E87" s="10" t="str">
        <x:v>BRSPAPESP_DASPPENITPRE-CSDTCARANDIRU_ICOFOTDGZMT0_3055-005-038F.jpg</x:v>
      </x:c>
      <x:c r="F87" s="10" t="str">
        <x:v>PENITPRE-CSDTCARANDIRU</x:v>
      </x:c>
      <x:c r="G87" s="10" t="str">
        <x:v>ICO</x:v>
      </x:c>
      <x:c r="H87" s="10" t="str">
        <x:v>FOT</x:v>
      </x:c>
      <x:c r="I87" s="10" t="str">
        <x:v>DGZ</x:v>
      </x:c>
      <x:c r="J87" s="10" t="str">
        <x:v>MT0</x:v>
      </x:c>
    </x:row>
    <x:row r="88" ht="24" hidden="0" customHeight="1">
      <x:c r="A88" s="10" t="str">
        <x:v>BR-SPAPESP_DASP-PENITPRE-CSDTCARANDIRU.xlsx</x:v>
      </x:c>
      <x:c r="B88" s="10" t="str">
        <x:v>Geral</x:v>
      </x:c>
      <x:c r="C88" s="11" t="n">
        <x:v>75</x:v>
      </x:c>
      <x:c r="D88" s="10" t="str">
        <x:v>BR-SPAPESP_DASP-PENITPRE-CSDTCARANDIRU.xlsx:Geral:75</x:v>
      </x:c>
      <x:c r="E88" s="10" t="str">
        <x:v>BRSPAPESP_DASPPENITPRE-CSDTCARANDIRU_ICOFOTDGZMT0_3055-005-038V.jpg</x:v>
      </x:c>
      <x:c r="F88" s="10" t="str">
        <x:v>PENITPRE-CSDTCARANDIRU</x:v>
      </x:c>
      <x:c r="G88" s="10" t="str">
        <x:v>ICO</x:v>
      </x:c>
      <x:c r="H88" s="10" t="str">
        <x:v>FOT</x:v>
      </x:c>
      <x:c r="I88" s="10" t="str">
        <x:v>DGZ</x:v>
      </x:c>
      <x:c r="J88" s="10" t="str">
        <x:v>MT0</x:v>
      </x:c>
    </x:row>
    <x:row r="89" ht="24" hidden="0" customHeight="1">
      <x:c r="A89" s="10" t="str">
        <x:v>BR-SPAPESP_DASP-PENITPRE-CSDTCARANDIRU.xlsx</x:v>
      </x:c>
      <x:c r="B89" s="10" t="str">
        <x:v>Geral</x:v>
      </x:c>
      <x:c r="C89" s="11" t="n">
        <x:v>76</x:v>
      </x:c>
      <x:c r="D89" s="10" t="str">
        <x:v>BR-SPAPESP_DASP-PENITPRE-CSDTCARANDIRU.xlsx:Geral:76</x:v>
      </x:c>
      <x:c r="E89" s="10" t="str">
        <x:v>BRSPAPESP_DASPPENITPRE-CSDTCARANDIRU_ICOFOTDGZMT0_3055-005-039F.jpg</x:v>
      </x:c>
      <x:c r="F89" s="10" t="str">
        <x:v>PENITPRE-CSDTCARANDIRU</x:v>
      </x:c>
      <x:c r="G89" s="10" t="str">
        <x:v>ICO</x:v>
      </x:c>
      <x:c r="H89" s="10" t="str">
        <x:v>FOT</x:v>
      </x:c>
      <x:c r="I89" s="10" t="str">
        <x:v>DGZ</x:v>
      </x:c>
      <x:c r="J89" s="10" t="str">
        <x:v>MT0</x:v>
      </x:c>
    </x:row>
    <x:row r="90" ht="24" hidden="0" customHeight="1">
      <x:c r="A90" s="10" t="str">
        <x:v>BR-SPAPESP_DASP-PENITPRE-CSDTCARANDIRU.xlsx</x:v>
      </x:c>
      <x:c r="B90" s="10" t="str">
        <x:v>Geral</x:v>
      </x:c>
      <x:c r="C90" s="11" t="n">
        <x:v>77</x:v>
      </x:c>
      <x:c r="D90" s="10" t="str">
        <x:v>BR-SPAPESP_DASP-PENITPRE-CSDTCARANDIRU.xlsx:Geral:77</x:v>
      </x:c>
      <x:c r="E90" s="10" t="str">
        <x:v>BRSPAPESP_DASPPENITPRE-CSDTCARANDIRU_ICOFOTDGZMT0_3055-005-040F.jpg</x:v>
      </x:c>
      <x:c r="F90" s="10" t="str">
        <x:v>PENITPRE-CSDTCARANDIRU</x:v>
      </x:c>
      <x:c r="G90" s="10" t="str">
        <x:v>ICO</x:v>
      </x:c>
      <x:c r="H90" s="10" t="str">
        <x:v>FOT</x:v>
      </x:c>
      <x:c r="I90" s="10" t="str">
        <x:v>DGZ</x:v>
      </x:c>
      <x:c r="J90" s="10" t="str">
        <x:v>MT0</x:v>
      </x:c>
    </x:row>
    <x:row r="91" ht="24" hidden="0" customHeight="1">
      <x:c r="A91" s="10" t="str">
        <x:v>BR-SPAPESP_DASP-PENITPRE-CSDTCARANDIRU.xlsx</x:v>
      </x:c>
      <x:c r="B91" s="10" t="str">
        <x:v>Geral</x:v>
      </x:c>
      <x:c r="C91" s="11" t="n">
        <x:v>78</x:v>
      </x:c>
      <x:c r="D91" s="10" t="str">
        <x:v>BR-SPAPESP_DASP-PENITPRE-CSDTCARANDIRU.xlsx:Geral:78</x:v>
      </x:c>
      <x:c r="E91" s="10" t="str">
        <x:v>BRSPAPESP_DASPPENITPRE-CSDTCARANDIRU_ICOFOTDGZMT0_3055-005-040V.jpg</x:v>
      </x:c>
      <x:c r="F91" s="10" t="str">
        <x:v>PENITPRE-CSDTCARANDIRU</x:v>
      </x:c>
      <x:c r="G91" s="10" t="str">
        <x:v>ICO</x:v>
      </x:c>
      <x:c r="H91" s="10" t="str">
        <x:v>FOT</x:v>
      </x:c>
      <x:c r="I91" s="10" t="str">
        <x:v>DGZ</x:v>
      </x:c>
      <x:c r="J91" s="10" t="str">
        <x:v>MT0</x:v>
      </x:c>
    </x:row>
    <x:row r="92" ht="24" hidden="0" customHeight="1">
      <x:c r="A92" s="10" t="str">
        <x:v>BR-SPAPESP_DASP-PENITPRE-CSDTCARANDIRU.xlsx</x:v>
      </x:c>
      <x:c r="B92" s="10" t="str">
        <x:v>Geral</x:v>
      </x:c>
      <x:c r="C92" s="11" t="n">
        <x:v>79</x:v>
      </x:c>
      <x:c r="D92" s="10" t="str">
        <x:v>BR-SPAPESP_DASP-PENITPRE-CSDTCARANDIRU.xlsx:Geral:79</x:v>
      </x:c>
      <x:c r="E92" s="10" t="str">
        <x:v>BRSPAPESP_DASPPENITPRE-CSDTCARANDIRU_ICOFOTDGZMT0_3055-005-041F.jpg</x:v>
      </x:c>
      <x:c r="F92" s="10" t="str">
        <x:v>PENITPRE-CSDTCARANDIRU</x:v>
      </x:c>
      <x:c r="G92" s="10" t="str">
        <x:v>ICO</x:v>
      </x:c>
      <x:c r="H92" s="10" t="str">
        <x:v>FOT</x:v>
      </x:c>
      <x:c r="I92" s="10" t="str">
        <x:v>DGZ</x:v>
      </x:c>
      <x:c r="J92" s="10" t="str">
        <x:v>MT0</x:v>
      </x:c>
    </x:row>
    <x:row r="93" ht="24" hidden="0" customHeight="1">
      <x:c r="A93" s="10" t="str">
        <x:v>BR-SPAPESP_DASP-PENITPRE-CSDTCARANDIRU.xlsx</x:v>
      </x:c>
      <x:c r="B93" s="10" t="str">
        <x:v>Geral</x:v>
      </x:c>
      <x:c r="C93" s="11" t="n">
        <x:v>80</x:v>
      </x:c>
      <x:c r="D93" s="10" t="str">
        <x:v>BR-SPAPESP_DASP-PENITPRE-CSDTCARANDIRU.xlsx:Geral:80</x:v>
      </x:c>
      <x:c r="E93" s="10" t="str">
        <x:v>BRSPAPESP_DASPPENITPRE-CSDTCARANDIRU_ICOFOTDGZMT0_3055-005-041V.jpg</x:v>
      </x:c>
      <x:c r="F93" s="10" t="str">
        <x:v>PENITPRE-CSDTCARANDIRU</x:v>
      </x:c>
      <x:c r="G93" s="10" t="str">
        <x:v>ICO</x:v>
      </x:c>
      <x:c r="H93" s="10" t="str">
        <x:v>FOT</x:v>
      </x:c>
      <x:c r="I93" s="10" t="str">
        <x:v>DGZ</x:v>
      </x:c>
      <x:c r="J93" s="10" t="str">
        <x:v>MT0</x:v>
      </x:c>
    </x:row>
    <x:row r="94" ht="24" hidden="0" customHeight="1">
      <x:c r="A94" s="10" t="str">
        <x:v>BR-SPAPESP_DASP-PENITPRE-CSDTCARANDIRU.xlsx</x:v>
      </x:c>
      <x:c r="B94" s="10" t="str">
        <x:v>Geral</x:v>
      </x:c>
      <x:c r="C94" s="11" t="n">
        <x:v>81</x:v>
      </x:c>
      <x:c r="D94" s="10" t="str">
        <x:v>BR-SPAPESP_DASP-PENITPRE-CSDTCARANDIRU.xlsx:Geral:81</x:v>
      </x:c>
      <x:c r="E94" s="10" t="str">
        <x:v>BRSPAPESP_DASPPENITPRE-CSDTCARANDIRU_ICOFOTDGZMT0_3055-005-042F.jpg</x:v>
      </x:c>
      <x:c r="F94" s="10" t="str">
        <x:v>PENITPRE-CSDTCARANDIRU</x:v>
      </x:c>
      <x:c r="G94" s="10" t="str">
        <x:v>ICO</x:v>
      </x:c>
      <x:c r="H94" s="10" t="str">
        <x:v>FOT</x:v>
      </x:c>
      <x:c r="I94" s="10" t="str">
        <x:v>DGZ</x:v>
      </x:c>
      <x:c r="J94" s="10" t="str">
        <x:v>MT0</x:v>
      </x:c>
    </x:row>
    <x:row r="95" ht="24" hidden="0" customHeight="1">
      <x:c r="A95" s="10" t="str">
        <x:v>BR-SPAPESP_DASP-PENITPRE-CSDTCARANDIRU.xlsx</x:v>
      </x:c>
      <x:c r="B95" s="10" t="str">
        <x:v>Geral</x:v>
      </x:c>
      <x:c r="C95" s="11" t="n">
        <x:v>82</x:v>
      </x:c>
      <x:c r="D95" s="10" t="str">
        <x:v>BR-SPAPESP_DASP-PENITPRE-CSDTCARANDIRU.xlsx:Geral:82</x:v>
      </x:c>
      <x:c r="E95" s="10" t="str">
        <x:v>BRSPAPESP_DASPPENITPRE-CSDTCARANDIRU_ICOFOTDGZMT0_3055-005-042V.jpg</x:v>
      </x:c>
      <x:c r="F95" s="10" t="str">
        <x:v>PENITPRE-CSDTCARANDIRU</x:v>
      </x:c>
      <x:c r="G95" s="10" t="str">
        <x:v>ICO</x:v>
      </x:c>
      <x:c r="H95" s="10" t="str">
        <x:v>FOT</x:v>
      </x:c>
      <x:c r="I95" s="10" t="str">
        <x:v>DGZ</x:v>
      </x:c>
      <x:c r="J95" s="10" t="str">
        <x:v>MT0</x:v>
      </x:c>
    </x:row>
    <x:row r="96" ht="24" hidden="0" customHeight="1">
      <x:c r="A96" s="10" t="str">
        <x:v>BR-SPAPESP_DASP-PENITPRE-CSDTCARANDIRU.xlsx</x:v>
      </x:c>
      <x:c r="B96" s="10" t="str">
        <x:v>Geral</x:v>
      </x:c>
      <x:c r="C96" s="11" t="n">
        <x:v>83</x:v>
      </x:c>
      <x:c r="D96" s="10" t="str">
        <x:v>BR-SPAPESP_DASP-PENITPRE-CSDTCARANDIRU.xlsx:Geral:83</x:v>
      </x:c>
      <x:c r="E96" s="10" t="str">
        <x:v>BRSPAPESP_DASPPENITPRE-CSDTCARANDIRU_ICOFOTDGZMT0_3055-005-043F.jpg</x:v>
      </x:c>
      <x:c r="F96" s="10" t="str">
        <x:v>PENITPRE-CSDTCARANDIRU</x:v>
      </x:c>
      <x:c r="G96" s="10" t="str">
        <x:v>ICO</x:v>
      </x:c>
      <x:c r="H96" s="10" t="str">
        <x:v>FOT</x:v>
      </x:c>
      <x:c r="I96" s="10" t="str">
        <x:v>DGZ</x:v>
      </x:c>
      <x:c r="J96" s="10" t="str">
        <x:v>MT0</x:v>
      </x:c>
    </x:row>
    <x:row r="97" ht="24" hidden="0" customHeight="1">
      <x:c r="A97" s="10" t="str">
        <x:v>BR-SPAPESP_DASP-PENITPRE-CSDTCARANDIRU.xlsx</x:v>
      </x:c>
      <x:c r="B97" s="10" t="str">
        <x:v>Geral</x:v>
      </x:c>
      <x:c r="C97" s="11" t="n">
        <x:v>84</x:v>
      </x:c>
      <x:c r="D97" s="10" t="str">
        <x:v>BR-SPAPESP_DASP-PENITPRE-CSDTCARANDIRU.xlsx:Geral:84</x:v>
      </x:c>
      <x:c r="E97" s="10" t="str">
        <x:v>BRSPAPESP_DASPPENITPRE-CSDTCARANDIRU_ICOFOTDGZMT0_3055-005-043V.jpg</x:v>
      </x:c>
      <x:c r="F97" s="10" t="str">
        <x:v>PENITPRE-CSDTCARANDIRU</x:v>
      </x:c>
      <x:c r="G97" s="10" t="str">
        <x:v>ICO</x:v>
      </x:c>
      <x:c r="H97" s="10" t="str">
        <x:v>FOT</x:v>
      </x:c>
      <x:c r="I97" s="10" t="str">
        <x:v>DGZ</x:v>
      </x:c>
      <x:c r="J97" s="10" t="str">
        <x:v>MT0</x:v>
      </x:c>
    </x:row>
    <x:row r="98" ht="24" hidden="0" customHeight="1">
      <x:c r="A98" s="10" t="str">
        <x:v>BR-SPAPESP_DASP-PENITPRE-CSDTCARANDIRU.xlsx</x:v>
      </x:c>
      <x:c r="B98" s="10" t="str">
        <x:v>Geral</x:v>
      </x:c>
      <x:c r="C98" s="11" t="n">
        <x:v>85</x:v>
      </x:c>
      <x:c r="D98" s="10" t="str">
        <x:v>BR-SPAPESP_DASP-PENITPRE-CSDTCARANDIRU.xlsx:Geral:85</x:v>
      </x:c>
      <x:c r="E98" s="10" t="str">
        <x:v>BRSPAPESP_DASPPENITPRE-CSDTCARANDIRU_ICOFOTDGZMT0_3055-005-044F.jpg</x:v>
      </x:c>
      <x:c r="F98" s="10" t="str">
        <x:v>PENITPRE-CSDTCARANDIRU</x:v>
      </x:c>
      <x:c r="G98" s="10" t="str">
        <x:v>ICO</x:v>
      </x:c>
      <x:c r="H98" s="10" t="str">
        <x:v>FOT</x:v>
      </x:c>
      <x:c r="I98" s="10" t="str">
        <x:v>DGZ</x:v>
      </x:c>
      <x:c r="J98" s="10" t="str">
        <x:v>MT0</x:v>
      </x:c>
    </x:row>
    <x:row r="99" ht="24" hidden="0" customHeight="1">
      <x:c r="A99" s="10" t="str">
        <x:v>BR-SPAPESP_DASP-PENITPRE-CSDTCARANDIRU.xlsx</x:v>
      </x:c>
      <x:c r="B99" s="10" t="str">
        <x:v>Geral</x:v>
      </x:c>
      <x:c r="C99" s="11" t="n">
        <x:v>86</x:v>
      </x:c>
      <x:c r="D99" s="10" t="str">
        <x:v>BR-SPAPESP_DASP-PENITPRE-CSDTCARANDIRU.xlsx:Geral:86</x:v>
      </x:c>
      <x:c r="E99" s="10" t="str">
        <x:v>BRSPAPESP_DASPPENITPRE-CSDTCARANDIRU_ICOFOTDGZMT0_3055-005-044V.jpg</x:v>
      </x:c>
      <x:c r="F99" s="10" t="str">
        <x:v>PENITPRE-CSDTCARANDIRU</x:v>
      </x:c>
      <x:c r="G99" s="10" t="str">
        <x:v>ICO</x:v>
      </x:c>
      <x:c r="H99" s="10" t="str">
        <x:v>FOT</x:v>
      </x:c>
      <x:c r="I99" s="10" t="str">
        <x:v>DGZ</x:v>
      </x:c>
      <x:c r="J99" s="10" t="str">
        <x:v>MT0</x:v>
      </x:c>
    </x:row>
    <x:row r="100" ht="24" hidden="0" customHeight="1">
      <x:c r="A100" s="10" t="str">
        <x:v>BR-SPAPESP_DASP-PENITPRE-CSDTCARANDIRU.xlsx</x:v>
      </x:c>
      <x:c r="B100" s="10" t="str">
        <x:v>Geral</x:v>
      </x:c>
      <x:c r="C100" s="11" t="n">
        <x:v>87</x:v>
      </x:c>
      <x:c r="D100" s="10" t="str">
        <x:v>BR-SPAPESP_DASP-PENITPRE-CSDTCARANDIRU.xlsx:Geral:87</x:v>
      </x:c>
      <x:c r="E100" s="10" t="str">
        <x:v>BRSPAPESP_DASPPENITPRE-CSDTCARANDIRU_ICOFOTDGZMT0_3055-005-045F.jpg</x:v>
      </x:c>
      <x:c r="F100" s="10" t="str">
        <x:v>PENITPRE-CSDTCARANDIRU</x:v>
      </x:c>
      <x:c r="G100" s="10" t="str">
        <x:v>ICO</x:v>
      </x:c>
      <x:c r="H100" s="10" t="str">
        <x:v>FOT</x:v>
      </x:c>
      <x:c r="I100" s="10" t="str">
        <x:v>DGZ</x:v>
      </x:c>
      <x:c r="J100" s="10" t="str">
        <x:v>MT0</x:v>
      </x:c>
    </x:row>
    <x:row r="101" ht="24" hidden="0" customHeight="1">
      <x:c r="A101" s="10" t="str">
        <x:v>BR-SPAPESP_DASP-PENITPRE-CSDTCARANDIRU.xlsx</x:v>
      </x:c>
      <x:c r="B101" s="10" t="str">
        <x:v>Geral</x:v>
      </x:c>
      <x:c r="C101" s="11" t="n">
        <x:v>88</x:v>
      </x:c>
      <x:c r="D101" s="10" t="str">
        <x:v>BR-SPAPESP_DASP-PENITPRE-CSDTCARANDIRU.xlsx:Geral:88</x:v>
      </x:c>
      <x:c r="E101" s="10" t="str">
        <x:v>BRSPAPESP_DASPPENITPRE-CSDTCARANDIRU_ICOFOTDGZMT0_3055-005-045V.jpg</x:v>
      </x:c>
      <x:c r="F101" s="10" t="str">
        <x:v>PENITPRE-CSDTCARANDIRU</x:v>
      </x:c>
      <x:c r="G101" s="10" t="str">
        <x:v>ICO</x:v>
      </x:c>
      <x:c r="H101" s="10" t="str">
        <x:v>FOT</x:v>
      </x:c>
      <x:c r="I101" s="10" t="str">
        <x:v>DGZ</x:v>
      </x:c>
      <x:c r="J101" s="10" t="str">
        <x:v>MT0</x:v>
      </x:c>
    </x:row>
    <x:row r="102" ht="24" hidden="0" customHeight="1">
      <x:c r="A102" s="10" t="str">
        <x:v>BR-SPAPESP_DASP-PENITPRE-CSDTCARANDIRU.xlsx</x:v>
      </x:c>
      <x:c r="B102" s="10" t="str">
        <x:v>Geral</x:v>
      </x:c>
      <x:c r="C102" s="11" t="n">
        <x:v>89</x:v>
      </x:c>
      <x:c r="D102" s="10" t="str">
        <x:v>BR-SPAPESP_DASP-PENITPRE-CSDTCARANDIRU.xlsx:Geral:89</x:v>
      </x:c>
      <x:c r="E102" s="10" t="str">
        <x:v>BRSPAPESP_DASPPENITPRE-CSDTCARANDIRU_ICOFOTDGZMT0_3055-005-046F.jpg</x:v>
      </x:c>
      <x:c r="F102" s="10" t="str">
        <x:v>PENITPRE-CSDTCARANDIRU</x:v>
      </x:c>
      <x:c r="G102" s="10" t="str">
        <x:v>ICO</x:v>
      </x:c>
      <x:c r="H102" s="10" t="str">
        <x:v>FOT</x:v>
      </x:c>
      <x:c r="I102" s="10" t="str">
        <x:v>DGZ</x:v>
      </x:c>
      <x:c r="J102" s="10" t="str">
        <x:v>MT0</x:v>
      </x:c>
    </x:row>
    <x:row r="103" ht="24" hidden="0" customHeight="1">
      <x:c r="A103" s="10" t="str">
        <x:v>BR-SPAPESP_DASP-PENITPRE-CSDTCARANDIRU.xlsx</x:v>
      </x:c>
      <x:c r="B103" s="10" t="str">
        <x:v>Geral</x:v>
      </x:c>
      <x:c r="C103" s="11" t="n">
        <x:v>90</x:v>
      </x:c>
      <x:c r="D103" s="10" t="str">
        <x:v>BR-SPAPESP_DASP-PENITPRE-CSDTCARANDIRU.xlsx:Geral:90</x:v>
      </x:c>
      <x:c r="E103" s="10" t="str">
        <x:v>BRSPAPESP_DASPPENITPRE-CSDTCARANDIRU_ICOFOTDGZMT0_3055-005-046V.jpg</x:v>
      </x:c>
      <x:c r="F103" s="10" t="str">
        <x:v>PENITPRE-CSDTCARANDIRU</x:v>
      </x:c>
      <x:c r="G103" s="10" t="str">
        <x:v>ICO</x:v>
      </x:c>
      <x:c r="H103" s="10" t="str">
        <x:v>FOT</x:v>
      </x:c>
      <x:c r="I103" s="10" t="str">
        <x:v>DGZ</x:v>
      </x:c>
      <x:c r="J103" s="10" t="str">
        <x:v>MT0</x:v>
      </x:c>
    </x:row>
    <x:row r="104" ht="24" hidden="0" customHeight="1">
      <x:c r="A104" s="10" t="str">
        <x:v>BR-SPAPESP_DASP-PENITPRE-CSDTCARANDIRU.xlsx</x:v>
      </x:c>
      <x:c r="B104" s="10" t="str">
        <x:v>Geral</x:v>
      </x:c>
      <x:c r="C104" s="11" t="n">
        <x:v>91</x:v>
      </x:c>
      <x:c r="D104" s="10" t="str">
        <x:v>BR-SPAPESP_DASP-PENITPRE-CSDTCARANDIRU.xlsx:Geral:91</x:v>
      </x:c>
      <x:c r="E104" s="10" t="str">
        <x:v>BRSPAPESP_DASPPENITPRE-CSDTCARANDIRU_ICOFOTDGZMT0_3055-005-047F.jpg</x:v>
      </x:c>
      <x:c r="F104" s="10" t="str">
        <x:v>PENITPRE-CSDTCARANDIRU</x:v>
      </x:c>
      <x:c r="G104" s="10" t="str">
        <x:v>ICO</x:v>
      </x:c>
      <x:c r="H104" s="10" t="str">
        <x:v>FOT</x:v>
      </x:c>
      <x:c r="I104" s="10" t="str">
        <x:v>DGZ</x:v>
      </x:c>
      <x:c r="J104" s="10" t="str">
        <x:v>MT0</x:v>
      </x:c>
    </x:row>
    <x:row r="105" ht="24" hidden="0" customHeight="1">
      <x:c r="A105" s="10" t="str">
        <x:v>BR-SPAPESP_DASP-PENITPRE-CSDTCARANDIRU.xlsx</x:v>
      </x:c>
      <x:c r="B105" s="10" t="str">
        <x:v>Geral</x:v>
      </x:c>
      <x:c r="C105" s="11" t="n">
        <x:v>92</x:v>
      </x:c>
      <x:c r="D105" s="10" t="str">
        <x:v>BR-SPAPESP_DASP-PENITPRE-CSDTCARANDIRU.xlsx:Geral:92</x:v>
      </x:c>
      <x:c r="E105" s="10" t="str">
        <x:v>BRSPAPESP_DASPPENITPRE-CSDTCARANDIRU_ICOFOTDGZMT0_3055-005-047V.jpg</x:v>
      </x:c>
      <x:c r="F105" s="10" t="str">
        <x:v>PENITPRE-CSDTCARANDIRU</x:v>
      </x:c>
      <x:c r="G105" s="10" t="str">
        <x:v>ICO</x:v>
      </x:c>
      <x:c r="H105" s="10" t="str">
        <x:v>FOT</x:v>
      </x:c>
      <x:c r="I105" s="10" t="str">
        <x:v>DGZ</x:v>
      </x:c>
      <x:c r="J105" s="10" t="str">
        <x:v>MT0</x:v>
      </x:c>
    </x:row>
    <x:row r="106" ht="24" hidden="0" customHeight="1">
      <x:c r="A106" s="10" t="str">
        <x:v>BR-SPAPESP_DASP-PENITPRE-CSDTCARANDIRU.xlsx</x:v>
      </x:c>
      <x:c r="B106" s="10" t="str">
        <x:v>Geral</x:v>
      </x:c>
      <x:c r="C106" s="11" t="n">
        <x:v>93</x:v>
      </x:c>
      <x:c r="D106" s="10" t="str">
        <x:v>BR-SPAPESP_DASP-PENITPRE-CSDTCARANDIRU.xlsx:Geral:93</x:v>
      </x:c>
      <x:c r="E106" s="10" t="str">
        <x:v>BRSPAPESP_DASPPENITPRE-CSDTCARANDIRU_ICOFOTDGZMT0_3055-005-048F.jpg</x:v>
      </x:c>
      <x:c r="F106" s="10" t="str">
        <x:v>PENITPRE-CSDTCARANDIRU</x:v>
      </x:c>
      <x:c r="G106" s="10" t="str">
        <x:v>ICO</x:v>
      </x:c>
      <x:c r="H106" s="10" t="str">
        <x:v>FOT</x:v>
      </x:c>
      <x:c r="I106" s="10" t="str">
        <x:v>DGZ</x:v>
      </x:c>
      <x:c r="J106" s="10" t="str">
        <x:v>MT0</x:v>
      </x:c>
    </x:row>
    <x:row r="107" ht="24" hidden="0" customHeight="1">
      <x:c r="A107" s="10" t="str">
        <x:v>BR-SPAPESP_DASP-PENITPRE-CSDTCARANDIRU.xlsx</x:v>
      </x:c>
      <x:c r="B107" s="10" t="str">
        <x:v>Geral</x:v>
      </x:c>
      <x:c r="C107" s="11" t="n">
        <x:v>94</x:v>
      </x:c>
      <x:c r="D107" s="10" t="str">
        <x:v>BR-SPAPESP_DASP-PENITPRE-CSDTCARANDIRU.xlsx:Geral:94</x:v>
      </x:c>
      <x:c r="E107" s="10" t="str">
        <x:v>BRSPAPESP_DASPPENITPRE-CSDTCARANDIRU_ICOFOTDGZMT0_3055-005-048V.jpg</x:v>
      </x:c>
      <x:c r="F107" s="10" t="str">
        <x:v>PENITPRE-CSDTCARANDIRU</x:v>
      </x:c>
      <x:c r="G107" s="10" t="str">
        <x:v>ICO</x:v>
      </x:c>
      <x:c r="H107" s="10" t="str">
        <x:v>FOT</x:v>
      </x:c>
      <x:c r="I107" s="10" t="str">
        <x:v>DGZ</x:v>
      </x:c>
      <x:c r="J107" s="10" t="str">
        <x:v>MT0</x:v>
      </x:c>
    </x:row>
    <x:row r="108" ht="24" hidden="0" customHeight="1">
      <x:c r="A108" s="10" t="str">
        <x:v>BR-SPAPESP_DASP-PENITPRE-CSDTCARANDIRU.xlsx</x:v>
      </x:c>
      <x:c r="B108" s="10" t="str">
        <x:v>Geral</x:v>
      </x:c>
      <x:c r="C108" s="11" t="n">
        <x:v>95</x:v>
      </x:c>
      <x:c r="D108" s="10" t="str">
        <x:v>BR-SPAPESP_DASP-PENITPRE-CSDTCARANDIRU.xlsx:Geral:95</x:v>
      </x:c>
      <x:c r="E108" s="10" t="str">
        <x:v>BRSPAPESP_DASPPENITPRE-CSDTCARANDIRU_ICOFOTDGZMT0_3055-005-049F.jpg</x:v>
      </x:c>
      <x:c r="F108" s="10" t="str">
        <x:v>PENITPRE-CSDTCARANDIRU</x:v>
      </x:c>
      <x:c r="G108" s="10" t="str">
        <x:v>ICO</x:v>
      </x:c>
      <x:c r="H108" s="10" t="str">
        <x:v>FOT</x:v>
      </x:c>
      <x:c r="I108" s="10" t="str">
        <x:v>DGZ</x:v>
      </x:c>
      <x:c r="J108" s="10" t="str">
        <x:v>MT0</x:v>
      </x:c>
    </x:row>
    <x:row r="109" ht="24" hidden="0" customHeight="1">
      <x:c r="A109" s="10" t="str">
        <x:v>BR-SPAPESP_DASP-PENITPRE-CSDTCARANDIRU.xlsx</x:v>
      </x:c>
      <x:c r="B109" s="10" t="str">
        <x:v>Geral</x:v>
      </x:c>
      <x:c r="C109" s="11" t="n">
        <x:v>96</x:v>
      </x:c>
      <x:c r="D109" s="10" t="str">
        <x:v>BR-SPAPESP_DASP-PENITPRE-CSDTCARANDIRU.xlsx:Geral:96</x:v>
      </x:c>
      <x:c r="E109" s="10" t="str">
        <x:v>BRSPAPESP_DASPPENITPRE-CSDTCARANDIRU_ICOFOTDGZMT0_3055-005-049V.jpg</x:v>
      </x:c>
      <x:c r="F109" s="10" t="str">
        <x:v>PENITPRE-CSDTCARANDIRU</x:v>
      </x:c>
      <x:c r="G109" s="10" t="str">
        <x:v>ICO</x:v>
      </x:c>
      <x:c r="H109" s="10" t="str">
        <x:v>FOT</x:v>
      </x:c>
      <x:c r="I109" s="10" t="str">
        <x:v>DGZ</x:v>
      </x:c>
      <x:c r="J109" s="10" t="str">
        <x:v>MT0</x:v>
      </x:c>
    </x:row>
    <x:row r="110" ht="24" hidden="0" customHeight="1">
      <x:c r="A110" s="10" t="str">
        <x:v>BR-SPAPESP_DASP-PENITPRE-CSDTCARANDIRU.xlsx</x:v>
      </x:c>
      <x:c r="B110" s="10" t="str">
        <x:v>Geral</x:v>
      </x:c>
      <x:c r="C110" s="11" t="n">
        <x:v>97</x:v>
      </x:c>
      <x:c r="D110" s="10" t="str">
        <x:v>BR-SPAPESP_DASP-PENITPRE-CSDTCARANDIRU.xlsx:Geral:97</x:v>
      </x:c>
      <x:c r="E110" s="10" t="str">
        <x:v>BRSPAPESP_DASPPENITPRE-CSDTCARANDIRU_ICOFOTDGZMT0_3055-005-050F.jpg</x:v>
      </x:c>
      <x:c r="F110" s="10" t="str">
        <x:v>PENITPRE-CSDTCARANDIRU</x:v>
      </x:c>
      <x:c r="G110" s="10" t="str">
        <x:v>ICO</x:v>
      </x:c>
      <x:c r="H110" s="10" t="str">
        <x:v>FOT</x:v>
      </x:c>
      <x:c r="I110" s="10" t="str">
        <x:v>DGZ</x:v>
      </x:c>
      <x:c r="J110" s="10" t="str">
        <x:v>MT0</x:v>
      </x:c>
    </x:row>
    <x:row r="111" ht="24" hidden="0" customHeight="1">
      <x:c r="A111" s="10" t="str">
        <x:v>BR-SPAPESP_DASP-PENITPRE-CSDTCARANDIRU.xlsx</x:v>
      </x:c>
      <x:c r="B111" s="10" t="str">
        <x:v>Geral</x:v>
      </x:c>
      <x:c r="C111" s="11" t="n">
        <x:v>98</x:v>
      </x:c>
      <x:c r="D111" s="10" t="str">
        <x:v>BR-SPAPESP_DASP-PENITPRE-CSDTCARANDIRU.xlsx:Geral:98</x:v>
      </x:c>
      <x:c r="E111" s="10" t="str">
        <x:v>BRSPAPESP_DASPPENITPRE-CSDTCARANDIRU_ICOFOTDGZMT0_3055-005-050V.jpg</x:v>
      </x:c>
      <x:c r="F111" s="10" t="str">
        <x:v>PENITPRE-CSDTCARANDIRU</x:v>
      </x:c>
      <x:c r="G111" s="10" t="str">
        <x:v>ICO</x:v>
      </x:c>
      <x:c r="H111" s="10" t="str">
        <x:v>FOT</x:v>
      </x:c>
      <x:c r="I111" s="10" t="str">
        <x:v>DGZ</x:v>
      </x:c>
      <x:c r="J111" s="10" t="str">
        <x:v>MT0</x:v>
      </x:c>
    </x:row>
    <x:row r="112" ht="24" hidden="0" customHeight="1">
      <x:c r="A112" s="10" t="str">
        <x:v>BR-SPAPESP_DASP-PENITPRE-CSDTCARANDIRU.xlsx</x:v>
      </x:c>
      <x:c r="B112" s="10" t="str">
        <x:v>Geral</x:v>
      </x:c>
      <x:c r="C112" s="11" t="n">
        <x:v>99</x:v>
      </x:c>
      <x:c r="D112" s="10" t="str">
        <x:v>BR-SPAPESP_DASP-PENITPRE-CSDTCARANDIRU.xlsx:Geral:99</x:v>
      </x:c>
      <x:c r="E112" s="10" t="str">
        <x:v>BRSPAPESP_DASPPENITPRE-CSDTCARANDIRU_ICOFOTDGZMT0_3055-005-051F.jpg</x:v>
      </x:c>
      <x:c r="F112" s="10" t="str">
        <x:v>PENITPRE-CSDTCARANDIRU</x:v>
      </x:c>
      <x:c r="G112" s="10" t="str">
        <x:v>ICO</x:v>
      </x:c>
      <x:c r="H112" s="10" t="str">
        <x:v>FOT</x:v>
      </x:c>
      <x:c r="I112" s="10" t="str">
        <x:v>DGZ</x:v>
      </x:c>
      <x:c r="J112" s="10" t="str">
        <x:v>MT0</x:v>
      </x:c>
    </x:row>
    <x:row r="113" ht="24" hidden="0" customHeight="1">
      <x:c r="A113" s="10" t="str">
        <x:v>BR-SPAPESP_DASP-PENITPRE-CSDTCARANDIRU.xlsx</x:v>
      </x:c>
      <x:c r="B113" s="10" t="str">
        <x:v>Geral</x:v>
      </x:c>
      <x:c r="C113" s="11" t="n">
        <x:v>100</x:v>
      </x:c>
      <x:c r="D113" s="10" t="str">
        <x:v>BR-SPAPESP_DASP-PENITPRE-CSDTCARANDIRU.xlsx:Geral:100</x:v>
      </x:c>
      <x:c r="E113" s="10" t="str">
        <x:v>BRSPAPESP_DASPPENITPRE-CSDTCARANDIRU_ICOFOTDGZMT0_3055-005-051V.jpg</x:v>
      </x:c>
      <x:c r="F113" s="10" t="str">
        <x:v>PENITPRE-CSDTCARANDIRU</x:v>
      </x:c>
      <x:c r="G113" s="10" t="str">
        <x:v>ICO</x:v>
      </x:c>
      <x:c r="H113" s="10" t="str">
        <x:v>FOT</x:v>
      </x:c>
      <x:c r="I113" s="10" t="str">
        <x:v>DGZ</x:v>
      </x:c>
      <x:c r="J113" s="10" t="str">
        <x:v>MT0</x:v>
      </x:c>
    </x:row>
    <x:row r="114" ht="24" hidden="0" customHeight="1">
      <x:c r="A114" s="10" t="str">
        <x:v>BR-SPAPESP_DASP-PENITPRE-CSDTCARANDIRU.xlsx</x:v>
      </x:c>
      <x:c r="B114" s="10" t="str">
        <x:v>Geral</x:v>
      </x:c>
      <x:c r="C114" s="11" t="n">
        <x:v>101</x:v>
      </x:c>
      <x:c r="D114" s="10" t="str">
        <x:v>BR-SPAPESP_DASP-PENITPRE-CSDTCARANDIRU.xlsx:Geral:101</x:v>
      </x:c>
      <x:c r="E114" s="10" t="str">
        <x:v>BRSPAPESP_DASPPENITPRE-CSDTCARANDIRU_ICOFOTDGZMT0_3055-005-052F.jpg</x:v>
      </x:c>
      <x:c r="F114" s="10" t="str">
        <x:v>PENITPRE-CSDTCARANDIRU</x:v>
      </x:c>
      <x:c r="G114" s="10" t="str">
        <x:v>ICO</x:v>
      </x:c>
      <x:c r="H114" s="10" t="str">
        <x:v>FOT</x:v>
      </x:c>
      <x:c r="I114" s="10" t="str">
        <x:v>DGZ</x:v>
      </x:c>
      <x:c r="J114" s="10" t="str">
        <x:v>MT0</x:v>
      </x:c>
    </x:row>
    <x:row r="115" ht="24" hidden="0" customHeight="1">
      <x:c r="A115" s="10" t="str">
        <x:v>BR-SPAPESP_DASP-PENITPRE-CSDTCARANDIRU.xlsx</x:v>
      </x:c>
      <x:c r="B115" s="10" t="str">
        <x:v>Geral</x:v>
      </x:c>
      <x:c r="C115" s="11" t="n">
        <x:v>102</x:v>
      </x:c>
      <x:c r="D115" s="10" t="str">
        <x:v>BR-SPAPESP_DASP-PENITPRE-CSDTCARANDIRU.xlsx:Geral:102</x:v>
      </x:c>
      <x:c r="E115" s="10" t="str">
        <x:v>BRSPAPESP_DASPPENITPRE-CSDTCARANDIRU_ICOFOTDGZMT0_3055-005-052V.jpg</x:v>
      </x:c>
      <x:c r="F115" s="10" t="str">
        <x:v>PENITPRE-CSDTCARANDIRU</x:v>
      </x:c>
      <x:c r="G115" s="10" t="str">
        <x:v>ICO</x:v>
      </x:c>
      <x:c r="H115" s="10" t="str">
        <x:v>FOT</x:v>
      </x:c>
      <x:c r="I115" s="10" t="str">
        <x:v>DGZ</x:v>
      </x:c>
      <x:c r="J115" s="10" t="str">
        <x:v>MT0</x:v>
      </x:c>
    </x:row>
    <x:row r="116" ht="24" hidden="0" customHeight="1">
      <x:c r="A116" s="10" t="str">
        <x:v>BR-SPAPESP_DASP-PENITPRE-CSDTCARANDIRU.xlsx</x:v>
      </x:c>
      <x:c r="B116" s="10" t="str">
        <x:v>Geral</x:v>
      </x:c>
      <x:c r="C116" s="11" t="n">
        <x:v>103</x:v>
      </x:c>
      <x:c r="D116" s="10" t="str">
        <x:v>BR-SPAPESP_DASP-PENITPRE-CSDTCARANDIRU.xlsx:Geral:103</x:v>
      </x:c>
      <x:c r="E116" s="10" t="str">
        <x:v>BRSPAPESP_DASPPENITPRE-CSDTCARANDIRU_ICOFOTDGZMT0_3055-005-053F.jpg</x:v>
      </x:c>
      <x:c r="F116" s="10" t="str">
        <x:v>PENITPRE-CSDTCARANDIRU</x:v>
      </x:c>
      <x:c r="G116" s="10" t="str">
        <x:v>ICO</x:v>
      </x:c>
      <x:c r="H116" s="10" t="str">
        <x:v>FOT</x:v>
      </x:c>
      <x:c r="I116" s="10" t="str">
        <x:v>DGZ</x:v>
      </x:c>
      <x:c r="J116" s="10" t="str">
        <x:v>MT0</x:v>
      </x:c>
    </x:row>
    <x:row r="117" ht="24" hidden="0" customHeight="1">
      <x:c r="A117" s="10" t="str">
        <x:v>BR-SPAPESP_DASP-PENITPRE-CSDTCARANDIRU.xlsx</x:v>
      </x:c>
      <x:c r="B117" s="10" t="str">
        <x:v>Geral</x:v>
      </x:c>
      <x:c r="C117" s="11" t="n">
        <x:v>104</x:v>
      </x:c>
      <x:c r="D117" s="10" t="str">
        <x:v>BR-SPAPESP_DASP-PENITPRE-CSDTCARANDIRU.xlsx:Geral:104</x:v>
      </x:c>
      <x:c r="E117" s="10" t="str">
        <x:v>BRSPAPESP_DASPPENITPRE-CSDTCARANDIRU_ICOFOTDGZMT0_3055-005-053V.jpg</x:v>
      </x:c>
      <x:c r="F117" s="10" t="str">
        <x:v>PENITPRE-CSDTCARANDIRU</x:v>
      </x:c>
      <x:c r="G117" s="10" t="str">
        <x:v>ICO</x:v>
      </x:c>
      <x:c r="H117" s="10" t="str">
        <x:v>FOT</x:v>
      </x:c>
      <x:c r="I117" s="10" t="str">
        <x:v>DGZ</x:v>
      </x:c>
      <x:c r="J117" s="10" t="str">
        <x:v>MT0</x:v>
      </x:c>
    </x:row>
    <x:row r="118" ht="24" hidden="0" customHeight="1">
      <x:c r="A118" s="10" t="str">
        <x:v>BR-SPAPESP_DASP-PENITPRE-CSDTCARANDIRU.xlsx</x:v>
      </x:c>
      <x:c r="B118" s="10" t="str">
        <x:v>Geral</x:v>
      </x:c>
      <x:c r="C118" s="11" t="n">
        <x:v>105</x:v>
      </x:c>
      <x:c r="D118" s="10" t="str">
        <x:v>BR-SPAPESP_DASP-PENITPRE-CSDTCARANDIRU.xlsx:Geral:105</x:v>
      </x:c>
      <x:c r="E118" s="10" t="str">
        <x:v>BRSPAPESP_DASPPENITPRE-CSDTCARANDIRU_ICOFOTDGZMT0_3055-005-054F.jpg</x:v>
      </x:c>
      <x:c r="F118" s="10" t="str">
        <x:v>PENITPRE-CSDTCARANDIRU</x:v>
      </x:c>
      <x:c r="G118" s="10" t="str">
        <x:v>ICO</x:v>
      </x:c>
      <x:c r="H118" s="10" t="str">
        <x:v>FOT</x:v>
      </x:c>
      <x:c r="I118" s="10" t="str">
        <x:v>DGZ</x:v>
      </x:c>
      <x:c r="J118" s="10" t="str">
        <x:v>MT0</x:v>
      </x:c>
    </x:row>
    <x:row r="119" ht="24" hidden="0" customHeight="1">
      <x:c r="A119" s="10" t="str">
        <x:v>BR-SPAPESP_DASP-PENITPRE-CSDTCARANDIRU.xlsx</x:v>
      </x:c>
      <x:c r="B119" s="10" t="str">
        <x:v>Geral</x:v>
      </x:c>
      <x:c r="C119" s="11" t="n">
        <x:v>106</x:v>
      </x:c>
      <x:c r="D119" s="10" t="str">
        <x:v>BR-SPAPESP_DASP-PENITPRE-CSDTCARANDIRU.xlsx:Geral:106</x:v>
      </x:c>
      <x:c r="E119" s="10" t="str">
        <x:v>BRSPAPESP_DASPPENITPRE-CSDTCARANDIRU_ICOFOTDGZMT0_3055-005-054V.jpg</x:v>
      </x:c>
      <x:c r="F119" s="10" t="str">
        <x:v>PENITPRE-CSDTCARANDIRU</x:v>
      </x:c>
      <x:c r="G119" s="10" t="str">
        <x:v>ICO</x:v>
      </x:c>
      <x:c r="H119" s="10" t="str">
        <x:v>FOT</x:v>
      </x:c>
      <x:c r="I119" s="10" t="str">
        <x:v>DGZ</x:v>
      </x:c>
      <x:c r="J119" s="10" t="str">
        <x:v>MT0</x:v>
      </x:c>
    </x:row>
    <x:row r="120" ht="24" hidden="0" customHeight="1">
      <x:c r="A120" s="10" t="str">
        <x:v>BR-SPAPESP_DASP-PENITPRE-CSDTCARANDIRU.xlsx</x:v>
      </x:c>
      <x:c r="B120" s="10" t="str">
        <x:v>Geral</x:v>
      </x:c>
      <x:c r="C120" s="11" t="n">
        <x:v>107</x:v>
      </x:c>
      <x:c r="D120" s="10" t="str">
        <x:v>BR-SPAPESP_DASP-PENITPRE-CSDTCARANDIRU.xlsx:Geral:107</x:v>
      </x:c>
      <x:c r="E120" s="10" t="str">
        <x:v>BRSPAPESP_DASPPENITPRE-CSDTCARANDIRU_ICOFOTDGZMT0_3055-005-055F.jpg</x:v>
      </x:c>
      <x:c r="F120" s="10" t="str">
        <x:v>PENITPRE-CSDTCARANDIRU</x:v>
      </x:c>
      <x:c r="G120" s="10" t="str">
        <x:v>ICO</x:v>
      </x:c>
      <x:c r="H120" s="10" t="str">
        <x:v>FOT</x:v>
      </x:c>
      <x:c r="I120" s="10" t="str">
        <x:v>DGZ</x:v>
      </x:c>
      <x:c r="J120" s="10" t="str">
        <x:v>MT0</x:v>
      </x:c>
    </x:row>
    <x:row r="121" ht="24" hidden="0" customHeight="1">
      <x:c r="A121" s="10" t="str">
        <x:v>BR-SPAPESP_DASP-PENITPRE-CSDTCARANDIRU.xlsx</x:v>
      </x:c>
      <x:c r="B121" s="10" t="str">
        <x:v>Geral</x:v>
      </x:c>
      <x:c r="C121" s="11" t="n">
        <x:v>108</x:v>
      </x:c>
      <x:c r="D121" s="10" t="str">
        <x:v>BR-SPAPESP_DASP-PENITPRE-CSDTCARANDIRU.xlsx:Geral:108</x:v>
      </x:c>
      <x:c r="E121" s="10" t="str">
        <x:v>BRSPAPESP_DASPPENITPRE-CSDTCARANDIRU_ICOFOTDGZMT0_3055-005-055V.jpg</x:v>
      </x:c>
      <x:c r="F121" s="10" t="str">
        <x:v>PENITPRE-CSDTCARANDIRU</x:v>
      </x:c>
      <x:c r="G121" s="10" t="str">
        <x:v>ICO</x:v>
      </x:c>
      <x:c r="H121" s="10" t="str">
        <x:v>FOT</x:v>
      </x:c>
      <x:c r="I121" s="10" t="str">
        <x:v>DGZ</x:v>
      </x:c>
      <x:c r="J121" s="10" t="str">
        <x:v>MT0</x:v>
      </x:c>
    </x:row>
    <x:row r="122" ht="24" hidden="0" customHeight="1">
      <x:c r="A122" s="10" t="str">
        <x:v>BR-SPAPESP_DASP-PENITPRE-CSDTCARANDIRU.xlsx</x:v>
      </x:c>
      <x:c r="B122" s="10" t="str">
        <x:v>Geral</x:v>
      </x:c>
      <x:c r="C122" s="11" t="n">
        <x:v>109</x:v>
      </x:c>
      <x:c r="D122" s="10" t="str">
        <x:v>BR-SPAPESP_DASP-PENITPRE-CSDTCARANDIRU.xlsx:Geral:109</x:v>
      </x:c>
      <x:c r="E122" s="10" t="str">
        <x:v>BRSPAPESP_DASPPENITPRE-CSDTCARANDIRU_ICOFOTDGZMT0_3055-005-056F.jpg</x:v>
      </x:c>
      <x:c r="F122" s="10" t="str">
        <x:v>PENITPRE-CSDTCARANDIRU</x:v>
      </x:c>
      <x:c r="G122" s="10" t="str">
        <x:v>ICO</x:v>
      </x:c>
      <x:c r="H122" s="10" t="str">
        <x:v>FOT</x:v>
      </x:c>
      <x:c r="I122" s="10" t="str">
        <x:v>DGZ</x:v>
      </x:c>
      <x:c r="J122" s="10" t="str">
        <x:v>MT0</x:v>
      </x:c>
    </x:row>
    <x:row r="123" ht="24" hidden="0" customHeight="1">
      <x:c r="A123" s="10" t="str">
        <x:v>BR-SPAPESP_DASP-PENITPRE-CSDTCARANDIRU.xlsx</x:v>
      </x:c>
      <x:c r="B123" s="10" t="str">
        <x:v>Geral</x:v>
      </x:c>
      <x:c r="C123" s="11" t="n">
        <x:v>110</x:v>
      </x:c>
      <x:c r="D123" s="10" t="str">
        <x:v>BR-SPAPESP_DASP-PENITPRE-CSDTCARANDIRU.xlsx:Geral:110</x:v>
      </x:c>
      <x:c r="E123" s="10" t="str">
        <x:v>BRSPAPESP_DASPPENITPRE-CSDTCARANDIRU_ICOFOTDGZMT0_3055-005-056V.jpg</x:v>
      </x:c>
      <x:c r="F123" s="10" t="str">
        <x:v>PENITPRE-CSDTCARANDIRU</x:v>
      </x:c>
      <x:c r="G123" s="10" t="str">
        <x:v>ICO</x:v>
      </x:c>
      <x:c r="H123" s="10" t="str">
        <x:v>FOT</x:v>
      </x:c>
      <x:c r="I123" s="10" t="str">
        <x:v>DGZ</x:v>
      </x:c>
      <x:c r="J123" s="10" t="str">
        <x:v>MT0</x:v>
      </x:c>
    </x:row>
    <x:row r="124" ht="24" hidden="0" customHeight="1">
      <x:c r="A124" s="10" t="str">
        <x:v>BR-SPAPESP_DASP-PENITPRE-CSDTCARANDIRU.xlsx</x:v>
      </x:c>
      <x:c r="B124" s="10" t="str">
        <x:v>Geral</x:v>
      </x:c>
      <x:c r="C124" s="11" t="n">
        <x:v>111</x:v>
      </x:c>
      <x:c r="D124" s="10" t="str">
        <x:v>BR-SPAPESP_DASP-PENITPRE-CSDTCARANDIRU.xlsx:Geral:111</x:v>
      </x:c>
      <x:c r="E124" s="10" t="str">
        <x:v>BRSPAPESP_DASPPENITPRE-CSDTCARANDIRU_ICOFOTDGZMT0_3055-005-057F.jpg</x:v>
      </x:c>
      <x:c r="F124" s="10" t="str">
        <x:v>PENITPRE-CSDTCARANDIRU</x:v>
      </x:c>
      <x:c r="G124" s="10" t="str">
        <x:v>ICO</x:v>
      </x:c>
      <x:c r="H124" s="10" t="str">
        <x:v>FOT</x:v>
      </x:c>
      <x:c r="I124" s="10" t="str">
        <x:v>DGZ</x:v>
      </x:c>
      <x:c r="J124" s="10" t="str">
        <x:v>MT0</x:v>
      </x:c>
    </x:row>
    <x:row r="125" ht="24" hidden="0" customHeight="1">
      <x:c r="A125" s="10" t="str">
        <x:v>BR-SPAPESP_DASP-PENITPRE-CSDTCARANDIRU.xlsx</x:v>
      </x:c>
      <x:c r="B125" s="10" t="str">
        <x:v>Geral</x:v>
      </x:c>
      <x:c r="C125" s="11" t="n">
        <x:v>112</x:v>
      </x:c>
      <x:c r="D125" s="10" t="str">
        <x:v>BR-SPAPESP_DASP-PENITPRE-CSDTCARANDIRU.xlsx:Geral:112</x:v>
      </x:c>
      <x:c r="E125" s="10" t="str">
        <x:v>BRSPAPESP_DASPPENITPRE-CSDTCARANDIRU_ICOFOTDGZMT0_3055-005-057V.jpg</x:v>
      </x:c>
      <x:c r="F125" s="10" t="str">
        <x:v>PENITPRE-CSDTCARANDIRU</x:v>
      </x:c>
      <x:c r="G125" s="10" t="str">
        <x:v>ICO</x:v>
      </x:c>
      <x:c r="H125" s="10" t="str">
        <x:v>FOT</x:v>
      </x:c>
      <x:c r="I125" s="10" t="str">
        <x:v>DGZ</x:v>
      </x:c>
      <x:c r="J125" s="10" t="str">
        <x:v>MT0</x:v>
      </x:c>
    </x:row>
    <x:row r="126" ht="24" hidden="0" customHeight="1">
      <x:c r="A126" s="10" t="str">
        <x:v>BR-SPAPESP_DASP-PENITPRE-CSDTCARANDIRU.xlsx</x:v>
      </x:c>
      <x:c r="B126" s="10" t="str">
        <x:v>Geral</x:v>
      </x:c>
      <x:c r="C126" s="11" t="n">
        <x:v>113</x:v>
      </x:c>
      <x:c r="D126" s="10" t="str">
        <x:v>BR-SPAPESP_DASP-PENITPRE-CSDTCARANDIRU.xlsx:Geral:113</x:v>
      </x:c>
      <x:c r="E126" s="10" t="str">
        <x:v>BRSPAPESP_DASPPENITPRE-CSDTCARANDIRU_ICOFOTDGZMT0_3055-005-058F.jpg</x:v>
      </x:c>
      <x:c r="F126" s="10" t="str">
        <x:v>PENITPRE-CSDTCARANDIRU</x:v>
      </x:c>
      <x:c r="G126" s="10" t="str">
        <x:v>ICO</x:v>
      </x:c>
      <x:c r="H126" s="10" t="str">
        <x:v>FOT</x:v>
      </x:c>
      <x:c r="I126" s="10" t="str">
        <x:v>DGZ</x:v>
      </x:c>
      <x:c r="J126" s="10" t="str">
        <x:v>MT0</x:v>
      </x:c>
    </x:row>
    <x:row r="127" ht="24" hidden="0" customHeight="1">
      <x:c r="A127" s="10" t="str">
        <x:v>BR-SPAPESP_DASP-PENITPRE-CSDTCARANDIRU.xlsx</x:v>
      </x:c>
      <x:c r="B127" s="10" t="str">
        <x:v>Geral</x:v>
      </x:c>
      <x:c r="C127" s="11" t="n">
        <x:v>114</x:v>
      </x:c>
      <x:c r="D127" s="10" t="str">
        <x:v>BR-SPAPESP_DASP-PENITPRE-CSDTCARANDIRU.xlsx:Geral:114</x:v>
      </x:c>
      <x:c r="E127" s="10" t="str">
        <x:v>BRSPAPESP_DASPPENITPRE-CSDTCARANDIRU_ICOFOTDGZMT0_3055-005-058V.jpg</x:v>
      </x:c>
      <x:c r="F127" s="10" t="str">
        <x:v>PENITPRE-CSDTCARANDIRU</x:v>
      </x:c>
      <x:c r="G127" s="10" t="str">
        <x:v>ICO</x:v>
      </x:c>
      <x:c r="H127" s="10" t="str">
        <x:v>FOT</x:v>
      </x:c>
      <x:c r="I127" s="10" t="str">
        <x:v>DGZ</x:v>
      </x:c>
      <x:c r="J127" s="10" t="str">
        <x:v>MT0</x:v>
      </x:c>
    </x:row>
    <x:row r="128" ht="24" hidden="0" customHeight="1">
      <x:c r="A128" s="10" t="str">
        <x:v>BR-SPAPESP_DASP-PENITPRE-CSDTCARANDIRU.xlsx</x:v>
      </x:c>
      <x:c r="B128" s="10" t="str">
        <x:v>Geral</x:v>
      </x:c>
      <x:c r="C128" s="11" t="n">
        <x:v>115</x:v>
      </x:c>
      <x:c r="D128" s="10" t="str">
        <x:v>BR-SPAPESP_DASP-PENITPRE-CSDTCARANDIRU.xlsx:Geral:115</x:v>
      </x:c>
      <x:c r="E128" s="10" t="str">
        <x:v>BRSPAPESP_DASPPENITPRE-CSDTCARANDIRU_ICOFOTDGZMT0_3055-005-059F.jpg</x:v>
      </x:c>
      <x:c r="F128" s="10" t="str">
        <x:v>PENITPRE-CSDTCARANDIRU</x:v>
      </x:c>
      <x:c r="G128" s="10" t="str">
        <x:v>ICO</x:v>
      </x:c>
      <x:c r="H128" s="10" t="str">
        <x:v>FOT</x:v>
      </x:c>
      <x:c r="I128" s="10" t="str">
        <x:v>DGZ</x:v>
      </x:c>
      <x:c r="J128" s="10" t="str">
        <x:v>MT0</x:v>
      </x:c>
    </x:row>
    <x:row r="129" ht="24" hidden="0" customHeight="1">
      <x:c r="A129" s="10" t="str">
        <x:v>BR-SPAPESP_DASP-PENITPRE-CSDTCARANDIRU.xlsx</x:v>
      </x:c>
      <x:c r="B129" s="10" t="str">
        <x:v>Geral</x:v>
      </x:c>
      <x:c r="C129" s="11" t="n">
        <x:v>116</x:v>
      </x:c>
      <x:c r="D129" s="10" t="str">
        <x:v>BR-SPAPESP_DASP-PENITPRE-CSDTCARANDIRU.xlsx:Geral:116</x:v>
      </x:c>
      <x:c r="E129" s="10" t="str">
        <x:v>BRSPAPESP_DASPPENITPRE-CSDTCARANDIRU_ICOFOTDGZMT0_3055-005-059V.jpg</x:v>
      </x:c>
      <x:c r="F129" s="10" t="str">
        <x:v>PENITPRE-CSDTCARANDIRU</x:v>
      </x:c>
      <x:c r="G129" s="10" t="str">
        <x:v>ICO</x:v>
      </x:c>
      <x:c r="H129" s="10" t="str">
        <x:v>FOT</x:v>
      </x:c>
      <x:c r="I129" s="10" t="str">
        <x:v>DGZ</x:v>
      </x:c>
      <x:c r="J129" s="10" t="str">
        <x:v>MT0</x:v>
      </x:c>
    </x:row>
    <x:row r="130" ht="24" hidden="0" customHeight="1">
      <x:c r="A130" s="10" t="str">
        <x:v>BR-SPAPESP_DASP-PENITPRE-CSDTCARANDIRU.xlsx</x:v>
      </x:c>
      <x:c r="B130" s="10" t="str">
        <x:v>Geral</x:v>
      </x:c>
      <x:c r="C130" s="11" t="n">
        <x:v>117</x:v>
      </x:c>
      <x:c r="D130" s="10" t="str">
        <x:v>BR-SPAPESP_DASP-PENITPRE-CSDTCARANDIRU.xlsx:Geral:117</x:v>
      </x:c>
      <x:c r="E130" s="10" t="str">
        <x:v>BRSPAPESP_DASPPENITPRE-CSDTCARANDIRU_ICOFOTDGZMT0_3055-005-060F.jpg</x:v>
      </x:c>
      <x:c r="F130" s="10" t="str">
        <x:v>PENITPRE-CSDTCARANDIRU</x:v>
      </x:c>
      <x:c r="G130" s="10" t="str">
        <x:v>ICO</x:v>
      </x:c>
      <x:c r="H130" s="10" t="str">
        <x:v>FOT</x:v>
      </x:c>
      <x:c r="I130" s="10" t="str">
        <x:v>DGZ</x:v>
      </x:c>
      <x:c r="J130" s="10" t="str">
        <x:v>MT0</x:v>
      </x:c>
    </x:row>
    <x:row r="131" ht="24" hidden="0" customHeight="1">
      <x:c r="A131" s="10" t="str">
        <x:v>BR-SPAPESP_DASP-PENITPRE-CSDTCARANDIRU.xlsx</x:v>
      </x:c>
      <x:c r="B131" s="10" t="str">
        <x:v>Geral</x:v>
      </x:c>
      <x:c r="C131" s="11" t="n">
        <x:v>118</x:v>
      </x:c>
      <x:c r="D131" s="10" t="str">
        <x:v>BR-SPAPESP_DASP-PENITPRE-CSDTCARANDIRU.xlsx:Geral:118</x:v>
      </x:c>
      <x:c r="E131" s="10" t="str">
        <x:v>BRSPAPESP_DASPPENITPRE-CSDTCARANDIRU_ICOFOTDGZMT0_3055-005-060V.jpg</x:v>
      </x:c>
      <x:c r="F131" s="10" t="str">
        <x:v>PENITPRE-CSDTCARANDIRU</x:v>
      </x:c>
      <x:c r="G131" s="10" t="str">
        <x:v>ICO</x:v>
      </x:c>
      <x:c r="H131" s="10" t="str">
        <x:v>FOT</x:v>
      </x:c>
      <x:c r="I131" s="10" t="str">
        <x:v>DGZ</x:v>
      </x:c>
      <x:c r="J131" s="10" t="str">
        <x:v>MT0</x:v>
      </x:c>
    </x:row>
    <x:row r="132" ht="24" hidden="0" customHeight="1">
      <x:c r="A132" s="10" t="str">
        <x:v>BR-SPAPESP_DASP-PENITPRE-CSDTCARANDIRU.xlsx</x:v>
      </x:c>
      <x:c r="B132" s="10" t="str">
        <x:v>Geral</x:v>
      </x:c>
      <x:c r="C132" s="11" t="n">
        <x:v>119</x:v>
      </x:c>
      <x:c r="D132" s="10" t="str">
        <x:v>BR-SPAPESP_DASP-PENITPRE-CSDTCARANDIRU.xlsx:Geral:119</x:v>
      </x:c>
      <x:c r="E132" s="10" t="str">
        <x:v>BRSPAPESP_DASPPENITPRE-CSDTCARANDIRU_ICOFOTDGZMT0_3055-005-061F.jpg</x:v>
      </x:c>
      <x:c r="F132" s="10" t="str">
        <x:v>PENITPRE-CSDTCARANDIRU</x:v>
      </x:c>
      <x:c r="G132" s="10" t="str">
        <x:v>ICO</x:v>
      </x:c>
      <x:c r="H132" s="10" t="str">
        <x:v>FOT</x:v>
      </x:c>
      <x:c r="I132" s="10" t="str">
        <x:v>DGZ</x:v>
      </x:c>
      <x:c r="J132" s="10" t="str">
        <x:v>MT0</x:v>
      </x:c>
    </x:row>
    <x:row r="133" ht="24" hidden="0" customHeight="1">
      <x:c r="A133" s="10" t="str">
        <x:v>BR-SPAPESP_DASP-PENITPRE-CSDTCARANDIRU.xlsx</x:v>
      </x:c>
      <x:c r="B133" s="10" t="str">
        <x:v>Geral</x:v>
      </x:c>
      <x:c r="C133" s="11" t="n">
        <x:v>120</x:v>
      </x:c>
      <x:c r="D133" s="10" t="str">
        <x:v>BR-SPAPESP_DASP-PENITPRE-CSDTCARANDIRU.xlsx:Geral:120</x:v>
      </x:c>
      <x:c r="E133" s="10" t="str">
        <x:v>BRSPAPESP_DASPPENITPRE-CSDTCARANDIRU_ICOFOTDGZMT0_3055-005-061V.jpg</x:v>
      </x:c>
      <x:c r="F133" s="10" t="str">
        <x:v>PENITPRE-CSDTCARANDIRU</x:v>
      </x:c>
      <x:c r="G133" s="10" t="str">
        <x:v>ICO</x:v>
      </x:c>
      <x:c r="H133" s="10" t="str">
        <x:v>FOT</x:v>
      </x:c>
      <x:c r="I133" s="10" t="str">
        <x:v>DGZ</x:v>
      </x:c>
      <x:c r="J133" s="10" t="str">
        <x:v>MT0</x:v>
      </x:c>
    </x:row>
    <x:row r="134" ht="24" hidden="0" customHeight="1">
      <x:c r="A134" s="10" t="str">
        <x:v>BR-SPAPESP_DASP-PENITPRE-CSDTCARANDIRU.xlsx</x:v>
      </x:c>
      <x:c r="B134" s="10" t="str">
        <x:v>Geral</x:v>
      </x:c>
      <x:c r="C134" s="11" t="n">
        <x:v>121</x:v>
      </x:c>
      <x:c r="D134" s="10" t="str">
        <x:v>BR-SPAPESP_DASP-PENITPRE-CSDTCARANDIRU.xlsx:Geral:121</x:v>
      </x:c>
      <x:c r="E134" s="10" t="str">
        <x:v>BRSPAPESP_DASPPENITPRE-CSDTCARANDIRU_ICOFOTDGZMT0_3055-005-062F.jpg</x:v>
      </x:c>
      <x:c r="F134" s="10" t="str">
        <x:v>PENITPRE-CSDTCARANDIRU</x:v>
      </x:c>
      <x:c r="G134" s="10" t="str">
        <x:v>ICO</x:v>
      </x:c>
      <x:c r="H134" s="10" t="str">
        <x:v>FOT</x:v>
      </x:c>
      <x:c r="I134" s="10" t="str">
        <x:v>DGZ</x:v>
      </x:c>
      <x:c r="J134" s="10" t="str">
        <x:v>MT0</x:v>
      </x:c>
    </x:row>
    <x:row r="135" ht="24" hidden="0" customHeight="1">
      <x:c r="A135" s="10" t="str">
        <x:v>BR-SPAPESP_DASP-PENITPRE-CSDTCARANDIRU.xlsx</x:v>
      </x:c>
      <x:c r="B135" s="10" t="str">
        <x:v>Geral</x:v>
      </x:c>
      <x:c r="C135" s="11" t="n">
        <x:v>122</x:v>
      </x:c>
      <x:c r="D135" s="10" t="str">
        <x:v>BR-SPAPESP_DASP-PENITPRE-CSDTCARANDIRU.xlsx:Geral:122</x:v>
      </x:c>
      <x:c r="E135" s="10" t="str">
        <x:v>BRSPAPESP_DASPPENITPRE-CSDTCARANDIRU_ICOFOTDGZMT0_3055-005-062V.jpg</x:v>
      </x:c>
      <x:c r="F135" s="10" t="str">
        <x:v>PENITPRE-CSDTCARANDIRU</x:v>
      </x:c>
      <x:c r="G135" s="10" t="str">
        <x:v>ICO</x:v>
      </x:c>
      <x:c r="H135" s="10" t="str">
        <x:v>FOT</x:v>
      </x:c>
      <x:c r="I135" s="10" t="str">
        <x:v>DGZ</x:v>
      </x:c>
      <x:c r="J135" s="10" t="str">
        <x:v>MT0</x:v>
      </x:c>
    </x:row>
    <x:row r="136" ht="24" hidden="0" customHeight="1">
      <x:c r="A136" s="10" t="str">
        <x:v>BR-SPAPESP_DASP-PENITPRE-CSDTCARANDIRU.xlsx</x:v>
      </x:c>
      <x:c r="B136" s="10" t="str">
        <x:v>Geral</x:v>
      </x:c>
      <x:c r="C136" s="11" t="n">
        <x:v>123</x:v>
      </x:c>
      <x:c r="D136" s="10" t="str">
        <x:v>BR-SPAPESP_DASP-PENITPRE-CSDTCARANDIRU.xlsx:Geral:123</x:v>
      </x:c>
      <x:c r="E136" s="10" t="str">
        <x:v>BRSPAPESP_DASPPENITPRE-CSDTCARANDIRU_ICOFOTDGZMT0_3055-005-063F.jpg</x:v>
      </x:c>
      <x:c r="F136" s="10" t="str">
        <x:v>PENITPRE-CSDTCARANDIRU</x:v>
      </x:c>
      <x:c r="G136" s="10" t="str">
        <x:v>ICO</x:v>
      </x:c>
      <x:c r="H136" s="10" t="str">
        <x:v>FOT</x:v>
      </x:c>
      <x:c r="I136" s="10" t="str">
        <x:v>DGZ</x:v>
      </x:c>
      <x:c r="J136" s="10" t="str">
        <x:v>MT0</x:v>
      </x:c>
    </x:row>
    <x:row r="137" ht="24" hidden="0" customHeight="1">
      <x:c r="A137" s="10" t="str">
        <x:v>BR-SPAPESP_DASP-PENITPRE-CSDTCARANDIRU.xlsx</x:v>
      </x:c>
      <x:c r="B137" s="10" t="str">
        <x:v>Geral</x:v>
      </x:c>
      <x:c r="C137" s="11" t="n">
        <x:v>124</x:v>
      </x:c>
      <x:c r="D137" s="10" t="str">
        <x:v>BR-SPAPESP_DASP-PENITPRE-CSDTCARANDIRU.xlsx:Geral:124</x:v>
      </x:c>
      <x:c r="E137" s="10" t="str">
        <x:v>BRSPAPESP_DASPPENITPRE-CSDTCARANDIRU_ICOFOTDGZMT0_3055-005-063V.jpg</x:v>
      </x:c>
      <x:c r="F137" s="10" t="str">
        <x:v>PENITPRE-CSDTCARANDIRU</x:v>
      </x:c>
      <x:c r="G137" s="10" t="str">
        <x:v>ICO</x:v>
      </x:c>
      <x:c r="H137" s="10" t="str">
        <x:v>FOT</x:v>
      </x:c>
      <x:c r="I137" s="10" t="str">
        <x:v>DGZ</x:v>
      </x:c>
      <x:c r="J137" s="10" t="str">
        <x:v>MT0</x:v>
      </x:c>
    </x:row>
    <x:row r="138" ht="24" hidden="0" customHeight="1">
      <x:c r="A138" s="10" t="str">
        <x:v>BR-SPAPESP_DASP-PENITPRE-CSDTCARANDIRU.xlsx</x:v>
      </x:c>
      <x:c r="B138" s="10" t="str">
        <x:v>Geral</x:v>
      </x:c>
      <x:c r="C138" s="11" t="n">
        <x:v>125</x:v>
      </x:c>
      <x:c r="D138" s="10" t="str">
        <x:v>BR-SPAPESP_DASP-PENITPRE-CSDTCARANDIRU.xlsx:Geral:125</x:v>
      </x:c>
      <x:c r="E138" s="10" t="str">
        <x:v>BRSPAPESP_DASPPENITPRE-CSDTCARANDIRU_ICOFOTDGZMT0_3055-005-064F.jpg</x:v>
      </x:c>
      <x:c r="F138" s="10" t="str">
        <x:v>PENITPRE-CSDTCARANDIRU</x:v>
      </x:c>
      <x:c r="G138" s="10" t="str">
        <x:v>ICO</x:v>
      </x:c>
      <x:c r="H138" s="10" t="str">
        <x:v>FOT</x:v>
      </x:c>
      <x:c r="I138" s="10" t="str">
        <x:v>DGZ</x:v>
      </x:c>
      <x:c r="J138" s="10" t="str">
        <x:v>MT0</x:v>
      </x:c>
    </x:row>
    <x:row r="139" ht="24" hidden="0" customHeight="1">
      <x:c r="A139" s="10" t="str">
        <x:v>BR-SPAPESP_DASP-PENITPRE-CSDTCARANDIRU.xlsx</x:v>
      </x:c>
      <x:c r="B139" s="10" t="str">
        <x:v>Geral</x:v>
      </x:c>
      <x:c r="C139" s="11" t="n">
        <x:v>126</x:v>
      </x:c>
      <x:c r="D139" s="10" t="str">
        <x:v>BR-SPAPESP_DASP-PENITPRE-CSDTCARANDIRU.xlsx:Geral:126</x:v>
      </x:c>
      <x:c r="E139" s="10" t="str">
        <x:v>BRSPAPESP_DASPPENITPRE-CSDTCARANDIRU_ICOFOTDGZMT0_3055-005-064V.jpg</x:v>
      </x:c>
      <x:c r="F139" s="10" t="str">
        <x:v>PENITPRE-CSDTCARANDIRU</x:v>
      </x:c>
      <x:c r="G139" s="10" t="str">
        <x:v>ICO</x:v>
      </x:c>
      <x:c r="H139" s="10" t="str">
        <x:v>FOT</x:v>
      </x:c>
      <x:c r="I139" s="10" t="str">
        <x:v>DGZ</x:v>
      </x:c>
      <x:c r="J139" s="10" t="str">
        <x:v>MT0</x:v>
      </x:c>
    </x:row>
    <x:row r="140" ht="24" hidden="0" customHeight="1">
      <x:c r="A140" s="10" t="str">
        <x:v>BR-SPAPESP_DASP-PENITPRE-CSDTCARANDIRU.xlsx</x:v>
      </x:c>
      <x:c r="B140" s="10" t="str">
        <x:v>Geral</x:v>
      </x:c>
      <x:c r="C140" s="11" t="n">
        <x:v>127</x:v>
      </x:c>
      <x:c r="D140" s="10" t="str">
        <x:v>BR-SPAPESP_DASP-PENITPRE-CSDTCARANDIRU.xlsx:Geral:127</x:v>
      </x:c>
      <x:c r="E140" s="10" t="str">
        <x:v>BRSPAPESP_DASPPENITPRE-CSDTCARANDIRU_ICOFOTDGZMT0_3055-005-065F.jpg</x:v>
      </x:c>
      <x:c r="F140" s="10" t="str">
        <x:v>PENITPRE-CSDTCARANDIRU</x:v>
      </x:c>
      <x:c r="G140" s="10" t="str">
        <x:v>ICO</x:v>
      </x:c>
      <x:c r="H140" s="10" t="str">
        <x:v>FOT</x:v>
      </x:c>
      <x:c r="I140" s="10" t="str">
        <x:v>DGZ</x:v>
      </x:c>
      <x:c r="J140" s="10" t="str">
        <x:v>MT0</x:v>
      </x:c>
    </x:row>
    <x:row r="141" ht="24" hidden="0" customHeight="1">
      <x:c r="A141" s="10" t="str">
        <x:v>BR-SPAPESP_DASP-PENITPRE-CSDTCARANDIRU.xlsx</x:v>
      </x:c>
      <x:c r="B141" s="10" t="str">
        <x:v>Geral</x:v>
      </x:c>
      <x:c r="C141" s="11" t="n">
        <x:v>128</x:v>
      </x:c>
      <x:c r="D141" s="10" t="str">
        <x:v>BR-SPAPESP_DASP-PENITPRE-CSDTCARANDIRU.xlsx:Geral:128</x:v>
      </x:c>
      <x:c r="E141" s="10" t="str">
        <x:v>BRSPAPESP_DASPPENITPRE-CSDTCARANDIRU_ICOFOTDGZMT0_3055-005-065V.jpg</x:v>
      </x:c>
      <x:c r="F141" s="10" t="str">
        <x:v>PENITPRE-CSDTCARANDIRU</x:v>
      </x:c>
      <x:c r="G141" s="10" t="str">
        <x:v>ICO</x:v>
      </x:c>
      <x:c r="H141" s="10" t="str">
        <x:v>FOT</x:v>
      </x:c>
      <x:c r="I141" s="10" t="str">
        <x:v>DGZ</x:v>
      </x:c>
      <x:c r="J141" s="10" t="str">
        <x:v>MT0</x:v>
      </x:c>
    </x:row>
    <x:row r="142" ht="24" hidden="0" customHeight="1">
      <x:c r="A142" s="10" t="str">
        <x:v>BR-SPAPESP_DASP-PENITPRE-CSDTCARANDIRU.xlsx</x:v>
      </x:c>
      <x:c r="B142" s="10" t="str">
        <x:v>Geral</x:v>
      </x:c>
      <x:c r="C142" s="11" t="n">
        <x:v>129</x:v>
      </x:c>
      <x:c r="D142" s="10" t="str">
        <x:v>BR-SPAPESP_DASP-PENITPRE-CSDTCARANDIRU.xlsx:Geral:129</x:v>
      </x:c>
      <x:c r="E142" s="10" t="str">
        <x:v>BRSPAPESP_DASPPENITPRE-CSDTCARANDIRU_ICOFOTDGZMT0_3055-005-066F.jpg</x:v>
      </x:c>
      <x:c r="F142" s="10" t="str">
        <x:v>PENITPRE-CSDTCARANDIRU</x:v>
      </x:c>
      <x:c r="G142" s="10" t="str">
        <x:v>ICO</x:v>
      </x:c>
      <x:c r="H142" s="10" t="str">
        <x:v>FOT</x:v>
      </x:c>
      <x:c r="I142" s="10" t="str">
        <x:v>DGZ</x:v>
      </x:c>
      <x:c r="J142" s="10" t="str">
        <x:v>MT0</x:v>
      </x:c>
    </x:row>
    <x:row r="143" ht="24" hidden="0" customHeight="1">
      <x:c r="A143" s="10" t="str">
        <x:v>BR-SPAPESP_DASP-PENITPRE-CSDTCARANDIRU.xlsx</x:v>
      </x:c>
      <x:c r="B143" s="10" t="str">
        <x:v>Geral</x:v>
      </x:c>
      <x:c r="C143" s="11" t="n">
        <x:v>130</x:v>
      </x:c>
      <x:c r="D143" s="10" t="str">
        <x:v>BR-SPAPESP_DASP-PENITPRE-CSDTCARANDIRU.xlsx:Geral:130</x:v>
      </x:c>
      <x:c r="E143" s="10" t="str">
        <x:v>BRSPAPESP_DASPPENITPRE-CSDTCARANDIRU_ICOFOTDGZMT0_3055-005-066V.jpg</x:v>
      </x:c>
      <x:c r="F143" s="10" t="str">
        <x:v>PENITPRE-CSDTCARANDIRU</x:v>
      </x:c>
      <x:c r="G143" s="10" t="str">
        <x:v>ICO</x:v>
      </x:c>
      <x:c r="H143" s="10" t="str">
        <x:v>FOT</x:v>
      </x:c>
      <x:c r="I143" s="10" t="str">
        <x:v>DGZ</x:v>
      </x:c>
      <x:c r="J143" s="10" t="str">
        <x:v>MT0</x:v>
      </x:c>
    </x:row>
    <x:row r="144" ht="24" hidden="0" customHeight="1">
      <x:c r="A144" s="10" t="str">
        <x:v>BR-SPAPESP_DASP-PENITPRE-CSDTCARANDIRU.xlsx</x:v>
      </x:c>
      <x:c r="B144" s="10" t="str">
        <x:v>Geral</x:v>
      </x:c>
      <x:c r="C144" s="11" t="n">
        <x:v>131</x:v>
      </x:c>
      <x:c r="D144" s="10" t="str">
        <x:v>BR-SPAPESP_DASP-PENITPRE-CSDTCARANDIRU.xlsx:Geral:131</x:v>
      </x:c>
      <x:c r="E144" s="10" t="str">
        <x:v>BRSPAPESP_DASPPENITPRE-CSDTCARANDIRU_ICOFOTDGZMT0_3055-005-068F.jpg</x:v>
      </x:c>
      <x:c r="F144" s="10" t="str">
        <x:v>PENITPRE-CSDTCARANDIRU</x:v>
      </x:c>
      <x:c r="G144" s="10" t="str">
        <x:v>ICO</x:v>
      </x:c>
      <x:c r="H144" s="10" t="str">
        <x:v>FOT</x:v>
      </x:c>
      <x:c r="I144" s="10" t="str">
        <x:v>DGZ</x:v>
      </x:c>
      <x:c r="J144" s="10" t="str">
        <x:v>MT0</x:v>
      </x:c>
    </x:row>
    <x:row r="145" ht="24" hidden="0" customHeight="1">
      <x:c r="A145" s="10" t="str">
        <x:v>BR-SPAPESP_DASP-PENITPRE-CSDTCARANDIRU.xlsx</x:v>
      </x:c>
      <x:c r="B145" s="10" t="str">
        <x:v>Geral</x:v>
      </x:c>
      <x:c r="C145" s="11" t="n">
        <x:v>132</x:v>
      </x:c>
      <x:c r="D145" s="10" t="str">
        <x:v>BR-SPAPESP_DASP-PENITPRE-CSDTCARANDIRU.xlsx:Geral:132</x:v>
      </x:c>
      <x:c r="E145" s="10" t="str">
        <x:v>BRSPAPESP_DASPPENITPRE-CSDTCARANDIRU_ICOFOTDGZMT0_3055-005-068V.jpg</x:v>
      </x:c>
      <x:c r="F145" s="10" t="str">
        <x:v>PENITPRE-CSDTCARANDIRU</x:v>
      </x:c>
      <x:c r="G145" s="10" t="str">
        <x:v>ICO</x:v>
      </x:c>
      <x:c r="H145" s="10" t="str">
        <x:v>FOT</x:v>
      </x:c>
      <x:c r="I145" s="10" t="str">
        <x:v>DGZ</x:v>
      </x:c>
      <x:c r="J145" s="10" t="str">
        <x:v>MT0</x:v>
      </x:c>
    </x:row>
    <x:row r="146" ht="24" hidden="0" customHeight="1">
      <x:c r="A146" s="10" t="str">
        <x:v>BR-SPAPESP_DASP-PENITPRE-CSDTCARANDIRU.xlsx</x:v>
      </x:c>
      <x:c r="B146" s="10" t="str">
        <x:v>Geral</x:v>
      </x:c>
      <x:c r="C146" s="11" t="n">
        <x:v>133</x:v>
      </x:c>
      <x:c r="D146" s="10" t="str">
        <x:v>BR-SPAPESP_DASP-PENITPRE-CSDTCARANDIRU.xlsx:Geral:133</x:v>
      </x:c>
      <x:c r="E146" s="10" t="str">
        <x:v>BRSPAPESP_DASPPENITPRE-CSDTCARANDIRU_ICOFOTDGZMT0_3055-005-067F.jpg</x:v>
      </x:c>
      <x:c r="F146" s="10" t="str">
        <x:v>PENITPRE-CSDTCARANDIRU</x:v>
      </x:c>
      <x:c r="G146" s="10" t="str">
        <x:v>ICO</x:v>
      </x:c>
      <x:c r="H146" s="10" t="str">
        <x:v>FOT</x:v>
      </x:c>
      <x:c r="I146" s="10" t="str">
        <x:v>DGZ</x:v>
      </x:c>
      <x:c r="J146" s="10" t="str">
        <x:v>MT0</x:v>
      </x:c>
    </x:row>
    <x:row r="147" ht="24" hidden="0" customHeight="1">
      <x:c r="A147" s="10" t="str">
        <x:v>BR-SPAPESP_DASP-PENITPRE-CSDTCARANDIRU.xlsx</x:v>
      </x:c>
      <x:c r="B147" s="10" t="str">
        <x:v>Geral</x:v>
      </x:c>
      <x:c r="C147" s="11" t="n">
        <x:v>134</x:v>
      </x:c>
      <x:c r="D147" s="10" t="str">
        <x:v>BR-SPAPESP_DASP-PENITPRE-CSDTCARANDIRU.xlsx:Geral:134</x:v>
      </x:c>
      <x:c r="E147" s="10" t="str">
        <x:v>BRSPAPESP_DASPPENITPRE-CSDTCARANDIRU_ICOFOTDGZMT0_3055-005-067V.jpg</x:v>
      </x:c>
      <x:c r="F147" s="10" t="str">
        <x:v>PENITPRE-CSDTCARANDIRU</x:v>
      </x:c>
      <x:c r="G147" s="10" t="str">
        <x:v>ICO</x:v>
      </x:c>
      <x:c r="H147" s="10" t="str">
        <x:v>FOT</x:v>
      </x:c>
      <x:c r="I147" s="10" t="str">
        <x:v>DGZ</x:v>
      </x:c>
      <x:c r="J147" s="10" t="str">
        <x:v>MT0</x:v>
      </x:c>
    </x:row>
    <x:row r="148" ht="24" hidden="0" customHeight="1">
      <x:c r="A148" s="10" t="str">
        <x:v>BR-SPAPESP_DASP-PENITPRE-CSDTCARANDIRU.xlsx</x:v>
      </x:c>
      <x:c r="B148" s="10" t="str">
        <x:v>Geral</x:v>
      </x:c>
      <x:c r="C148" s="11" t="n">
        <x:v>135</x:v>
      </x:c>
      <x:c r="D148" s="10" t="str">
        <x:v>BR-SPAPESP_DASP-PENITPRE-CSDTCARANDIRU.xlsx:Geral:135</x:v>
      </x:c>
      <x:c r="E148" s="10" t="str">
        <x:v>BRSPAPESP_DASPPENITPRE-CSDTCARANDIRU_ICOFOTDGZMT0_3055-005-069F.jpg</x:v>
      </x:c>
      <x:c r="F148" s="10" t="str">
        <x:v>PENITPRE-CSDTCARANDIRU</x:v>
      </x:c>
      <x:c r="G148" s="10" t="str">
        <x:v>ICO</x:v>
      </x:c>
      <x:c r="H148" s="10" t="str">
        <x:v>FOT</x:v>
      </x:c>
      <x:c r="I148" s="10" t="str">
        <x:v>DGZ</x:v>
      </x:c>
      <x:c r="J148" s="10" t="str">
        <x:v>MT0</x:v>
      </x:c>
    </x:row>
    <x:row r="149" ht="24" hidden="0" customHeight="1">
      <x:c r="A149" s="10" t="str">
        <x:v>BR-SPAPESP_DASP-PENITPRE-CSDTCARANDIRU.xlsx</x:v>
      </x:c>
      <x:c r="B149" s="10" t="str">
        <x:v>Geral</x:v>
      </x:c>
      <x:c r="C149" s="11" t="n">
        <x:v>136</x:v>
      </x:c>
      <x:c r="D149" s="10" t="str">
        <x:v>BR-SPAPESP_DASP-PENITPRE-CSDTCARANDIRU.xlsx:Geral:136</x:v>
      </x:c>
      <x:c r="E149" s="10" t="str">
        <x:v>BRSPAPESP_DASPPENITPRE-CSDTCARANDIRU_ICOFOTDGZMT0_3055-005-069V.jpg</x:v>
      </x:c>
      <x:c r="F149" s="10" t="str">
        <x:v>PENITPRE-CSDTCARANDIRU</x:v>
      </x:c>
      <x:c r="G149" s="10" t="str">
        <x:v>ICO</x:v>
      </x:c>
      <x:c r="H149" s="10" t="str">
        <x:v>FOT</x:v>
      </x:c>
      <x:c r="I149" s="10" t="str">
        <x:v>DGZ</x:v>
      </x:c>
      <x:c r="J149" s="10" t="str">
        <x:v>MT0</x:v>
      </x:c>
    </x:row>
    <x:row r="150" ht="24" hidden="0" customHeight="1">
      <x:c r="A150" s="10" t="str">
        <x:v>BR-SPAPESP_DASP-PENITPRE-CSDTCARANDIRU.xlsx</x:v>
      </x:c>
      <x:c r="B150" s="10" t="str">
        <x:v>Geral</x:v>
      </x:c>
      <x:c r="C150" s="11" t="n">
        <x:v>137</x:v>
      </x:c>
      <x:c r="D150" s="10" t="str">
        <x:v>BR-SPAPESP_DASP-PENITPRE-CSDTCARANDIRU.xlsx:Geral:137</x:v>
      </x:c>
      <x:c r="E150" s="10" t="str">
        <x:v>BRSPAPESP_DASPPENITPRE-CSDTCARANDIRU_ICOFOTDGZMT0_3055-005-070F.jpg</x:v>
      </x:c>
      <x:c r="F150" s="10" t="str">
        <x:v>PENITPRE-CSDTCARANDIRU</x:v>
      </x:c>
      <x:c r="G150" s="10" t="str">
        <x:v>ICO</x:v>
      </x:c>
      <x:c r="H150" s="10" t="str">
        <x:v>FOT</x:v>
      </x:c>
      <x:c r="I150" s="10" t="str">
        <x:v>DGZ</x:v>
      </x:c>
      <x:c r="J150" s="10" t="str">
        <x:v>MT0</x:v>
      </x:c>
    </x:row>
    <x:row r="151" ht="24" hidden="0" customHeight="1">
      <x:c r="A151" s="10" t="str">
        <x:v>BR-SPAPESP_DASP-PENITPRE-CSDTCARANDIRU.xlsx</x:v>
      </x:c>
      <x:c r="B151" s="10" t="str">
        <x:v>Geral</x:v>
      </x:c>
      <x:c r="C151" s="11" t="n">
        <x:v>138</x:v>
      </x:c>
      <x:c r="D151" s="10" t="str">
        <x:v>BR-SPAPESP_DASP-PENITPRE-CSDTCARANDIRU.xlsx:Geral:138</x:v>
      </x:c>
      <x:c r="E151" s="10" t="str">
        <x:v>BRSPAPESP_DASPPENITPRE-CSDTCARANDIRU_ICOFOTDGZMT0_3055-005-070V.jpg</x:v>
      </x:c>
      <x:c r="F151" s="10" t="str">
        <x:v>PENITPRE-CSDTCARANDIRU</x:v>
      </x:c>
      <x:c r="G151" s="10" t="str">
        <x:v>ICO</x:v>
      </x:c>
      <x:c r="H151" s="10" t="str">
        <x:v>FOT</x:v>
      </x:c>
      <x:c r="I151" s="10" t="str">
        <x:v>DGZ</x:v>
      </x:c>
      <x:c r="J151" s="10" t="str">
        <x:v>MT0</x:v>
      </x:c>
    </x:row>
    <x:row r="152" ht="24" hidden="0" customHeight="1">
      <x:c r="A152" s="10" t="str">
        <x:v>BR-SPAPESP_DASP-PENITPRE-CSDTCARANDIRU.xlsx</x:v>
      </x:c>
      <x:c r="B152" s="10" t="str">
        <x:v>Geral</x:v>
      </x:c>
      <x:c r="C152" s="11" t="n">
        <x:v>139</x:v>
      </x:c>
      <x:c r="D152" s="10" t="str">
        <x:v>BR-SPAPESP_DASP-PENITPRE-CSDTCARANDIRU.xlsx:Geral:139</x:v>
      </x:c>
      <x:c r="E152" s="10" t="str">
        <x:v>BRSPAPESP_DASPPENITPRE-CSDTCARANDIRU_ICOFOTDGZMT0_3055-005-071F.jpg</x:v>
      </x:c>
      <x:c r="F152" s="10" t="str">
        <x:v>PENITPRE-CSDTCARANDIRU</x:v>
      </x:c>
      <x:c r="G152" s="10" t="str">
        <x:v>ICO</x:v>
      </x:c>
      <x:c r="H152" s="10" t="str">
        <x:v>FOT</x:v>
      </x:c>
      <x:c r="I152" s="10" t="str">
        <x:v>DGZ</x:v>
      </x:c>
      <x:c r="J152" s="10" t="str">
        <x:v>MT0</x:v>
      </x:c>
    </x:row>
    <x:row r="153" ht="24" hidden="0" customHeight="1">
      <x:c r="A153" s="10" t="str">
        <x:v>BR-SPAPESP_DASP-PENITPRE-CSDTCARANDIRU.xlsx</x:v>
      </x:c>
      <x:c r="B153" s="10" t="str">
        <x:v>Geral</x:v>
      </x:c>
      <x:c r="C153" s="11" t="n">
        <x:v>140</x:v>
      </x:c>
      <x:c r="D153" s="10" t="str">
        <x:v>BR-SPAPESP_DASP-PENITPRE-CSDTCARANDIRU.xlsx:Geral:140</x:v>
      </x:c>
      <x:c r="E153" s="10" t="str">
        <x:v>BRSPAPESP_DASPPENITPRE-CSDTCARANDIRU_ICOFOTDGZMT0_3055-005-071V.jpg</x:v>
      </x:c>
      <x:c r="F153" s="10" t="str">
        <x:v>PENITPRE-CSDTCARANDIRU</x:v>
      </x:c>
      <x:c r="G153" s="10" t="str">
        <x:v>ICO</x:v>
      </x:c>
      <x:c r="H153" s="10" t="str">
        <x:v>FOT</x:v>
      </x:c>
      <x:c r="I153" s="10" t="str">
        <x:v>DGZ</x:v>
      </x:c>
      <x:c r="J153" s="10" t="str">
        <x:v>MT0</x:v>
      </x:c>
    </x:row>
    <x:row r="154" ht="24" hidden="0" customHeight="1">
      <x:c r="A154" s="10" t="str">
        <x:v>BR-SPAPESP_DASP-PENITPRE-CSDTCARANDIRU.xlsx</x:v>
      </x:c>
      <x:c r="B154" s="10" t="str">
        <x:v>Geral</x:v>
      </x:c>
      <x:c r="C154" s="11" t="n">
        <x:v>141</x:v>
      </x:c>
      <x:c r="D154" s="10" t="str">
        <x:v>BR-SPAPESP_DASP-PENITPRE-CSDTCARANDIRU.xlsx:Geral:141</x:v>
      </x:c>
      <x:c r="E154" s="10" t="str">
        <x:v>BRSPAPESP_DASPPENITPRE-CSDTCARANDIRU_ICOFOTDGZMT0_3055-005-072F.jpg</x:v>
      </x:c>
      <x:c r="F154" s="10" t="str">
        <x:v>PENITPRE-CSDTCARANDIRU</x:v>
      </x:c>
      <x:c r="G154" s="10" t="str">
        <x:v>ICO</x:v>
      </x:c>
      <x:c r="H154" s="10" t="str">
        <x:v>FOT</x:v>
      </x:c>
      <x:c r="I154" s="10" t="str">
        <x:v>DGZ</x:v>
      </x:c>
      <x:c r="J154" s="10" t="str">
        <x:v>MT0</x:v>
      </x:c>
    </x:row>
    <x:row r="155" ht="24" hidden="0" customHeight="1">
      <x:c r="A155" s="10" t="str">
        <x:v>BR-SPAPESP_DASP-PENITPRE-CSDTCARANDIRU.xlsx</x:v>
      </x:c>
      <x:c r="B155" s="10" t="str">
        <x:v>Geral</x:v>
      </x:c>
      <x:c r="C155" s="11" t="n">
        <x:v>142</x:v>
      </x:c>
      <x:c r="D155" s="10" t="str">
        <x:v>BR-SPAPESP_DASP-PENITPRE-CSDTCARANDIRU.xlsx:Geral:142</x:v>
      </x:c>
      <x:c r="E155" s="10" t="str">
        <x:v>BRSPAPESP_DASPPENITPRE-CSDTCARANDIRU_ICOFOTDGZMT0_3055-005-072V.jpg</x:v>
      </x:c>
      <x:c r="F155" s="10" t="str">
        <x:v>PENITPRE-CSDTCARANDIRU</x:v>
      </x:c>
      <x:c r="G155" s="10" t="str">
        <x:v>ICO</x:v>
      </x:c>
      <x:c r="H155" s="10" t="str">
        <x:v>FOT</x:v>
      </x:c>
      <x:c r="I155" s="10" t="str">
        <x:v>DGZ</x:v>
      </x:c>
      <x:c r="J155" s="10" t="str">
        <x:v>MT0</x:v>
      </x:c>
    </x:row>
    <x:row r="156" ht="24" hidden="0" customHeight="1">
      <x:c r="A156" s="10" t="str">
        <x:v>BR-SPAPESP_DASP-PENITPRE-CSDTCARANDIRU.xlsx</x:v>
      </x:c>
      <x:c r="B156" s="10" t="str">
        <x:v>Geral</x:v>
      </x:c>
      <x:c r="C156" s="11" t="n">
        <x:v>143</x:v>
      </x:c>
      <x:c r="D156" s="10" t="str">
        <x:v>BR-SPAPESP_DASP-PENITPRE-CSDTCARANDIRU.xlsx:Geral:143</x:v>
      </x:c>
      <x:c r="E156" s="10" t="str">
        <x:v>BRSPAPESP_DASPPENITPRE-CSDTCARANDIRU_ICOFOTDGZMT0_3055-005-073F.jpg</x:v>
      </x:c>
      <x:c r="F156" s="10" t="str">
        <x:v>PENITPRE-CSDTCARANDIRU</x:v>
      </x:c>
      <x:c r="G156" s="10" t="str">
        <x:v>ICO</x:v>
      </x:c>
      <x:c r="H156" s="10" t="str">
        <x:v>FOT</x:v>
      </x:c>
      <x:c r="I156" s="10" t="str">
        <x:v>DGZ</x:v>
      </x:c>
      <x:c r="J156" s="10" t="str">
        <x:v>MT0</x:v>
      </x:c>
    </x:row>
    <x:row r="157" ht="24" hidden="0" customHeight="1">
      <x:c r="A157" s="10" t="str">
        <x:v>BR-SPAPESP_DASP-PENITPRE-CSDTCARANDIRU.xlsx</x:v>
      </x:c>
      <x:c r="B157" s="10" t="str">
        <x:v>Geral</x:v>
      </x:c>
      <x:c r="C157" s="11" t="n">
        <x:v>144</x:v>
      </x:c>
      <x:c r="D157" s="10" t="str">
        <x:v>BR-SPAPESP_DASP-PENITPRE-CSDTCARANDIRU.xlsx:Geral:144</x:v>
      </x:c>
      <x:c r="E157" s="10" t="str">
        <x:v>BRSPAPESP_DASPPENITPRE-CSDTCARANDIRU_ICOFOTDGZMT0_3055-005-073V.jpg</x:v>
      </x:c>
      <x:c r="F157" s="10" t="str">
        <x:v>PENITPRE-CSDTCARANDIRU</x:v>
      </x:c>
      <x:c r="G157" s="10" t="str">
        <x:v>ICO</x:v>
      </x:c>
      <x:c r="H157" s="10" t="str">
        <x:v>FOT</x:v>
      </x:c>
      <x:c r="I157" s="10" t="str">
        <x:v>DGZ</x:v>
      </x:c>
      <x:c r="J157" s="10" t="str">
        <x:v>MT0</x:v>
      </x:c>
    </x:row>
    <x:row r="158" ht="24" hidden="0" customHeight="1">
      <x:c r="A158" s="10" t="str">
        <x:v>BR-SPAPESP_DASP-PENITPRE-CSDTCARANDIRU.xlsx</x:v>
      </x:c>
      <x:c r="B158" s="10" t="str">
        <x:v>Geral</x:v>
      </x:c>
      <x:c r="C158" s="11" t="n">
        <x:v>145</x:v>
      </x:c>
      <x:c r="D158" s="10" t="str">
        <x:v>BR-SPAPESP_DASP-PENITPRE-CSDTCARANDIRU.xlsx:Geral:145</x:v>
      </x:c>
      <x:c r="E158" s="10" t="str">
        <x:v>BRSPAPESP_DASPPENITPRE-CSDTCARANDIRU_ICOFOTDGZMT0_3055-005-074F.jpg</x:v>
      </x:c>
      <x:c r="F158" s="10" t="str">
        <x:v>PENITPRE-CSDTCARANDIRU</x:v>
      </x:c>
      <x:c r="G158" s="10" t="str">
        <x:v>ICO</x:v>
      </x:c>
      <x:c r="H158" s="10" t="str">
        <x:v>FOT</x:v>
      </x:c>
      <x:c r="I158" s="10" t="str">
        <x:v>DGZ</x:v>
      </x:c>
      <x:c r="J158" s="10" t="str">
        <x:v>MT0</x:v>
      </x:c>
    </x:row>
    <x:row r="159" ht="24" hidden="0" customHeight="1">
      <x:c r="A159" s="10" t="str">
        <x:v>BR-SPAPESP_DASP-PENITPRE-CSDTCARANDIRU.xlsx</x:v>
      </x:c>
      <x:c r="B159" s="10" t="str">
        <x:v>Geral</x:v>
      </x:c>
      <x:c r="C159" s="11" t="n">
        <x:v>146</x:v>
      </x:c>
      <x:c r="D159" s="10" t="str">
        <x:v>BR-SPAPESP_DASP-PENITPRE-CSDTCARANDIRU.xlsx:Geral:146</x:v>
      </x:c>
      <x:c r="E159" s="10" t="str">
        <x:v>BRSPAPESP_DASPPENITPRE-CSDTCARANDIRU_ICOFOTDGZMT0_3055-005-074V.jpg</x:v>
      </x:c>
      <x:c r="F159" s="10" t="str">
        <x:v>PENITPRE-CSDTCARANDIRU</x:v>
      </x:c>
      <x:c r="G159" s="10" t="str">
        <x:v>ICO</x:v>
      </x:c>
      <x:c r="H159" s="10" t="str">
        <x:v>FOT</x:v>
      </x:c>
      <x:c r="I159" s="10" t="str">
        <x:v>DGZ</x:v>
      </x:c>
      <x:c r="J159" s="10" t="str">
        <x:v>MT0</x:v>
      </x:c>
    </x:row>
    <x:row r="160" ht="24" hidden="0" customHeight="1">
      <x:c r="A160" s="10" t="str">
        <x:v>BR-SPAPESP_DASP-PENITPRE-CSDTCARANDIRU.xlsx</x:v>
      </x:c>
      <x:c r="B160" s="10" t="str">
        <x:v>Geral</x:v>
      </x:c>
      <x:c r="C160" s="11" t="n">
        <x:v>147</x:v>
      </x:c>
      <x:c r="D160" s="10" t="str">
        <x:v>BR-SPAPESP_DASP-PENITPRE-CSDTCARANDIRU.xlsx:Geral:147</x:v>
      </x:c>
      <x:c r="E160" s="10" t="str">
        <x:v>BRSPAPESP_DASPPENITPRE-CSDTCARANDIRU_ICOFOTDGZMT0_3055-005-075F.jpg</x:v>
      </x:c>
      <x:c r="F160" s="10" t="str">
        <x:v>PENITPRE-CSDTCARANDIRU</x:v>
      </x:c>
      <x:c r="G160" s="10" t="str">
        <x:v>ICO</x:v>
      </x:c>
      <x:c r="H160" s="10" t="str">
        <x:v>FOT</x:v>
      </x:c>
      <x:c r="I160" s="10" t="str">
        <x:v>DGZ</x:v>
      </x:c>
      <x:c r="J160" s="10" t="str">
        <x:v>MT0</x:v>
      </x:c>
    </x:row>
    <x:row r="161" ht="24" hidden="0" customHeight="1">
      <x:c r="A161" s="10" t="str">
        <x:v>BR-SPAPESP_DASP-PENITPRE-CSDTCARANDIRU.xlsx</x:v>
      </x:c>
      <x:c r="B161" s="10" t="str">
        <x:v>Geral</x:v>
      </x:c>
      <x:c r="C161" s="11" t="n">
        <x:v>148</x:v>
      </x:c>
      <x:c r="D161" s="10" t="str">
        <x:v>BR-SPAPESP_DASP-PENITPRE-CSDTCARANDIRU.xlsx:Geral:148</x:v>
      </x:c>
      <x:c r="E161" s="10" t="str">
        <x:v>BRSPAPESP_DASPPENITPRE-CSDTCARANDIRU_ICOFOTDGZMT0_3055-005-075V.jpg</x:v>
      </x:c>
      <x:c r="F161" s="10" t="str">
        <x:v>PENITPRE-CSDTCARANDIRU</x:v>
      </x:c>
      <x:c r="G161" s="10" t="str">
        <x:v>ICO</x:v>
      </x:c>
      <x:c r="H161" s="10" t="str">
        <x:v>FOT</x:v>
      </x:c>
      <x:c r="I161" s="10" t="str">
        <x:v>DGZ</x:v>
      </x:c>
      <x:c r="J161" s="10" t="str">
        <x:v>MT0</x:v>
      </x:c>
    </x:row>
    <x:row r="162" ht="24" hidden="0" customHeight="1">
      <x:c r="A162" s="10" t="str">
        <x:v>BR-SPAPESP_DASP-PENITPRE-CSDTCARANDIRU.xlsx</x:v>
      </x:c>
      <x:c r="B162" s="10" t="str">
        <x:v>Geral</x:v>
      </x:c>
      <x:c r="C162" s="11" t="n">
        <x:v>149</x:v>
      </x:c>
      <x:c r="D162" s="10" t="str">
        <x:v>BR-SPAPESP_DASP-PENITPRE-CSDTCARANDIRU.xlsx:Geral:149</x:v>
      </x:c>
      <x:c r="E162" s="10" t="str">
        <x:v>BRSPAPESP_DASPPENITPRE-CSDTCARANDIRU_ICOFOTDGZMT0_3055-005-076F.jpg</x:v>
      </x:c>
      <x:c r="F162" s="10" t="str">
        <x:v>PENITPRE-CSDTCARANDIRU</x:v>
      </x:c>
      <x:c r="G162" s="10" t="str">
        <x:v>ICO</x:v>
      </x:c>
      <x:c r="H162" s="10" t="str">
        <x:v>FOT</x:v>
      </x:c>
      <x:c r="I162" s="10" t="str">
        <x:v>DGZ</x:v>
      </x:c>
      <x:c r="J162" s="10" t="str">
        <x:v>MT0</x:v>
      </x:c>
    </x:row>
    <x:row r="163" ht="24" hidden="0" customHeight="1">
      <x:c r="A163" s="10" t="str">
        <x:v>BR-SPAPESP_DASP-PENITPRE-CSDTCARANDIRU.xlsx</x:v>
      </x:c>
      <x:c r="B163" s="10" t="str">
        <x:v>Geral</x:v>
      </x:c>
      <x:c r="C163" s="11" t="n">
        <x:v>150</x:v>
      </x:c>
      <x:c r="D163" s="10" t="str">
        <x:v>BR-SPAPESP_DASP-PENITPRE-CSDTCARANDIRU.xlsx:Geral:150</x:v>
      </x:c>
      <x:c r="E163" s="10" t="str">
        <x:v>BRSPAPESP_DASPPENITPRE-CSDTCARANDIRU_ICOFOTDGZMT0_3055-005-076V.jpg</x:v>
      </x:c>
      <x:c r="F163" s="10" t="str">
        <x:v>PENITPRE-CSDTCARANDIRU</x:v>
      </x:c>
      <x:c r="G163" s="10" t="str">
        <x:v>ICO</x:v>
      </x:c>
      <x:c r="H163" s="10" t="str">
        <x:v>FOT</x:v>
      </x:c>
      <x:c r="I163" s="10" t="str">
        <x:v>DGZ</x:v>
      </x:c>
      <x:c r="J163" s="10" t="str">
        <x:v>MT0</x:v>
      </x:c>
    </x:row>
    <x:row r="164" ht="24" hidden="0" customHeight="1">
      <x:c r="A164" s="10" t="str">
        <x:v>BR-SPAPESP_DASP-PENITPRE-CSDTCARANDIRU.xlsx</x:v>
      </x:c>
      <x:c r="B164" s="10" t="str">
        <x:v>Geral</x:v>
      </x:c>
      <x:c r="C164" s="11" t="n">
        <x:v>151</x:v>
      </x:c>
      <x:c r="D164" s="10" t="str">
        <x:v>BR-SPAPESP_DASP-PENITPRE-CSDTCARANDIRU.xlsx:Geral:151</x:v>
      </x:c>
      <x:c r="E164" s="10" t="str">
        <x:v>BRSPAPESP_DASPPENITPRE-CSDTCARANDIRU_ICOFOTDGZMT0_3055-005-077F.jpg</x:v>
      </x:c>
      <x:c r="F164" s="10" t="str">
        <x:v>PENITPRE-CSDTCARANDIRU</x:v>
      </x:c>
      <x:c r="G164" s="10" t="str">
        <x:v>ICO</x:v>
      </x:c>
      <x:c r="H164" s="10" t="str">
        <x:v>FOT</x:v>
      </x:c>
      <x:c r="I164" s="10" t="str">
        <x:v>DGZ</x:v>
      </x:c>
      <x:c r="J164" s="10" t="str">
        <x:v>MT0</x:v>
      </x:c>
    </x:row>
    <x:row r="165" ht="24" hidden="0" customHeight="1">
      <x:c r="A165" s="10" t="str">
        <x:v>BR-SPAPESP_DASP-PENITPRE-CSDTCARANDIRU.xlsx</x:v>
      </x:c>
      <x:c r="B165" s="10" t="str">
        <x:v>Geral</x:v>
      </x:c>
      <x:c r="C165" s="11" t="n">
        <x:v>152</x:v>
      </x:c>
      <x:c r="D165" s="10" t="str">
        <x:v>BR-SPAPESP_DASP-PENITPRE-CSDTCARANDIRU.xlsx:Geral:152</x:v>
      </x:c>
      <x:c r="E165" s="10" t="str">
        <x:v>BRSPAPESP_DASPPENITPRE-CSDTCARANDIRU_ICOFOTDGZMT0_3055-005-077V.jpg</x:v>
      </x:c>
      <x:c r="F165" s="10" t="str">
        <x:v>PENITPRE-CSDTCARANDIRU</x:v>
      </x:c>
      <x:c r="G165" s="10" t="str">
        <x:v>ICO</x:v>
      </x:c>
      <x:c r="H165" s="10" t="str">
        <x:v>FOT</x:v>
      </x:c>
      <x:c r="I165" s="10" t="str">
        <x:v>DGZ</x:v>
      </x:c>
      <x:c r="J165" s="10" t="str">
        <x:v>MT0</x:v>
      </x:c>
    </x:row>
    <x:row r="166" ht="24" hidden="0" customHeight="1">
      <x:c r="A166" s="10" t="str">
        <x:v>BR-SPAPESP_DASP-PENITPRE-CSDTCARANDIRU.xlsx</x:v>
      </x:c>
      <x:c r="B166" s="10" t="str">
        <x:v>Geral</x:v>
      </x:c>
      <x:c r="C166" s="11" t="n">
        <x:v>153</x:v>
      </x:c>
      <x:c r="D166" s="10" t="str">
        <x:v>BR-SPAPESP_DASP-PENITPRE-CSDTCARANDIRU.xlsx:Geral:153</x:v>
      </x:c>
      <x:c r="E166" s="10" t="str">
        <x:v>BRSPAPESP_DASPPENITPRE-CSDTCARANDIRU_ICOFOTDGZMT0_3055-005-078F.jpg</x:v>
      </x:c>
      <x:c r="F166" s="10" t="str">
        <x:v>PENITPRE-CSDTCARANDIRU</x:v>
      </x:c>
      <x:c r="G166" s="10" t="str">
        <x:v>ICO</x:v>
      </x:c>
      <x:c r="H166" s="10" t="str">
        <x:v>FOT</x:v>
      </x:c>
      <x:c r="I166" s="10" t="str">
        <x:v>DGZ</x:v>
      </x:c>
      <x:c r="J166" s="10" t="str">
        <x:v>MT0</x:v>
      </x:c>
    </x:row>
    <x:row r="167" ht="24" hidden="0" customHeight="1">
      <x:c r="A167" s="10" t="str">
        <x:v>BR-SPAPESP_DASP-PENITPRE-CSDTCARANDIRU.xlsx</x:v>
      </x:c>
      <x:c r="B167" s="10" t="str">
        <x:v>Geral</x:v>
      </x:c>
      <x:c r="C167" s="11" t="n">
        <x:v>154</x:v>
      </x:c>
      <x:c r="D167" s="10" t="str">
        <x:v>BR-SPAPESP_DASP-PENITPRE-CSDTCARANDIRU.xlsx:Geral:154</x:v>
      </x:c>
      <x:c r="E167" s="10" t="str">
        <x:v>BRSPAPESP_DASPPENITPRE-CSDTCARANDIRU_ICOFOTDGZMT0_3055-005-078V.jpg</x:v>
      </x:c>
      <x:c r="F167" s="10" t="str">
        <x:v>PENITPRE-CSDTCARANDIRU</x:v>
      </x:c>
      <x:c r="G167" s="10" t="str">
        <x:v>ICO</x:v>
      </x:c>
      <x:c r="H167" s="10" t="str">
        <x:v>FOT</x:v>
      </x:c>
      <x:c r="I167" s="10" t="str">
        <x:v>DGZ</x:v>
      </x:c>
      <x:c r="J167" s="10" t="str">
        <x:v>MT0</x:v>
      </x:c>
    </x:row>
    <x:row r="168" ht="24" hidden="0" customHeight="1">
      <x:c r="A168" s="10" t="str">
        <x:v>BR-SPAPESP_DASP-PENITPRE-CSDTCARANDIRU.xlsx</x:v>
      </x:c>
      <x:c r="B168" s="10" t="str">
        <x:v>Geral</x:v>
      </x:c>
      <x:c r="C168" s="11" t="n">
        <x:v>155</x:v>
      </x:c>
      <x:c r="D168" s="10" t="str">
        <x:v>BR-SPAPESP_DASP-PENITPRE-CSDTCARANDIRU.xlsx:Geral:155</x:v>
      </x:c>
      <x:c r="E168" s="10" t="str">
        <x:v>BRSPAPESP_DASPPENITPRE-CSDTCARANDIRU_ICOFOTDGZMT0_3055-005-081F.jpg</x:v>
      </x:c>
      <x:c r="F168" s="10" t="str">
        <x:v>PENITPRE-CSDTCARANDIRU</x:v>
      </x:c>
      <x:c r="G168" s="10" t="str">
        <x:v>ICO</x:v>
      </x:c>
      <x:c r="H168" s="10" t="str">
        <x:v>FOT</x:v>
      </x:c>
      <x:c r="I168" s="10" t="str">
        <x:v>DGZ</x:v>
      </x:c>
      <x:c r="J168" s="10" t="str">
        <x:v>MT0</x:v>
      </x:c>
    </x:row>
    <x:row r="169" ht="24" hidden="0" customHeight="1">
      <x:c r="A169" s="10" t="str">
        <x:v>BR-SPAPESP_DASP-PENITPRE-CSDTCARANDIRU.xlsx</x:v>
      </x:c>
      <x:c r="B169" s="10" t="str">
        <x:v>Geral</x:v>
      </x:c>
      <x:c r="C169" s="11" t="n">
        <x:v>156</x:v>
      </x:c>
      <x:c r="D169" s="10" t="str">
        <x:v>BR-SPAPESP_DASP-PENITPRE-CSDTCARANDIRU.xlsx:Geral:156</x:v>
      </x:c>
      <x:c r="E169" s="10" t="str">
        <x:v>BRSPAPESP_DASPPENITPRE-CSDTCARANDIRU_ICOFOTDGZMT0_3055-005-081V.jpg</x:v>
      </x:c>
      <x:c r="F169" s="10" t="str">
        <x:v>PENITPRE-CSDTCARANDIRU</x:v>
      </x:c>
      <x:c r="G169" s="10" t="str">
        <x:v>ICO</x:v>
      </x:c>
      <x:c r="H169" s="10" t="str">
        <x:v>FOT</x:v>
      </x:c>
      <x:c r="I169" s="10" t="str">
        <x:v>DGZ</x:v>
      </x:c>
      <x:c r="J169" s="10" t="str">
        <x:v>MT0</x:v>
      </x:c>
    </x:row>
    <x:row r="170" ht="24" hidden="0" customHeight="1">
      <x:c r="A170" s="10" t="str">
        <x:v>BR-SPAPESP_DASP-PENITPRE-CSDTCARANDIRU.xlsx</x:v>
      </x:c>
      <x:c r="B170" s="10" t="str">
        <x:v>Geral</x:v>
      </x:c>
      <x:c r="C170" s="11" t="n">
        <x:v>157</x:v>
      </x:c>
      <x:c r="D170" s="10" t="str">
        <x:v>BR-SPAPESP_DASP-PENITPRE-CSDTCARANDIRU.xlsx:Geral:157</x:v>
      </x:c>
      <x:c r="E170" s="10" t="str">
        <x:v>BRSPAPESP_DASPPENITPRE-CSDTCARANDIRU_ICOFOTDGZMT0_3055-005-079F.jpg</x:v>
      </x:c>
      <x:c r="F170" s="10" t="str">
        <x:v>PENITPRE-CSDTCARANDIRU</x:v>
      </x:c>
      <x:c r="G170" s="10" t="str">
        <x:v>ICO</x:v>
      </x:c>
      <x:c r="H170" s="10" t="str">
        <x:v>FOT</x:v>
      </x:c>
      <x:c r="I170" s="10" t="str">
        <x:v>DGZ</x:v>
      </x:c>
      <x:c r="J170" s="10" t="str">
        <x:v>MT0</x:v>
      </x:c>
    </x:row>
    <x:row r="171" ht="24" hidden="0" customHeight="1">
      <x:c r="A171" s="10" t="str">
        <x:v>BR-SPAPESP_DASP-PENITPRE-CSDTCARANDIRU.xlsx</x:v>
      </x:c>
      <x:c r="B171" s="10" t="str">
        <x:v>Geral</x:v>
      </x:c>
      <x:c r="C171" s="11" t="n">
        <x:v>158</x:v>
      </x:c>
      <x:c r="D171" s="10" t="str">
        <x:v>BR-SPAPESP_DASP-PENITPRE-CSDTCARANDIRU.xlsx:Geral:158</x:v>
      </x:c>
      <x:c r="E171" s="10" t="str">
        <x:v>BRSPAPESP_DASPPENITPRE-CSDTCARANDIRU_ICOFOTDGZMT0_3055-005-079V.jpg</x:v>
      </x:c>
      <x:c r="F171" s="10" t="str">
        <x:v>PENITPRE-CSDTCARANDIRU</x:v>
      </x:c>
      <x:c r="G171" s="10" t="str">
        <x:v>ICO</x:v>
      </x:c>
      <x:c r="H171" s="10" t="str">
        <x:v>FOT</x:v>
      </x:c>
      <x:c r="I171" s="10" t="str">
        <x:v>DGZ</x:v>
      </x:c>
      <x:c r="J171" s="10" t="str">
        <x:v>MT0</x:v>
      </x:c>
    </x:row>
    <x:row r="172" ht="24" hidden="0" customHeight="1">
      <x:c r="A172" s="10" t="str">
        <x:v>BR-SPAPESP_DASP-PENITPRE-CSDTCARANDIRU.xlsx</x:v>
      </x:c>
      <x:c r="B172" s="10" t="str">
        <x:v>Geral</x:v>
      </x:c>
      <x:c r="C172" s="11" t="n">
        <x:v>159</x:v>
      </x:c>
      <x:c r="D172" s="10" t="str">
        <x:v>BR-SPAPESP_DASP-PENITPRE-CSDTCARANDIRU.xlsx:Geral:159</x:v>
      </x:c>
      <x:c r="E172" s="10" t="str">
        <x:v>BRSPAPESP_DASPPENITPRE-CSDTCARANDIRU_ICOFOTDGZMT0_3055-005-080F.jpg</x:v>
      </x:c>
      <x:c r="F172" s="10" t="str">
        <x:v>PENITPRE-CSDTCARANDIRU</x:v>
      </x:c>
      <x:c r="G172" s="10" t="str">
        <x:v>ICO</x:v>
      </x:c>
      <x:c r="H172" s="10" t="str">
        <x:v>FOT</x:v>
      </x:c>
      <x:c r="I172" s="10" t="str">
        <x:v>DGZ</x:v>
      </x:c>
      <x:c r="J172" s="10" t="str">
        <x:v>MT0</x:v>
      </x:c>
    </x:row>
    <x:row r="173" ht="24" hidden="0" customHeight="1">
      <x:c r="A173" s="10" t="str">
        <x:v>BR-SPAPESP_DASP-PENITPRE-CSDTCARANDIRU.xlsx</x:v>
      </x:c>
      <x:c r="B173" s="10" t="str">
        <x:v>Geral</x:v>
      </x:c>
      <x:c r="C173" s="11" t="n">
        <x:v>160</x:v>
      </x:c>
      <x:c r="D173" s="10" t="str">
        <x:v>BR-SPAPESP_DASP-PENITPRE-CSDTCARANDIRU.xlsx:Geral:160</x:v>
      </x:c>
      <x:c r="E173" s="10" t="str">
        <x:v>BRSPAPESP_DASPPENITPRE-CSDTCARANDIRU_ICOFOTDGZMT0_3055-005-080V.jpg</x:v>
      </x:c>
      <x:c r="F173" s="10" t="str">
        <x:v>PENITPRE-CSDTCARANDIRU</x:v>
      </x:c>
      <x:c r="G173" s="10" t="str">
        <x:v>ICO</x:v>
      </x:c>
      <x:c r="H173" s="10" t="str">
        <x:v>FOT</x:v>
      </x:c>
      <x:c r="I173" s="10" t="str">
        <x:v>DGZ</x:v>
      </x:c>
      <x:c r="J173" s="10" t="str">
        <x:v>MT0</x:v>
      </x:c>
    </x:row>
    <x:row r="174" ht="24" hidden="0" customHeight="1">
      <x:c r="A174" s="10" t="str">
        <x:v>BR-SPAPESP_DASP-PENITPRE-CSDTCARANDIRU.xlsx</x:v>
      </x:c>
      <x:c r="B174" s="10" t="str">
        <x:v>Geral</x:v>
      </x:c>
      <x:c r="C174" s="11" t="n">
        <x:v>161</x:v>
      </x:c>
      <x:c r="D174" s="10" t="str">
        <x:v>BR-SPAPESP_DASP-PENITPRE-CSDTCARANDIRU.xlsx:Geral:161</x:v>
      </x:c>
      <x:c r="E174" s="10" t="str">
        <x:v>BRSPAPESP_DASPPENITPRE-CSDTCARANDIRU_ICOFOTDGZMT0_3055-005-082F.jpg</x:v>
      </x:c>
      <x:c r="F174" s="10" t="str">
        <x:v>PENITPRE-CSDTCARANDIRU</x:v>
      </x:c>
      <x:c r="G174" s="10" t="str">
        <x:v>ICO</x:v>
      </x:c>
      <x:c r="H174" s="10" t="str">
        <x:v>FOT</x:v>
      </x:c>
      <x:c r="I174" s="10" t="str">
        <x:v>DGZ</x:v>
      </x:c>
      <x:c r="J174" s="10" t="str">
        <x:v>MT0</x:v>
      </x:c>
    </x:row>
    <x:row r="175" ht="24" hidden="0" customHeight="1">
      <x:c r="A175" s="10" t="str">
        <x:v>BR-SPAPESP_DASP-PENITPRE-CSDTCARANDIRU.xlsx</x:v>
      </x:c>
      <x:c r="B175" s="10" t="str">
        <x:v>Geral</x:v>
      </x:c>
      <x:c r="C175" s="11" t="n">
        <x:v>162</x:v>
      </x:c>
      <x:c r="D175" s="10" t="str">
        <x:v>BR-SPAPESP_DASP-PENITPRE-CSDTCARANDIRU.xlsx:Geral:162</x:v>
      </x:c>
      <x:c r="E175" s="10" t="str">
        <x:v>BRSPAPESP_DASPPENITPRE-CSDTCARANDIRU_ICOFOTDGZMT0_3055-005-082V.jpg</x:v>
      </x:c>
      <x:c r="F175" s="10" t="str">
        <x:v>PENITPRE-CSDTCARANDIRU</x:v>
      </x:c>
      <x:c r="G175" s="10" t="str">
        <x:v>ICO</x:v>
      </x:c>
      <x:c r="H175" s="10" t="str">
        <x:v>FOT</x:v>
      </x:c>
      <x:c r="I175" s="10" t="str">
        <x:v>DGZ</x:v>
      </x:c>
      <x:c r="J175" s="10" t="str">
        <x:v>MT0</x:v>
      </x:c>
    </x:row>
    <x:row r="176" ht="24" hidden="0" customHeight="1">
      <x:c r="A176" s="10" t="str">
        <x:v>BR-SPAPESP_DASP-PENITPRE-CSDTCARANDIRU.xlsx</x:v>
      </x:c>
      <x:c r="B176" s="10" t="str">
        <x:v>Geral</x:v>
      </x:c>
      <x:c r="C176" s="11" t="n">
        <x:v>163</x:v>
      </x:c>
      <x:c r="D176" s="10" t="str">
        <x:v>BR-SPAPESP_DASP-PENITPRE-CSDTCARANDIRU.xlsx:Geral:163</x:v>
      </x:c>
      <x:c r="E176" s="10" t="str">
        <x:v>BRSPAPESP_DASPPENITPRE-CSDTCARANDIRU_ICOFOTDGZMT0_3055-005-083F.jpg</x:v>
      </x:c>
      <x:c r="F176" s="10" t="str">
        <x:v>PENITPRE-CSDTCARANDIRU</x:v>
      </x:c>
      <x:c r="G176" s="10" t="str">
        <x:v>ICO</x:v>
      </x:c>
      <x:c r="H176" s="10" t="str">
        <x:v>FOT</x:v>
      </x:c>
      <x:c r="I176" s="10" t="str">
        <x:v>DGZ</x:v>
      </x:c>
      <x:c r="J176" s="10" t="str">
        <x:v>MT0</x:v>
      </x:c>
    </x:row>
    <x:row r="177" ht="24" hidden="0" customHeight="1">
      <x:c r="A177" s="10" t="str">
        <x:v>BR-SPAPESP_DASP-PENITPRE-CSDTCARANDIRU.xlsx</x:v>
      </x:c>
      <x:c r="B177" s="10" t="str">
        <x:v>Geral</x:v>
      </x:c>
      <x:c r="C177" s="11" t="n">
        <x:v>164</x:v>
      </x:c>
      <x:c r="D177" s="10" t="str">
        <x:v>BR-SPAPESP_DASP-PENITPRE-CSDTCARANDIRU.xlsx:Geral:164</x:v>
      </x:c>
      <x:c r="E177" s="10" t="str">
        <x:v>BRSPAPESP_DASPPENITPRE-CSDTCARANDIRU_ICOFOTDGZMT0_3055-005-083V.jpg</x:v>
      </x:c>
      <x:c r="F177" s="10" t="str">
        <x:v>PENITPRE-CSDTCARANDIRU</x:v>
      </x:c>
      <x:c r="G177" s="10" t="str">
        <x:v>ICO</x:v>
      </x:c>
      <x:c r="H177" s="10" t="str">
        <x:v>FOT</x:v>
      </x:c>
      <x:c r="I177" s="10" t="str">
        <x:v>DGZ</x:v>
      </x:c>
      <x:c r="J177" s="10" t="str">
        <x:v>MT0</x:v>
      </x:c>
    </x:row>
    <x:row r="178" ht="24" hidden="0" customHeight="1">
      <x:c r="A178" s="10" t="str">
        <x:v>BR-SPAPESP_DASP-PENITPRE-CSDTCARANDIRU.xlsx</x:v>
      </x:c>
      <x:c r="B178" s="10" t="str">
        <x:v>Geral</x:v>
      </x:c>
      <x:c r="C178" s="11" t="n">
        <x:v>165</x:v>
      </x:c>
      <x:c r="D178" s="10" t="str">
        <x:v>BR-SPAPESP_DASP-PENITPRE-CSDTCARANDIRU.xlsx:Geral:165</x:v>
      </x:c>
      <x:c r="E178" s="10" t="str">
        <x:v>BRSPAPESP_DASPPENITPRE-CSDTCARANDIRU_ICOFOTDGZMT0_3055-005-084F.jpg</x:v>
      </x:c>
      <x:c r="F178" s="10" t="str">
        <x:v>PENITPRE-CSDTCARANDIRU</x:v>
      </x:c>
      <x:c r="G178" s="10" t="str">
        <x:v>ICO</x:v>
      </x:c>
      <x:c r="H178" s="10" t="str">
        <x:v>FOT</x:v>
      </x:c>
      <x:c r="I178" s="10" t="str">
        <x:v>DGZ</x:v>
      </x:c>
      <x:c r="J178" s="10" t="str">
        <x:v>MT0</x:v>
      </x:c>
    </x:row>
    <x:row r="179" ht="24" hidden="0" customHeight="1">
      <x:c r="A179" s="10" t="str">
        <x:v>BR-SPAPESP_DASP-PENITPRE-CSDTCARANDIRU.xlsx</x:v>
      </x:c>
      <x:c r="B179" s="10" t="str">
        <x:v>Geral</x:v>
      </x:c>
      <x:c r="C179" s="11" t="n">
        <x:v>166</x:v>
      </x:c>
      <x:c r="D179" s="10" t="str">
        <x:v>BR-SPAPESP_DASP-PENITPRE-CSDTCARANDIRU.xlsx:Geral:166</x:v>
      </x:c>
      <x:c r="E179" s="10" t="str">
        <x:v>BRSPAPESP_DASPPENITPRE-CSDTCARANDIRU_ICOFOTDGZMT0_3055-005-084V.jpg</x:v>
      </x:c>
      <x:c r="F179" s="10" t="str">
        <x:v>PENITPRE-CSDTCARANDIRU</x:v>
      </x:c>
      <x:c r="G179" s="10" t="str">
        <x:v>ICO</x:v>
      </x:c>
      <x:c r="H179" s="10" t="str">
        <x:v>FOT</x:v>
      </x:c>
      <x:c r="I179" s="10" t="str">
        <x:v>DGZ</x:v>
      </x:c>
      <x:c r="J179" s="10" t="str">
        <x:v>MT0</x:v>
      </x:c>
    </x:row>
    <x:row r="180" ht="24" hidden="0" customHeight="1">
      <x:c r="A180" s="10" t="str">
        <x:v>BR-SPAPESP_DASP-PENITPRE-CSDTCARANDIRU.xlsx</x:v>
      </x:c>
      <x:c r="B180" s="10" t="str">
        <x:v>Geral</x:v>
      </x:c>
      <x:c r="C180" s="11" t="n">
        <x:v>167</x:v>
      </x:c>
      <x:c r="D180" s="10" t="str">
        <x:v>BR-SPAPESP_DASP-PENITPRE-CSDTCARANDIRU.xlsx:Geral:167</x:v>
      </x:c>
      <x:c r="E180" s="10" t="str">
        <x:v>BRSPAPESP_DASPPENITPRE-CSDTCARANDIRU_ICOFOTDGZMT0_3055-005-085F.jpg</x:v>
      </x:c>
      <x:c r="F180" s="10" t="str">
        <x:v>PENITPRE-CSDTCARANDIRU</x:v>
      </x:c>
      <x:c r="G180" s="10" t="str">
        <x:v>ICO</x:v>
      </x:c>
      <x:c r="H180" s="10" t="str">
        <x:v>FOT</x:v>
      </x:c>
      <x:c r="I180" s="10" t="str">
        <x:v>DGZ</x:v>
      </x:c>
      <x:c r="J180" s="10" t="str">
        <x:v>MT0</x:v>
      </x:c>
    </x:row>
    <x:row r="181" ht="24" hidden="0" customHeight="1">
      <x:c r="A181" s="10" t="str">
        <x:v>BR-SPAPESP_DASP-PENITPRE-CSDTCARANDIRU.xlsx</x:v>
      </x:c>
      <x:c r="B181" s="10" t="str">
        <x:v>Geral</x:v>
      </x:c>
      <x:c r="C181" s="11" t="n">
        <x:v>168</x:v>
      </x:c>
      <x:c r="D181" s="10" t="str">
        <x:v>BR-SPAPESP_DASP-PENITPRE-CSDTCARANDIRU.xlsx:Geral:168</x:v>
      </x:c>
      <x:c r="E181" s="10" t="str">
        <x:v>BRSPAPESP_DASPPENITPRE-CSDTCARANDIRU_ICOFOTDGZMT0_3055-005-085V.jpg</x:v>
      </x:c>
      <x:c r="F181" s="10" t="str">
        <x:v>PENITPRE-CSDTCARANDIRU</x:v>
      </x:c>
      <x:c r="G181" s="10" t="str">
        <x:v>ICO</x:v>
      </x:c>
      <x:c r="H181" s="10" t="str">
        <x:v>FOT</x:v>
      </x:c>
      <x:c r="I181" s="10" t="str">
        <x:v>DGZ</x:v>
      </x:c>
      <x:c r="J181" s="10" t="str">
        <x:v>MT0</x:v>
      </x:c>
    </x:row>
    <x:row r="182" ht="24" hidden="0" customHeight="1">
      <x:c r="A182" s="10" t="str">
        <x:v>BR-SPAPESP_DASP-PENITPRE-CSDTCARANDIRU.xlsx</x:v>
      </x:c>
      <x:c r="B182" s="10" t="str">
        <x:v>Geral</x:v>
      </x:c>
      <x:c r="C182" s="11" t="n">
        <x:v>169</x:v>
      </x:c>
      <x:c r="D182" s="10" t="str">
        <x:v>BR-SPAPESP_DASP-PENITPRE-CSDTCARANDIRU.xlsx:Geral:169</x:v>
      </x:c>
      <x:c r="E182" s="10" t="str">
        <x:v>BRSPAPESP_DASPPENITPRE-CSDTCARANDIRU_ICOFOTDGZMT0_3055-005-086F.jpg</x:v>
      </x:c>
      <x:c r="F182" s="10" t="str">
        <x:v>PENITPRE-CSDTCARANDIRU</x:v>
      </x:c>
      <x:c r="G182" s="10" t="str">
        <x:v>ICO</x:v>
      </x:c>
      <x:c r="H182" s="10" t="str">
        <x:v>FOT</x:v>
      </x:c>
      <x:c r="I182" s="10" t="str">
        <x:v>DGZ</x:v>
      </x:c>
      <x:c r="J182" s="10" t="str">
        <x:v>MT0</x:v>
      </x:c>
    </x:row>
    <x:row r="183" ht="24" hidden="0" customHeight="1">
      <x:c r="A183" s="10" t="str">
        <x:v>BR-SPAPESP_DASP-PENITPRE-CSDTCARANDIRU.xlsx</x:v>
      </x:c>
      <x:c r="B183" s="10" t="str">
        <x:v>Geral</x:v>
      </x:c>
      <x:c r="C183" s="11" t="n">
        <x:v>170</x:v>
      </x:c>
      <x:c r="D183" s="10" t="str">
        <x:v>BR-SPAPESP_DASP-PENITPRE-CSDTCARANDIRU.xlsx:Geral:170</x:v>
      </x:c>
      <x:c r="E183" s="10" t="str">
        <x:v>BRSPAPESP_DASPPENITPRE-CSDTCARANDIRU_ICOFOTDGZMT0_3055-005-086V.jpg</x:v>
      </x:c>
      <x:c r="F183" s="10" t="str">
        <x:v>PENITPRE-CSDTCARANDIRU</x:v>
      </x:c>
      <x:c r="G183" s="10" t="str">
        <x:v>ICO</x:v>
      </x:c>
      <x:c r="H183" s="10" t="str">
        <x:v>FOT</x:v>
      </x:c>
      <x:c r="I183" s="10" t="str">
        <x:v>DGZ</x:v>
      </x:c>
      <x:c r="J183" s="10" t="str">
        <x:v>MT0</x:v>
      </x:c>
    </x:row>
    <x:row r="184" ht="24" hidden="0" customHeight="1">
      <x:c r="A184" s="10" t="str">
        <x:v>BR-SPAPESP_DASP-PENITPRE-CSDTCARANDIRU.xlsx</x:v>
      </x:c>
      <x:c r="B184" s="10" t="str">
        <x:v>Geral</x:v>
      </x:c>
      <x:c r="C184" s="11" t="n">
        <x:v>171</x:v>
      </x:c>
      <x:c r="D184" s="10" t="str">
        <x:v>BR-SPAPESP_DASP-PENITPRE-CSDTCARANDIRU.xlsx:Geral:171</x:v>
      </x:c>
      <x:c r="E184" s="10" t="str">
        <x:v>BRSPAPESP_DASPPENITPRE-CSDTCARANDIRU_ICOFOTDGZMT0_3055-005-087F.jpg</x:v>
      </x:c>
      <x:c r="F184" s="10" t="str">
        <x:v>PENITPRE-CSDTCARANDIRU</x:v>
      </x:c>
      <x:c r="G184" s="10" t="str">
        <x:v>ICO</x:v>
      </x:c>
      <x:c r="H184" s="10" t="str">
        <x:v>FOT</x:v>
      </x:c>
      <x:c r="I184" s="10" t="str">
        <x:v>DGZ</x:v>
      </x:c>
      <x:c r="J184" s="10" t="str">
        <x:v>MT0</x:v>
      </x:c>
    </x:row>
    <x:row r="185" ht="24" hidden="0" customHeight="1">
      <x:c r="A185" s="10" t="str">
        <x:v>BR-SPAPESP_DASP-PENITPRE-CSDTCARANDIRU.xlsx</x:v>
      </x:c>
      <x:c r="B185" s="10" t="str">
        <x:v>Geral</x:v>
      </x:c>
      <x:c r="C185" s="11" t="n">
        <x:v>172</x:v>
      </x:c>
      <x:c r="D185" s="10" t="str">
        <x:v>BR-SPAPESP_DASP-PENITPRE-CSDTCARANDIRU.xlsx:Geral:172</x:v>
      </x:c>
      <x:c r="E185" s="10" t="str">
        <x:v>BRSPAPESP_DASPPENITPRE-CSDTCARANDIRU_ICOFOTDGZMT0_3055-005-087V.jpg</x:v>
      </x:c>
      <x:c r="F185" s="10" t="str">
        <x:v>PENITPRE-CSDTCARANDIRU</x:v>
      </x:c>
      <x:c r="G185" s="10" t="str">
        <x:v>ICO</x:v>
      </x:c>
      <x:c r="H185" s="10" t="str">
        <x:v>FOT</x:v>
      </x:c>
      <x:c r="I185" s="10" t="str">
        <x:v>DGZ</x:v>
      </x:c>
      <x:c r="J185" s="10" t="str">
        <x:v>MT0</x:v>
      </x:c>
    </x:row>
    <x:row r="186" ht="24" hidden="0" customHeight="1">
      <x:c r="A186" s="10" t="str">
        <x:v>BR-SPAPESP_DASP-PENITPRE-CSDTCARANDIRU.xlsx</x:v>
      </x:c>
      <x:c r="B186" s="10" t="str">
        <x:v>Geral</x:v>
      </x:c>
      <x:c r="C186" s="11" t="n">
        <x:v>173</x:v>
      </x:c>
      <x:c r="D186" s="10" t="str">
        <x:v>BR-SPAPESP_DASP-PENITPRE-CSDTCARANDIRU.xlsx:Geral:173</x:v>
      </x:c>
      <x:c r="E186" s="10" t="str">
        <x:v>BRSPAPESP_DASPPENITPRE-CSDTCARANDIRU_ICOFOTDGZMT0_3055-005-088F.jpg</x:v>
      </x:c>
      <x:c r="F186" s="10" t="str">
        <x:v>PENITPRE-CSDTCARANDIRU</x:v>
      </x:c>
      <x:c r="G186" s="10" t="str">
        <x:v>ICO</x:v>
      </x:c>
      <x:c r="H186" s="10" t="str">
        <x:v>FOT</x:v>
      </x:c>
      <x:c r="I186" s="10" t="str">
        <x:v>DGZ</x:v>
      </x:c>
      <x:c r="J186" s="10" t="str">
        <x:v>MT0</x:v>
      </x:c>
    </x:row>
    <x:row r="187" ht="24" hidden="0" customHeight="1">
      <x:c r="A187" s="10" t="str">
        <x:v>BR-SPAPESP_DASP-PENITPRE-CSDTCARANDIRU.xlsx</x:v>
      </x:c>
      <x:c r="B187" s="10" t="str">
        <x:v>Geral</x:v>
      </x:c>
      <x:c r="C187" s="11" t="n">
        <x:v>174</x:v>
      </x:c>
      <x:c r="D187" s="10" t="str">
        <x:v>BR-SPAPESP_DASP-PENITPRE-CSDTCARANDIRU.xlsx:Geral:174</x:v>
      </x:c>
      <x:c r="E187" s="10" t="str">
        <x:v>BRSPAPESP_DASPPENITPRE-CSDTCARANDIRU_ICOFOTDGZMT0_3055-005-088V.jpg</x:v>
      </x:c>
      <x:c r="F187" s="10" t="str">
        <x:v>PENITPRE-CSDTCARANDIRU</x:v>
      </x:c>
      <x:c r="G187" s="10" t="str">
        <x:v>ICO</x:v>
      </x:c>
      <x:c r="H187" s="10" t="str">
        <x:v>FOT</x:v>
      </x:c>
      <x:c r="I187" s="10" t="str">
        <x:v>DGZ</x:v>
      </x:c>
      <x:c r="J187" s="10" t="str">
        <x:v>MT0</x:v>
      </x:c>
    </x:row>
    <x:row r="188" ht="24" hidden="0" customHeight="1">
      <x:c r="A188" s="10" t="str">
        <x:v>BR-SPAPESP_DASP-PENITPRE-CSDTCARANDIRU.xlsx</x:v>
      </x:c>
      <x:c r="B188" s="10" t="str">
        <x:v>Geral</x:v>
      </x:c>
      <x:c r="C188" s="11" t="n">
        <x:v>175</x:v>
      </x:c>
      <x:c r="D188" s="10" t="str">
        <x:v>BR-SPAPESP_DASP-PENITPRE-CSDTCARANDIRU.xlsx:Geral:175</x:v>
      </x:c>
      <x:c r="E188" s="10" t="str">
        <x:v>BRSPAPESP_DASPPENITPRE-CSDTCARANDIRU_ICOFOTDGZMT02767-011-001F.jpg</x:v>
      </x:c>
      <x:c r="F188" s="10" t="str">
        <x:v>PENITPRE-CSDTCARANDIRU</x:v>
      </x:c>
      <x:c r="G188" s="10" t="str">
        <x:v>ICO</x:v>
      </x:c>
      <x:c r="H188" s="10" t="str">
        <x:v>FOT</x:v>
      </x:c>
      <x:c r="I188" s="10" t="str">
        <x:v>DGZ</x:v>
      </x:c>
      <x:c r="J188" s="10" t="str">
        <x:v>MT0</x:v>
      </x:c>
    </x:row>
    <x:row r="189" ht="24" hidden="0" customHeight="1">
      <x:c r="A189" s="10" t="str">
        <x:v>BR-SPAPESP_DASP-PENITPRE-CSDTCARANDIRU.xlsx</x:v>
      </x:c>
      <x:c r="B189" s="10" t="str">
        <x:v>Geral</x:v>
      </x:c>
      <x:c r="C189" s="11" t="n">
        <x:v>176</x:v>
      </x:c>
      <x:c r="D189" s="10" t="str">
        <x:v>BR-SPAPESP_DASP-PENITPRE-CSDTCARANDIRU.xlsx:Geral:176</x:v>
      </x:c>
      <x:c r="E189" s="10" t="str">
        <x:v>BRSPAPESP_DASPPENITPRE-CSDTCARANDIRU_ICOFOTDGZMT0_2767-011-001V.jpg</x:v>
      </x:c>
      <x:c r="F189" s="10" t="str">
        <x:v>PENITPRE-CSDTCARANDIRU</x:v>
      </x:c>
      <x:c r="G189" s="10" t="str">
        <x:v>ICO</x:v>
      </x:c>
      <x:c r="H189" s="10" t="str">
        <x:v>FOT</x:v>
      </x:c>
      <x:c r="I189" s="10" t="str">
        <x:v>DGZ</x:v>
      </x:c>
      <x:c r="J189" s="10" t="str">
        <x:v>MT0</x:v>
      </x:c>
    </x:row>
    <x:row r="190" ht="24" hidden="0" customHeight="1">
      <x:c r="A190" s="10" t="str">
        <x:v>BR-SPAPESP_DASP-PENITPRE-CSDTCARANDIRU.xlsx</x:v>
      </x:c>
      <x:c r="B190" s="10" t="str">
        <x:v>Geral</x:v>
      </x:c>
      <x:c r="C190" s="11" t="n">
        <x:v>177</x:v>
      </x:c>
      <x:c r="D190" s="10" t="str">
        <x:v>BR-SPAPESP_DASP-PENITPRE-CSDTCARANDIRU.xlsx:Geral:177</x:v>
      </x:c>
      <x:c r="E190" s="10" t="str">
        <x:v>BRSPAPESP_DASPPENITPRE-CSDTCARANDIRU_ICOFOTDGZMT0_2767-011-002F.jpg</x:v>
      </x:c>
      <x:c r="F190" s="10" t="str">
        <x:v>PENITPRE-CSDTCARANDIRU</x:v>
      </x:c>
      <x:c r="G190" s="10" t="str">
        <x:v>ICO</x:v>
      </x:c>
      <x:c r="H190" s="10" t="str">
        <x:v>FOT</x:v>
      </x:c>
      <x:c r="I190" s="10" t="str">
        <x:v>DGZ</x:v>
      </x:c>
      <x:c r="J190" s="10" t="str">
        <x:v>MT0</x:v>
      </x:c>
    </x:row>
    <x:row r="191" ht="24" hidden="0" customHeight="1">
      <x:c r="A191" s="10" t="str">
        <x:v>BR-SPAPESP_DASP-PENITPRE-CSDTCARANDIRU.xlsx</x:v>
      </x:c>
      <x:c r="B191" s="10" t="str">
        <x:v>Geral</x:v>
      </x:c>
      <x:c r="C191" s="11" t="n">
        <x:v>178</x:v>
      </x:c>
      <x:c r="D191" s="10" t="str">
        <x:v>BR-SPAPESP_DASP-PENITPRE-CSDTCARANDIRU.xlsx:Geral:178</x:v>
      </x:c>
      <x:c r="E191" s="10" t="str">
        <x:v>BRSPAPESP_DASPPENITPRE-CSDTCARANDIRU_ICOFOTDGZMT0_2767-011-002V.jpg</x:v>
      </x:c>
      <x:c r="F191" s="10" t="str">
        <x:v>PENITPRE-CSDTCARANDIRU</x:v>
      </x:c>
      <x:c r="G191" s="10" t="str">
        <x:v>ICO</x:v>
      </x:c>
      <x:c r="H191" s="10" t="str">
        <x:v>FOT</x:v>
      </x:c>
      <x:c r="I191" s="10" t="str">
        <x:v>DGZ</x:v>
      </x:c>
      <x:c r="J191" s="10" t="str">
        <x:v>MT0</x:v>
      </x:c>
    </x:row>
    <x:row r="192" ht="24" hidden="0" customHeight="1">
      <x:c r="A192" s="10" t="str">
        <x:v>BR-SPAPESP_DASP-PENITPRE-CSDTCARANDIRU.xlsx</x:v>
      </x:c>
      <x:c r="B192" s="10" t="str">
        <x:v>Geral</x:v>
      </x:c>
      <x:c r="C192" s="11" t="n">
        <x:v>179</x:v>
      </x:c>
      <x:c r="D192" s="10" t="str">
        <x:v>BR-SPAPESP_DASP-PENITPRE-CSDTCARANDIRU.xlsx:Geral:179</x:v>
      </x:c>
      <x:c r="E192" s="10" t="str">
        <x:v>BRSPAPESP_DASPPENITPRE-CSDTCARANDIRU_ICOFOTDGZMT0_2767-011-003F.jpg</x:v>
      </x:c>
      <x:c r="F192" s="10" t="str">
        <x:v>PENITPRE-CSDTCARANDIRU</x:v>
      </x:c>
      <x:c r="G192" s="10" t="str">
        <x:v>ICO</x:v>
      </x:c>
      <x:c r="H192" s="10" t="str">
        <x:v>FOT</x:v>
      </x:c>
      <x:c r="I192" s="10" t="str">
        <x:v>DGZ</x:v>
      </x:c>
      <x:c r="J192" s="10" t="str">
        <x:v>MT0</x:v>
      </x:c>
    </x:row>
    <x:row r="193" ht="24" hidden="0" customHeight="1">
      <x:c r="A193" s="10" t="str">
        <x:v>BR-SPAPESP_DASP-PENITPRE-CSDTCARANDIRU.xlsx</x:v>
      </x:c>
      <x:c r="B193" s="10" t="str">
        <x:v>Geral</x:v>
      </x:c>
      <x:c r="C193" s="11" t="n">
        <x:v>180</x:v>
      </x:c>
      <x:c r="D193" s="10" t="str">
        <x:v>BR-SPAPESP_DASP-PENITPRE-CSDTCARANDIRU.xlsx:Geral:180</x:v>
      </x:c>
      <x:c r="E193" s="10" t="str">
        <x:v>BRSPAPESP_DASPPENITPRE-CSDTCARANDIRU_ICOFOTDGZMT0_2767-011-003V.jpg</x:v>
      </x:c>
      <x:c r="F193" s="10" t="str">
        <x:v>PENITPRE-CSDTCARANDIRU</x:v>
      </x:c>
      <x:c r="G193" s="10" t="str">
        <x:v>ICO</x:v>
      </x:c>
      <x:c r="H193" s="10" t="str">
        <x:v>FOT</x:v>
      </x:c>
      <x:c r="I193" s="10" t="str">
        <x:v>DGZ</x:v>
      </x:c>
      <x:c r="J193" s="10" t="str">
        <x:v>MT0</x:v>
      </x:c>
    </x:row>
    <x:row r="194" ht="24" hidden="0" customHeight="1">
      <x:c r="A194" s="10" t="str">
        <x:v>BR-SPAPESP_DASP-PENITPRE-CSDTCARANDIRU.xlsx</x:v>
      </x:c>
      <x:c r="B194" s="10" t="str">
        <x:v>Geral</x:v>
      </x:c>
      <x:c r="C194" s="11" t="n">
        <x:v>181</x:v>
      </x:c>
      <x:c r="D194" s="10" t="str">
        <x:v>BR-SPAPESP_DASP-PENITPRE-CSDTCARANDIRU.xlsx:Geral:181</x:v>
      </x:c>
      <x:c r="E194" s="10" t="str">
        <x:v>BRSPAPESP_DASPPENITPRE-CSDTCARANDIRU_ICOFOTDGZMT0_2767-011-004F.jpg</x:v>
      </x:c>
      <x:c r="F194" s="10" t="str">
        <x:v>PENITPRE-CSDTCARANDIRU</x:v>
      </x:c>
      <x:c r="G194" s="10" t="str">
        <x:v>ICO</x:v>
      </x:c>
      <x:c r="H194" s="10" t="str">
        <x:v>FOT</x:v>
      </x:c>
      <x:c r="I194" s="10" t="str">
        <x:v>DGZ</x:v>
      </x:c>
      <x:c r="J194" s="10" t="str">
        <x:v>MT0</x:v>
      </x:c>
    </x:row>
    <x:row r="195" ht="24" hidden="0" customHeight="1">
      <x:c r="A195" s="10" t="str">
        <x:v>BR-SPAPESP_DASP-PENITPRE-CSDTCARANDIRU.xlsx</x:v>
      </x:c>
      <x:c r="B195" s="10" t="str">
        <x:v>Geral</x:v>
      </x:c>
      <x:c r="C195" s="11" t="n">
        <x:v>182</x:v>
      </x:c>
      <x:c r="D195" s="10" t="str">
        <x:v>BR-SPAPESP_DASP-PENITPRE-CSDTCARANDIRU.xlsx:Geral:182</x:v>
      </x:c>
      <x:c r="E195" s="10" t="str">
        <x:v>BRSPAPESP_DASPPENITPRE-CSDTCARANDIRU_ICOFOTDGZMT0_2767-011-004V.jpg</x:v>
      </x:c>
      <x:c r="F195" s="10" t="str">
        <x:v>PENITPRE-CSDTCARANDIRU</x:v>
      </x:c>
      <x:c r="G195" s="10" t="str">
        <x:v>ICO</x:v>
      </x:c>
      <x:c r="H195" s="10" t="str">
        <x:v>FOT</x:v>
      </x:c>
      <x:c r="I195" s="10" t="str">
        <x:v>DGZ</x:v>
      </x:c>
      <x:c r="J195" s="10" t="str">
        <x:v>MT0</x:v>
      </x:c>
    </x:row>
    <x:row r="196" ht="24" hidden="0" customHeight="1">
      <x:c r="A196" s="10" t="str">
        <x:v>BR-SPAPESP_DASP-PENITPRE-CSDTCARANDIRU.xlsx</x:v>
      </x:c>
      <x:c r="B196" s="10" t="str">
        <x:v>Geral</x:v>
      </x:c>
      <x:c r="C196" s="11" t="n">
        <x:v>183</x:v>
      </x:c>
      <x:c r="D196" s="10" t="str">
        <x:v>BR-SPAPESP_DASP-PENITPRE-CSDTCARANDIRU.xlsx:Geral:183</x:v>
      </x:c>
      <x:c r="E196" s="10" t="str">
        <x:v>BRSPAPESP_DASPPENITPRE-CSDTCARANDIRU_ICOFOTDGZMT0_2767-011-005F.jpg</x:v>
      </x:c>
      <x:c r="F196" s="10" t="str">
        <x:v>PENITPRE-CSDTCARANDIRU</x:v>
      </x:c>
      <x:c r="G196" s="10" t="str">
        <x:v>ICO</x:v>
      </x:c>
      <x:c r="H196" s="10" t="str">
        <x:v>FOT</x:v>
      </x:c>
      <x:c r="I196" s="10" t="str">
        <x:v>DGZ</x:v>
      </x:c>
      <x:c r="J196" s="10" t="str">
        <x:v>MT0</x:v>
      </x:c>
    </x:row>
    <x:row r="197" ht="24" hidden="0" customHeight="1">
      <x:c r="A197" s="10" t="str">
        <x:v>BR-SPAPESP_DASP-PENITPRE-CSDTCARANDIRU.xlsx</x:v>
      </x:c>
      <x:c r="B197" s="10" t="str">
        <x:v>Geral</x:v>
      </x:c>
      <x:c r="C197" s="11" t="n">
        <x:v>184</x:v>
      </x:c>
      <x:c r="D197" s="10" t="str">
        <x:v>BR-SPAPESP_DASP-PENITPRE-CSDTCARANDIRU.xlsx:Geral:184</x:v>
      </x:c>
      <x:c r="E197" s="10" t="str">
        <x:v>BRSPAPESP_DASPPENITPRE-CSDTCARANDIRU_ICOFOTDGZMT0_2767-011-005V.jpg</x:v>
      </x:c>
      <x:c r="F197" s="10" t="str">
        <x:v>PENITPRE-CSDTCARANDIRU</x:v>
      </x:c>
      <x:c r="G197" s="10" t="str">
        <x:v>ICO</x:v>
      </x:c>
      <x:c r="H197" s="10" t="str">
        <x:v>FOT</x:v>
      </x:c>
      <x:c r="I197" s="10" t="str">
        <x:v>DGZ</x:v>
      </x:c>
      <x:c r="J197" s="10" t="str">
        <x:v>MT0</x:v>
      </x:c>
    </x:row>
    <x:row r="198" ht="24" hidden="0" customHeight="1">
      <x:c r="A198" s="10" t="str">
        <x:v>BR-SPAPESP_DASP-PENITPRE-CSDTCARANDIRU.xlsx</x:v>
      </x:c>
      <x:c r="B198" s="10" t="str">
        <x:v>Geral</x:v>
      </x:c>
      <x:c r="C198" s="11" t="n">
        <x:v>185</x:v>
      </x:c>
      <x:c r="D198" s="10" t="str">
        <x:v>BR-SPAPESP_DASP-PENITPRE-CSDTCARANDIRU.xlsx:Geral:185</x:v>
      </x:c>
      <x:c r="E198" s="10" t="str">
        <x:v>BRSPAPESP_DASPPENITPRE-CSDTCARANDIRU_ICOFOTDGZMT0_2767-011-006F.jpg</x:v>
      </x:c>
      <x:c r="F198" s="10" t="str">
        <x:v>PENITPRE-CSDTCARANDIRU</x:v>
      </x:c>
      <x:c r="G198" s="10" t="str">
        <x:v>ICO</x:v>
      </x:c>
      <x:c r="H198" s="10" t="str">
        <x:v>FOT</x:v>
      </x:c>
      <x:c r="I198" s="10" t="str">
        <x:v>DGZ</x:v>
      </x:c>
      <x:c r="J198" s="10" t="str">
        <x:v>MT0</x:v>
      </x:c>
    </x:row>
    <x:row r="199" ht="24" hidden="0" customHeight="1">
      <x:c r="A199" s="10" t="str">
        <x:v>BR-SPAPESP_DASP-PENITPRE-CSDTCARANDIRU.xlsx</x:v>
      </x:c>
      <x:c r="B199" s="10" t="str">
        <x:v>Geral</x:v>
      </x:c>
      <x:c r="C199" s="11" t="n">
        <x:v>186</x:v>
      </x:c>
      <x:c r="D199" s="10" t="str">
        <x:v>BR-SPAPESP_DASP-PENITPRE-CSDTCARANDIRU.xlsx:Geral:186</x:v>
      </x:c>
      <x:c r="E199" s="10" t="str">
        <x:v>BRSPAPESP_DASPPENITPRE-CSDTCARANDIRU_ICOFOTDGZMT0_2767-011-006V.jpg</x:v>
      </x:c>
      <x:c r="F199" s="10" t="str">
        <x:v>PENITPRE-CSDTCARANDIRU</x:v>
      </x:c>
      <x:c r="G199" s="10" t="str">
        <x:v>ICO</x:v>
      </x:c>
      <x:c r="H199" s="10" t="str">
        <x:v>FOT</x:v>
      </x:c>
      <x:c r="I199" s="10" t="str">
        <x:v>DGZ</x:v>
      </x:c>
      <x:c r="J199" s="10" t="str">
        <x:v>MT0</x:v>
      </x:c>
    </x:row>
    <x:row r="200" ht="24" hidden="0" customHeight="1">
      <x:c r="A200" s="10" t="str">
        <x:v>BR-SPAPESP_DASP-PENITPRE-CSDTCARANDIRU.xlsx</x:v>
      </x:c>
      <x:c r="B200" s="10" t="str">
        <x:v>Geral</x:v>
      </x:c>
      <x:c r="C200" s="11" t="n">
        <x:v>187</x:v>
      </x:c>
      <x:c r="D200" s="10" t="str">
        <x:v>BR-SPAPESP_DASP-PENITPRE-CSDTCARANDIRU.xlsx:Geral:187</x:v>
      </x:c>
      <x:c r="E200" s="10" t="str">
        <x:v>BRSPAPESP_DASPPENITPRE-CSDTCARANDIRU_ICOFOTDGZMT0_2767-011-007F.jpg</x:v>
      </x:c>
      <x:c r="F200" s="10" t="str">
        <x:v>PENITPRE-CSDTCARANDIRU</x:v>
      </x:c>
      <x:c r="G200" s="10" t="str">
        <x:v>ICO</x:v>
      </x:c>
      <x:c r="H200" s="10" t="str">
        <x:v>FOT</x:v>
      </x:c>
      <x:c r="I200" s="10" t="str">
        <x:v>DGZ</x:v>
      </x:c>
      <x:c r="J200" s="10" t="str">
        <x:v>MT0</x:v>
      </x:c>
    </x:row>
    <x:row r="201" ht="24" hidden="0" customHeight="1">
      <x:c r="A201" s="10" t="str">
        <x:v>BR-SPAPESP_DASP-PENITPRE-CSDTCARANDIRU.xlsx</x:v>
      </x:c>
      <x:c r="B201" s="10" t="str">
        <x:v>Geral</x:v>
      </x:c>
      <x:c r="C201" s="11" t="n">
        <x:v>188</x:v>
      </x:c>
      <x:c r="D201" s="10" t="str">
        <x:v>BR-SPAPESP_DASP-PENITPRE-CSDTCARANDIRU.xlsx:Geral:188</x:v>
      </x:c>
      <x:c r="E201" s="10" t="str">
        <x:v>BRSPAPESP_DASPPENITPRE-CSDTCARANDIRU_ICOFOTDGZMT0_2767-011-007V.jpg</x:v>
      </x:c>
      <x:c r="F201" s="10" t="str">
        <x:v>PENITPRE-CSDTCARANDIRU</x:v>
      </x:c>
      <x:c r="G201" s="10" t="str">
        <x:v>ICO</x:v>
      </x:c>
      <x:c r="H201" s="10" t="str">
        <x:v>FOT</x:v>
      </x:c>
      <x:c r="I201" s="10" t="str">
        <x:v>DGZ</x:v>
      </x:c>
      <x:c r="J201" s="10" t="str">
        <x:v>MT0</x:v>
      </x:c>
    </x:row>
    <x:row r="202" ht="24" hidden="0" customHeight="1">
      <x:c r="A202" s="10" t="str">
        <x:v>BR-SPAPESP_DASP-PENITPRE-CSDTCARANDIRU.xlsx</x:v>
      </x:c>
      <x:c r="B202" s="10" t="str">
        <x:v>Geral</x:v>
      </x:c>
      <x:c r="C202" s="11" t="n">
        <x:v>189</x:v>
      </x:c>
      <x:c r="D202" s="10" t="str">
        <x:v>BR-SPAPESP_DASP-PENITPRE-CSDTCARANDIRU.xlsx:Geral:189</x:v>
      </x:c>
      <x:c r="E202" s="10" t="str">
        <x:v>BRSPAPESP_DASPPENITPRE-CSDTCARANDIRU_ICOFOTDGZMT0_2767-011-008F.jpg</x:v>
      </x:c>
      <x:c r="F202" s="10" t="str">
        <x:v>PENITPRE-CSDTCARANDIRU</x:v>
      </x:c>
      <x:c r="G202" s="10" t="str">
        <x:v>ICO</x:v>
      </x:c>
      <x:c r="H202" s="10" t="str">
        <x:v>FOT</x:v>
      </x:c>
      <x:c r="I202" s="10" t="str">
        <x:v>DGZ</x:v>
      </x:c>
      <x:c r="J202" s="10" t="str">
        <x:v>MT0</x:v>
      </x:c>
    </x:row>
    <x:row r="203" ht="24" hidden="0" customHeight="1">
      <x:c r="A203" s="10" t="str">
        <x:v>BR-SPAPESP_DASP-PENITPRE-CSDTCARANDIRU.xlsx</x:v>
      </x:c>
      <x:c r="B203" s="10" t="str">
        <x:v>Geral</x:v>
      </x:c>
      <x:c r="C203" s="11" t="n">
        <x:v>190</x:v>
      </x:c>
      <x:c r="D203" s="10" t="str">
        <x:v>BR-SPAPESP_DASP-PENITPRE-CSDTCARANDIRU.xlsx:Geral:190</x:v>
      </x:c>
      <x:c r="E203" s="10" t="str">
        <x:v>BRSPAPESP_DASPPENITPRE-CSDTCARANDIRU_ICOFOTDGZMT0_2767-011-008V.jpg</x:v>
      </x:c>
      <x:c r="F203" s="10" t="str">
        <x:v>PENITPRE-CSDTCARANDIRU</x:v>
      </x:c>
      <x:c r="G203" s="10" t="str">
        <x:v>ICO</x:v>
      </x:c>
      <x:c r="H203" s="10" t="str">
        <x:v>FOT</x:v>
      </x:c>
      <x:c r="I203" s="10" t="str">
        <x:v>DGZ</x:v>
      </x:c>
      <x:c r="J203" s="10" t="str">
        <x:v>MT0</x:v>
      </x:c>
    </x:row>
    <x:row r="204" ht="24" hidden="0" customHeight="1">
      <x:c r="A204" s="10" t="str">
        <x:v>BR-SPAPESP_DASP-PENITPRE-CSDTCARANDIRU.xlsx</x:v>
      </x:c>
      <x:c r="B204" s="10" t="str">
        <x:v>Geral</x:v>
      </x:c>
      <x:c r="C204" s="11" t="n">
        <x:v>191</x:v>
      </x:c>
      <x:c r="D204" s="10" t="str">
        <x:v>BR-SPAPESP_DASP-PENITPRE-CSDTCARANDIRU.xlsx:Geral:191</x:v>
      </x:c>
      <x:c r="E204" s="10" t="str">
        <x:v>BRSPAPESP_DASPPENITPRE-CSDTCARANDIRU_ICOFOTDGZMT0_2767-011-009F.jpg</x:v>
      </x:c>
      <x:c r="F204" s="10" t="str">
        <x:v>PENITPRE-CSDTCARANDIRU</x:v>
      </x:c>
      <x:c r="G204" s="10" t="str">
        <x:v>ICO</x:v>
      </x:c>
      <x:c r="H204" s="10" t="str">
        <x:v>FOT</x:v>
      </x:c>
      <x:c r="I204" s="10" t="str">
        <x:v>DGZ</x:v>
      </x:c>
      <x:c r="J204" s="10" t="str">
        <x:v>MT0</x:v>
      </x:c>
    </x:row>
    <x:row r="205" ht="24" hidden="0" customHeight="1">
      <x:c r="A205" s="10" t="str">
        <x:v>BR-SPAPESP_DASP-PENITPRE-CSDTCARANDIRU.xlsx</x:v>
      </x:c>
      <x:c r="B205" s="10" t="str">
        <x:v>Geral</x:v>
      </x:c>
      <x:c r="C205" s="11" t="n">
        <x:v>192</x:v>
      </x:c>
      <x:c r="D205" s="10" t="str">
        <x:v>BR-SPAPESP_DASP-PENITPRE-CSDTCARANDIRU.xlsx:Geral:192</x:v>
      </x:c>
      <x:c r="E205" s="10" t="str">
        <x:v>BRSPAPESP_DASPPENITPRE-CSDTCARANDIRU_ICOFOTDGZMT0_2767-011-009V.jpg</x:v>
      </x:c>
      <x:c r="F205" s="10" t="str">
        <x:v>PENITPRE-CSDTCARANDIRU</x:v>
      </x:c>
      <x:c r="G205" s="10" t="str">
        <x:v>ICO</x:v>
      </x:c>
      <x:c r="H205" s="10" t="str">
        <x:v>FOT</x:v>
      </x:c>
      <x:c r="I205" s="10" t="str">
        <x:v>DGZ</x:v>
      </x:c>
      <x:c r="J205" s="10" t="str">
        <x:v>MT0</x:v>
      </x:c>
    </x:row>
    <x:row r="206" ht="24" hidden="0" customHeight="1">
      <x:c r="A206" s="10" t="str">
        <x:v>BR-SPAPESP_DASP-PENITPRE-CSDTCARANDIRU.xlsx</x:v>
      </x:c>
      <x:c r="B206" s="10" t="str">
        <x:v>Geral</x:v>
      </x:c>
      <x:c r="C206" s="11" t="n">
        <x:v>193</x:v>
      </x:c>
      <x:c r="D206" s="10" t="str">
        <x:v>BR-SPAPESP_DASP-PENITPRE-CSDTCARANDIRU.xlsx:Geral:193</x:v>
      </x:c>
      <x:c r="E206" s="10" t="str">
        <x:v>BRSPAPESP_DASPPENITPRE-CSDTCARANDIRU_ICOFOTDGZMT0_2767-011-010F.jpg</x:v>
      </x:c>
      <x:c r="F206" s="10" t="str">
        <x:v>PENITPRE-CSDTCARANDIRU</x:v>
      </x:c>
      <x:c r="G206" s="10" t="str">
        <x:v>ICO</x:v>
      </x:c>
      <x:c r="H206" s="10" t="str">
        <x:v>FOT</x:v>
      </x:c>
      <x:c r="I206" s="10" t="str">
        <x:v>DGZ</x:v>
      </x:c>
      <x:c r="J206" s="10" t="str">
        <x:v>MT0</x:v>
      </x:c>
    </x:row>
    <x:row r="207" ht="24" hidden="0" customHeight="1">
      <x:c r="A207" s="10" t="str">
        <x:v>BR-SPAPESP_DASP-PENITPRE-CSDTCARANDIRU.xlsx</x:v>
      </x:c>
      <x:c r="B207" s="10" t="str">
        <x:v>Geral</x:v>
      </x:c>
      <x:c r="C207" s="11" t="n">
        <x:v>194</x:v>
      </x:c>
      <x:c r="D207" s="10" t="str">
        <x:v>BR-SPAPESP_DASP-PENITPRE-CSDTCARANDIRU.xlsx:Geral:194</x:v>
      </x:c>
      <x:c r="E207" s="10" t="str">
        <x:v>BRSPAPESP_DASPPENITPRE-CSDTCARANDIRU_ICOFOTDGZMT0_2767-011-010V.jpg</x:v>
      </x:c>
      <x:c r="F207" s="10" t="str">
        <x:v>PENITPRE-CSDTCARANDIRU</x:v>
      </x:c>
      <x:c r="G207" s="10" t="str">
        <x:v>ICO</x:v>
      </x:c>
      <x:c r="H207" s="10" t="str">
        <x:v>FOT</x:v>
      </x:c>
      <x:c r="I207" s="10" t="str">
        <x:v>DGZ</x:v>
      </x:c>
      <x:c r="J207" s="10" t="str">
        <x:v>MT0</x:v>
      </x:c>
    </x:row>
    <x:row r="208" ht="24" hidden="0" customHeight="1">
      <x:c r="A208" s="10" t="str">
        <x:v>BR-SPAPESP_DASP-PENITPRE-CSDTCARANDIRU.xlsx</x:v>
      </x:c>
      <x:c r="B208" s="10" t="str">
        <x:v>Geral</x:v>
      </x:c>
      <x:c r="C208" s="11" t="n">
        <x:v>195</x:v>
      </x:c>
      <x:c r="D208" s="10" t="str">
        <x:v>BR-SPAPESP_DASP-PENITPRE-CSDTCARANDIRU.xlsx:Geral:195</x:v>
      </x:c>
      <x:c r="E208" s="10" t="str">
        <x:v>BRSPAPESP_DASPPENITPRE-CSDTCARANDIRU_ICOFOTDGZMT0_2767-011-011F.jpg</x:v>
      </x:c>
      <x:c r="F208" s="10" t="str">
        <x:v>PENITPRE-CSDTCARANDIRU</x:v>
      </x:c>
      <x:c r="G208" s="10" t="str">
        <x:v>ICO</x:v>
      </x:c>
      <x:c r="H208" s="10" t="str">
        <x:v>FOT</x:v>
      </x:c>
      <x:c r="I208" s="10" t="str">
        <x:v>DGZ</x:v>
      </x:c>
      <x:c r="J208" s="10" t="str">
        <x:v>MT0</x:v>
      </x:c>
    </x:row>
    <x:row r="209" ht="24" hidden="0" customHeight="1">
      <x:c r="A209" s="10" t="str">
        <x:v>BR-SPAPESP_DASP-PENITPRE-CSDTCARANDIRU.xlsx</x:v>
      </x:c>
      <x:c r="B209" s="10" t="str">
        <x:v>Geral</x:v>
      </x:c>
      <x:c r="C209" s="11" t="n">
        <x:v>196</x:v>
      </x:c>
      <x:c r="D209" s="10" t="str">
        <x:v>BR-SPAPESP_DASP-PENITPRE-CSDTCARANDIRU.xlsx:Geral:196</x:v>
      </x:c>
      <x:c r="E209" s="10" t="str">
        <x:v>BRSPAPESP_DASPPENITPRE-CSDTCARANDIRU_ICOFOTDGZMT0_2767-011-011V.jpg</x:v>
      </x:c>
      <x:c r="F209" s="10" t="str">
        <x:v>PENITPRE-CSDTCARANDIRU</x:v>
      </x:c>
      <x:c r="G209" s="10" t="str">
        <x:v>ICO</x:v>
      </x:c>
      <x:c r="H209" s="10" t="str">
        <x:v>FOT</x:v>
      </x:c>
      <x:c r="I209" s="10" t="str">
        <x:v>DGZ</x:v>
      </x:c>
      <x:c r="J209" s="10" t="str">
        <x:v>MT0</x:v>
      </x:c>
    </x:row>
    <x:row r="210" ht="24" hidden="0" customHeight="1">
      <x:c r="A210" s="10" t="str">
        <x:v>BR-SPAPESP_DASP-PENITPRE-CSDTCARANDIRU.xlsx</x:v>
      </x:c>
      <x:c r="B210" s="10" t="str">
        <x:v>Geral</x:v>
      </x:c>
      <x:c r="C210" s="11" t="n">
        <x:v>197</x:v>
      </x:c>
      <x:c r="D210" s="10" t="str">
        <x:v>BR-SPAPESP_DASP-PENITPRE-CSDTCARANDIRU.xlsx:Geral:197</x:v>
      </x:c>
      <x:c r="E210" s="10" t="str">
        <x:v>BRSPAPESP_DASPPENITPRE-CSDTCARANDIRU_ICOFOTDGZMT0_2767-011-012F.jpg</x:v>
      </x:c>
      <x:c r="F210" s="10" t="str">
        <x:v>PENITPRE-CSDTCARANDIRU</x:v>
      </x:c>
      <x:c r="G210" s="10" t="str">
        <x:v>ICO</x:v>
      </x:c>
      <x:c r="H210" s="10" t="str">
        <x:v>FOT</x:v>
      </x:c>
      <x:c r="I210" s="10" t="str">
        <x:v>DGZ</x:v>
      </x:c>
      <x:c r="J210" s="10" t="str">
        <x:v>MT0</x:v>
      </x:c>
    </x:row>
    <x:row r="211" ht="24" hidden="0" customHeight="1">
      <x:c r="A211" s="10" t="str">
        <x:v>BR-SPAPESP_DASP-PENITPRE-CSDTCARANDIRU.xlsx</x:v>
      </x:c>
      <x:c r="B211" s="10" t="str">
        <x:v>Geral</x:v>
      </x:c>
      <x:c r="C211" s="11" t="n">
        <x:v>198</x:v>
      </x:c>
      <x:c r="D211" s="10" t="str">
        <x:v>BR-SPAPESP_DASP-PENITPRE-CSDTCARANDIRU.xlsx:Geral:198</x:v>
      </x:c>
      <x:c r="E211" s="10" t="str">
        <x:v>BRSPAPESP_DASPPENITPRE-CSDTCARANDIRU_ICOFOTDGZMT0_2767-011-012V.jpg</x:v>
      </x:c>
      <x:c r="F211" s="10" t="str">
        <x:v>PENITPRE-CSDTCARANDIRU</x:v>
      </x:c>
      <x:c r="G211" s="10" t="str">
        <x:v>ICO</x:v>
      </x:c>
      <x:c r="H211" s="10" t="str">
        <x:v>FOT</x:v>
      </x:c>
      <x:c r="I211" s="10" t="str">
        <x:v>DGZ</x:v>
      </x:c>
      <x:c r="J211" s="10" t="str">
        <x:v>MT0</x:v>
      </x:c>
    </x:row>
    <x:row r="212" ht="24" hidden="0" customHeight="1">
      <x:c r="A212" s="10" t="str">
        <x:v>BR-SPAPESP_DASP-PENITPRE-CSDTCARANDIRU.xlsx</x:v>
      </x:c>
      <x:c r="B212" s="10" t="str">
        <x:v>Geral</x:v>
      </x:c>
      <x:c r="C212" s="11" t="n">
        <x:v>199</x:v>
      </x:c>
      <x:c r="D212" s="10" t="str">
        <x:v>BR-SPAPESP_DASP-PENITPRE-CSDTCARANDIRU.xlsx:Geral:199</x:v>
      </x:c>
      <x:c r="E212" s="10" t="str">
        <x:v>BRSPAPESP_DASPPENITPRE-CSDTCARANDIRU_ICOFOTDGZMT0_2767-011-013F.jpg</x:v>
      </x:c>
      <x:c r="F212" s="10" t="str">
        <x:v>PENITPRE-CSDTCARANDIRU</x:v>
      </x:c>
      <x:c r="G212" s="10" t="str">
        <x:v>ICO</x:v>
      </x:c>
      <x:c r="H212" s="10" t="str">
        <x:v>FOT</x:v>
      </x:c>
      <x:c r="I212" s="10" t="str">
        <x:v>DGZ</x:v>
      </x:c>
      <x:c r="J212" s="10" t="str">
        <x:v>MT0</x:v>
      </x:c>
    </x:row>
    <x:row r="213" ht="24" hidden="0" customHeight="1">
      <x:c r="A213" s="10" t="str">
        <x:v>BR-SPAPESP_DASP-PENITPRE-CSDTCARANDIRU.xlsx</x:v>
      </x:c>
      <x:c r="B213" s="10" t="str">
        <x:v>Geral</x:v>
      </x:c>
      <x:c r="C213" s="11" t="n">
        <x:v>200</x:v>
      </x:c>
      <x:c r="D213" s="10" t="str">
        <x:v>BR-SPAPESP_DASP-PENITPRE-CSDTCARANDIRU.xlsx:Geral:200</x:v>
      </x:c>
      <x:c r="E213" s="10" t="str">
        <x:v>BRSPAPESP_DASPPENITPRE-CSDTCARANDIRU_ICOFOTDGZMT0_2767-011-013V.jpg</x:v>
      </x:c>
      <x:c r="F213" s="10" t="str">
        <x:v>PENITPRE-CSDTCARANDIRU</x:v>
      </x:c>
      <x:c r="G213" s="10" t="str">
        <x:v>ICO</x:v>
      </x:c>
      <x:c r="H213" s="10" t="str">
        <x:v>FOT</x:v>
      </x:c>
      <x:c r="I213" s="10" t="str">
        <x:v>DGZ</x:v>
      </x:c>
      <x:c r="J213" s="10" t="str">
        <x:v>MT0</x:v>
      </x:c>
    </x:row>
    <x:row r="214" ht="24" hidden="0" customHeight="1">
      <x:c r="A214" s="10" t="str">
        <x:v>BR-SPAPESP_DASP-PENITPRE-CSDTCARANDIRU.xlsx</x:v>
      </x:c>
      <x:c r="B214" s="10" t="str">
        <x:v>Geral</x:v>
      </x:c>
      <x:c r="C214" s="11" t="n">
        <x:v>201</x:v>
      </x:c>
      <x:c r="D214" s="10" t="str">
        <x:v>BR-SPAPESP_DASP-PENITPRE-CSDTCARANDIRU.xlsx:Geral:201</x:v>
      </x:c>
      <x:c r="E214" s="10" t="str">
        <x:v>BRSPAPESP_DASPPENITPRE-CSDTCARANDIRU_ICOFOTDGZMT0_2767-011-014F.jpg</x:v>
      </x:c>
      <x:c r="F214" s="10" t="str">
        <x:v>PENITPRE-CSDTCARANDIRU</x:v>
      </x:c>
      <x:c r="G214" s="10" t="str">
        <x:v>ICO</x:v>
      </x:c>
      <x:c r="H214" s="10" t="str">
        <x:v>FOT</x:v>
      </x:c>
      <x:c r="I214" s="10" t="str">
        <x:v>DGZ</x:v>
      </x:c>
      <x:c r="J214" s="10" t="str">
        <x:v>MT0</x:v>
      </x:c>
    </x:row>
    <x:row r="215" ht="24" hidden="0" customHeight="1">
      <x:c r="A215" s="10" t="str">
        <x:v>BR-SPAPESP_DASP-PENITPRE-CSDTCARANDIRU.xlsx</x:v>
      </x:c>
      <x:c r="B215" s="10" t="str">
        <x:v>Geral</x:v>
      </x:c>
      <x:c r="C215" s="11" t="n">
        <x:v>202</x:v>
      </x:c>
      <x:c r="D215" s="10" t="str">
        <x:v>BR-SPAPESP_DASP-PENITPRE-CSDTCARANDIRU.xlsx:Geral:202</x:v>
      </x:c>
      <x:c r="E215" s="10" t="str">
        <x:v>BRSPAPESP_DASPPENITPRE-CSDTCARANDIRU_ICOFOTDGZMT0_2767-011-014V.jpg</x:v>
      </x:c>
      <x:c r="F215" s="10" t="str">
        <x:v>PENITPRE-CSDTCARANDIRU</x:v>
      </x:c>
      <x:c r="G215" s="10" t="str">
        <x:v>ICO</x:v>
      </x:c>
      <x:c r="H215" s="10" t="str">
        <x:v>FOT</x:v>
      </x:c>
      <x:c r="I215" s="10" t="str">
        <x:v>DGZ</x:v>
      </x:c>
      <x:c r="J215" s="10" t="str">
        <x:v>MT0</x:v>
      </x:c>
    </x:row>
    <x:row r="216" ht="24" hidden="0" customHeight="1">
      <x:c r="A216" s="10" t="str">
        <x:v>BR-SPAPESP_DASP-PENITPRE-CSDTCARANDIRU.xlsx</x:v>
      </x:c>
      <x:c r="B216" s="10" t="str">
        <x:v>Geral</x:v>
      </x:c>
      <x:c r="C216" s="11" t="n">
        <x:v>203</x:v>
      </x:c>
      <x:c r="D216" s="10" t="str">
        <x:v>BR-SPAPESP_DASP-PENITPRE-CSDTCARANDIRU.xlsx:Geral:203</x:v>
      </x:c>
      <x:c r="E216" s="10" t="str">
        <x:v>BRSPAPESP_DASPPENITPRE-CSDTCARANDIRU_ICOFOTDGZMT0_2767-011-015F.jpg</x:v>
      </x:c>
      <x:c r="F216" s="10" t="str">
        <x:v>PENITPRE-CSDTCARANDIRU</x:v>
      </x:c>
      <x:c r="G216" s="10" t="str">
        <x:v>ICO</x:v>
      </x:c>
      <x:c r="H216" s="10" t="str">
        <x:v>FOT</x:v>
      </x:c>
      <x:c r="I216" s="10" t="str">
        <x:v>DGZ</x:v>
      </x:c>
      <x:c r="J216" s="10" t="str">
        <x:v>MT0</x:v>
      </x:c>
    </x:row>
    <x:row r="217" ht="24" hidden="0" customHeight="1">
      <x:c r="A217" s="10" t="str">
        <x:v>BR-SPAPESP_DASP-PENITPRE-CSDTCARANDIRU.xlsx</x:v>
      </x:c>
      <x:c r="B217" s="10" t="str">
        <x:v>Geral</x:v>
      </x:c>
      <x:c r="C217" s="11" t="n">
        <x:v>204</x:v>
      </x:c>
      <x:c r="D217" s="10" t="str">
        <x:v>BR-SPAPESP_DASP-PENITPRE-CSDTCARANDIRU.xlsx:Geral:204</x:v>
      </x:c>
      <x:c r="E217" s="10" t="str">
        <x:v>BRSPAPESP_DASPPENITPRE-CSDTCARANDIRU_ICOFOTDGZMT0_2767-011-015V.jpg</x:v>
      </x:c>
      <x:c r="F217" s="10" t="str">
        <x:v>PENITPRE-CSDTCARANDIRU</x:v>
      </x:c>
      <x:c r="G217" s="10" t="str">
        <x:v>ICO</x:v>
      </x:c>
      <x:c r="H217" s="10" t="str">
        <x:v>FOT</x:v>
      </x:c>
      <x:c r="I217" s="10" t="str">
        <x:v>DGZ</x:v>
      </x:c>
      <x:c r="J217" s="10" t="str">
        <x:v>MT0</x:v>
      </x:c>
    </x:row>
    <x:row r="218" ht="24" hidden="0" customHeight="1">
      <x:c r="A218" s="10" t="str">
        <x:v>BR-SPAPESP_DASP-PENITPRE-CSDTCARANDIRU.xlsx</x:v>
      </x:c>
      <x:c r="B218" s="10" t="str">
        <x:v>Geral</x:v>
      </x:c>
      <x:c r="C218" s="11" t="n">
        <x:v>205</x:v>
      </x:c>
      <x:c r="D218" s="10" t="str">
        <x:v>BR-SPAPESP_DASP-PENITPRE-CSDTCARANDIRU.xlsx:Geral:205</x:v>
      </x:c>
      <x:c r="E218" s="10" t="str">
        <x:v>BRSPAPESP_DASPPENITPRE-CSDTCARANDIRU_ICOFOTDGZMT0_2767-011-016F.jpg</x:v>
      </x:c>
      <x:c r="F218" s="10" t="str">
        <x:v>PENITPRE-CSDTCARANDIRU</x:v>
      </x:c>
      <x:c r="G218" s="10" t="str">
        <x:v>ICO</x:v>
      </x:c>
      <x:c r="H218" s="10" t="str">
        <x:v>FOT</x:v>
      </x:c>
      <x:c r="I218" s="10" t="str">
        <x:v>DGZ</x:v>
      </x:c>
      <x:c r="J218" s="10" t="str">
        <x:v>MT0</x:v>
      </x:c>
    </x:row>
    <x:row r="219" ht="24" hidden="0" customHeight="1">
      <x:c r="A219" s="10" t="str">
        <x:v>BR-SPAPESP_DASP-PENITPRE-CSDTCARANDIRU.xlsx</x:v>
      </x:c>
      <x:c r="B219" s="10" t="str">
        <x:v>Geral</x:v>
      </x:c>
      <x:c r="C219" s="11" t="n">
        <x:v>206</x:v>
      </x:c>
      <x:c r="D219" s="10" t="str">
        <x:v>BR-SPAPESP_DASP-PENITPRE-CSDTCARANDIRU.xlsx:Geral:206</x:v>
      </x:c>
      <x:c r="E219" s="10" t="str">
        <x:v>BRSPAPESP_DASPPENITPRE-CSDTCARANDIRU_ICOFOTDGZMT0_2767-011-016V.jpg</x:v>
      </x:c>
      <x:c r="F219" s="10" t="str">
        <x:v>PENITPRE-CSDTCARANDIRU</x:v>
      </x:c>
      <x:c r="G219" s="10" t="str">
        <x:v>ICO</x:v>
      </x:c>
      <x:c r="H219" s="10" t="str">
        <x:v>FOT</x:v>
      </x:c>
      <x:c r="I219" s="10" t="str">
        <x:v>DGZ</x:v>
      </x:c>
      <x:c r="J219" s="10" t="str">
        <x:v>MT0</x:v>
      </x:c>
    </x:row>
    <x:row r="220" ht="24" hidden="0" customHeight="1">
      <x:c r="A220" s="10" t="str">
        <x:v>BR-SPAPESP_DASP-PENITPRE-CSDTCARANDIRU.xlsx</x:v>
      </x:c>
      <x:c r="B220" s="10" t="str">
        <x:v>Geral</x:v>
      </x:c>
      <x:c r="C220" s="11" t="n">
        <x:v>207</x:v>
      </x:c>
      <x:c r="D220" s="10" t="str">
        <x:v>BR-SPAPESP_DASP-PENITPRE-CSDTCARANDIRU.xlsx:Geral:207</x:v>
      </x:c>
      <x:c r="E220" s="10" t="str">
        <x:v>BRSPAPESP_DASPPENITPRE-CSDTCARANDIRU_ICOFOTDGZMT0_2767-011-017F.jpg</x:v>
      </x:c>
      <x:c r="F220" s="10" t="str">
        <x:v>PENITPRE-CSDTCARANDIRU</x:v>
      </x:c>
      <x:c r="G220" s="10" t="str">
        <x:v>ICO</x:v>
      </x:c>
      <x:c r="H220" s="10" t="str">
        <x:v>FOT</x:v>
      </x:c>
      <x:c r="I220" s="10" t="str">
        <x:v>DGZ</x:v>
      </x:c>
      <x:c r="J220" s="10" t="str">
        <x:v>MT0</x:v>
      </x:c>
    </x:row>
    <x:row r="221" ht="24" hidden="0" customHeight="1">
      <x:c r="A221" s="10" t="str">
        <x:v>BR-SPAPESP_DASP-PENITPRE-CSDTCARANDIRU.xlsx</x:v>
      </x:c>
      <x:c r="B221" s="10" t="str">
        <x:v>Geral</x:v>
      </x:c>
      <x:c r="C221" s="11" t="n">
        <x:v>208</x:v>
      </x:c>
      <x:c r="D221" s="10" t="str">
        <x:v>BR-SPAPESP_DASP-PENITPRE-CSDTCARANDIRU.xlsx:Geral:208</x:v>
      </x:c>
      <x:c r="E221" s="10" t="str">
        <x:v>BRSPAPESP_DASPPENITPRE-CSDTCARANDIRU_ICOFOTDGZMT0_2767-011-017V.jpg</x:v>
      </x:c>
      <x:c r="F221" s="10" t="str">
        <x:v>PENITPRE-CSDTCARANDIRU</x:v>
      </x:c>
      <x:c r="G221" s="10" t="str">
        <x:v>ICO</x:v>
      </x:c>
      <x:c r="H221" s="10" t="str">
        <x:v>FOT</x:v>
      </x:c>
      <x:c r="I221" s="10" t="str">
        <x:v>DGZ</x:v>
      </x:c>
      <x:c r="J221" s="10" t="str">
        <x:v>MT0</x:v>
      </x:c>
    </x:row>
    <x:row r="222" ht="24" hidden="0" customHeight="1">
      <x:c r="A222" s="10" t="str">
        <x:v>BR-SPAPESP_DASP-PENITPRE-CSDTCARANDIRU.xlsx</x:v>
      </x:c>
      <x:c r="B222" s="10" t="str">
        <x:v>Geral</x:v>
      </x:c>
      <x:c r="C222" s="11" t="n">
        <x:v>209</x:v>
      </x:c>
      <x:c r="D222" s="10" t="str">
        <x:v>BR-SPAPESP_DASP-PENITPRE-CSDTCARANDIRU.xlsx:Geral:209</x:v>
      </x:c>
      <x:c r="E222" s="10" t="str">
        <x:v>BRSPAPESP_DASPPENITPRE-CSDTCARANDIRU_ICOFOTDGZMT0_2767-011-018F.jpg</x:v>
      </x:c>
      <x:c r="F222" s="10" t="str">
        <x:v>PENITPRE-CSDTCARANDIRU</x:v>
      </x:c>
      <x:c r="G222" s="10" t="str">
        <x:v>ICO</x:v>
      </x:c>
      <x:c r="H222" s="10" t="str">
        <x:v>FOT</x:v>
      </x:c>
      <x:c r="I222" s="10" t="str">
        <x:v>DGZ</x:v>
      </x:c>
      <x:c r="J222" s="10" t="str">
        <x:v>MT0</x:v>
      </x:c>
    </x:row>
    <x:row r="223" ht="24" hidden="0" customHeight="1">
      <x:c r="A223" s="10" t="str">
        <x:v>BR-SPAPESP_DASP-PENITPRE-CSDTCARANDIRU.xlsx</x:v>
      </x:c>
      <x:c r="B223" s="10" t="str">
        <x:v>Geral</x:v>
      </x:c>
      <x:c r="C223" s="11" t="n">
        <x:v>210</x:v>
      </x:c>
      <x:c r="D223" s="10" t="str">
        <x:v>BR-SPAPESP_DASP-PENITPRE-CSDTCARANDIRU.xlsx:Geral:210</x:v>
      </x:c>
      <x:c r="E223" s="10" t="str">
        <x:v>BRSPAPESP_DASPPENITPRE-CSDTCARANDIRU_ICOFOTDGZMT0_2767-011-018V.jpg</x:v>
      </x:c>
      <x:c r="F223" s="10" t="str">
        <x:v>PENITPRE-CSDTCARANDIRU</x:v>
      </x:c>
      <x:c r="G223" s="10" t="str">
        <x:v>ICO</x:v>
      </x:c>
      <x:c r="H223" s="10" t="str">
        <x:v>FOT</x:v>
      </x:c>
      <x:c r="I223" s="10" t="str">
        <x:v>DGZ</x:v>
      </x:c>
      <x:c r="J223" s="10" t="str">
        <x:v>MT0</x:v>
      </x:c>
    </x:row>
    <x:row r="224" ht="24" hidden="0" customHeight="1">
      <x:c r="A224" s="10" t="str">
        <x:v>BR-SPAPESP_DASP-PENITPRE-CSDTCARANDIRU.xlsx</x:v>
      </x:c>
      <x:c r="B224" s="10" t="str">
        <x:v>Geral</x:v>
      </x:c>
      <x:c r="C224" s="11" t="n">
        <x:v>211</x:v>
      </x:c>
      <x:c r="D224" s="10" t="str">
        <x:v>BR-SPAPESP_DASP-PENITPRE-CSDTCARANDIRU.xlsx:Geral:211</x:v>
      </x:c>
      <x:c r="E224" s="10" t="str">
        <x:v>BRSPAPESP_DASPPENITPRE-CSDTCARANDIRU_ICOFOTDGZMT0_2767-011-019F.jpg</x:v>
      </x:c>
      <x:c r="F224" s="10" t="str">
        <x:v>PENITPRE-CSDTCARANDIRU</x:v>
      </x:c>
      <x:c r="G224" s="10" t="str">
        <x:v>ICO</x:v>
      </x:c>
      <x:c r="H224" s="10" t="str">
        <x:v>FOT</x:v>
      </x:c>
      <x:c r="I224" s="10" t="str">
        <x:v>DGZ</x:v>
      </x:c>
      <x:c r="J224" s="10" t="str">
        <x:v>MT0</x:v>
      </x:c>
    </x:row>
    <x:row r="225" ht="24" hidden="0" customHeight="1">
      <x:c r="A225" s="10" t="str">
        <x:v>BR-SPAPESP_DASP-PENITPRE-CSDTCARANDIRU.xlsx</x:v>
      </x:c>
      <x:c r="B225" s="10" t="str">
        <x:v>Geral</x:v>
      </x:c>
      <x:c r="C225" s="11" t="n">
        <x:v>212</x:v>
      </x:c>
      <x:c r="D225" s="10" t="str">
        <x:v>BR-SPAPESP_DASP-PENITPRE-CSDTCARANDIRU.xlsx:Geral:212</x:v>
      </x:c>
      <x:c r="E225" s="10" t="str">
        <x:v>BRSPAPESP_DASPPENITPRE-CSDTCARANDIRU_ICOFOTDGZMT0_2767-011-019V.jpg</x:v>
      </x:c>
      <x:c r="F225" s="10" t="str">
        <x:v>PENITPRE-CSDTCARANDIRU</x:v>
      </x:c>
      <x:c r="G225" s="10" t="str">
        <x:v>ICO</x:v>
      </x:c>
      <x:c r="H225" s="10" t="str">
        <x:v>FOT</x:v>
      </x:c>
      <x:c r="I225" s="10" t="str">
        <x:v>DGZ</x:v>
      </x:c>
      <x:c r="J225" s="10" t="str">
        <x:v>MT0</x:v>
      </x:c>
    </x:row>
    <x:row r="226" ht="24" hidden="0" customHeight="1">
      <x:c r="A226" s="10" t="str">
        <x:v>BR-SPAPESP_DASP-PENITPRE-CSDTCARANDIRU.xlsx</x:v>
      </x:c>
      <x:c r="B226" s="10" t="str">
        <x:v>Geral</x:v>
      </x:c>
      <x:c r="C226" s="11" t="n">
        <x:v>213</x:v>
      </x:c>
      <x:c r="D226" s="10" t="str">
        <x:v>BR-SPAPESP_DASP-PENITPRE-CSDTCARANDIRU.xlsx:Geral:213</x:v>
      </x:c>
      <x:c r="E226" s="10" t="str">
        <x:v>BRSPAPESP_DASPPENITPRE-CSDTCARANDIRU_ICOFOTDGZMT0_2767-011-020F.jpg</x:v>
      </x:c>
      <x:c r="F226" s="10" t="str">
        <x:v>PENITPRE-CSDTCARANDIRU</x:v>
      </x:c>
      <x:c r="G226" s="10" t="str">
        <x:v>ICO</x:v>
      </x:c>
      <x:c r="H226" s="10" t="str">
        <x:v>FOT</x:v>
      </x:c>
      <x:c r="I226" s="10" t="str">
        <x:v>DGZ</x:v>
      </x:c>
      <x:c r="J226" s="10" t="str">
        <x:v>MT0</x:v>
      </x:c>
    </x:row>
    <x:row r="227" ht="24" hidden="0" customHeight="1">
      <x:c r="A227" s="10" t="str">
        <x:v>BR-SPAPESP_DASP-PENITPRE-CSDTCARANDIRU.xlsx</x:v>
      </x:c>
      <x:c r="B227" s="10" t="str">
        <x:v>Geral</x:v>
      </x:c>
      <x:c r="C227" s="11" t="n">
        <x:v>214</x:v>
      </x:c>
      <x:c r="D227" s="10" t="str">
        <x:v>BR-SPAPESP_DASP-PENITPRE-CSDTCARANDIRU.xlsx:Geral:214</x:v>
      </x:c>
      <x:c r="E227" s="10" t="str">
        <x:v>BRSPAPESP_DASPPENITPRE-CSDTCARANDIRU_ICOFOTDGZMT0_2767-011-020V.jpg</x:v>
      </x:c>
      <x:c r="F227" s="10" t="str">
        <x:v>PENITPRE-CSDTCARANDIRU</x:v>
      </x:c>
      <x:c r="G227" s="10" t="str">
        <x:v>ICO</x:v>
      </x:c>
      <x:c r="H227" s="10" t="str">
        <x:v>FOT</x:v>
      </x:c>
      <x:c r="I227" s="10" t="str">
        <x:v>DGZ</x:v>
      </x:c>
      <x:c r="J227" s="10" t="str">
        <x:v>MT0</x:v>
      </x:c>
    </x:row>
    <x:row r="228" ht="24" hidden="0" customHeight="1">
      <x:c r="A228" s="10" t="str">
        <x:v>BR-SPAPESP_DASP-PENITPRE-CSDTCARANDIRU.xlsx</x:v>
      </x:c>
      <x:c r="B228" s="10" t="str">
        <x:v>Geral</x:v>
      </x:c>
      <x:c r="C228" s="11" t="n">
        <x:v>215</x:v>
      </x:c>
      <x:c r="D228" s="10" t="str">
        <x:v>BR-SPAPESP_DASP-PENITPRE-CSDTCARANDIRU.xlsx:Geral:215</x:v>
      </x:c>
      <x:c r="E228" s="10" t="str">
        <x:v>BRSPAPESP_DASPPENITPRE-CSDTCARANDIRU_ICOFOTDGZMT0_2776-012-001F.jpg</x:v>
      </x:c>
      <x:c r="F228" s="10" t="str">
        <x:v>PENITPRE-CSDTCARANDIRU</x:v>
      </x:c>
      <x:c r="G228" s="10" t="str">
        <x:v>ICO</x:v>
      </x:c>
      <x:c r="H228" s="10" t="str">
        <x:v>FOT</x:v>
      </x:c>
      <x:c r="I228" s="10" t="str">
        <x:v>DGZ</x:v>
      </x:c>
      <x:c r="J228" s="10" t="str">
        <x:v>MT0</x:v>
      </x:c>
    </x:row>
    <x:row r="229" ht="24" hidden="0" customHeight="1">
      <x:c r="A229" s="10" t="str">
        <x:v>BR-SPAPESP_DASP-PENITPRE-CSDTCARANDIRU.xlsx</x:v>
      </x:c>
      <x:c r="B229" s="10" t="str">
        <x:v>Geral</x:v>
      </x:c>
      <x:c r="C229" s="11" t="n">
        <x:v>216</x:v>
      </x:c>
      <x:c r="D229" s="10" t="str">
        <x:v>BR-SPAPESP_DASP-PENITPRE-CSDTCARANDIRU.xlsx:Geral:216</x:v>
      </x:c>
      <x:c r="E229" s="10" t="str">
        <x:v>BRSPAPESP_DASPPENITPRE-CSDTCARANDIRU_ICOFOTDGZMT0_2776-012-001V.jpg</x:v>
      </x:c>
      <x:c r="F229" s="10" t="str">
        <x:v>PENITPRE-CSDTCARANDIRU</x:v>
      </x:c>
      <x:c r="G229" s="10" t="str">
        <x:v>ICO</x:v>
      </x:c>
      <x:c r="H229" s="10" t="str">
        <x:v>FOT</x:v>
      </x:c>
      <x:c r="I229" s="10" t="str">
        <x:v>DGZ</x:v>
      </x:c>
      <x:c r="J229" s="10" t="str">
        <x:v>MT0</x:v>
      </x:c>
    </x:row>
    <x:row r="230" ht="24" hidden="0" customHeight="1">
      <x:c r="A230" s="10" t="str">
        <x:v>BR-SPAPESP_DASP-PENITPRE-CSDTCARANDIRU.xlsx</x:v>
      </x:c>
      <x:c r="B230" s="10" t="str">
        <x:v>Geral</x:v>
      </x:c>
      <x:c r="C230" s="11" t="n">
        <x:v>217</x:v>
      </x:c>
      <x:c r="D230" s="10" t="str">
        <x:v>BR-SPAPESP_DASP-PENITPRE-CSDTCARANDIRU.xlsx:Geral:217</x:v>
      </x:c>
      <x:c r="E230" s="10" t="str">
        <x:v>BRSPAPESP_DASPPENITPRE-CSDTCARANDIRU_ICOFOTDGZMT0_2776-012-002F.jpg</x:v>
      </x:c>
      <x:c r="F230" s="10" t="str">
        <x:v>PENITPRE-CSDTCARANDIRU</x:v>
      </x:c>
      <x:c r="G230" s="10" t="str">
        <x:v>ICO</x:v>
      </x:c>
      <x:c r="H230" s="10" t="str">
        <x:v>FOT</x:v>
      </x:c>
      <x:c r="I230" s="10" t="str">
        <x:v>DGZ</x:v>
      </x:c>
      <x:c r="J230" s="10" t="str">
        <x:v>MT0</x:v>
      </x:c>
    </x:row>
    <x:row r="231" ht="24" hidden="0" customHeight="1">
      <x:c r="A231" s="10" t="str">
        <x:v>BR-SPAPESP_DASP-PENITPRE-CSDTCARANDIRU.xlsx</x:v>
      </x:c>
      <x:c r="B231" s="10" t="str">
        <x:v>Geral</x:v>
      </x:c>
      <x:c r="C231" s="11" t="n">
        <x:v>218</x:v>
      </x:c>
      <x:c r="D231" s="10" t="str">
        <x:v>BR-SPAPESP_DASP-PENITPRE-CSDTCARANDIRU.xlsx:Geral:218</x:v>
      </x:c>
      <x:c r="E231" s="10" t="str">
        <x:v>BRSPAPESP_DASPPENITPRE-CSDTCARANDIRU_ICOFOTDGZMT0_2776-012-002V.jpg</x:v>
      </x:c>
      <x:c r="F231" s="10" t="str">
        <x:v>PENITPRE-CSDTCARANDIRU</x:v>
      </x:c>
      <x:c r="G231" s="10" t="str">
        <x:v>ICO</x:v>
      </x:c>
      <x:c r="H231" s="10" t="str">
        <x:v>FOT</x:v>
      </x:c>
      <x:c r="I231" s="10" t="str">
        <x:v>DGZ</x:v>
      </x:c>
      <x:c r="J231" s="10" t="str">
        <x:v>MT0</x:v>
      </x:c>
    </x:row>
    <x:row r="232" ht="24" hidden="0" customHeight="1">
      <x:c r="A232" s="10" t="str">
        <x:v>BR-SPAPESP_DASP-PENITPRE-CSDTCARANDIRU.xlsx</x:v>
      </x:c>
      <x:c r="B232" s="10" t="str">
        <x:v>Geral</x:v>
      </x:c>
      <x:c r="C232" s="11" t="n">
        <x:v>219</x:v>
      </x:c>
      <x:c r="D232" s="10" t="str">
        <x:v>BR-SPAPESP_DASP-PENITPRE-CSDTCARANDIRU.xlsx:Geral:219</x:v>
      </x:c>
      <x:c r="E232" s="10" t="str">
        <x:v>BRSPAPESP_DASPPENITPRE-CSDTCARANDIRU_ICOFOTDGZMT0_2776-012-003F.jpg</x:v>
      </x:c>
      <x:c r="F232" s="10" t="str">
        <x:v>PENITPRE-CSDTCARANDIRU</x:v>
      </x:c>
      <x:c r="G232" s="10" t="str">
        <x:v>ICO</x:v>
      </x:c>
      <x:c r="H232" s="10" t="str">
        <x:v>FOT</x:v>
      </x:c>
      <x:c r="I232" s="10" t="str">
        <x:v>DGZ</x:v>
      </x:c>
      <x:c r="J232" s="10" t="str">
        <x:v>MT0</x:v>
      </x:c>
    </x:row>
    <x:row r="233" ht="24" hidden="0" customHeight="1">
      <x:c r="A233" s="10" t="str">
        <x:v>BR-SPAPESP_DASP-PENITPRE-CSDTCARANDIRU.xlsx</x:v>
      </x:c>
      <x:c r="B233" s="10" t="str">
        <x:v>Geral</x:v>
      </x:c>
      <x:c r="C233" s="11" t="n">
        <x:v>220</x:v>
      </x:c>
      <x:c r="D233" s="10" t="str">
        <x:v>BR-SPAPESP_DASP-PENITPRE-CSDTCARANDIRU.xlsx:Geral:220</x:v>
      </x:c>
      <x:c r="E233" s="10" t="str">
        <x:v>BRSPAPESP_DASPPENITPRE-CSDTCARANDIRU_ICOFOTDGZMT0_2776-012-003V.jpg</x:v>
      </x:c>
      <x:c r="F233" s="10" t="str">
        <x:v>PENITPRE-CSDTCARANDIRU</x:v>
      </x:c>
      <x:c r="G233" s="10" t="str">
        <x:v>ICO</x:v>
      </x:c>
      <x:c r="H233" s="10" t="str">
        <x:v>FOT</x:v>
      </x:c>
      <x:c r="I233" s="10" t="str">
        <x:v>DGZ</x:v>
      </x:c>
      <x:c r="J233" s="10" t="str">
        <x:v>MT0</x:v>
      </x:c>
    </x:row>
    <x:row r="234" ht="24" hidden="0" customHeight="1">
      <x:c r="A234" s="10" t="str">
        <x:v>BR-SPAPESP_DASP-PENITPRE-CSDTCARANDIRU.xlsx</x:v>
      </x:c>
      <x:c r="B234" s="10" t="str">
        <x:v>Geral</x:v>
      </x:c>
      <x:c r="C234" s="11" t="n">
        <x:v>221</x:v>
      </x:c>
      <x:c r="D234" s="10" t="str">
        <x:v>BR-SPAPESP_DASP-PENITPRE-CSDTCARANDIRU.xlsx:Geral:221</x:v>
      </x:c>
      <x:c r="E234" s="10" t="str">
        <x:v>BRSPAPESP_DASPPENITPRE-CSDTCARANDIRU_ICOFOTDGZMT0_2776-012-004F.jpg</x:v>
      </x:c>
      <x:c r="F234" s="10" t="str">
        <x:v>PENITPRE-CSDTCARANDIRU</x:v>
      </x:c>
      <x:c r="G234" s="10" t="str">
        <x:v>ICO</x:v>
      </x:c>
      <x:c r="H234" s="10" t="str">
        <x:v>FOT</x:v>
      </x:c>
      <x:c r="I234" s="10" t="str">
        <x:v>DGZ</x:v>
      </x:c>
      <x:c r="J234" s="10" t="str">
        <x:v>MT0</x:v>
      </x:c>
    </x:row>
    <x:row r="235" ht="24" hidden="0" customHeight="1">
      <x:c r="A235" s="10" t="str">
        <x:v>BR-SPAPESP_DASP-PENITPRE-CSDTCARANDIRU.xlsx</x:v>
      </x:c>
      <x:c r="B235" s="10" t="str">
        <x:v>Geral</x:v>
      </x:c>
      <x:c r="C235" s="11" t="n">
        <x:v>222</x:v>
      </x:c>
      <x:c r="D235" s="10" t="str">
        <x:v>BR-SPAPESP_DASP-PENITPRE-CSDTCARANDIRU.xlsx:Geral:222</x:v>
      </x:c>
      <x:c r="E235" s="10" t="str">
        <x:v>BRSPAPESP_DASPPENITPRE-CSDTCARANDIRU_ICOFOTDGZMT0_2776-012-004V.jpg</x:v>
      </x:c>
      <x:c r="F235" s="10" t="str">
        <x:v>PENITPRE-CSDTCARANDIRU</x:v>
      </x:c>
      <x:c r="G235" s="10" t="str">
        <x:v>ICO</x:v>
      </x:c>
      <x:c r="H235" s="10" t="str">
        <x:v>FOT</x:v>
      </x:c>
      <x:c r="I235" s="10" t="str">
        <x:v>DGZ</x:v>
      </x:c>
      <x:c r="J235" s="10" t="str">
        <x:v>MT0</x:v>
      </x:c>
    </x:row>
    <x:row r="236" ht="24" hidden="0" customHeight="1">
      <x:c r="A236" s="10" t="str">
        <x:v>BR-SPAPESP_DASP-PENITPRE-CSDTCARANDIRU.xlsx</x:v>
      </x:c>
      <x:c r="B236" s="10" t="str">
        <x:v>Geral</x:v>
      </x:c>
      <x:c r="C236" s="11" t="n">
        <x:v>223</x:v>
      </x:c>
      <x:c r="D236" s="10" t="str">
        <x:v>BR-SPAPESP_DASP-PENITPRE-CSDTCARANDIRU.xlsx:Geral:223</x:v>
      </x:c>
      <x:c r="E236" s="10" t="str">
        <x:v>BRSPAPESP_DASPPENITPRE-CSDTCARANDIRU_ICOFOTDGZMT0_2776-012-005F.jpg</x:v>
      </x:c>
      <x:c r="F236" s="10" t="str">
        <x:v>PENITPRE-CSDTCARANDIRU</x:v>
      </x:c>
      <x:c r="G236" s="10" t="str">
        <x:v>ICO</x:v>
      </x:c>
      <x:c r="H236" s="10" t="str">
        <x:v>FOT</x:v>
      </x:c>
      <x:c r="I236" s="10" t="str">
        <x:v>DGZ</x:v>
      </x:c>
      <x:c r="J236" s="10" t="str">
        <x:v>MT0</x:v>
      </x:c>
    </x:row>
    <x:row r="237" ht="24" hidden="0" customHeight="1">
      <x:c r="A237" s="10" t="str">
        <x:v>BR-SPAPESP_DASP-PENITPRE-CSDTCARANDIRU.xlsx</x:v>
      </x:c>
      <x:c r="B237" s="10" t="str">
        <x:v>Geral</x:v>
      </x:c>
      <x:c r="C237" s="11" t="n">
        <x:v>224</x:v>
      </x:c>
      <x:c r="D237" s="10" t="str">
        <x:v>BR-SPAPESP_DASP-PENITPRE-CSDTCARANDIRU.xlsx:Geral:224</x:v>
      </x:c>
      <x:c r="E237" s="10" t="str">
        <x:v>BRSPAPESP_DASPPENITPRE-CSDTCARANDIRU_ICOFOTDGZMT0_2776-012-005V.jpg</x:v>
      </x:c>
      <x:c r="F237" s="10" t="str">
        <x:v>PENITPRE-CSDTCARANDIRU</x:v>
      </x:c>
      <x:c r="G237" s="10" t="str">
        <x:v>ICO</x:v>
      </x:c>
      <x:c r="H237" s="10" t="str">
        <x:v>FOT</x:v>
      </x:c>
      <x:c r="I237" s="10" t="str">
        <x:v>DGZ</x:v>
      </x:c>
      <x:c r="J237" s="10" t="str">
        <x:v>MT0</x:v>
      </x:c>
    </x:row>
    <x:row r="238" ht="24" hidden="0" customHeight="1">
      <x:c r="A238" s="10" t="str">
        <x:v>BR-SPAPESP_DASP-PENITPRE-CSDTCARANDIRU.xlsx</x:v>
      </x:c>
      <x:c r="B238" s="10" t="str">
        <x:v>Geral</x:v>
      </x:c>
      <x:c r="C238" s="11" t="n">
        <x:v>225</x:v>
      </x:c>
      <x:c r="D238" s="10" t="str">
        <x:v>BR-SPAPESP_DASP-PENITPRE-CSDTCARANDIRU.xlsx:Geral:225</x:v>
      </x:c>
      <x:c r="E238" s="10" t="str">
        <x:v>BRSPAPESP_DASPPENITPRE-CSDTCARANDIRU_ICOFOTDGZMT0_2776-012-006F.jpg</x:v>
      </x:c>
      <x:c r="F238" s="10" t="str">
        <x:v>PENITPRE-CSDTCARANDIRU</x:v>
      </x:c>
      <x:c r="G238" s="10" t="str">
        <x:v>ICO</x:v>
      </x:c>
      <x:c r="H238" s="10" t="str">
        <x:v>FOT</x:v>
      </x:c>
      <x:c r="I238" s="10" t="str">
        <x:v>DGZ</x:v>
      </x:c>
      <x:c r="J238" s="10" t="str">
        <x:v>MT0</x:v>
      </x:c>
    </x:row>
    <x:row r="239" ht="24" hidden="0" customHeight="1">
      <x:c r="A239" s="10" t="str">
        <x:v>BR-SPAPESP_DASP-PENITPRE-CSDTCARANDIRU.xlsx</x:v>
      </x:c>
      <x:c r="B239" s="10" t="str">
        <x:v>Geral</x:v>
      </x:c>
      <x:c r="C239" s="11" t="n">
        <x:v>226</x:v>
      </x:c>
      <x:c r="D239" s="10" t="str">
        <x:v>BR-SPAPESP_DASP-PENITPRE-CSDTCARANDIRU.xlsx:Geral:226</x:v>
      </x:c>
      <x:c r="E239" s="10" t="str">
        <x:v>BRSPAPESP_DASPPENITPRE-CSDTCARANDIRU_ICOFOTDGZMT0_2776-012-006V.jpg</x:v>
      </x:c>
      <x:c r="F239" s="10" t="str">
        <x:v>PENITPRE-CSDTCARANDIRU</x:v>
      </x:c>
      <x:c r="G239" s="10" t="str">
        <x:v>ICO</x:v>
      </x:c>
      <x:c r="H239" s="10" t="str">
        <x:v>FOT</x:v>
      </x:c>
      <x:c r="I239" s="10" t="str">
        <x:v>DGZ</x:v>
      </x:c>
      <x:c r="J239" s="10" t="str">
        <x:v>MT0</x:v>
      </x:c>
    </x:row>
    <x:row r="240" ht="24" hidden="0" customHeight="1">
      <x:c r="A240" s="10" t="str">
        <x:v>BR-SPAPESP_DASP-PENITPRE-CSDTCARANDIRU.xlsx</x:v>
      </x:c>
      <x:c r="B240" s="10" t="str">
        <x:v>Geral</x:v>
      </x:c>
      <x:c r="C240" s="11" t="n">
        <x:v>227</x:v>
      </x:c>
      <x:c r="D240" s="10" t="str">
        <x:v>BR-SPAPESP_DASP-PENITPRE-CSDTCARANDIRU.xlsx:Geral:227</x:v>
      </x:c>
      <x:c r="E240" s="10" t="str">
        <x:v>BRSPAPESP_DASPPENITPRE-CSDTCARANDIRU_ICOFOTDGZMT0_2776-012-007F.jpg</x:v>
      </x:c>
      <x:c r="F240" s="10" t="str">
        <x:v>PENITPRE-CSDTCARANDIRU</x:v>
      </x:c>
      <x:c r="G240" s="10" t="str">
        <x:v>ICO</x:v>
      </x:c>
      <x:c r="H240" s="10" t="str">
        <x:v>FOT</x:v>
      </x:c>
      <x:c r="I240" s="10" t="str">
        <x:v>DGZ</x:v>
      </x:c>
      <x:c r="J240" s="10" t="str">
        <x:v>MT0</x:v>
      </x:c>
    </x:row>
    <x:row r="241" ht="24" hidden="0" customHeight="1">
      <x:c r="A241" s="10" t="str">
        <x:v>BR-SPAPESP_DASP-PENITPRE-CSDTCARANDIRU.xlsx</x:v>
      </x:c>
      <x:c r="B241" s="10" t="str">
        <x:v>Geral</x:v>
      </x:c>
      <x:c r="C241" s="11" t="n">
        <x:v>228</x:v>
      </x:c>
      <x:c r="D241" s="10" t="str">
        <x:v>BR-SPAPESP_DASP-PENITPRE-CSDTCARANDIRU.xlsx:Geral:228</x:v>
      </x:c>
      <x:c r="E241" s="10" t="str">
        <x:v>BRSPAPESP_DASPPENITPRE-CSDTCARANDIRU_ICOFOTDGZMT0_2776-012-007V.jpg</x:v>
      </x:c>
      <x:c r="F241" s="10" t="str">
        <x:v>PENITPRE-CSDTCARANDIRU</x:v>
      </x:c>
      <x:c r="G241" s="10" t="str">
        <x:v>ICO</x:v>
      </x:c>
      <x:c r="H241" s="10" t="str">
        <x:v>FOT</x:v>
      </x:c>
      <x:c r="I241" s="10" t="str">
        <x:v>DGZ</x:v>
      </x:c>
      <x:c r="J241" s="10" t="str">
        <x:v>MT0</x:v>
      </x:c>
    </x:row>
    <x:row r="242" ht="24" hidden="0" customHeight="1">
      <x:c r="A242" s="10" t="str">
        <x:v>BR-SPAPESP_DASP-PENITPRE-CSDTCARANDIRU.xlsx</x:v>
      </x:c>
      <x:c r="B242" s="10" t="str">
        <x:v>Geral</x:v>
      </x:c>
      <x:c r="C242" s="11" t="n">
        <x:v>229</x:v>
      </x:c>
      <x:c r="D242" s="10" t="str">
        <x:v>BR-SPAPESP_DASP-PENITPRE-CSDTCARANDIRU.xlsx:Geral:229</x:v>
      </x:c>
      <x:c r="E242" s="10" t="str">
        <x:v>BRSPAPESP_DASPPENITPRE-CSDTCARANDIRU_ICOFOTDGZMT0_2776-012-008F.jpg</x:v>
      </x:c>
      <x:c r="F242" s="10" t="str">
        <x:v>PENITPRE-CSDTCARANDIRU</x:v>
      </x:c>
      <x:c r="G242" s="10" t="str">
        <x:v>ICO</x:v>
      </x:c>
      <x:c r="H242" s="10" t="str">
        <x:v>FOT</x:v>
      </x:c>
      <x:c r="I242" s="10" t="str">
        <x:v>DGZ</x:v>
      </x:c>
      <x:c r="J242" s="10" t="str">
        <x:v>MT0</x:v>
      </x:c>
    </x:row>
    <x:row r="243" ht="24" hidden="0" customHeight="1">
      <x:c r="A243" s="10" t="str">
        <x:v>BR-SPAPESP_DASP-PENITPRE-CSDTCARANDIRU.xlsx</x:v>
      </x:c>
      <x:c r="B243" s="10" t="str">
        <x:v>Geral</x:v>
      </x:c>
      <x:c r="C243" s="11" t="n">
        <x:v>230</x:v>
      </x:c>
      <x:c r="D243" s="10" t="str">
        <x:v>BR-SPAPESP_DASP-PENITPRE-CSDTCARANDIRU.xlsx:Geral:230</x:v>
      </x:c>
      <x:c r="E243" s="10" t="str">
        <x:v>BRSPAPESP_DASPPENITPRE-CSDTCARANDIRU_ICOFOTDGZMT0_2776-012-008V.jpg</x:v>
      </x:c>
      <x:c r="F243" s="10" t="str">
        <x:v>PENITPRE-CSDTCARANDIRU</x:v>
      </x:c>
      <x:c r="G243" s="10" t="str">
        <x:v>ICO</x:v>
      </x:c>
      <x:c r="H243" s="10" t="str">
        <x:v>FOT</x:v>
      </x:c>
      <x:c r="I243" s="10" t="str">
        <x:v>DGZ</x:v>
      </x:c>
      <x:c r="J243" s="10" t="str">
        <x:v>MT0</x:v>
      </x:c>
    </x:row>
    <x:row r="244" ht="24" hidden="0" customHeight="1">
      <x:c r="A244" s="10" t="str">
        <x:v>BR-SPAPESP_DASP-PENITPRE-CSDTCARANDIRU.xlsx</x:v>
      </x:c>
      <x:c r="B244" s="10" t="str">
        <x:v>Geral</x:v>
      </x:c>
      <x:c r="C244" s="11" t="n">
        <x:v>231</x:v>
      </x:c>
      <x:c r="D244" s="10" t="str">
        <x:v>BR-SPAPESP_DASP-PENITPRE-CSDTCARANDIRU.xlsx:Geral:231</x:v>
      </x:c>
      <x:c r="E244" s="10" t="str">
        <x:v>BRSPAPESP_DASPPENITPRE-CSDTCARANDIRU_ICOFOTDGZMT0_2776-012-009F.jpg</x:v>
      </x:c>
      <x:c r="F244" s="10" t="str">
        <x:v>PENITPRE-CSDTCARANDIRU</x:v>
      </x:c>
      <x:c r="G244" s="10" t="str">
        <x:v>ICO</x:v>
      </x:c>
      <x:c r="H244" s="10" t="str">
        <x:v>FOT</x:v>
      </x:c>
      <x:c r="I244" s="10" t="str">
        <x:v>DGZ</x:v>
      </x:c>
      <x:c r="J244" s="10" t="str">
        <x:v>MT0</x:v>
      </x:c>
    </x:row>
    <x:row r="245" ht="24" hidden="0" customHeight="1">
      <x:c r="A245" s="10" t="str">
        <x:v>BR-SPAPESP_DASP-PENITPRE-CSDTCARANDIRU.xlsx</x:v>
      </x:c>
      <x:c r="B245" s="10" t="str">
        <x:v>Geral</x:v>
      </x:c>
      <x:c r="C245" s="11" t="n">
        <x:v>232</x:v>
      </x:c>
      <x:c r="D245" s="10" t="str">
        <x:v>BR-SPAPESP_DASP-PENITPRE-CSDTCARANDIRU.xlsx:Geral:232</x:v>
      </x:c>
      <x:c r="E245" s="10" t="str">
        <x:v>BRSPAPESP_DASPPENITPRE-CSDTCARANDIRU_ICOFOTDGZMT0_2776-012-009V.jpg</x:v>
      </x:c>
      <x:c r="F245" s="10" t="str">
        <x:v>PENITPRE-CSDTCARANDIRU</x:v>
      </x:c>
      <x:c r="G245" s="10" t="str">
        <x:v>ICO</x:v>
      </x:c>
      <x:c r="H245" s="10" t="str">
        <x:v>FOT</x:v>
      </x:c>
      <x:c r="I245" s="10" t="str">
        <x:v>DGZ</x:v>
      </x:c>
      <x:c r="J245" s="10" t="str">
        <x:v>MT0</x:v>
      </x:c>
    </x:row>
    <x:row r="246" ht="24" hidden="0" customHeight="1">
      <x:c r="A246" s="10" t="str">
        <x:v>BR-SPAPESP_DASP-PENITPRE-CSDTCARANDIRU.xlsx</x:v>
      </x:c>
      <x:c r="B246" s="10" t="str">
        <x:v>Geral</x:v>
      </x:c>
      <x:c r="C246" s="11" t="n">
        <x:v>233</x:v>
      </x:c>
      <x:c r="D246" s="10" t="str">
        <x:v>BR-SPAPESP_DASP-PENITPRE-CSDTCARANDIRU.xlsx:Geral:233</x:v>
      </x:c>
      <x:c r="E246" s="10" t="str">
        <x:v>BRSPAPESP_DASPPENITPRE-CSDTCARANDIRU_ICOFOTDGZMT0_2776-012-010F.jpg</x:v>
      </x:c>
      <x:c r="F246" s="10" t="str">
        <x:v>PENITPRE-CSDTCARANDIRU</x:v>
      </x:c>
      <x:c r="G246" s="10" t="str">
        <x:v>ICO</x:v>
      </x:c>
      <x:c r="H246" s="10" t="str">
        <x:v>FOT</x:v>
      </x:c>
      <x:c r="I246" s="10" t="str">
        <x:v>DGZ</x:v>
      </x:c>
      <x:c r="J246" s="10" t="str">
        <x:v>MT0</x:v>
      </x:c>
    </x:row>
    <x:row r="247" ht="24" hidden="0" customHeight="1">
      <x:c r="A247" s="10" t="str">
        <x:v>BR-SPAPESP_DASP-PENITPRE-CSDTCARANDIRU.xlsx</x:v>
      </x:c>
      <x:c r="B247" s="10" t="str">
        <x:v>Geral</x:v>
      </x:c>
      <x:c r="C247" s="11" t="n">
        <x:v>234</x:v>
      </x:c>
      <x:c r="D247" s="10" t="str">
        <x:v>BR-SPAPESP_DASP-PENITPRE-CSDTCARANDIRU.xlsx:Geral:234</x:v>
      </x:c>
      <x:c r="E247" s="10" t="str">
        <x:v>BRSPAPESP_DASPPENITPRE-CSDTCARANDIRU_ICOFOTDGZMT0_2776-012-010V.jpg</x:v>
      </x:c>
      <x:c r="F247" s="10" t="str">
        <x:v>PENITPRE-CSDTCARANDIRU</x:v>
      </x:c>
      <x:c r="G247" s="10" t="str">
        <x:v>ICO</x:v>
      </x:c>
      <x:c r="H247" s="10" t="str">
        <x:v>FOT</x:v>
      </x:c>
      <x:c r="I247" s="10" t="str">
        <x:v>DGZ</x:v>
      </x:c>
      <x:c r="J247" s="10" t="str">
        <x:v>MT0</x:v>
      </x:c>
    </x:row>
    <x:row r="248" ht="24" hidden="0" customHeight="1">
      <x:c r="A248" s="10" t="str">
        <x:v>BR-SPAPESP_DASP-PENITPRE-CSDTCARANDIRU.xlsx</x:v>
      </x:c>
      <x:c r="B248" s="10" t="str">
        <x:v>Geral</x:v>
      </x:c>
      <x:c r="C248" s="11" t="n">
        <x:v>235</x:v>
      </x:c>
      <x:c r="D248" s="10" t="str">
        <x:v>BR-SPAPESP_DASP-PENITPRE-CSDTCARANDIRU.xlsx:Geral:235</x:v>
      </x:c>
      <x:c r="E248" s="10" t="str">
        <x:v>BRSPAPESP_DASPPENITPRE-CSDTCARANDIRU_ICOFOTDGZMT0_2776-012-011F.jpg</x:v>
      </x:c>
      <x:c r="F248" s="10" t="str">
        <x:v>PENITPRE-CSDTCARANDIRU</x:v>
      </x:c>
      <x:c r="G248" s="10" t="str">
        <x:v>ICO</x:v>
      </x:c>
      <x:c r="H248" s="10" t="str">
        <x:v>FOT</x:v>
      </x:c>
      <x:c r="I248" s="10" t="str">
        <x:v>DGZ</x:v>
      </x:c>
      <x:c r="J248" s="10" t="str">
        <x:v>MT0</x:v>
      </x:c>
    </x:row>
    <x:row r="249" ht="24" hidden="0" customHeight="1">
      <x:c r="A249" s="10" t="str">
        <x:v>BR-SPAPESP_DASP-PENITPRE-CSDTCARANDIRU.xlsx</x:v>
      </x:c>
      <x:c r="B249" s="10" t="str">
        <x:v>Geral</x:v>
      </x:c>
      <x:c r="C249" s="11" t="n">
        <x:v>236</x:v>
      </x:c>
      <x:c r="D249" s="10" t="str">
        <x:v>BR-SPAPESP_DASP-PENITPRE-CSDTCARANDIRU.xlsx:Geral:236</x:v>
      </x:c>
      <x:c r="E249" s="10" t="str">
        <x:v>BRSPAPESP_DASPPENITPRE-CSDTCARANDIRU_ICOFOTDGZMT0_2776-012-011V.jpg</x:v>
      </x:c>
      <x:c r="F249" s="10" t="str">
        <x:v>PENITPRE-CSDTCARANDIRU</x:v>
      </x:c>
      <x:c r="G249" s="10" t="str">
        <x:v>ICO</x:v>
      </x:c>
      <x:c r="H249" s="10" t="str">
        <x:v>FOT</x:v>
      </x:c>
      <x:c r="I249" s="10" t="str">
        <x:v>DGZ</x:v>
      </x:c>
      <x:c r="J249" s="10" t="str">
        <x:v>MT0</x:v>
      </x:c>
    </x:row>
    <x:row r="250" ht="24" hidden="0" customHeight="1">
      <x:c r="A250" s="10" t="str">
        <x:v>BR-SPAPESP_DASP-PENITPRE-CSDTCARANDIRU.xlsx</x:v>
      </x:c>
      <x:c r="B250" s="10" t="str">
        <x:v>Geral</x:v>
      </x:c>
      <x:c r="C250" s="11" t="n">
        <x:v>237</x:v>
      </x:c>
      <x:c r="D250" s="10" t="str">
        <x:v>BR-SPAPESP_DASP-PENITPRE-CSDTCARANDIRU.xlsx:Geral:237</x:v>
      </x:c>
      <x:c r="E250" s="10" t="str">
        <x:v>BRSPAPESP_DASPPENITPRE-CSDTCARANDIRU_ICOFOTDGZMT0_2776-012-012F.jpg</x:v>
      </x:c>
      <x:c r="F250" s="10" t="str">
        <x:v>PENITPRE-CSDTCARANDIRU</x:v>
      </x:c>
      <x:c r="G250" s="10" t="str">
        <x:v>ICO</x:v>
      </x:c>
      <x:c r="H250" s="10" t="str">
        <x:v>FOT</x:v>
      </x:c>
      <x:c r="I250" s="10" t="str">
        <x:v>DGZ</x:v>
      </x:c>
      <x:c r="J250" s="10" t="str">
        <x:v>MT0</x:v>
      </x:c>
    </x:row>
    <x:row r="251" ht="24" hidden="0" customHeight="1">
      <x:c r="A251" s="10" t="str">
        <x:v>BR-SPAPESP_DASP-PENITPRE-CSDTCARANDIRU.xlsx</x:v>
      </x:c>
      <x:c r="B251" s="10" t="str">
        <x:v>Geral</x:v>
      </x:c>
      <x:c r="C251" s="11" t="n">
        <x:v>238</x:v>
      </x:c>
      <x:c r="D251" s="10" t="str">
        <x:v>BR-SPAPESP_DASP-PENITPRE-CSDTCARANDIRU.xlsx:Geral:238</x:v>
      </x:c>
      <x:c r="E251" s="10" t="str">
        <x:v>BRSPAPESP_DASPPENITPRE-CSDTCARANDIRU_ICOFOTDGZMT0_2776-012-012V.jpg</x:v>
      </x:c>
      <x:c r="F251" s="10" t="str">
        <x:v>PENITPRE-CSDTCARANDIRU</x:v>
      </x:c>
      <x:c r="G251" s="10" t="str">
        <x:v>ICO</x:v>
      </x:c>
      <x:c r="H251" s="10" t="str">
        <x:v>FOT</x:v>
      </x:c>
      <x:c r="I251" s="10" t="str">
        <x:v>DGZ</x:v>
      </x:c>
      <x:c r="J251" s="10" t="str">
        <x:v>MT0</x:v>
      </x:c>
    </x:row>
    <x:row r="252" ht="24" hidden="0" customHeight="1">
      <x:c r="A252" s="10" t="str">
        <x:v>BR-SPAPESP_DASP-PENITPRE-CSDTCARANDIRU.xlsx</x:v>
      </x:c>
      <x:c r="B252" s="10" t="str">
        <x:v>Geral</x:v>
      </x:c>
      <x:c r="C252" s="11" t="n">
        <x:v>239</x:v>
      </x:c>
      <x:c r="D252" s="10" t="str">
        <x:v>BR-SPAPESP_DASP-PENITPRE-CSDTCARANDIRU.xlsx:Geral:239</x:v>
      </x:c>
      <x:c r="E252" s="10" t="str">
        <x:v>BRSPAPESP_DASPPENITPRE-CSDTCARANDIRU_ICOFOTDGZMT0_2776-012-013F.jpg</x:v>
      </x:c>
      <x:c r="F252" s="10" t="str">
        <x:v>PENITPRE-CSDTCARANDIRU</x:v>
      </x:c>
      <x:c r="G252" s="10" t="str">
        <x:v>ICO</x:v>
      </x:c>
      <x:c r="H252" s="10" t="str">
        <x:v>FOT</x:v>
      </x:c>
      <x:c r="I252" s="10" t="str">
        <x:v>DGZ</x:v>
      </x:c>
      <x:c r="J252" s="10" t="str">
        <x:v>MT0</x:v>
      </x:c>
    </x:row>
    <x:row r="253" ht="24" hidden="0" customHeight="1">
      <x:c r="A253" s="10" t="str">
        <x:v>BR-SPAPESP_DASP-PENITPRE-CSDTCARANDIRU.xlsx</x:v>
      </x:c>
      <x:c r="B253" s="10" t="str">
        <x:v>Geral</x:v>
      </x:c>
      <x:c r="C253" s="11" t="n">
        <x:v>240</x:v>
      </x:c>
      <x:c r="D253" s="10" t="str">
        <x:v>BR-SPAPESP_DASP-PENITPRE-CSDTCARANDIRU.xlsx:Geral:240</x:v>
      </x:c>
      <x:c r="E253" s="10" t="str">
        <x:v>BRSPAPESP_DASPPENITPRE-CSDTCARANDIRU_ICOFOTDGZMT0_2776-012-013V.jpg</x:v>
      </x:c>
      <x:c r="F253" s="10" t="str">
        <x:v>PENITPRE-CSDTCARANDIRU</x:v>
      </x:c>
      <x:c r="G253" s="10" t="str">
        <x:v>ICO</x:v>
      </x:c>
      <x:c r="H253" s="10" t="str">
        <x:v>FOT</x:v>
      </x:c>
      <x:c r="I253" s="10" t="str">
        <x:v>DGZ</x:v>
      </x:c>
      <x:c r="J253" s="10" t="str">
        <x:v>MT0</x:v>
      </x:c>
    </x:row>
    <x:row r="254" ht="24" hidden="0" customHeight="1">
      <x:c r="A254" s="10" t="str">
        <x:v>BR-SPAPESP_DASP-PENITPRE-CSDTCARANDIRU.xlsx</x:v>
      </x:c>
      <x:c r="B254" s="10" t="str">
        <x:v>Geral</x:v>
      </x:c>
      <x:c r="C254" s="11" t="n">
        <x:v>241</x:v>
      </x:c>
      <x:c r="D254" s="10" t="str">
        <x:v>BR-SPAPESP_DASP-PENITPRE-CSDTCARANDIRU.xlsx:Geral:241</x:v>
      </x:c>
      <x:c r="E254" s="10" t="str">
        <x:v>BRSPAPESP_DASPPENITPRE-CSDTCARANDIRU_ICOFOTDGZMT0_2776-012-014F.jpg</x:v>
      </x:c>
      <x:c r="F254" s="10" t="str">
        <x:v>PENITPRE-CSDTCARANDIRU</x:v>
      </x:c>
      <x:c r="G254" s="10" t="str">
        <x:v>ICO</x:v>
      </x:c>
      <x:c r="H254" s="10" t="str">
        <x:v>FOT</x:v>
      </x:c>
      <x:c r="I254" s="10" t="str">
        <x:v>DGZ</x:v>
      </x:c>
      <x:c r="J254" s="10" t="str">
        <x:v>MT0</x:v>
      </x:c>
    </x:row>
    <x:row r="255" ht="24" hidden="0" customHeight="1">
      <x:c r="A255" s="10" t="str">
        <x:v>BR-SPAPESP_DASP-PENITPRE-CSDTCARANDIRU.xlsx</x:v>
      </x:c>
      <x:c r="B255" s="10" t="str">
        <x:v>Geral</x:v>
      </x:c>
      <x:c r="C255" s="11" t="n">
        <x:v>242</x:v>
      </x:c>
      <x:c r="D255" s="10" t="str">
        <x:v>BR-SPAPESP_DASP-PENITPRE-CSDTCARANDIRU.xlsx:Geral:242</x:v>
      </x:c>
      <x:c r="E255" s="10" t="str">
        <x:v>BRSPAPESP_DASPPENITPRE-CSDTCARANDIRU_ICOFOTDGZMT0_2776-012-014V.jpg</x:v>
      </x:c>
      <x:c r="F255" s="10" t="str">
        <x:v>PENITPRE-CSDTCARANDIRU</x:v>
      </x:c>
      <x:c r="G255" s="10" t="str">
        <x:v>ICO</x:v>
      </x:c>
      <x:c r="H255" s="10" t="str">
        <x:v>FOT</x:v>
      </x:c>
      <x:c r="I255" s="10" t="str">
        <x:v>DGZ</x:v>
      </x:c>
      <x:c r="J255" s="10" t="str">
        <x:v>MT0</x:v>
      </x:c>
    </x:row>
    <x:row r="256" ht="24" hidden="0" customHeight="1">
      <x:c r="A256" s="10" t="str">
        <x:v>BR-SPAPESP_DASP-PENITPRE-CSDTCARANDIRU.xlsx</x:v>
      </x:c>
      <x:c r="B256" s="10" t="str">
        <x:v>Geral</x:v>
      </x:c>
      <x:c r="C256" s="11" t="n">
        <x:v>243</x:v>
      </x:c>
      <x:c r="D256" s="10" t="str">
        <x:v>BR-SPAPESP_DASP-PENITPRE-CSDTCARANDIRU.xlsx:Geral:243</x:v>
      </x:c>
      <x:c r="E256" s="10" t="str">
        <x:v>BRSPAPESP_DASPPENITPRE-CSDTCARANDIRU_ICOFOTDGZMT0_2776-012-015F.jpg</x:v>
      </x:c>
      <x:c r="F256" s="10" t="str">
        <x:v>PENITPRE-CSDTCARANDIRU</x:v>
      </x:c>
      <x:c r="G256" s="10" t="str">
        <x:v>ICO</x:v>
      </x:c>
      <x:c r="H256" s="10" t="str">
        <x:v>FOT</x:v>
      </x:c>
      <x:c r="I256" s="10" t="str">
        <x:v>DGZ</x:v>
      </x:c>
      <x:c r="J256" s="10" t="str">
        <x:v>MT0</x:v>
      </x:c>
    </x:row>
    <x:row r="257" ht="24" hidden="0" customHeight="1">
      <x:c r="A257" s="10" t="str">
        <x:v>BR-SPAPESP_DASP-PENITPRE-CSDTCARANDIRU.xlsx</x:v>
      </x:c>
      <x:c r="B257" s="10" t="str">
        <x:v>Geral</x:v>
      </x:c>
      <x:c r="C257" s="11" t="n">
        <x:v>244</x:v>
      </x:c>
      <x:c r="D257" s="10" t="str">
        <x:v>BR-SPAPESP_DASP-PENITPRE-CSDTCARANDIRU.xlsx:Geral:244</x:v>
      </x:c>
      <x:c r="E257" s="10" t="str">
        <x:v>BRSPAPESP_DASPPENITPRE-CSDTCARANDIRU_ICOFOTDGZMT0_2776-012-015V.jpg</x:v>
      </x:c>
      <x:c r="F257" s="10" t="str">
        <x:v>PENITPRE-CSDTCARANDIRU</x:v>
      </x:c>
      <x:c r="G257" s="10" t="str">
        <x:v>ICO</x:v>
      </x:c>
      <x:c r="H257" s="10" t="str">
        <x:v>FOT</x:v>
      </x:c>
      <x:c r="I257" s="10" t="str">
        <x:v>DGZ</x:v>
      </x:c>
      <x:c r="J257" s="10" t="str">
        <x:v>MT0</x:v>
      </x:c>
    </x:row>
    <x:row r="258" ht="24" hidden="0" customHeight="1">
      <x:c r="A258" s="10" t="str">
        <x:v>BR-SPAPESP_DASP-PENITPRE-CSDTCARANDIRU.xlsx</x:v>
      </x:c>
      <x:c r="B258" s="10" t="str">
        <x:v>Geral</x:v>
      </x:c>
      <x:c r="C258" s="11" t="n">
        <x:v>245</x:v>
      </x:c>
      <x:c r="D258" s="10" t="str">
        <x:v>BR-SPAPESP_DASP-PENITPRE-CSDTCARANDIRU.xlsx:Geral:245</x:v>
      </x:c>
      <x:c r="E258" s="10" t="str">
        <x:v>BRSPAPESP_DASPPENITPRE-CSDTCARANDIRU_ICOFOTDGZMT0_2776-012-016F.jpg</x:v>
      </x:c>
      <x:c r="F258" s="10" t="str">
        <x:v>PENITPRE-CSDTCARANDIRU</x:v>
      </x:c>
      <x:c r="G258" s="10" t="str">
        <x:v>ICO</x:v>
      </x:c>
      <x:c r="H258" s="10" t="str">
        <x:v>FOT</x:v>
      </x:c>
      <x:c r="I258" s="10" t="str">
        <x:v>DGZ</x:v>
      </x:c>
      <x:c r="J258" s="10" t="str">
        <x:v>MT0</x:v>
      </x:c>
    </x:row>
    <x:row r="259" ht="24" hidden="0" customHeight="1">
      <x:c r="A259" s="10" t="str">
        <x:v>BR-SPAPESP_DASP-PENITPRE-CSDTCARANDIRU.xlsx</x:v>
      </x:c>
      <x:c r="B259" s="10" t="str">
        <x:v>Geral</x:v>
      </x:c>
      <x:c r="C259" s="11" t="n">
        <x:v>246</x:v>
      </x:c>
      <x:c r="D259" s="10" t="str">
        <x:v>BR-SPAPESP_DASP-PENITPRE-CSDTCARANDIRU.xlsx:Geral:246</x:v>
      </x:c>
      <x:c r="E259" s="10" t="str">
        <x:v>BRSPAPESP_DASPPENITPRE-CSDTCARANDIRU_ICOFOTDGZMT0_2776-012-016V.jpg</x:v>
      </x:c>
      <x:c r="F259" s="10" t="str">
        <x:v>PENITPRE-CSDTCARANDIRU</x:v>
      </x:c>
      <x:c r="G259" s="10" t="str">
        <x:v>ICO</x:v>
      </x:c>
      <x:c r="H259" s="10" t="str">
        <x:v>FOT</x:v>
      </x:c>
      <x:c r="I259" s="10" t="str">
        <x:v>DGZ</x:v>
      </x:c>
      <x:c r="J259" s="10" t="str">
        <x:v>MT0</x:v>
      </x:c>
    </x:row>
    <x:row r="260" ht="24" hidden="0" customHeight="1">
      <x:c r="A260" s="10" t="str">
        <x:v>BR-SPAPESP_DASP-PENITPRE-CSDTCARANDIRU.xlsx</x:v>
      </x:c>
      <x:c r="B260" s="10" t="str">
        <x:v>Geral</x:v>
      </x:c>
      <x:c r="C260" s="11" t="n">
        <x:v>247</x:v>
      </x:c>
      <x:c r="D260" s="10" t="str">
        <x:v>BR-SPAPESP_DASP-PENITPRE-CSDTCARANDIRU.xlsx:Geral:247</x:v>
      </x:c>
      <x:c r="E260" s="10" t="str">
        <x:v>BRSPAPESP_DASPPENITPRE-CSDTCARANDIRU_ICOFOTDGZMT0_2776-012-017F.jpg</x:v>
      </x:c>
      <x:c r="F260" s="10" t="str">
        <x:v>PENITPRE-CSDTCARANDIRU</x:v>
      </x:c>
      <x:c r="G260" s="10" t="str">
        <x:v>ICO</x:v>
      </x:c>
      <x:c r="H260" s="10" t="str">
        <x:v>FOT</x:v>
      </x:c>
      <x:c r="I260" s="10" t="str">
        <x:v>DGZ</x:v>
      </x:c>
      <x:c r="J260" s="10" t="str">
        <x:v>MT0</x:v>
      </x:c>
    </x:row>
    <x:row r="261" ht="24" hidden="0" customHeight="1">
      <x:c r="A261" s="10" t="str">
        <x:v>BR-SPAPESP_DASP-PENITPRE-CSDTCARANDIRU.xlsx</x:v>
      </x:c>
      <x:c r="B261" s="10" t="str">
        <x:v>Geral</x:v>
      </x:c>
      <x:c r="C261" s="11" t="n">
        <x:v>248</x:v>
      </x:c>
      <x:c r="D261" s="10" t="str">
        <x:v>BR-SPAPESP_DASP-PENITPRE-CSDTCARANDIRU.xlsx:Geral:248</x:v>
      </x:c>
      <x:c r="E261" s="10" t="str">
        <x:v>BRSPAPESP_DASPPENITPRE-CSDTCARANDIRU_ICOFOTDGZMT0_2776-012-017V.jpg</x:v>
      </x:c>
      <x:c r="F261" s="10" t="str">
        <x:v>PENITPRE-CSDTCARANDIRU</x:v>
      </x:c>
      <x:c r="G261" s="10" t="str">
        <x:v>ICO</x:v>
      </x:c>
      <x:c r="H261" s="10" t="str">
        <x:v>FOT</x:v>
      </x:c>
      <x:c r="I261" s="10" t="str">
        <x:v>DGZ</x:v>
      </x:c>
      <x:c r="J261" s="10" t="str">
        <x:v>MT0</x:v>
      </x:c>
    </x:row>
    <x:row r="262" ht="24" hidden="0" customHeight="1">
      <x:c r="A262" s="10" t="str">
        <x:v>BR-SPAPESP_DASP-PENITPRE-CSDTCARANDIRU.xlsx</x:v>
      </x:c>
      <x:c r="B262" s="10" t="str">
        <x:v>Geral</x:v>
      </x:c>
      <x:c r="C262" s="11" t="n">
        <x:v>249</x:v>
      </x:c>
      <x:c r="D262" s="10" t="str">
        <x:v>BR-SPAPESP_DASP-PENITPRE-CSDTCARANDIRU.xlsx:Geral:249</x:v>
      </x:c>
      <x:c r="E262" s="10" t="str">
        <x:v>BRSPAPESP_DASPPENITPRE-CSDTCARANDIRU_ICOFOTDGZMT0_2776-012-018F.jpg</x:v>
      </x:c>
      <x:c r="F262" s="10" t="str">
        <x:v>PENITPRE-CSDTCARANDIRU</x:v>
      </x:c>
      <x:c r="G262" s="10" t="str">
        <x:v>ICO</x:v>
      </x:c>
      <x:c r="H262" s="10" t="str">
        <x:v>FOT</x:v>
      </x:c>
      <x:c r="I262" s="10" t="str">
        <x:v>DGZ</x:v>
      </x:c>
      <x:c r="J262" s="10" t="str">
        <x:v>MT0</x:v>
      </x:c>
    </x:row>
    <x:row r="263" ht="24" hidden="0" customHeight="1">
      <x:c r="A263" s="10" t="str">
        <x:v>BR-SPAPESP_DASP-PENITPRE-CSDTCARANDIRU.xlsx</x:v>
      </x:c>
      <x:c r="B263" s="10" t="str">
        <x:v>Geral</x:v>
      </x:c>
      <x:c r="C263" s="11" t="n">
        <x:v>250</x:v>
      </x:c>
      <x:c r="D263" s="10" t="str">
        <x:v>BR-SPAPESP_DASP-PENITPRE-CSDTCARANDIRU.xlsx:Geral:250</x:v>
      </x:c>
      <x:c r="E263" s="10" t="str">
        <x:v>BRSPAPESP_DASPPENITPRE-CSDTCARANDIRU_ICOFOTDGZMT0_2776-012-018V.jpg</x:v>
      </x:c>
      <x:c r="F263" s="10" t="str">
        <x:v>PENITPRE-CSDTCARANDIRU</x:v>
      </x:c>
      <x:c r="G263" s="10" t="str">
        <x:v>ICO</x:v>
      </x:c>
      <x:c r="H263" s="10" t="str">
        <x:v>FOT</x:v>
      </x:c>
      <x:c r="I263" s="10" t="str">
        <x:v>DGZ</x:v>
      </x:c>
      <x:c r="J263" s="10" t="str">
        <x:v>MT0</x:v>
      </x:c>
    </x:row>
    <x:row r="264" ht="24" hidden="0" customHeight="1">
      <x:c r="A264" s="10" t="str">
        <x:v>BR-SPAPESP_DASP-PENITPRE-CSDTCARANDIRU.xlsx</x:v>
      </x:c>
      <x:c r="B264" s="10" t="str">
        <x:v>Geral</x:v>
      </x:c>
      <x:c r="C264" s="11" t="n">
        <x:v>251</x:v>
      </x:c>
      <x:c r="D264" s="10" t="str">
        <x:v>BR-SPAPESP_DASP-PENITPRE-CSDTCARANDIRU.xlsx:Geral:251</x:v>
      </x:c>
      <x:c r="E264" s="10" t="str">
        <x:v>BRSPAPESP_DASPPENITPRE-CSDTCARANDIRU_ICOFOTDGZMT0_2776-012-019F.jpg</x:v>
      </x:c>
      <x:c r="F264" s="10" t="str">
        <x:v>PENITPRE-CSDTCARANDIRU</x:v>
      </x:c>
      <x:c r="G264" s="10" t="str">
        <x:v>ICO</x:v>
      </x:c>
      <x:c r="H264" s="10" t="str">
        <x:v>FOT</x:v>
      </x:c>
      <x:c r="I264" s="10" t="str">
        <x:v>DGZ</x:v>
      </x:c>
      <x:c r="J264" s="10" t="str">
        <x:v>MT0</x:v>
      </x:c>
    </x:row>
    <x:row r="265" ht="24" hidden="0" customHeight="1">
      <x:c r="A265" s="10" t="str">
        <x:v>BR-SPAPESP_DASP-PENITPRE-CSDTCARANDIRU.xlsx</x:v>
      </x:c>
      <x:c r="B265" s="10" t="str">
        <x:v>Geral</x:v>
      </x:c>
      <x:c r="C265" s="11" t="n">
        <x:v>252</x:v>
      </x:c>
      <x:c r="D265" s="10" t="str">
        <x:v>BR-SPAPESP_DASP-PENITPRE-CSDTCARANDIRU.xlsx:Geral:252</x:v>
      </x:c>
      <x:c r="E265" s="10" t="str">
        <x:v>BRSPAPESP_DASPPENITPRE-CSDTCARANDIRU_ICOFOTDGZMT0_2776-012-019V.jpg</x:v>
      </x:c>
      <x:c r="F265" s="10" t="str">
        <x:v>PENITPRE-CSDTCARANDIRU</x:v>
      </x:c>
      <x:c r="G265" s="10" t="str">
        <x:v>ICO</x:v>
      </x:c>
      <x:c r="H265" s="10" t="str">
        <x:v>FOT</x:v>
      </x:c>
      <x:c r="I265" s="10" t="str">
        <x:v>DGZ</x:v>
      </x:c>
      <x:c r="J265" s="10" t="str">
        <x:v>MT0</x:v>
      </x:c>
    </x:row>
    <x:row r="266" ht="24" hidden="0" customHeight="1">
      <x:c r="A266" s="10" t="str">
        <x:v>BR-SPAPESP_DASP-PENITPRE-CSDTCARANDIRU.xlsx</x:v>
      </x:c>
      <x:c r="B266" s="10" t="str">
        <x:v>Geral</x:v>
      </x:c>
      <x:c r="C266" s="11" t="n">
        <x:v>253</x:v>
      </x:c>
      <x:c r="D266" s="10" t="str">
        <x:v>BR-SPAPESP_DASP-PENITPRE-CSDTCARANDIRU.xlsx:Geral:253</x:v>
      </x:c>
      <x:c r="E266" s="10" t="str">
        <x:v>BRSPAPESP_DASPPENITPRE-CSDTCARANDIRU_ICOFOTDGZMT0_2776-012-020F.jpg</x:v>
      </x:c>
      <x:c r="F266" s="10" t="str">
        <x:v>PENITPRE-CSDTCARANDIRU</x:v>
      </x:c>
      <x:c r="G266" s="10" t="str">
        <x:v>ICO</x:v>
      </x:c>
      <x:c r="H266" s="10" t="str">
        <x:v>FOT</x:v>
      </x:c>
      <x:c r="I266" s="10" t="str">
        <x:v>DGZ</x:v>
      </x:c>
      <x:c r="J266" s="10" t="str">
        <x:v>MT0</x:v>
      </x:c>
    </x:row>
    <x:row r="267" ht="24" hidden="0" customHeight="1">
      <x:c r="A267" s="10" t="str">
        <x:v>BR-SPAPESP_DASP-PENITPRE-CSDTCARANDIRU.xlsx</x:v>
      </x:c>
      <x:c r="B267" s="10" t="str">
        <x:v>Geral</x:v>
      </x:c>
      <x:c r="C267" s="11" t="n">
        <x:v>254</x:v>
      </x:c>
      <x:c r="D267" s="10" t="str">
        <x:v>BR-SPAPESP_DASP-PENITPRE-CSDTCARANDIRU.xlsx:Geral:254</x:v>
      </x:c>
      <x:c r="E267" s="10" t="str">
        <x:v>BRSPAPESP_DASPPENITPRE-CSDTCARANDIRU_ICOFOTDGZMT0_2776-012-020V.jpg</x:v>
      </x:c>
      <x:c r="F267" s="10" t="str">
        <x:v>PENITPRE-CSDTCARANDIRU</x:v>
      </x:c>
      <x:c r="G267" s="10" t="str">
        <x:v>ICO</x:v>
      </x:c>
      <x:c r="H267" s="10" t="str">
        <x:v>FOT</x:v>
      </x:c>
      <x:c r="I267" s="10" t="str">
        <x:v>DGZ</x:v>
      </x:c>
      <x:c r="J267" s="10" t="str">
        <x:v>MT0</x:v>
      </x:c>
    </x:row>
    <x:row r="268" ht="24" hidden="0" customHeight="1">
      <x:c r="A268" s="10" t="str">
        <x:v>BR-SPAPESP_DASP-PENITPRE-CSDTCARANDIRU.xlsx</x:v>
      </x:c>
      <x:c r="B268" s="10" t="str">
        <x:v>Geral</x:v>
      </x:c>
      <x:c r="C268" s="11" t="n">
        <x:v>255</x:v>
      </x:c>
      <x:c r="D268" s="10" t="str">
        <x:v>BR-SPAPESP_DASP-PENITPRE-CSDTCARANDIRU.xlsx:Geral:255</x:v>
      </x:c>
      <x:c r="E268" s="10" t="str">
        <x:v>BRSPAPESP_DASPPENITPRE-CSDTCARANDIRU_ICOFOTDGZMT0_2776-012-021F.jpg</x:v>
      </x:c>
      <x:c r="F268" s="10" t="str">
        <x:v>PENITPRE-CSDTCARANDIRU</x:v>
      </x:c>
      <x:c r="G268" s="10" t="str">
        <x:v>ICO</x:v>
      </x:c>
      <x:c r="H268" s="10" t="str">
        <x:v>FOT</x:v>
      </x:c>
      <x:c r="I268" s="10" t="str">
        <x:v>DGZ</x:v>
      </x:c>
      <x:c r="J268" s="10" t="str">
        <x:v>MT0</x:v>
      </x:c>
    </x:row>
    <x:row r="269" ht="24" hidden="0" customHeight="1">
      <x:c r="A269" s="10" t="str">
        <x:v>BR-SPAPESP_DASP-PENITPRE-CSDTCARANDIRU.xlsx</x:v>
      </x:c>
      <x:c r="B269" s="10" t="str">
        <x:v>Geral</x:v>
      </x:c>
      <x:c r="C269" s="11" t="n">
        <x:v>256</x:v>
      </x:c>
      <x:c r="D269" s="10" t="str">
        <x:v>BR-SPAPESP_DASP-PENITPRE-CSDTCARANDIRU.xlsx:Geral:256</x:v>
      </x:c>
      <x:c r="E269" s="10" t="str">
        <x:v>BRSPAPESP_DASPPENITPRE-CSDTCARANDIRU_ICOFOTDGZMT0_2776-012-021V.jpg</x:v>
      </x:c>
      <x:c r="F269" s="10" t="str">
        <x:v>PENITPRE-CSDTCARANDIRU</x:v>
      </x:c>
      <x:c r="G269" s="10" t="str">
        <x:v>ICO</x:v>
      </x:c>
      <x:c r="H269" s="10" t="str">
        <x:v>FOT</x:v>
      </x:c>
      <x:c r="I269" s="10" t="str">
        <x:v>DGZ</x:v>
      </x:c>
      <x:c r="J269" s="10" t="str">
        <x:v>MT0</x:v>
      </x:c>
    </x:row>
    <x:row r="270" ht="24" hidden="0" customHeight="1">
      <x:c r="A270" s="10" t="str">
        <x:v>BR-SPAPESP_DASP-PENITPRE-CSDTCARANDIRU.xlsx</x:v>
      </x:c>
      <x:c r="B270" s="10" t="str">
        <x:v>Geral</x:v>
      </x:c>
      <x:c r="C270" s="11" t="n">
        <x:v>257</x:v>
      </x:c>
      <x:c r="D270" s="10" t="str">
        <x:v>BR-SPAPESP_DASP-PENITPRE-CSDTCARANDIRU.xlsx:Geral:257</x:v>
      </x:c>
      <x:c r="E270" s="10" t="str">
        <x:v>BRSPAPESP_DASPPENITPRE-CSDTCARANDIRU_ICOFOTDGZMT0_2776-012-022F.jpg</x:v>
      </x:c>
      <x:c r="F270" s="10" t="str">
        <x:v>PENITPRE-CSDTCARANDIRU</x:v>
      </x:c>
      <x:c r="G270" s="10" t="str">
        <x:v>ICO</x:v>
      </x:c>
      <x:c r="H270" s="10" t="str">
        <x:v>FOT</x:v>
      </x:c>
      <x:c r="I270" s="10" t="str">
        <x:v>DGZ</x:v>
      </x:c>
      <x:c r="J270" s="10" t="str">
        <x:v>MT0</x:v>
      </x:c>
    </x:row>
    <x:row r="271" ht="24" hidden="0" customHeight="1">
      <x:c r="A271" s="10" t="str">
        <x:v>BR-SPAPESP_DASP-PENITPRE-CSDTCARANDIRU.xlsx</x:v>
      </x:c>
      <x:c r="B271" s="10" t="str">
        <x:v>Geral</x:v>
      </x:c>
      <x:c r="C271" s="11" t="n">
        <x:v>258</x:v>
      </x:c>
      <x:c r="D271" s="10" t="str">
        <x:v>BR-SPAPESP_DASP-PENITPRE-CSDTCARANDIRU.xlsx:Geral:258</x:v>
      </x:c>
      <x:c r="E271" s="10" t="str">
        <x:v>BRSPAPESP_DASPPENITPRE-CSDTCARANDIRU_ICOFOTDGZMT0_2776-012-022V.jpg</x:v>
      </x:c>
      <x:c r="F271" s="10" t="str">
        <x:v>PENITPRE-CSDTCARANDIRU</x:v>
      </x:c>
      <x:c r="G271" s="10" t="str">
        <x:v>ICO</x:v>
      </x:c>
      <x:c r="H271" s="10" t="str">
        <x:v>FOT</x:v>
      </x:c>
      <x:c r="I271" s="10" t="str">
        <x:v>DGZ</x:v>
      </x:c>
      <x:c r="J271" s="10" t="str">
        <x:v>MT0</x:v>
      </x:c>
    </x:row>
    <x:row r="272" ht="24" hidden="0" customHeight="1">
      <x:c r="A272" s="10" t="str">
        <x:v>BR-SPAPESP_DASP-PENITPRE-CSDTCARANDIRU.xlsx</x:v>
      </x:c>
      <x:c r="B272" s="10" t="str">
        <x:v>Geral</x:v>
      </x:c>
      <x:c r="C272" s="11" t="n">
        <x:v>259</x:v>
      </x:c>
      <x:c r="D272" s="10" t="str">
        <x:v>BR-SPAPESP_DASP-PENITPRE-CSDTCARANDIRU.xlsx:Geral:259</x:v>
      </x:c>
      <x:c r="E272" s="10" t="str">
        <x:v>BRSPAPESP_DASPPENITPRE-CSDTCARANDIRU_ICOFOTDGZMT0_2776-012-023F.jpg</x:v>
      </x:c>
      <x:c r="F272" s="10" t="str">
        <x:v>PENITPRE-CSDTCARANDIRU</x:v>
      </x:c>
      <x:c r="G272" s="10" t="str">
        <x:v>ICO</x:v>
      </x:c>
      <x:c r="H272" s="10" t="str">
        <x:v>FOT</x:v>
      </x:c>
      <x:c r="I272" s="10" t="str">
        <x:v>DGZ</x:v>
      </x:c>
      <x:c r="J272" s="10" t="str">
        <x:v>MT0</x:v>
      </x:c>
    </x:row>
    <x:row r="273" ht="24" hidden="0" customHeight="1">
      <x:c r="A273" s="10" t="str">
        <x:v>BR-SPAPESP_DASP-PENITPRE-CSDTCARANDIRU.xlsx</x:v>
      </x:c>
      <x:c r="B273" s="10" t="str">
        <x:v>Geral</x:v>
      </x:c>
      <x:c r="C273" s="11" t="n">
        <x:v>260</x:v>
      </x:c>
      <x:c r="D273" s="10" t="str">
        <x:v>BR-SPAPESP_DASP-PENITPRE-CSDTCARANDIRU.xlsx:Geral:260</x:v>
      </x:c>
      <x:c r="E273" s="10" t="str">
        <x:v>BRSPAPESP_DASPPENITPRE-CSDTCARANDIRU_ICOFOTDGZMT0_2776-012-023V.jpg</x:v>
      </x:c>
      <x:c r="F273" s="10" t="str">
        <x:v>PENITPRE-CSDTCARANDIRU</x:v>
      </x:c>
      <x:c r="G273" s="10" t="str">
        <x:v>ICO</x:v>
      </x:c>
      <x:c r="H273" s="10" t="str">
        <x:v>FOT</x:v>
      </x:c>
      <x:c r="I273" s="10" t="str">
        <x:v>DGZ</x:v>
      </x:c>
      <x:c r="J273" s="10" t="str">
        <x:v>MT0</x:v>
      </x:c>
    </x:row>
    <x:row r="274" ht="24" hidden="0" customHeight="1">
      <x:c r="A274" s="10" t="str">
        <x:v>BR-SPAPESP_DASP-PENITPRE-CSDTCARANDIRU.xlsx</x:v>
      </x:c>
      <x:c r="B274" s="10" t="str">
        <x:v>Geral</x:v>
      </x:c>
      <x:c r="C274" s="11" t="n">
        <x:v>261</x:v>
      </x:c>
      <x:c r="D274" s="10" t="str">
        <x:v>BR-SPAPESP_DASP-PENITPRE-CSDTCARANDIRU.xlsx:Geral:261</x:v>
      </x:c>
      <x:c r="E274" s="10" t="str">
        <x:v>BRSPAPESP_DASPPENITPRE-CSDTCARANDIRU_ICOFOTDGZMT0_2776-012-024F.jpg</x:v>
      </x:c>
      <x:c r="F274" s="10" t="str">
        <x:v>PENITPRE-CSDTCARANDIRU</x:v>
      </x:c>
      <x:c r="G274" s="10" t="str">
        <x:v>ICO</x:v>
      </x:c>
      <x:c r="H274" s="10" t="str">
        <x:v>FOT</x:v>
      </x:c>
      <x:c r="I274" s="10" t="str">
        <x:v>DGZ</x:v>
      </x:c>
      <x:c r="J274" s="10" t="str">
        <x:v>MT0</x:v>
      </x:c>
    </x:row>
    <x:row r="275" ht="24" hidden="0" customHeight="1">
      <x:c r="A275" s="10" t="str">
        <x:v>BR-SPAPESP_DASP-PENITPRE-CSDTCARANDIRU.xlsx</x:v>
      </x:c>
      <x:c r="B275" s="10" t="str">
        <x:v>Geral</x:v>
      </x:c>
      <x:c r="C275" s="11" t="n">
        <x:v>262</x:v>
      </x:c>
      <x:c r="D275" s="10" t="str">
        <x:v>BR-SPAPESP_DASP-PENITPRE-CSDTCARANDIRU.xlsx:Geral:262</x:v>
      </x:c>
      <x:c r="E275" s="10" t="str">
        <x:v>BRSPAPESP_DASPPENITPRE-CSDTCARANDIRU_ICOFOTDGZMT0_2776-012-024V.jpg</x:v>
      </x:c>
      <x:c r="F275" s="10" t="str">
        <x:v>PENITPRE-CSDTCARANDIRU</x:v>
      </x:c>
      <x:c r="G275" s="10" t="str">
        <x:v>ICO</x:v>
      </x:c>
      <x:c r="H275" s="10" t="str">
        <x:v>FOT</x:v>
      </x:c>
      <x:c r="I275" s="10" t="str">
        <x:v>DGZ</x:v>
      </x:c>
      <x:c r="J275" s="10" t="str">
        <x:v>MT0</x:v>
      </x:c>
    </x:row>
    <x:row r="276" ht="24" hidden="0" customHeight="1">
      <x:c r="A276" s="10" t="str">
        <x:v>BR-SPAPESP_DASP-PENITPRE-CSDTCARANDIRU.xlsx</x:v>
      </x:c>
      <x:c r="B276" s="10" t="str">
        <x:v>Geral</x:v>
      </x:c>
      <x:c r="C276" s="11" t="n">
        <x:v>263</x:v>
      </x:c>
      <x:c r="D276" s="10" t="str">
        <x:v>BR-SPAPESP_DASP-PENITPRE-CSDTCARANDIRU.xlsx:Geral:263</x:v>
      </x:c>
      <x:c r="E276" s="10" t="str">
        <x:v>BRSPAPESP_DASPPENITPRE-CSDTCARANDIRU_ICOFOTDGZMT0_2776-012-025F.jpg</x:v>
      </x:c>
      <x:c r="F276" s="10" t="str">
        <x:v>PENITPRE-CSDTCARANDIRU</x:v>
      </x:c>
      <x:c r="G276" s="10" t="str">
        <x:v>ICO</x:v>
      </x:c>
      <x:c r="H276" s="10" t="str">
        <x:v>FOT</x:v>
      </x:c>
      <x:c r="I276" s="10" t="str">
        <x:v>DGZ</x:v>
      </x:c>
      <x:c r="J276" s="10" t="str">
        <x:v>MT0</x:v>
      </x:c>
    </x:row>
    <x:row r="277" ht="24" hidden="0" customHeight="1">
      <x:c r="A277" s="10" t="str">
        <x:v>BR-SPAPESP_DASP-PENITPRE-CSDTCARANDIRU.xlsx</x:v>
      </x:c>
      <x:c r="B277" s="10" t="str">
        <x:v>Geral</x:v>
      </x:c>
      <x:c r="C277" s="11" t="n">
        <x:v>264</x:v>
      </x:c>
      <x:c r="D277" s="10" t="str">
        <x:v>BR-SPAPESP_DASP-PENITPRE-CSDTCARANDIRU.xlsx:Geral:264</x:v>
      </x:c>
      <x:c r="E277" s="10" t="str">
        <x:v>BRSPAPESP_DASPPENITPRE-CSDTCARANDIRU_ICOFOTDGZMT0_2776-012-025V.jpg</x:v>
      </x:c>
      <x:c r="F277" s="10" t="str">
        <x:v>PENITPRE-CSDTCARANDIRU</x:v>
      </x:c>
      <x:c r="G277" s="10" t="str">
        <x:v>ICO</x:v>
      </x:c>
      <x:c r="H277" s="10" t="str">
        <x:v>FOT</x:v>
      </x:c>
      <x:c r="I277" s="10" t="str">
        <x:v>DGZ</x:v>
      </x:c>
      <x:c r="J277" s="10" t="str">
        <x:v>MT0</x:v>
      </x:c>
    </x:row>
    <x:row r="278" ht="24" hidden="0" customHeight="1">
      <x:c r="A278" s="10" t="str">
        <x:v>BR-SPAPESP_DASP-PENITPRE-CSDTCARANDIRU.xlsx</x:v>
      </x:c>
      <x:c r="B278" s="10" t="str">
        <x:v>Geral</x:v>
      </x:c>
      <x:c r="C278" s="11" t="n">
        <x:v>265</x:v>
      </x:c>
      <x:c r="D278" s="10" t="str">
        <x:v>BR-SPAPESP_DASP-PENITPRE-CSDTCARANDIRU.xlsx:Geral:265</x:v>
      </x:c>
      <x:c r="E278" s="10" t="str">
        <x:v>BRSPAPESP_DASPPENITPRE-CSDTCARANDIRU_ICOFOTDGZMT0_2776-012-026F.jpg</x:v>
      </x:c>
      <x:c r="F278" s="10" t="str">
        <x:v>PENITPRE-CSDTCARANDIRU</x:v>
      </x:c>
      <x:c r="G278" s="10" t="str">
        <x:v>ICO</x:v>
      </x:c>
      <x:c r="H278" s="10" t="str">
        <x:v>FOT</x:v>
      </x:c>
      <x:c r="I278" s="10" t="str">
        <x:v>DGZ</x:v>
      </x:c>
      <x:c r="J278" s="10" t="str">
        <x:v>MT0</x:v>
      </x:c>
    </x:row>
    <x:row r="279" ht="24" hidden="0" customHeight="1">
      <x:c r="A279" s="10" t="str">
        <x:v>BR-SPAPESP_DASP-PENITPRE-CSDTCARANDIRU.xlsx</x:v>
      </x:c>
      <x:c r="B279" s="10" t="str">
        <x:v>Geral</x:v>
      </x:c>
      <x:c r="C279" s="11" t="n">
        <x:v>266</x:v>
      </x:c>
      <x:c r="D279" s="10" t="str">
        <x:v>BR-SPAPESP_DASP-PENITPRE-CSDTCARANDIRU.xlsx:Geral:266</x:v>
      </x:c>
      <x:c r="E279" s="10" t="str">
        <x:v>BRSPAPESP_DASPPENITPRE-CSDTCARANDIRU_ICOFOTDGZMT0_2776-012-026V.jpg</x:v>
      </x:c>
      <x:c r="F279" s="10" t="str">
        <x:v>PENITPRE-CSDTCARANDIRU</x:v>
      </x:c>
      <x:c r="G279" s="10" t="str">
        <x:v>ICO</x:v>
      </x:c>
      <x:c r="H279" s="10" t="str">
        <x:v>FOT</x:v>
      </x:c>
      <x:c r="I279" s="10" t="str">
        <x:v>DGZ</x:v>
      </x:c>
      <x:c r="J279" s="10" t="str">
        <x:v>MT0</x:v>
      </x:c>
    </x:row>
    <x:row r="280" ht="24" hidden="0" customHeight="1">
      <x:c r="A280" s="10" t="str">
        <x:v>BR-SPAPESP_DASP-PENITPRE-CSDTCARANDIRU.xlsx</x:v>
      </x:c>
      <x:c r="B280" s="10" t="str">
        <x:v>Geral</x:v>
      </x:c>
      <x:c r="C280" s="11" t="n">
        <x:v>267</x:v>
      </x:c>
      <x:c r="D280" s="10" t="str">
        <x:v>BR-SPAPESP_DASP-PENITPRE-CSDTCARANDIRU.xlsx:Geral:267</x:v>
      </x:c>
      <x:c r="E280" s="10" t="str">
        <x:v>BRSPAPESP_DASPPENITPRE-CSDTCARANDIRU_ICOFOTDGZMT0_2776-012-027F.jpg</x:v>
      </x:c>
      <x:c r="F280" s="10" t="str">
        <x:v>PENITPRE-CSDTCARANDIRU</x:v>
      </x:c>
      <x:c r="G280" s="10" t="str">
        <x:v>ICO</x:v>
      </x:c>
      <x:c r="H280" s="10" t="str">
        <x:v>FOT</x:v>
      </x:c>
      <x:c r="I280" s="10" t="str">
        <x:v>DGZ</x:v>
      </x:c>
      <x:c r="J280" s="10" t="str">
        <x:v>MT0</x:v>
      </x:c>
    </x:row>
    <x:row r="281" ht="24" hidden="0" customHeight="1">
      <x:c r="A281" s="10" t="str">
        <x:v>BR-SPAPESP_DASP-PENITPRE-CSDTCARANDIRU.xlsx</x:v>
      </x:c>
      <x:c r="B281" s="10" t="str">
        <x:v>Geral</x:v>
      </x:c>
      <x:c r="C281" s="11" t="n">
        <x:v>268</x:v>
      </x:c>
      <x:c r="D281" s="10" t="str">
        <x:v>BR-SPAPESP_DASP-PENITPRE-CSDTCARANDIRU.xlsx:Geral:268</x:v>
      </x:c>
      <x:c r="E281" s="10" t="str">
        <x:v>BRSPAPESP_DASPPENITPRE-CSDTCARANDIRU_ICOFOTDGZMT0_2776-012-027V.jpg</x:v>
      </x:c>
      <x:c r="F281" s="10" t="str">
        <x:v>PENITPRE-CSDTCARANDIRU</x:v>
      </x:c>
      <x:c r="G281" s="10" t="str">
        <x:v>ICO</x:v>
      </x:c>
      <x:c r="H281" s="10" t="str">
        <x:v>FOT</x:v>
      </x:c>
      <x:c r="I281" s="10" t="str">
        <x:v>DGZ</x:v>
      </x:c>
      <x:c r="J281" s="10" t="str">
        <x:v>MT0</x:v>
      </x:c>
    </x:row>
    <x:row r="282" ht="24" hidden="0" customHeight="1">
      <x:c r="A282" s="10" t="str">
        <x:v>BR-SPAPESP_DASP-PENITPRE-CSDTCARANDIRU.xlsx</x:v>
      </x:c>
      <x:c r="B282" s="10" t="str">
        <x:v>Geral</x:v>
      </x:c>
      <x:c r="C282" s="11" t="n">
        <x:v>269</x:v>
      </x:c>
      <x:c r="D282" s="10" t="str">
        <x:v>BR-SPAPESP_DASP-PENITPRE-CSDTCARANDIRU.xlsx:Geral:269</x:v>
      </x:c>
      <x:c r="E282" s="10" t="str">
        <x:v>BRSPAPESP_DASPPENITPRE-CSDTCARANDIRU_ICOFOTDGZMT0_2776-012-028F.jpg</x:v>
      </x:c>
      <x:c r="F282" s="10" t="str">
        <x:v>PENITPRE-CSDTCARANDIRU</x:v>
      </x:c>
      <x:c r="G282" s="10" t="str">
        <x:v>ICO</x:v>
      </x:c>
      <x:c r="H282" s="10" t="str">
        <x:v>FOT</x:v>
      </x:c>
      <x:c r="I282" s="10" t="str">
        <x:v>DGZ</x:v>
      </x:c>
      <x:c r="J282" s="10" t="str">
        <x:v>MT0</x:v>
      </x:c>
    </x:row>
    <x:row r="283" ht="24" hidden="0" customHeight="1">
      <x:c r="A283" s="10" t="str">
        <x:v>BR-SPAPESP_DASP-PENITPRE-CSDTCARANDIRU.xlsx</x:v>
      </x:c>
      <x:c r="B283" s="10" t="str">
        <x:v>Geral</x:v>
      </x:c>
      <x:c r="C283" s="11" t="n">
        <x:v>270</x:v>
      </x:c>
      <x:c r="D283" s="10" t="str">
        <x:v>BR-SPAPESP_DASP-PENITPRE-CSDTCARANDIRU.xlsx:Geral:270</x:v>
      </x:c>
      <x:c r="E283" s="10" t="str">
        <x:v>BRSPAPESP_DASPPENITPRE-CSDTCARANDIRU_ICOFOTDGZMT0_2776-012-028V.jpg</x:v>
      </x:c>
      <x:c r="F283" s="10" t="str">
        <x:v>PENITPRE-CSDTCARANDIRU</x:v>
      </x:c>
      <x:c r="G283" s="10" t="str">
        <x:v>ICO</x:v>
      </x:c>
      <x:c r="H283" s="10" t="str">
        <x:v>FOT</x:v>
      </x:c>
      <x:c r="I283" s="10" t="str">
        <x:v>DGZ</x:v>
      </x:c>
      <x:c r="J283" s="10" t="str">
        <x:v>MT0</x:v>
      </x:c>
    </x:row>
    <x:row r="284" ht="24" hidden="0" customHeight="1">
      <x:c r="A284" s="10" t="str">
        <x:v>BR-SPAPESP_DASP-PENITPRE-CSDTCARANDIRU.xlsx</x:v>
      </x:c>
      <x:c r="B284" s="10" t="str">
        <x:v>Geral</x:v>
      </x:c>
      <x:c r="C284" s="11" t="n">
        <x:v>271</x:v>
      </x:c>
      <x:c r="D284" s="10" t="str">
        <x:v>BR-SPAPESP_DASP-PENITPRE-CSDTCARANDIRU.xlsx:Geral:271</x:v>
      </x:c>
      <x:c r="E284" s="10" t="str">
        <x:v>BRSPAPESP_DASPPENITPRE-CSDTCARANDIRU_ICOFOTDGZMT0_2776-012-029F.jpg</x:v>
      </x:c>
      <x:c r="F284" s="10" t="str">
        <x:v>PENITPRE-CSDTCARANDIRU</x:v>
      </x:c>
      <x:c r="G284" s="10" t="str">
        <x:v>ICO</x:v>
      </x:c>
      <x:c r="H284" s="10" t="str">
        <x:v>FOT</x:v>
      </x:c>
      <x:c r="I284" s="10" t="str">
        <x:v>DGZ</x:v>
      </x:c>
      <x:c r="J284" s="10" t="str">
        <x:v>MT0</x:v>
      </x:c>
    </x:row>
    <x:row r="285" ht="24" hidden="0" customHeight="1">
      <x:c r="A285" s="10" t="str">
        <x:v>BR-SPAPESP_DASP-PENITPRE-CSDTCARANDIRU.xlsx</x:v>
      </x:c>
      <x:c r="B285" s="10" t="str">
        <x:v>Geral</x:v>
      </x:c>
      <x:c r="C285" s="11" t="n">
        <x:v>272</x:v>
      </x:c>
      <x:c r="D285" s="10" t="str">
        <x:v>BR-SPAPESP_DASP-PENITPRE-CSDTCARANDIRU.xlsx:Geral:272</x:v>
      </x:c>
      <x:c r="E285" s="10" t="str">
        <x:v>BRSPAPESP_DASPPENITPRE-CSDTCARANDIRU_ICOFOTDGZMT0_2776-012-029V.jpg</x:v>
      </x:c>
      <x:c r="F285" s="10" t="str">
        <x:v>PENITPRE-CSDTCARANDIRU</x:v>
      </x:c>
      <x:c r="G285" s="10" t="str">
        <x:v>ICO</x:v>
      </x:c>
      <x:c r="H285" s="10" t="str">
        <x:v>FOT</x:v>
      </x:c>
      <x:c r="I285" s="10" t="str">
        <x:v>DGZ</x:v>
      </x:c>
      <x:c r="J285" s="10" t="str">
        <x:v>MT0</x:v>
      </x:c>
    </x:row>
    <x:row r="286" ht="24" hidden="0" customHeight="1">
      <x:c r="A286" s="10" t="str">
        <x:v>BR-SPAPESP_DASP-PENITPRE-CSDTCARANDIRU.xlsx</x:v>
      </x:c>
      <x:c r="B286" s="10" t="str">
        <x:v>Geral</x:v>
      </x:c>
      <x:c r="C286" s="11" t="n">
        <x:v>273</x:v>
      </x:c>
      <x:c r="D286" s="10" t="str">
        <x:v>BR-SPAPESP_DASP-PENITPRE-CSDTCARANDIRU.xlsx:Geral:273</x:v>
      </x:c>
      <x:c r="E286" s="10" t="str">
        <x:v>BRSPAPESP_DASPPENITPRE-CSDTCARANDIRU_ICOFOTDGZMT0_2776-012-030F.jpg</x:v>
      </x:c>
      <x:c r="F286" s="10" t="str">
        <x:v>PENITPRE-CSDTCARANDIRU</x:v>
      </x:c>
      <x:c r="G286" s="10" t="str">
        <x:v>ICO</x:v>
      </x:c>
      <x:c r="H286" s="10" t="str">
        <x:v>FOT</x:v>
      </x:c>
      <x:c r="I286" s="10" t="str">
        <x:v>DGZ</x:v>
      </x:c>
      <x:c r="J286" s="10" t="str">
        <x:v>MT0</x:v>
      </x:c>
    </x:row>
    <x:row r="287" ht="24" hidden="0" customHeight="1">
      <x:c r="A287" s="10" t="str">
        <x:v>BR-SPAPESP_DASP-PENITPRE-CSDTCARANDIRU.xlsx</x:v>
      </x:c>
      <x:c r="B287" s="10" t="str">
        <x:v>Geral</x:v>
      </x:c>
      <x:c r="C287" s="11" t="n">
        <x:v>274</x:v>
      </x:c>
      <x:c r="D287" s="10" t="str">
        <x:v>BR-SPAPESP_DASP-PENITPRE-CSDTCARANDIRU.xlsx:Geral:274</x:v>
      </x:c>
      <x:c r="E287" s="10" t="str">
        <x:v>BRSPAPESP_DASPPENITPRE-CSDTCARANDIRU_ICOFOTDGZMT0_2776-012-030V.jpg</x:v>
      </x:c>
      <x:c r="F287" s="10" t="str">
        <x:v>PENITPRE-CSDTCARANDIRU</x:v>
      </x:c>
      <x:c r="G287" s="10" t="str">
        <x:v>ICO</x:v>
      </x:c>
      <x:c r="H287" s="10" t="str">
        <x:v>FOT</x:v>
      </x:c>
      <x:c r="I287" s="10" t="str">
        <x:v>DGZ</x:v>
      </x:c>
      <x:c r="J287" s="10" t="str">
        <x:v>MT0</x:v>
      </x:c>
    </x:row>
    <x:row r="288" ht="24" hidden="0" customHeight="1">
      <x:c r="A288" s="10" t="str">
        <x:v>BR-SPAPESP_DASP-PENITPRE-CSDTCARANDIRU.xlsx</x:v>
      </x:c>
      <x:c r="B288" s="10" t="str">
        <x:v>Geral</x:v>
      </x:c>
      <x:c r="C288" s="11" t="n">
        <x:v>275</x:v>
      </x:c>
      <x:c r="D288" s="10" t="str">
        <x:v>BR-SPAPESP_DASP-PENITPRE-CSDTCARANDIRU.xlsx:Geral:275</x:v>
      </x:c>
      <x:c r="E288" s="10" t="str">
        <x:v>BRSPAPESP_DASPPENITPRE-CSDTCARANDIRU_ICOFOTDGZMT0_2776-012-031F.jpg</x:v>
      </x:c>
      <x:c r="F288" s="10" t="str">
        <x:v>PENITPRE-CSDTCARANDIRU</x:v>
      </x:c>
      <x:c r="G288" s="10" t="str">
        <x:v>ICO</x:v>
      </x:c>
      <x:c r="H288" s="10" t="str">
        <x:v>FOT</x:v>
      </x:c>
      <x:c r="I288" s="10" t="str">
        <x:v>DGZ</x:v>
      </x:c>
      <x:c r="J288" s="10" t="str">
        <x:v>MT0</x:v>
      </x:c>
    </x:row>
    <x:row r="289" ht="24" hidden="0" customHeight="1">
      <x:c r="A289" s="10" t="str">
        <x:v>BR-SPAPESP_DASP-PENITPRE-CSDTCARANDIRU.xlsx</x:v>
      </x:c>
      <x:c r="B289" s="10" t="str">
        <x:v>Geral</x:v>
      </x:c>
      <x:c r="C289" s="11" t="n">
        <x:v>276</x:v>
      </x:c>
      <x:c r="D289" s="10" t="str">
        <x:v>BR-SPAPESP_DASP-PENITPRE-CSDTCARANDIRU.xlsx:Geral:276</x:v>
      </x:c>
      <x:c r="E289" s="10" t="str">
        <x:v>BRSPAPESP_DASPPENITPRE-CSDTCARANDIRU_ICOFOTDGZMT0_2776-012-031V.jpg</x:v>
      </x:c>
      <x:c r="F289" s="10" t="str">
        <x:v>PENITPRE-CSDTCARANDIRU</x:v>
      </x:c>
      <x:c r="G289" s="10" t="str">
        <x:v>ICO</x:v>
      </x:c>
      <x:c r="H289" s="10" t="str">
        <x:v>FOT</x:v>
      </x:c>
      <x:c r="I289" s="10" t="str">
        <x:v>DGZ</x:v>
      </x:c>
      <x:c r="J289" s="10" t="str">
        <x:v>MT0</x:v>
      </x:c>
    </x:row>
    <x:row r="290" ht="24" hidden="0" customHeight="1">
      <x:c r="A290" s="10" t="str">
        <x:v>BR-SPAPESP_DASP-PENITPRE-CSDTCARANDIRU.xlsx</x:v>
      </x:c>
      <x:c r="B290" s="10" t="str">
        <x:v>Geral</x:v>
      </x:c>
      <x:c r="C290" s="11" t="n">
        <x:v>277</x:v>
      </x:c>
      <x:c r="D290" s="10" t="str">
        <x:v>BR-SPAPESP_DASP-PENITPRE-CSDTCARANDIRU.xlsx:Geral:277</x:v>
      </x:c>
      <x:c r="E290" s="10" t="str">
        <x:v>BRSPAPESP_DASPPENITPRE-CSDTCARANDIRU_ICOFOTDGZMT0_2776-012-032F.jpg</x:v>
      </x:c>
      <x:c r="F290" s="10" t="str">
        <x:v>PENITPRE-CSDTCARANDIRU</x:v>
      </x:c>
      <x:c r="G290" s="10" t="str">
        <x:v>ICO</x:v>
      </x:c>
      <x:c r="H290" s="10" t="str">
        <x:v>FOT</x:v>
      </x:c>
      <x:c r="I290" s="10" t="str">
        <x:v>DGZ</x:v>
      </x:c>
      <x:c r="J290" s="10" t="str">
        <x:v>MT0</x:v>
      </x:c>
    </x:row>
    <x:row r="291" ht="24" hidden="0" customHeight="1">
      <x:c r="A291" s="10" t="str">
        <x:v>BR-SPAPESP_DASP-PENITPRE-CSDTCARANDIRU.xlsx</x:v>
      </x:c>
      <x:c r="B291" s="10" t="str">
        <x:v>Geral</x:v>
      </x:c>
      <x:c r="C291" s="11" t="n">
        <x:v>278</x:v>
      </x:c>
      <x:c r="D291" s="10" t="str">
        <x:v>BR-SPAPESP_DASP-PENITPRE-CSDTCARANDIRU.xlsx:Geral:278</x:v>
      </x:c>
      <x:c r="E291" s="10" t="str">
        <x:v>BRSPAPESP_DASPPENITPRE-CSDTCARANDIRU_ICOFOTDGZMT0_2776-012-032V.jpg</x:v>
      </x:c>
      <x:c r="F291" s="10" t="str">
        <x:v>PENITPRE-CSDTCARANDIRU</x:v>
      </x:c>
      <x:c r="G291" s="10" t="str">
        <x:v>ICO</x:v>
      </x:c>
      <x:c r="H291" s="10" t="str">
        <x:v>FOT</x:v>
      </x:c>
      <x:c r="I291" s="10" t="str">
        <x:v>DGZ</x:v>
      </x:c>
      <x:c r="J291" s="10" t="str">
        <x:v>MT0</x:v>
      </x:c>
    </x:row>
    <x:row r="292" ht="24" hidden="0" customHeight="1">
      <x:c r="A292" s="10" t="str">
        <x:v>BR-SPAPESP_DASP-PENITPRE-CSDTCARANDIRU.xlsx</x:v>
      </x:c>
      <x:c r="B292" s="10" t="str">
        <x:v>Geral</x:v>
      </x:c>
      <x:c r="C292" s="11" t="n">
        <x:v>279</x:v>
      </x:c>
      <x:c r="D292" s="10" t="str">
        <x:v>BR-SPAPESP_DASP-PENITPRE-CSDTCARANDIRU.xlsx:Geral:279</x:v>
      </x:c>
      <x:c r="E292" s="10" t="str">
        <x:v>BRSPAPESP_DASPPENITPRE-CSDTCARANDIRU_ICOFOTDGZMT0_2776-012-033F.jpg</x:v>
      </x:c>
      <x:c r="F292" s="10" t="str">
        <x:v>PENITPRE-CSDTCARANDIRU</x:v>
      </x:c>
      <x:c r="G292" s="10" t="str">
        <x:v>ICO</x:v>
      </x:c>
      <x:c r="H292" s="10" t="str">
        <x:v>FOT</x:v>
      </x:c>
      <x:c r="I292" s="10" t="str">
        <x:v>DGZ</x:v>
      </x:c>
      <x:c r="J292" s="10" t="str">
        <x:v>MT0</x:v>
      </x:c>
    </x:row>
    <x:row r="293" ht="24" hidden="0" customHeight="1">
      <x:c r="A293" s="10" t="str">
        <x:v>BR-SPAPESP_DASP-PENITPRE-CSDTCARANDIRU.xlsx</x:v>
      </x:c>
      <x:c r="B293" s="10" t="str">
        <x:v>Geral</x:v>
      </x:c>
      <x:c r="C293" s="11" t="n">
        <x:v>280</x:v>
      </x:c>
      <x:c r="D293" s="10" t="str">
        <x:v>BR-SPAPESP_DASP-PENITPRE-CSDTCARANDIRU.xlsx:Geral:280</x:v>
      </x:c>
      <x:c r="E293" s="10" t="str">
        <x:v>BRSPAPESP_DASPPENITPRE-CSDTCARANDIRU_ICOFOTDGZMT0_2776-012-033V.jpg</x:v>
      </x:c>
      <x:c r="F293" s="10" t="str">
        <x:v>PENITPRE-CSDTCARANDIRU</x:v>
      </x:c>
      <x:c r="G293" s="10" t="str">
        <x:v>ICO</x:v>
      </x:c>
      <x:c r="H293" s="10" t="str">
        <x:v>FOT</x:v>
      </x:c>
      <x:c r="I293" s="10" t="str">
        <x:v>DGZ</x:v>
      </x:c>
      <x:c r="J293" s="10" t="str">
        <x:v>MT0</x:v>
      </x:c>
    </x:row>
    <x:row r="294" ht="24" hidden="0" customHeight="1">
      <x:c r="A294" s="10" t="str">
        <x:v>BR-SPAPESP_DASP-PENITPRE-CSDTCARANDIRU.xlsx</x:v>
      </x:c>
      <x:c r="B294" s="10" t="str">
        <x:v>Geral</x:v>
      </x:c>
      <x:c r="C294" s="11" t="n">
        <x:v>281</x:v>
      </x:c>
      <x:c r="D294" s="10" t="str">
        <x:v>BR-SPAPESP_DASP-PENITPRE-CSDTCARANDIRU.xlsx:Geral:281</x:v>
      </x:c>
      <x:c r="E294" s="10" t="str">
        <x:v>BRSPAPESP_DASPPENITPRE-CSDTCARANDIRU_ICOFOTDGZMT0_2776-012-034F.jpg</x:v>
      </x:c>
      <x:c r="F294" s="10" t="str">
        <x:v>PENITPRE-CSDTCARANDIRU</x:v>
      </x:c>
      <x:c r="G294" s="10" t="str">
        <x:v>ICO</x:v>
      </x:c>
      <x:c r="H294" s="10" t="str">
        <x:v>FOT</x:v>
      </x:c>
      <x:c r="I294" s="10" t="str">
        <x:v>DGZ</x:v>
      </x:c>
      <x:c r="J294" s="10" t="str">
        <x:v>MT0</x:v>
      </x:c>
    </x:row>
    <x:row r="295" ht="24" hidden="0" customHeight="1">
      <x:c r="A295" s="10" t="str">
        <x:v>BR-SPAPESP_DASP-PENITPRE-CSDTCARANDIRU.xlsx</x:v>
      </x:c>
      <x:c r="B295" s="10" t="str">
        <x:v>Geral</x:v>
      </x:c>
      <x:c r="C295" s="11" t="n">
        <x:v>282</x:v>
      </x:c>
      <x:c r="D295" s="10" t="str">
        <x:v>BR-SPAPESP_DASP-PENITPRE-CSDTCARANDIRU.xlsx:Geral:282</x:v>
      </x:c>
      <x:c r="E295" s="10" t="str">
        <x:v>BRSPAPESP_DASPPENITPRE-CSDTCARANDIRU_ICOFOTDGZMT0_2776-012-034V.jpg</x:v>
      </x:c>
      <x:c r="F295" s="10" t="str">
        <x:v>PENITPRE-CSDTCARANDIRU</x:v>
      </x:c>
      <x:c r="G295" s="10" t="str">
        <x:v>ICO</x:v>
      </x:c>
      <x:c r="H295" s="10" t="str">
        <x:v>FOT</x:v>
      </x:c>
      <x:c r="I295" s="10" t="str">
        <x:v>DGZ</x:v>
      </x:c>
      <x:c r="J295" s="10" t="str">
        <x:v>MT0</x:v>
      </x:c>
    </x:row>
    <x:row r="296" ht="24" hidden="0" customHeight="1">
      <x:c r="A296" s="10" t="str">
        <x:v>BR-SPAPESP_DASP-PENITPRE-CSDTCARANDIRU.xlsx</x:v>
      </x:c>
      <x:c r="B296" s="10" t="str">
        <x:v>Geral</x:v>
      </x:c>
      <x:c r="C296" s="11" t="n">
        <x:v>283</x:v>
      </x:c>
      <x:c r="D296" s="10" t="str">
        <x:v>BR-SPAPESP_DASP-PENITPRE-CSDTCARANDIRU.xlsx:Geral:283</x:v>
      </x:c>
      <x:c r="E296" s="10" t="str">
        <x:v>BRSPAPESP_DASPPENITPRE-CSDTCARANDIRU_ICOFOTDGZMT0_2776-012-035F.jpg</x:v>
      </x:c>
      <x:c r="F296" s="10" t="str">
        <x:v>PENITPRE-CSDTCARANDIRU</x:v>
      </x:c>
      <x:c r="G296" s="10" t="str">
        <x:v>ICO</x:v>
      </x:c>
      <x:c r="H296" s="10" t="str">
        <x:v>FOT</x:v>
      </x:c>
      <x:c r="I296" s="10" t="str">
        <x:v>DGZ</x:v>
      </x:c>
      <x:c r="J296" s="10" t="str">
        <x:v>MT0</x:v>
      </x:c>
    </x:row>
    <x:row r="297" ht="24" hidden="0" customHeight="1">
      <x:c r="A297" s="10" t="str">
        <x:v>BR-SPAPESP_DASP-PENITPRE-CSDTCARANDIRU.xlsx</x:v>
      </x:c>
      <x:c r="B297" s="10" t="str">
        <x:v>Geral</x:v>
      </x:c>
      <x:c r="C297" s="11" t="n">
        <x:v>284</x:v>
      </x:c>
      <x:c r="D297" s="10" t="str">
        <x:v>BR-SPAPESP_DASP-PENITPRE-CSDTCARANDIRU.xlsx:Geral:284</x:v>
      </x:c>
      <x:c r="E297" s="10" t="str">
        <x:v>BRSPAPESP_DASPPENITPRE-CSDTCARANDIRU_ICOFOTDGZMT0_2776-012-035V.jpg</x:v>
      </x:c>
      <x:c r="F297" s="10" t="str">
        <x:v>PENITPRE-CSDTCARANDIRU</x:v>
      </x:c>
      <x:c r="G297" s="10" t="str">
        <x:v>ICO</x:v>
      </x:c>
      <x:c r="H297" s="10" t="str">
        <x:v>FOT</x:v>
      </x:c>
      <x:c r="I297" s="10" t="str">
        <x:v>DGZ</x:v>
      </x:c>
      <x:c r="J297" s="10" t="str">
        <x:v>MT0</x:v>
      </x:c>
    </x:row>
    <x:row r="298" ht="24" hidden="0" customHeight="1">
      <x:c r="A298" s="10" t="str">
        <x:v>BR-SPAPESP_DASP-PENITPRE-CSDTCARANDIRU.xlsx</x:v>
      </x:c>
      <x:c r="B298" s="10" t="str">
        <x:v>Geral</x:v>
      </x:c>
      <x:c r="C298" s="11" t="n">
        <x:v>285</x:v>
      </x:c>
      <x:c r="D298" s="10" t="str">
        <x:v>BR-SPAPESP_DASP-PENITPRE-CSDTCARANDIRU.xlsx:Geral:285</x:v>
      </x:c>
      <x:c r="E298" s="10" t="str">
        <x:v>BRSPAPESP_DASPPENITPRE-CSDTCARANDIRU_ICOFOTDGZMT0_2776-012-036F.jpg</x:v>
      </x:c>
      <x:c r="F298" s="10" t="str">
        <x:v>PENITPRE-CSDTCARANDIRU</x:v>
      </x:c>
      <x:c r="G298" s="10" t="str">
        <x:v>ICO</x:v>
      </x:c>
      <x:c r="H298" s="10" t="str">
        <x:v>FOT</x:v>
      </x:c>
      <x:c r="I298" s="10" t="str">
        <x:v>DGZ</x:v>
      </x:c>
      <x:c r="J298" s="10" t="str">
        <x:v>MT0</x:v>
      </x:c>
    </x:row>
    <x:row r="299" ht="24" hidden="0" customHeight="1">
      <x:c r="A299" s="10" t="str">
        <x:v>BR-SPAPESP_DASP-PENITPRE-CSDTCARANDIRU.xlsx</x:v>
      </x:c>
      <x:c r="B299" s="10" t="str">
        <x:v>Geral</x:v>
      </x:c>
      <x:c r="C299" s="11" t="n">
        <x:v>286</x:v>
      </x:c>
      <x:c r="D299" s="10" t="str">
        <x:v>BR-SPAPESP_DASP-PENITPRE-CSDTCARANDIRU.xlsx:Geral:286</x:v>
      </x:c>
      <x:c r="E299" s="10" t="str">
        <x:v>BRSPAPESP_DASPPENITPRE-CSDTCARANDIRU_ICOFOTDGZMT0_2776-012-036V.jpg</x:v>
      </x:c>
      <x:c r="F299" s="10" t="str">
        <x:v>PENITPRE-CSDTCARANDIRU</x:v>
      </x:c>
      <x:c r="G299" s="10" t="str">
        <x:v>ICO</x:v>
      </x:c>
      <x:c r="H299" s="10" t="str">
        <x:v>FOT</x:v>
      </x:c>
      <x:c r="I299" s="10" t="str">
        <x:v>DGZ</x:v>
      </x:c>
      <x:c r="J299" s="10" t="str">
        <x:v>MT0</x:v>
      </x:c>
    </x:row>
    <x:row r="300" ht="24" hidden="0" customHeight="1">
      <x:c r="A300" s="10" t="str">
        <x:v>BR-SPAPESP_DASP-PENITPRE-CSDTCARANDIRU.xlsx</x:v>
      </x:c>
      <x:c r="B300" s="10" t="str">
        <x:v>Geral</x:v>
      </x:c>
      <x:c r="C300" s="11" t="n">
        <x:v>287</x:v>
      </x:c>
      <x:c r="D300" s="10" t="str">
        <x:v>BR-SPAPESP_DASP-PENITPRE-CSDTCARANDIRU.xlsx:Geral:287</x:v>
      </x:c>
      <x:c r="E300" s="10" t="str">
        <x:v>BRSPAPESP_DASPPENITPRE-CSDTCARANDIRU_ICOFOTDGZMT0_2776-012-037F.jpg</x:v>
      </x:c>
      <x:c r="F300" s="10" t="str">
        <x:v>PENITPRE-CSDTCARANDIRU</x:v>
      </x:c>
      <x:c r="G300" s="10" t="str">
        <x:v>ICO</x:v>
      </x:c>
      <x:c r="H300" s="10" t="str">
        <x:v>FOT</x:v>
      </x:c>
      <x:c r="I300" s="10" t="str">
        <x:v>DGZ</x:v>
      </x:c>
      <x:c r="J300" s="10" t="str">
        <x:v>MT0</x:v>
      </x:c>
    </x:row>
    <x:row r="301" ht="24" hidden="0" customHeight="1">
      <x:c r="A301" s="10" t="str">
        <x:v>BR-SPAPESP_DASP-PENITPRE-CSDTCARANDIRU.xlsx</x:v>
      </x:c>
      <x:c r="B301" s="10" t="str">
        <x:v>Geral</x:v>
      </x:c>
      <x:c r="C301" s="11" t="n">
        <x:v>288</x:v>
      </x:c>
      <x:c r="D301" s="10" t="str">
        <x:v>BR-SPAPESP_DASP-PENITPRE-CSDTCARANDIRU.xlsx:Geral:288</x:v>
      </x:c>
      <x:c r="E301" s="10" t="str">
        <x:v>BRSPAPESP_DASPPENITPRE-CSDTCARANDIRU_ICOFOTDGZMT0_2776-012-037V.jpg</x:v>
      </x:c>
      <x:c r="F301" s="10" t="str">
        <x:v>PENITPRE-CSDTCARANDIRU</x:v>
      </x:c>
      <x:c r="G301" s="10" t="str">
        <x:v>ICO</x:v>
      </x:c>
      <x:c r="H301" s="10" t="str">
        <x:v>FOT</x:v>
      </x:c>
      <x:c r="I301" s="10" t="str">
        <x:v>DGZ</x:v>
      </x:c>
      <x:c r="J301" s="10" t="str">
        <x:v>MT0</x:v>
      </x:c>
    </x:row>
    <x:row r="302" ht="24" hidden="0" customHeight="1">
      <x:c r="A302" s="10" t="str">
        <x:v>BR-SPAPESP_DASP-PENITPRE-CSDTCARANDIRU.xlsx</x:v>
      </x:c>
      <x:c r="B302" s="10" t="str">
        <x:v>Geral</x:v>
      </x:c>
      <x:c r="C302" s="11" t="n">
        <x:v>289</x:v>
      </x:c>
      <x:c r="D302" s="10" t="str">
        <x:v>BR-SPAPESP_DASP-PENITPRE-CSDTCARANDIRU.xlsx:Geral:289</x:v>
      </x:c>
      <x:c r="E302" s="10" t="str">
        <x:v>BRSPAPESP_DASPPENITPRE-CSDTCARANDIRU_ICOFOTDGZMT0_2776-012-038F.jpg</x:v>
      </x:c>
      <x:c r="F302" s="10" t="str">
        <x:v>PENITPRE-CSDTCARANDIRU</x:v>
      </x:c>
      <x:c r="G302" s="10" t="str">
        <x:v>ICO</x:v>
      </x:c>
      <x:c r="H302" s="10" t="str">
        <x:v>FOT</x:v>
      </x:c>
      <x:c r="I302" s="10" t="str">
        <x:v>DGZ</x:v>
      </x:c>
      <x:c r="J302" s="10" t="str">
        <x:v>MT0</x:v>
      </x:c>
    </x:row>
    <x:row r="303" ht="24" hidden="0" customHeight="1">
      <x:c r="A303" s="10" t="str">
        <x:v>BR-SPAPESP_DASP-PENITPRE-CSDTCARANDIRU.xlsx</x:v>
      </x:c>
      <x:c r="B303" s="10" t="str">
        <x:v>Geral</x:v>
      </x:c>
      <x:c r="C303" s="11" t="n">
        <x:v>290</x:v>
      </x:c>
      <x:c r="D303" s="10" t="str">
        <x:v>BR-SPAPESP_DASP-PENITPRE-CSDTCARANDIRU.xlsx:Geral:290</x:v>
      </x:c>
      <x:c r="E303" s="10" t="str">
        <x:v>BRSPAPESP_DASPPENITPRE-CSDTCARANDIRU_ICOFOTDGZMT0_2776-012-038V.jpg</x:v>
      </x:c>
      <x:c r="F303" s="10" t="str">
        <x:v>PENITPRE-CSDTCARANDIRU</x:v>
      </x:c>
      <x:c r="G303" s="10" t="str">
        <x:v>ICO</x:v>
      </x:c>
      <x:c r="H303" s="10" t="str">
        <x:v>FOT</x:v>
      </x:c>
      <x:c r="I303" s="10" t="str">
        <x:v>DGZ</x:v>
      </x:c>
      <x:c r="J303" s="10" t="str">
        <x:v>MT0</x:v>
      </x:c>
    </x:row>
    <x:row r="304" ht="24" hidden="0" customHeight="1">
      <x:c r="A304" s="10" t="str">
        <x:v>BR-SPAPESP_DASP-PENITPRE-CSDTCARANDIRU.xlsx</x:v>
      </x:c>
      <x:c r="B304" s="10" t="str">
        <x:v>Geral</x:v>
      </x:c>
      <x:c r="C304" s="11" t="n">
        <x:v>291</x:v>
      </x:c>
      <x:c r="D304" s="10" t="str">
        <x:v>BR-SPAPESP_DASP-PENITPRE-CSDTCARANDIRU.xlsx:Geral:291</x:v>
      </x:c>
      <x:c r="E304" s="10" t="str">
        <x:v>BRSPAPESP_DASPPENITPRE-CSDTCARANDIRU_ICOFOTDGZMT0_2776-012-039F.jpg</x:v>
      </x:c>
      <x:c r="F304" s="10" t="str">
        <x:v>PENITPRE-CSDTCARANDIRU</x:v>
      </x:c>
      <x:c r="G304" s="10" t="str">
        <x:v>ICO</x:v>
      </x:c>
      <x:c r="H304" s="10" t="str">
        <x:v>FOT</x:v>
      </x:c>
      <x:c r="I304" s="10" t="str">
        <x:v>DGZ</x:v>
      </x:c>
      <x:c r="J304" s="10" t="str">
        <x:v>MT0</x:v>
      </x:c>
    </x:row>
    <x:row r="305" ht="24" hidden="0" customHeight="1">
      <x:c r="A305" s="10" t="str">
        <x:v>BR-SPAPESP_DASP-PENITPRE-CSDTCARANDIRU.xlsx</x:v>
      </x:c>
      <x:c r="B305" s="10" t="str">
        <x:v>Geral</x:v>
      </x:c>
      <x:c r="C305" s="11" t="n">
        <x:v>292</x:v>
      </x:c>
      <x:c r="D305" s="10" t="str">
        <x:v>BR-SPAPESP_DASP-PENITPRE-CSDTCARANDIRU.xlsx:Geral:292</x:v>
      </x:c>
      <x:c r="E305" s="10" t="str">
        <x:v>BRSPAPESP_DASPPENITPRE-CSDTCARANDIRU_ICOFOTDGZMT0_2776-012-039V.jpg</x:v>
      </x:c>
      <x:c r="F305" s="10" t="str">
        <x:v>PENITPRE-CSDTCARANDIRU</x:v>
      </x:c>
      <x:c r="G305" s="10" t="str">
        <x:v>ICO</x:v>
      </x:c>
      <x:c r="H305" s="10" t="str">
        <x:v>FOT</x:v>
      </x:c>
      <x:c r="I305" s="10" t="str">
        <x:v>DGZ</x:v>
      </x:c>
      <x:c r="J305" s="10" t="str">
        <x:v>MT0</x:v>
      </x:c>
    </x:row>
    <x:row r="306" ht="24" hidden="0" customHeight="1">
      <x:c r="A306" s="10" t="str">
        <x:v>BR-SPAPESP_DASP-PENITPRE-CSDTCARANDIRU.xlsx</x:v>
      </x:c>
      <x:c r="B306" s="10" t="str">
        <x:v>Geral</x:v>
      </x:c>
      <x:c r="C306" s="11" t="n">
        <x:v>293</x:v>
      </x:c>
      <x:c r="D306" s="10" t="str">
        <x:v>BR-SPAPESP_DASP-PENITPRE-CSDTCARANDIRU.xlsx:Geral:293</x:v>
      </x:c>
      <x:c r="E306" s="10" t="str">
        <x:v>BRSPAPESP_DASPPENITPRE-CSDTCARANDIRU_ICOFOTDGZMT0_2776-012-040F.jpg</x:v>
      </x:c>
      <x:c r="F306" s="10" t="str">
        <x:v>PENITPRE-CSDTCARANDIRU</x:v>
      </x:c>
      <x:c r="G306" s="10" t="str">
        <x:v>ICO</x:v>
      </x:c>
      <x:c r="H306" s="10" t="str">
        <x:v>FOT</x:v>
      </x:c>
      <x:c r="I306" s="10" t="str">
        <x:v>DGZ</x:v>
      </x:c>
      <x:c r="J306" s="10" t="str">
        <x:v>MT0</x:v>
      </x:c>
    </x:row>
    <x:row r="307" ht="24" hidden="0" customHeight="1">
      <x:c r="A307" s="10" t="str">
        <x:v>BR-SPAPESP_DASP-PENITPRE-CSDTCARANDIRU.xlsx</x:v>
      </x:c>
      <x:c r="B307" s="10" t="str">
        <x:v>Geral</x:v>
      </x:c>
      <x:c r="C307" s="11" t="n">
        <x:v>294</x:v>
      </x:c>
      <x:c r="D307" s="10" t="str">
        <x:v>BR-SPAPESP_DASP-PENITPRE-CSDTCARANDIRU.xlsx:Geral:294</x:v>
      </x:c>
      <x:c r="E307" s="10" t="str">
        <x:v>BRSPAPESP_DASPPENITPRE-CSDTCARANDIRU_ICOFOTDGZMT0_2776-012-040V.jpg</x:v>
      </x:c>
      <x:c r="F307" s="10" t="str">
        <x:v>PENITPRE-CSDTCARANDIRU</x:v>
      </x:c>
      <x:c r="G307" s="10" t="str">
        <x:v>ICO</x:v>
      </x:c>
      <x:c r="H307" s="10" t="str">
        <x:v>FOT</x:v>
      </x:c>
      <x:c r="I307" s="10" t="str">
        <x:v>DGZ</x:v>
      </x:c>
      <x:c r="J307" s="10" t="str">
        <x:v>MT0</x:v>
      </x:c>
    </x:row>
    <x:row r="308" ht="24" hidden="0" customHeight="1">
      <x:c r="A308" s="10" t="str">
        <x:v>BR-SPAPESP_DASP-PENITPRE-CSDTCARANDIRU.xlsx</x:v>
      </x:c>
      <x:c r="B308" s="10" t="str">
        <x:v>Geral</x:v>
      </x:c>
      <x:c r="C308" s="11" t="n">
        <x:v>295</x:v>
      </x:c>
      <x:c r="D308" s="10" t="str">
        <x:v>BR-SPAPESP_DASP-PENITPRE-CSDTCARANDIRU.xlsx:Geral:295</x:v>
      </x:c>
      <x:c r="E308" s="10" t="str">
        <x:v>BRSPAPESP_DASPPENITPRE-CSDTCARANDIRU_ICOFOTDGZMT0_2776-012-041F.jpg</x:v>
      </x:c>
      <x:c r="F308" s="10" t="str">
        <x:v>PENITPRE-CSDTCARANDIRU</x:v>
      </x:c>
      <x:c r="G308" s="10" t="str">
        <x:v>ICO</x:v>
      </x:c>
      <x:c r="H308" s="10" t="str">
        <x:v>FOT</x:v>
      </x:c>
      <x:c r="I308" s="10" t="str">
        <x:v>DGZ</x:v>
      </x:c>
      <x:c r="J308" s="10" t="str">
        <x:v>MT0</x:v>
      </x:c>
    </x:row>
    <x:row r="309" ht="24" hidden="0" customHeight="1">
      <x:c r="A309" s="10" t="str">
        <x:v>BR-SPAPESP_DASP-PENITPRE-CSDTCARANDIRU.xlsx</x:v>
      </x:c>
      <x:c r="B309" s="10" t="str">
        <x:v>Geral</x:v>
      </x:c>
      <x:c r="C309" s="11" t="n">
        <x:v>296</x:v>
      </x:c>
      <x:c r="D309" s="10" t="str">
        <x:v>BR-SPAPESP_DASP-PENITPRE-CSDTCARANDIRU.xlsx:Geral:296</x:v>
      </x:c>
      <x:c r="E309" s="10" t="str">
        <x:v>BRSPAPESP_DASPPENITPRE-CSDTCARANDIRU_ICOFOTDGZMT0_2776-012-041V.jpg</x:v>
      </x:c>
      <x:c r="F309" s="10" t="str">
        <x:v>PENITPRE-CSDTCARANDIRU</x:v>
      </x:c>
      <x:c r="G309" s="10" t="str">
        <x:v>ICO</x:v>
      </x:c>
      <x:c r="H309" s="10" t="str">
        <x:v>FOT</x:v>
      </x:c>
      <x:c r="I309" s="10" t="str">
        <x:v>DGZ</x:v>
      </x:c>
      <x:c r="J309" s="10" t="str">
        <x:v>MT0</x:v>
      </x:c>
    </x:row>
    <x:row r="310" ht="24" hidden="0" customHeight="1">
      <x:c r="A310" s="10" t="str">
        <x:v>BR-SPAPESP_DASP-PENITPRE-CSDTCARANDIRU.xlsx</x:v>
      </x:c>
      <x:c r="B310" s="10" t="str">
        <x:v>Geral</x:v>
      </x:c>
      <x:c r="C310" s="11" t="n">
        <x:v>297</x:v>
      </x:c>
      <x:c r="D310" s="10" t="str">
        <x:v>BR-SPAPESP_DASP-PENITPRE-CSDTCARANDIRU.xlsx:Geral:297</x:v>
      </x:c>
      <x:c r="E310" s="10" t="str">
        <x:v>BRSPAPESP_DASPPENITPRE-CSDTCARANDIRU_ICOFOTDGZMT0_2776-012-042F.jpg</x:v>
      </x:c>
      <x:c r="F310" s="10" t="str">
        <x:v>PENITPRE-CSDTCARANDIRU</x:v>
      </x:c>
      <x:c r="G310" s="10" t="str">
        <x:v>ICO</x:v>
      </x:c>
      <x:c r="H310" s="10" t="str">
        <x:v>FOT</x:v>
      </x:c>
      <x:c r="I310" s="10" t="str">
        <x:v>DGZ</x:v>
      </x:c>
      <x:c r="J310" s="10" t="str">
        <x:v>MT0</x:v>
      </x:c>
    </x:row>
    <x:row r="311" ht="24" hidden="0" customHeight="1">
      <x:c r="A311" s="10" t="str">
        <x:v>BR-SPAPESP_DASP-PENITPRE-CSDTCARANDIRU.xlsx</x:v>
      </x:c>
      <x:c r="B311" s="10" t="str">
        <x:v>Geral</x:v>
      </x:c>
      <x:c r="C311" s="11" t="n">
        <x:v>298</x:v>
      </x:c>
      <x:c r="D311" s="10" t="str">
        <x:v>BR-SPAPESP_DASP-PENITPRE-CSDTCARANDIRU.xlsx:Geral:298</x:v>
      </x:c>
      <x:c r="E311" s="10" t="str">
        <x:v>BRSPAPESP_DASPPENITPRE-CSDTCARANDIRU_ICOFOTDGZMT0_2776-012-042V.jpg</x:v>
      </x:c>
      <x:c r="F311" s="10" t="str">
        <x:v>PENITPRE-CSDTCARANDIRU</x:v>
      </x:c>
      <x:c r="G311" s="10" t="str">
        <x:v>ICO</x:v>
      </x:c>
      <x:c r="H311" s="10" t="str">
        <x:v>FOT</x:v>
      </x:c>
      <x:c r="I311" s="10" t="str">
        <x:v>DGZ</x:v>
      </x:c>
      <x:c r="J311" s="10" t="str">
        <x:v>MT0</x:v>
      </x:c>
    </x:row>
    <x:row r="312" ht="24" hidden="0" customHeight="1">
      <x:c r="A312" s="10" t="str">
        <x:v>BR-SPAPESP_DASP-PENITPRE-CSDTCARANDIRU.xlsx</x:v>
      </x:c>
      <x:c r="B312" s="10" t="str">
        <x:v>Geral</x:v>
      </x:c>
      <x:c r="C312" s="11" t="n">
        <x:v>299</x:v>
      </x:c>
      <x:c r="D312" s="10" t="str">
        <x:v>BR-SPAPESP_DASP-PENITPRE-CSDTCARANDIRU.xlsx:Geral:299</x:v>
      </x:c>
      <x:c r="E312" s="10" t="str">
        <x:v>BRSPAPESP_DASPPENITPRE-CSDTCARANDIRU_ICOFOTDGZMT0_2776-012-043F.jpg</x:v>
      </x:c>
      <x:c r="F312" s="10" t="str">
        <x:v>PENITPRE-CSDTCARANDIRU</x:v>
      </x:c>
      <x:c r="G312" s="10" t="str">
        <x:v>ICO</x:v>
      </x:c>
      <x:c r="H312" s="10" t="str">
        <x:v>FOT</x:v>
      </x:c>
      <x:c r="I312" s="10" t="str">
        <x:v>DGZ</x:v>
      </x:c>
      <x:c r="J312" s="10" t="str">
        <x:v>MT0</x:v>
      </x:c>
    </x:row>
    <x:row r="313" ht="24" hidden="0" customHeight="1">
      <x:c r="A313" s="10" t="str">
        <x:v>BR-SPAPESP_DASP-PENITPRE-CSDTCARANDIRU.xlsx</x:v>
      </x:c>
      <x:c r="B313" s="10" t="str">
        <x:v>Geral</x:v>
      </x:c>
      <x:c r="C313" s="11" t="n">
        <x:v>300</x:v>
      </x:c>
      <x:c r="D313" s="10" t="str">
        <x:v>BR-SPAPESP_DASP-PENITPRE-CSDTCARANDIRU.xlsx:Geral:300</x:v>
      </x:c>
      <x:c r="E313" s="10" t="str">
        <x:v>BRSPAPESP_DASPPENITPRE-CSDTCARANDIRU_ICOFOTDGZMT0_2776-012-043V.jpg</x:v>
      </x:c>
      <x:c r="F313" s="10" t="str">
        <x:v>PENITPRE-CSDTCARANDIRU</x:v>
      </x:c>
      <x:c r="G313" s="10" t="str">
        <x:v>ICO</x:v>
      </x:c>
      <x:c r="H313" s="10" t="str">
        <x:v>FOT</x:v>
      </x:c>
      <x:c r="I313" s="10" t="str">
        <x:v>DGZ</x:v>
      </x:c>
      <x:c r="J313" s="10" t="str">
        <x:v>MT0</x:v>
      </x:c>
    </x:row>
    <x:row r="314" ht="24" hidden="0" customHeight="1">
      <x:c r="A314" s="10" t="str">
        <x:v>BR-SPAPESP_DASP-PENITPRE-CSDTCARANDIRU.xlsx</x:v>
      </x:c>
      <x:c r="B314" s="10" t="str">
        <x:v>Geral</x:v>
      </x:c>
      <x:c r="C314" s="11" t="n">
        <x:v>301</x:v>
      </x:c>
      <x:c r="D314" s="10" t="str">
        <x:v>BR-SPAPESP_DASP-PENITPRE-CSDTCARANDIRU.xlsx:Geral:301</x:v>
      </x:c>
      <x:c r="E314" s="10" t="str">
        <x:v>BRSPAPESP_DASPPENITPRE-CSDTCARANDIRU_ICOFOTDGZMT0_2776-012-044F.jpg</x:v>
      </x:c>
      <x:c r="F314" s="10" t="str">
        <x:v>PENITPRE-CSDTCARANDIRU</x:v>
      </x:c>
      <x:c r="G314" s="10" t="str">
        <x:v>ICO</x:v>
      </x:c>
      <x:c r="H314" s="10" t="str">
        <x:v>FOT</x:v>
      </x:c>
      <x:c r="I314" s="10" t="str">
        <x:v>DGZ</x:v>
      </x:c>
      <x:c r="J314" s="10" t="str">
        <x:v>MT0</x:v>
      </x:c>
    </x:row>
    <x:row r="315" ht="24" hidden="0" customHeight="1">
      <x:c r="A315" s="10" t="str">
        <x:v>BR-SPAPESP_DASP-PENITPRE-CSDTCARANDIRU.xlsx</x:v>
      </x:c>
      <x:c r="B315" s="10" t="str">
        <x:v>Geral</x:v>
      </x:c>
      <x:c r="C315" s="11" t="n">
        <x:v>302</x:v>
      </x:c>
      <x:c r="D315" s="10" t="str">
        <x:v>BR-SPAPESP_DASP-PENITPRE-CSDTCARANDIRU.xlsx:Geral:302</x:v>
      </x:c>
      <x:c r="E315" s="10" t="str">
        <x:v>BRSPAPESP_DASPPENITPRE-CSDTCARANDIRU_ICOFOTDGZMT0_2776-012-044V.jpg</x:v>
      </x:c>
      <x:c r="F315" s="10" t="str">
        <x:v>PENITPRE-CSDTCARANDIRU</x:v>
      </x:c>
      <x:c r="G315" s="10" t="str">
        <x:v>ICO</x:v>
      </x:c>
      <x:c r="H315" s="10" t="str">
        <x:v>FOT</x:v>
      </x:c>
      <x:c r="I315" s="10" t="str">
        <x:v>DGZ</x:v>
      </x:c>
      <x:c r="J315" s="10" t="str">
        <x:v>MT0</x:v>
      </x:c>
    </x:row>
    <x:row r="316" ht="24" hidden="0" customHeight="1">
      <x:c r="A316" s="10" t="str">
        <x:v>BR-SPAPESP_DASP-PENITPRE-CSDTCARANDIRU.xlsx</x:v>
      </x:c>
      <x:c r="B316" s="10" t="str">
        <x:v>Geral</x:v>
      </x:c>
      <x:c r="C316" s="11" t="n">
        <x:v>303</x:v>
      </x:c>
      <x:c r="D316" s="10" t="str">
        <x:v>BR-SPAPESP_DASP-PENITPRE-CSDTCARANDIRU.xlsx:Geral:303</x:v>
      </x:c>
      <x:c r="E316" s="10" t="str">
        <x:v>BRSPAPESP_DASPPENITPRE-CSDTCARANDIRU_ICOFOTDGZMT0_2776-012-045F.jpg</x:v>
      </x:c>
      <x:c r="F316" s="10" t="str">
        <x:v>PENITPRE-CSDTCARANDIRU</x:v>
      </x:c>
      <x:c r="G316" s="10" t="str">
        <x:v>ICO</x:v>
      </x:c>
      <x:c r="H316" s="10" t="str">
        <x:v>FOT</x:v>
      </x:c>
      <x:c r="I316" s="10" t="str">
        <x:v>DGZ</x:v>
      </x:c>
      <x:c r="J316" s="10" t="str">
        <x:v>MT0</x:v>
      </x:c>
    </x:row>
    <x:row r="317" ht="24" hidden="0" customHeight="1">
      <x:c r="A317" s="10" t="str">
        <x:v>BR-SPAPESP_DASP-PENITPRE-CSDTCARANDIRU.xlsx</x:v>
      </x:c>
      <x:c r="B317" s="10" t="str">
        <x:v>Geral</x:v>
      </x:c>
      <x:c r="C317" s="11" t="n">
        <x:v>304</x:v>
      </x:c>
      <x:c r="D317" s="10" t="str">
        <x:v>BR-SPAPESP_DASP-PENITPRE-CSDTCARANDIRU.xlsx:Geral:304</x:v>
      </x:c>
      <x:c r="E317" s="10" t="str">
        <x:v>BRSPAPESP_DASPPENITPRE-CSDTCARANDIRU_ICOFOTDGZMT0_2776-012-045V.jpg</x:v>
      </x:c>
      <x:c r="F317" s="10" t="str">
        <x:v>PENITPRE-CSDTCARANDIRU</x:v>
      </x:c>
      <x:c r="G317" s="10" t="str">
        <x:v>ICO</x:v>
      </x:c>
      <x:c r="H317" s="10" t="str">
        <x:v>FOT</x:v>
      </x:c>
      <x:c r="I317" s="10" t="str">
        <x:v>DGZ</x:v>
      </x:c>
      <x:c r="J317" s="10" t="str">
        <x:v>MT0</x:v>
      </x:c>
    </x:row>
    <x:row r="318" ht="24" hidden="0" customHeight="1">
      <x:c r="A318" s="10" t="str">
        <x:v>BR-SPAPESP_DASP-PENITPRE-CSDTCARANDIRU.xlsx</x:v>
      </x:c>
      <x:c r="B318" s="10" t="str">
        <x:v>Geral</x:v>
      </x:c>
      <x:c r="C318" s="11" t="n">
        <x:v>305</x:v>
      </x:c>
      <x:c r="D318" s="10" t="str">
        <x:v>BR-SPAPESP_DASP-PENITPRE-CSDTCARANDIRU.xlsx:Geral:305</x:v>
      </x:c>
      <x:c r="E318" s="10" t="str">
        <x:v>BRSPAPESP_DASPPENITPRE-CSDTCARANDIRU_ICOFOTDGZMT0_2776-012-046F.jpg</x:v>
      </x:c>
      <x:c r="F318" s="10" t="str">
        <x:v>PENITPRE-CSDTCARANDIRU</x:v>
      </x:c>
      <x:c r="G318" s="10" t="str">
        <x:v>ICO</x:v>
      </x:c>
      <x:c r="H318" s="10" t="str">
        <x:v>FOT</x:v>
      </x:c>
      <x:c r="I318" s="10" t="str">
        <x:v>DGZ</x:v>
      </x:c>
      <x:c r="J318" s="10" t="str">
        <x:v>MT0</x:v>
      </x:c>
    </x:row>
    <x:row r="319" ht="24" hidden="0" customHeight="1">
      <x:c r="A319" s="10" t="str">
        <x:v>BR-SPAPESP_DASP-PENITPRE-CSDTCARANDIRU.xlsx</x:v>
      </x:c>
      <x:c r="B319" s="10" t="str">
        <x:v>Geral</x:v>
      </x:c>
      <x:c r="C319" s="11" t="n">
        <x:v>306</x:v>
      </x:c>
      <x:c r="D319" s="10" t="str">
        <x:v>BR-SPAPESP_DASP-PENITPRE-CSDTCARANDIRU.xlsx:Geral:306</x:v>
      </x:c>
      <x:c r="E319" s="10" t="str">
        <x:v>BRSPAPESP_DASPPENITPRE-CSDTCARANDIRU_ICOFOTDGZMT0_2776-012-046V.jpg</x:v>
      </x:c>
      <x:c r="F319" s="10" t="str">
        <x:v>PENITPRE-CSDTCARANDIRU</x:v>
      </x:c>
      <x:c r="G319" s="10" t="str">
        <x:v>ICO</x:v>
      </x:c>
      <x:c r="H319" s="10" t="str">
        <x:v>FOT</x:v>
      </x:c>
      <x:c r="I319" s="10" t="str">
        <x:v>DGZ</x:v>
      </x:c>
      <x:c r="J319" s="10" t="str">
        <x:v>MT0</x:v>
      </x:c>
    </x:row>
    <x:row r="320" ht="24" hidden="0" customHeight="1">
      <x:c r="A320" s="10" t="str">
        <x:v>BR-SPAPESP_DASP-PENITPRE-CSDTCARANDIRU.xlsx</x:v>
      </x:c>
      <x:c r="B320" s="10" t="str">
        <x:v>Geral</x:v>
      </x:c>
      <x:c r="C320" s="11" t="n">
        <x:v>307</x:v>
      </x:c>
      <x:c r="D320" s="10" t="str">
        <x:v>BR-SPAPESP_DASP-PENITPRE-CSDTCARANDIRU.xlsx:Geral:307</x:v>
      </x:c>
      <x:c r="E320" s="10" t="str">
        <x:v>BRSPAPESP_DASPPENITPRE-CSDTCARANDIRU_ICOFOTDGZMT0_3055-003-001F.jpg</x:v>
      </x:c>
      <x:c r="F320" s="10" t="str">
        <x:v>PENITPRE-CSDTCARANDIRU</x:v>
      </x:c>
      <x:c r="G320" s="10" t="str">
        <x:v>ICO</x:v>
      </x:c>
      <x:c r="H320" s="10" t="str">
        <x:v>FOT</x:v>
      </x:c>
      <x:c r="I320" s="10" t="str">
        <x:v>DGZ</x:v>
      </x:c>
      <x:c r="J320" s="10" t="str">
        <x:v>MT0</x:v>
      </x:c>
    </x:row>
    <x:row r="321" ht="24" hidden="0" customHeight="1">
      <x:c r="A321" s="10" t="str">
        <x:v>BR-SPAPESP_DASP-PENITPRE-CSDTCARANDIRU.xlsx</x:v>
      </x:c>
      <x:c r="B321" s="10" t="str">
        <x:v>Geral</x:v>
      </x:c>
      <x:c r="C321" s="11" t="n">
        <x:v>308</x:v>
      </x:c>
      <x:c r="D321" s="10" t="str">
        <x:v>BR-SPAPESP_DASP-PENITPRE-CSDTCARANDIRU.xlsx:Geral:308</x:v>
      </x:c>
      <x:c r="E321" s="10" t="str">
        <x:v>BRSPAPESP_DASPPENITPRE-CSDTCARANDIRU_ICOFOTDGZMT0_3055-003-001V.jpg</x:v>
      </x:c>
      <x:c r="F321" s="10" t="str">
        <x:v>PENITPRE-CSDTCARANDIRU</x:v>
      </x:c>
      <x:c r="G321" s="10" t="str">
        <x:v>ICO</x:v>
      </x:c>
      <x:c r="H321" s="10" t="str">
        <x:v>FOT</x:v>
      </x:c>
      <x:c r="I321" s="10" t="str">
        <x:v>DGZ</x:v>
      </x:c>
      <x:c r="J321" s="10" t="str">
        <x:v>MT0</x:v>
      </x:c>
    </x:row>
    <x:row r="322" ht="24" hidden="0" customHeight="1">
      <x:c r="A322" s="10" t="str">
        <x:v>BR-SPAPESP_DASP-PENITPRE-CSDTCARANDIRU.xlsx</x:v>
      </x:c>
      <x:c r="B322" s="10" t="str">
        <x:v>Geral</x:v>
      </x:c>
      <x:c r="C322" s="11" t="n">
        <x:v>309</x:v>
      </x:c>
      <x:c r="D322" s="10" t="str">
        <x:v>BR-SPAPESP_DASP-PENITPRE-CSDTCARANDIRU.xlsx:Geral:309</x:v>
      </x:c>
      <x:c r="E322" s="10" t="str">
        <x:v>BRSPAPESP_DASPPENITPRE-CSDTCARANDIRU_ICOFOTDGZMT0_3055-003-002F.jpg</x:v>
      </x:c>
      <x:c r="F322" s="10" t="str">
        <x:v>PENITPRE-CSDTCARANDIRU</x:v>
      </x:c>
      <x:c r="G322" s="10" t="str">
        <x:v>ICO</x:v>
      </x:c>
      <x:c r="H322" s="10" t="str">
        <x:v>FOT</x:v>
      </x:c>
      <x:c r="I322" s="10" t="str">
        <x:v>DGZ</x:v>
      </x:c>
      <x:c r="J322" s="10" t="str">
        <x:v>MT0</x:v>
      </x:c>
    </x:row>
    <x:row r="323" ht="24" hidden="0" customHeight="1">
      <x:c r="A323" s="10" t="str">
        <x:v>BR-SPAPESP_DASP-PENITPRE-CSDTCARANDIRU.xlsx</x:v>
      </x:c>
      <x:c r="B323" s="10" t="str">
        <x:v>Geral</x:v>
      </x:c>
      <x:c r="C323" s="11" t="n">
        <x:v>310</x:v>
      </x:c>
      <x:c r="D323" s="10" t="str">
        <x:v>BR-SPAPESP_DASP-PENITPRE-CSDTCARANDIRU.xlsx:Geral:310</x:v>
      </x:c>
      <x:c r="E323" s="10" t="str">
        <x:v>BRSPAPESP_DASPPENITPRE-CSDTCARANDIRU_ICOFOTDGZMT0_3055-003-002V.jpg</x:v>
      </x:c>
      <x:c r="F323" s="10" t="str">
        <x:v>PENITPRE-CSDTCARANDIRU</x:v>
      </x:c>
      <x:c r="G323" s="10" t="str">
        <x:v>ICO</x:v>
      </x:c>
      <x:c r="H323" s="10" t="str">
        <x:v>FOT</x:v>
      </x:c>
      <x:c r="I323" s="10" t="str">
        <x:v>DGZ</x:v>
      </x:c>
      <x:c r="J323" s="10" t="str">
        <x:v>MT0</x:v>
      </x:c>
    </x:row>
    <x:row r="324" ht="24" hidden="0" customHeight="1">
      <x:c r="A324" s="10" t="str">
        <x:v>BR-SPAPESP_DASP-PENITPRE-CSDTCARANDIRU.xlsx</x:v>
      </x:c>
      <x:c r="B324" s="10" t="str">
        <x:v>Geral</x:v>
      </x:c>
      <x:c r="C324" s="11" t="n">
        <x:v>311</x:v>
      </x:c>
      <x:c r="D324" s="10" t="str">
        <x:v>BR-SPAPESP_DASP-PENITPRE-CSDTCARANDIRU.xlsx:Geral:311</x:v>
      </x:c>
      <x:c r="E324" s="10" t="str">
        <x:v>BRSPAPESP_DASPPENITPRE-CSDTCARANDIRU_ICOFOTDGZMT0_3055-003-003F.jpg</x:v>
      </x:c>
      <x:c r="F324" s="10" t="str">
        <x:v>PENITPRE-CSDTCARANDIRU</x:v>
      </x:c>
      <x:c r="G324" s="10" t="str">
        <x:v>ICO</x:v>
      </x:c>
      <x:c r="H324" s="10" t="str">
        <x:v>FOT</x:v>
      </x:c>
      <x:c r="I324" s="10" t="str">
        <x:v>DGZ</x:v>
      </x:c>
      <x:c r="J324" s="10" t="str">
        <x:v>MT0</x:v>
      </x:c>
    </x:row>
    <x:row r="325" ht="24" hidden="0" customHeight="1">
      <x:c r="A325" s="10" t="str">
        <x:v>BR-SPAPESP_DASP-PENITPRE-CSDTCARANDIRU.xlsx</x:v>
      </x:c>
      <x:c r="B325" s="10" t="str">
        <x:v>Geral</x:v>
      </x:c>
      <x:c r="C325" s="11" t="n">
        <x:v>312</x:v>
      </x:c>
      <x:c r="D325" s="10" t="str">
        <x:v>BR-SPAPESP_DASP-PENITPRE-CSDTCARANDIRU.xlsx:Geral:312</x:v>
      </x:c>
      <x:c r="E325" s="10" t="str">
        <x:v>BRSPAPESP_DASPPENITPRE-CSDTCARANDIRU_ICOFOTDGZMT0_3055-003-003V.jpg</x:v>
      </x:c>
      <x:c r="F325" s="10" t="str">
        <x:v>PENITPRE-CSDTCARANDIRU</x:v>
      </x:c>
      <x:c r="G325" s="10" t="str">
        <x:v>ICO</x:v>
      </x:c>
      <x:c r="H325" s="10" t="str">
        <x:v>FOT</x:v>
      </x:c>
      <x:c r="I325" s="10" t="str">
        <x:v>DGZ</x:v>
      </x:c>
      <x:c r="J325" s="10" t="str">
        <x:v>MT0</x:v>
      </x:c>
    </x:row>
    <x:row r="326" ht="24" hidden="0" customHeight="1">
      <x:c r="A326" s="10" t="str">
        <x:v>BR-SPAPESP_DASP-PENITPRE-CSDTCARANDIRU.xlsx</x:v>
      </x:c>
      <x:c r="B326" s="10" t="str">
        <x:v>Geral</x:v>
      </x:c>
      <x:c r="C326" s="11" t="n">
        <x:v>313</x:v>
      </x:c>
      <x:c r="D326" s="10" t="str">
        <x:v>BR-SPAPESP_DASP-PENITPRE-CSDTCARANDIRU.xlsx:Geral:313</x:v>
      </x:c>
      <x:c r="E326" s="10" t="str">
        <x:v>BRSPAPESP_DASPPENITPRE-CSDTCARANDIRU_ICOFOTDGZMT0_3055-003-004F.jpg</x:v>
      </x:c>
      <x:c r="F326" s="10" t="str">
        <x:v>PENITPRE-CSDTCARANDIRU</x:v>
      </x:c>
      <x:c r="G326" s="10" t="str">
        <x:v>ICO</x:v>
      </x:c>
      <x:c r="H326" s="10" t="str">
        <x:v>FOT</x:v>
      </x:c>
      <x:c r="I326" s="10" t="str">
        <x:v>DGZ</x:v>
      </x:c>
      <x:c r="J326" s="10" t="str">
        <x:v>MT0</x:v>
      </x:c>
    </x:row>
    <x:row r="327" ht="24" hidden="0" customHeight="1">
      <x:c r="A327" s="10" t="str">
        <x:v>BR-SPAPESP_DASP-PENITPRE-CSDTCARANDIRU.xlsx</x:v>
      </x:c>
      <x:c r="B327" s="10" t="str">
        <x:v>Geral</x:v>
      </x:c>
      <x:c r="C327" s="11" t="n">
        <x:v>314</x:v>
      </x:c>
      <x:c r="D327" s="10" t="str">
        <x:v>BR-SPAPESP_DASP-PENITPRE-CSDTCARANDIRU.xlsx:Geral:314</x:v>
      </x:c>
      <x:c r="E327" s="10" t="str">
        <x:v>BRSPAPESP_DASPPENITPRE-CSDTCARANDIRU_ICOFOTDGZMT0_3055-003-004V.jpg</x:v>
      </x:c>
      <x:c r="F327" s="10" t="str">
        <x:v>PENITPRE-CSDTCARANDIRU</x:v>
      </x:c>
      <x:c r="G327" s="10" t="str">
        <x:v>ICO</x:v>
      </x:c>
      <x:c r="H327" s="10" t="str">
        <x:v>FOT</x:v>
      </x:c>
      <x:c r="I327" s="10" t="str">
        <x:v>DGZ</x:v>
      </x:c>
      <x:c r="J327" s="10" t="str">
        <x:v>MT0</x:v>
      </x:c>
    </x:row>
    <x:row r="328" ht="24" hidden="0" customHeight="1">
      <x:c r="A328" s="10" t="str">
        <x:v>BR-SPAPESP_DASP-PENITPRE-CSDTCARANDIRU.xlsx</x:v>
      </x:c>
      <x:c r="B328" s="10" t="str">
        <x:v>Geral</x:v>
      </x:c>
      <x:c r="C328" s="11" t="n">
        <x:v>315</x:v>
      </x:c>
      <x:c r="D328" s="10" t="str">
        <x:v>BR-SPAPESP_DASP-PENITPRE-CSDTCARANDIRU.xlsx:Geral:315</x:v>
      </x:c>
      <x:c r="E328" s="10" t="str">
        <x:v>BRSPAPESP_DASPPENITPRE-CSDTCARANDIRU_ICOFOTDGZMT0_3055-003-005F.jpg</x:v>
      </x:c>
      <x:c r="F328" s="10" t="str">
        <x:v>PENITPRE-CSDTCARANDIRU</x:v>
      </x:c>
      <x:c r="G328" s="10" t="str">
        <x:v>ICO</x:v>
      </x:c>
      <x:c r="H328" s="10" t="str">
        <x:v>FOT</x:v>
      </x:c>
      <x:c r="I328" s="10" t="str">
        <x:v>DGZ</x:v>
      </x:c>
      <x:c r="J328" s="10" t="str">
        <x:v>MT0</x:v>
      </x:c>
    </x:row>
    <x:row r="329" ht="24" hidden="0" customHeight="1">
      <x:c r="A329" s="10" t="str">
        <x:v>BR-SPAPESP_DASP-PENITPRE-CSDTCARANDIRU.xlsx</x:v>
      </x:c>
      <x:c r="B329" s="10" t="str">
        <x:v>Geral</x:v>
      </x:c>
      <x:c r="C329" s="11" t="n">
        <x:v>316</x:v>
      </x:c>
      <x:c r="D329" s="10" t="str">
        <x:v>BR-SPAPESP_DASP-PENITPRE-CSDTCARANDIRU.xlsx:Geral:316</x:v>
      </x:c>
      <x:c r="E329" s="10" t="str">
        <x:v>BRSPAPESP_DASPPENITPRE-CSDTCARANDIRU_ICOFOTDGZMT0_3055-003-005V.jpg</x:v>
      </x:c>
      <x:c r="F329" s="10" t="str">
        <x:v>PENITPRE-CSDTCARANDIRU</x:v>
      </x:c>
      <x:c r="G329" s="10" t="str">
        <x:v>ICO</x:v>
      </x:c>
      <x:c r="H329" s="10" t="str">
        <x:v>FOT</x:v>
      </x:c>
      <x:c r="I329" s="10" t="str">
        <x:v>DGZ</x:v>
      </x:c>
      <x:c r="J329" s="10" t="str">
        <x:v>MT0</x:v>
      </x:c>
    </x:row>
    <x:row r="330" ht="24" hidden="0" customHeight="1">
      <x:c r="A330" s="10" t="str">
        <x:v>BR-SPAPESP_DASP-PENITPRE-CSDTCARANDIRU.xlsx</x:v>
      </x:c>
      <x:c r="B330" s="10" t="str">
        <x:v>Geral</x:v>
      </x:c>
      <x:c r="C330" s="11" t="n">
        <x:v>317</x:v>
      </x:c>
      <x:c r="D330" s="10" t="str">
        <x:v>BR-SPAPESP_DASP-PENITPRE-CSDTCARANDIRU.xlsx:Geral:317</x:v>
      </x:c>
      <x:c r="E330" s="10" t="str">
        <x:v>BRSPAPESP_DASPPENITPRE-CSDTCARANDIRU_ICOFOTDGZMT0_3055-003-006F.jpg</x:v>
      </x:c>
      <x:c r="F330" s="10" t="str">
        <x:v>PENITPRE-CSDTCARANDIRU</x:v>
      </x:c>
      <x:c r="G330" s="10" t="str">
        <x:v>ICO</x:v>
      </x:c>
      <x:c r="H330" s="10" t="str">
        <x:v>FOT</x:v>
      </x:c>
      <x:c r="I330" s="10" t="str">
        <x:v>DGZ</x:v>
      </x:c>
      <x:c r="J330" s="10" t="str">
        <x:v>MT0</x:v>
      </x:c>
    </x:row>
    <x:row r="331" ht="24" hidden="0" customHeight="1">
      <x:c r="A331" s="10" t="str">
        <x:v>BR-SPAPESP_DASP-PENITPRE-CSDTCARANDIRU.xlsx</x:v>
      </x:c>
      <x:c r="B331" s="10" t="str">
        <x:v>Geral</x:v>
      </x:c>
      <x:c r="C331" s="11" t="n">
        <x:v>318</x:v>
      </x:c>
      <x:c r="D331" s="10" t="str">
        <x:v>BR-SPAPESP_DASP-PENITPRE-CSDTCARANDIRU.xlsx:Geral:318</x:v>
      </x:c>
      <x:c r="E331" s="10" t="str">
        <x:v>BRSPAPESP_DASPPENITPRE-CSDTCARANDIRU_ICOFOTDGZMT0_3055-003-006V.jpg</x:v>
      </x:c>
      <x:c r="F331" s="10" t="str">
        <x:v>PENITPRE-CSDTCARANDIRU</x:v>
      </x:c>
      <x:c r="G331" s="10" t="str">
        <x:v>ICO</x:v>
      </x:c>
      <x:c r="H331" s="10" t="str">
        <x:v>FOT</x:v>
      </x:c>
      <x:c r="I331" s="10" t="str">
        <x:v>DGZ</x:v>
      </x:c>
      <x:c r="J331" s="10" t="str">
        <x:v>MT0</x:v>
      </x:c>
    </x:row>
    <x:row r="332" ht="24" hidden="0" customHeight="1">
      <x:c r="A332" s="10" t="str">
        <x:v>BR-SPAPESP_DASP-PENITPRE-CSDTCARANDIRU.xlsx</x:v>
      </x:c>
      <x:c r="B332" s="10" t="str">
        <x:v>Geral</x:v>
      </x:c>
      <x:c r="C332" s="11" t="n">
        <x:v>319</x:v>
      </x:c>
      <x:c r="D332" s="10" t="str">
        <x:v>BR-SPAPESP_DASP-PENITPRE-CSDTCARANDIRU.xlsx:Geral:319</x:v>
      </x:c>
      <x:c r="E332" s="10" t="str">
        <x:v>BRSPAPESP_DASPPENITPRE-CSDTCARANDIRU_ICOFOTDGZMT0_3055-003-007F.jpg</x:v>
      </x:c>
      <x:c r="F332" s="10" t="str">
        <x:v>PENITPRE-CSDTCARANDIRU</x:v>
      </x:c>
      <x:c r="G332" s="10" t="str">
        <x:v>ICO</x:v>
      </x:c>
      <x:c r="H332" s="10" t="str">
        <x:v>FOT</x:v>
      </x:c>
      <x:c r="I332" s="10" t="str">
        <x:v>DGZ</x:v>
      </x:c>
      <x:c r="J332" s="10" t="str">
        <x:v>MT0</x:v>
      </x:c>
    </x:row>
    <x:row r="333" ht="24" hidden="0" customHeight="1">
      <x:c r="A333" s="10" t="str">
        <x:v>BR-SPAPESP_DASP-PENITPRE-CSDTCARANDIRU.xlsx</x:v>
      </x:c>
      <x:c r="B333" s="10" t="str">
        <x:v>Geral</x:v>
      </x:c>
      <x:c r="C333" s="11" t="n">
        <x:v>320</x:v>
      </x:c>
      <x:c r="D333" s="10" t="str">
        <x:v>BR-SPAPESP_DASP-PENITPRE-CSDTCARANDIRU.xlsx:Geral:320</x:v>
      </x:c>
      <x:c r="E333" s="10" t="str">
        <x:v>BRSPAPESP_DASPPENITPRE-CSDTCARANDIRU_ICOFOTDGZMT0_3055-003-007V.jpg</x:v>
      </x:c>
      <x:c r="F333" s="10" t="str">
        <x:v>PENITPRE-CSDTCARANDIRU</x:v>
      </x:c>
      <x:c r="G333" s="10" t="str">
        <x:v>ICO</x:v>
      </x:c>
      <x:c r="H333" s="10" t="str">
        <x:v>FOT</x:v>
      </x:c>
      <x:c r="I333" s="10" t="str">
        <x:v>DGZ</x:v>
      </x:c>
      <x:c r="J333" s="10" t="str">
        <x:v>MT0</x:v>
      </x:c>
    </x:row>
    <x:row r="334" ht="24" hidden="0" customHeight="1">
      <x:c r="A334" s="10" t="str">
        <x:v>BR-SPAPESP_DASP-PENITPRE-CSDTCARANDIRU.xlsx</x:v>
      </x:c>
      <x:c r="B334" s="10" t="str">
        <x:v>Geral</x:v>
      </x:c>
      <x:c r="C334" s="11" t="n">
        <x:v>321</x:v>
      </x:c>
      <x:c r="D334" s="10" t="str">
        <x:v>BR-SPAPESP_DASP-PENITPRE-CSDTCARANDIRU.xlsx:Geral:321</x:v>
      </x:c>
      <x:c r="E334" s="10" t="str">
        <x:v>BRSPAPESP_DASPPENITPRE-CSDTCARANDIRU_ICOFOTDGZMT0_3055-003-008F.jpg</x:v>
      </x:c>
      <x:c r="F334" s="10" t="str">
        <x:v>PENITPRE-CSDTCARANDIRU</x:v>
      </x:c>
      <x:c r="G334" s="10" t="str">
        <x:v>ICO</x:v>
      </x:c>
      <x:c r="H334" s="10" t="str">
        <x:v>FOT</x:v>
      </x:c>
      <x:c r="I334" s="10" t="str">
        <x:v>DGZ</x:v>
      </x:c>
      <x:c r="J334" s="10" t="str">
        <x:v>MT0</x:v>
      </x:c>
    </x:row>
    <x:row r="335" ht="24" hidden="0" customHeight="1">
      <x:c r="A335" s="10" t="str">
        <x:v>BR-SPAPESP_DASP-PENITPRE-CSDTCARANDIRU.xlsx</x:v>
      </x:c>
      <x:c r="B335" s="10" t="str">
        <x:v>Geral</x:v>
      </x:c>
      <x:c r="C335" s="11" t="n">
        <x:v>322</x:v>
      </x:c>
      <x:c r="D335" s="10" t="str">
        <x:v>BR-SPAPESP_DASP-PENITPRE-CSDTCARANDIRU.xlsx:Geral:322</x:v>
      </x:c>
      <x:c r="E335" s="10" t="str">
        <x:v>BRSPAPESP_DASPPENITPRE-CSDTCARANDIRU_ICOFOTDGZMT0_3055-003-008V.jpg</x:v>
      </x:c>
      <x:c r="F335" s="10" t="str">
        <x:v>PENITPRE-CSDTCARANDIRU</x:v>
      </x:c>
      <x:c r="G335" s="10" t="str">
        <x:v>ICO</x:v>
      </x:c>
      <x:c r="H335" s="10" t="str">
        <x:v>FOT</x:v>
      </x:c>
      <x:c r="I335" s="10" t="str">
        <x:v>DGZ</x:v>
      </x:c>
      <x:c r="J335" s="10" t="str">
        <x:v>MT0</x:v>
      </x:c>
    </x:row>
    <x:row r="336" ht="24" hidden="0" customHeight="1">
      <x:c r="A336" s="10" t="str">
        <x:v>BR-SPAPESP_DASP-PENITPRE-CSDTCARANDIRU.xlsx</x:v>
      </x:c>
      <x:c r="B336" s="10" t="str">
        <x:v>Geral</x:v>
      </x:c>
      <x:c r="C336" s="11" t="n">
        <x:v>323</x:v>
      </x:c>
      <x:c r="D336" s="10" t="str">
        <x:v>BR-SPAPESP_DASP-PENITPRE-CSDTCARANDIRU.xlsx:Geral:323</x:v>
      </x:c>
      <x:c r="E336" s="10" t="str">
        <x:v>BRSPAPESP_DASPPENITPRE-CSDTCARANDIRU_ICOFOTDGZMT0_3055-003-009F.jpg</x:v>
      </x:c>
      <x:c r="F336" s="10" t="str">
        <x:v>PENITPRE-CSDTCARANDIRU</x:v>
      </x:c>
      <x:c r="G336" s="10" t="str">
        <x:v>ICO</x:v>
      </x:c>
      <x:c r="H336" s="10" t="str">
        <x:v>FOT</x:v>
      </x:c>
      <x:c r="I336" s="10" t="str">
        <x:v>DGZ</x:v>
      </x:c>
      <x:c r="J336" s="10" t="str">
        <x:v>MT0</x:v>
      </x:c>
    </x:row>
    <x:row r="337" ht="24" hidden="0" customHeight="1">
      <x:c r="A337" s="10" t="str">
        <x:v>BR-SPAPESP_DASP-PENITPRE-CSDTCARANDIRU.xlsx</x:v>
      </x:c>
      <x:c r="B337" s="10" t="str">
        <x:v>Geral</x:v>
      </x:c>
      <x:c r="C337" s="11" t="n">
        <x:v>324</x:v>
      </x:c>
      <x:c r="D337" s="10" t="str">
        <x:v>BR-SPAPESP_DASP-PENITPRE-CSDTCARANDIRU.xlsx:Geral:324</x:v>
      </x:c>
      <x:c r="E337" s="10" t="str">
        <x:v>BRSPAPESP_DASPPENITPRE-CSDTCARANDIRU_ICOFOTDGZMT0_3055-003-009V.jpg</x:v>
      </x:c>
      <x:c r="F337" s="10" t="str">
        <x:v>PENITPRE-CSDTCARANDIRU</x:v>
      </x:c>
      <x:c r="G337" s="10" t="str">
        <x:v>ICO</x:v>
      </x:c>
      <x:c r="H337" s="10" t="str">
        <x:v>FOT</x:v>
      </x:c>
      <x:c r="I337" s="10" t="str">
        <x:v>DGZ</x:v>
      </x:c>
      <x:c r="J337" s="10" t="str">
        <x:v>MT0</x:v>
      </x:c>
    </x:row>
    <x:row r="338" ht="24" hidden="0" customHeight="1">
      <x:c r="A338" s="10" t="str">
        <x:v>BR-SPAPESP_DASP-PENITPRE-CSDTCARANDIRU.xlsx</x:v>
      </x:c>
      <x:c r="B338" s="10" t="str">
        <x:v>Geral</x:v>
      </x:c>
      <x:c r="C338" s="11" t="n">
        <x:v>325</x:v>
      </x:c>
      <x:c r="D338" s="10" t="str">
        <x:v>BR-SPAPESP_DASP-PENITPRE-CSDTCARANDIRU.xlsx:Geral:325</x:v>
      </x:c>
      <x:c r="E338" s="10" t="str">
        <x:v>BRSPAPESP_DASPPENITPRE-CSDTCARANDIRU_ICOFOTDGZMT0_3055-003-010F.jpg</x:v>
      </x:c>
      <x:c r="F338" s="10" t="str">
        <x:v>PENITPRE-CSDTCARANDIRU</x:v>
      </x:c>
      <x:c r="G338" s="10" t="str">
        <x:v>ICO</x:v>
      </x:c>
      <x:c r="H338" s="10" t="str">
        <x:v>FOT</x:v>
      </x:c>
      <x:c r="I338" s="10" t="str">
        <x:v>DGZ</x:v>
      </x:c>
      <x:c r="J338" s="10" t="str">
        <x:v>MT0</x:v>
      </x:c>
    </x:row>
    <x:row r="339" ht="24" hidden="0" customHeight="1">
      <x:c r="A339" s="10" t="str">
        <x:v>BR-SPAPESP_DASP-PENITPRE-CSDTCARANDIRU.xlsx</x:v>
      </x:c>
      <x:c r="B339" s="10" t="str">
        <x:v>Geral</x:v>
      </x:c>
      <x:c r="C339" s="11" t="n">
        <x:v>326</x:v>
      </x:c>
      <x:c r="D339" s="10" t="str">
        <x:v>BR-SPAPESP_DASP-PENITPRE-CSDTCARANDIRU.xlsx:Geral:326</x:v>
      </x:c>
      <x:c r="E339" s="10" t="str">
        <x:v>BRSPAPESP_DASPPENITPRE-CSDTCARANDIRU_ICOFOTDGZMT0_3055-003-010V.jpg</x:v>
      </x:c>
      <x:c r="F339" s="10" t="str">
        <x:v>PENITPRE-CSDTCARANDIRU</x:v>
      </x:c>
      <x:c r="G339" s="10" t="str">
        <x:v>ICO</x:v>
      </x:c>
      <x:c r="H339" s="10" t="str">
        <x:v>FOT</x:v>
      </x:c>
      <x:c r="I339" s="10" t="str">
        <x:v>DGZ</x:v>
      </x:c>
      <x:c r="J339" s="10" t="str">
        <x:v>MT0</x:v>
      </x:c>
    </x:row>
    <x:row r="340" ht="24" hidden="0" customHeight="1">
      <x:c r="A340" s="10" t="str">
        <x:v>BR-SPAPESP_DASP-PENITPRE-CSDTCARANDIRU.xlsx</x:v>
      </x:c>
      <x:c r="B340" s="10" t="str">
        <x:v>Geral</x:v>
      </x:c>
      <x:c r="C340" s="11" t="n">
        <x:v>327</x:v>
      </x:c>
      <x:c r="D340" s="10" t="str">
        <x:v>BR-SPAPESP_DASP-PENITPRE-CSDTCARANDIRU.xlsx:Geral:327</x:v>
      </x:c>
      <x:c r="E340" s="10" t="str">
        <x:v>BRSPAPESP_DASPPENITPRE-CSDTCARANDIRU_ICOFOTDGZMT0_3055-003-011F.jpg</x:v>
      </x:c>
      <x:c r="F340" s="10" t="str">
        <x:v>PENITPRE-CSDTCARANDIRU</x:v>
      </x:c>
      <x:c r="G340" s="10" t="str">
        <x:v>ICO</x:v>
      </x:c>
      <x:c r="H340" s="10" t="str">
        <x:v>FOT</x:v>
      </x:c>
      <x:c r="I340" s="10" t="str">
        <x:v>DGZ</x:v>
      </x:c>
      <x:c r="J340" s="10" t="str">
        <x:v>MT0</x:v>
      </x:c>
    </x:row>
    <x:row r="341" ht="24" hidden="0" customHeight="1">
      <x:c r="A341" s="10" t="str">
        <x:v>BR-SPAPESP_DASP-PENITPRE-CSDTCARANDIRU.xlsx</x:v>
      </x:c>
      <x:c r="B341" s="10" t="str">
        <x:v>Geral</x:v>
      </x:c>
      <x:c r="C341" s="11" t="n">
        <x:v>328</x:v>
      </x:c>
      <x:c r="D341" s="10" t="str">
        <x:v>BR-SPAPESP_DASP-PENITPRE-CSDTCARANDIRU.xlsx:Geral:328</x:v>
      </x:c>
      <x:c r="E341" s="10" t="str">
        <x:v>BRSPAPESP_DASPPENITPRE-CSDTCARANDIRU_ICOFOTDGZMT0_3055-003-011V.jpg</x:v>
      </x:c>
      <x:c r="F341" s="10" t="str">
        <x:v>PENITPRE-CSDTCARANDIRU</x:v>
      </x:c>
      <x:c r="G341" s="10" t="str">
        <x:v>ICO</x:v>
      </x:c>
      <x:c r="H341" s="10" t="str">
        <x:v>FOT</x:v>
      </x:c>
      <x:c r="I341" s="10" t="str">
        <x:v>DGZ</x:v>
      </x:c>
      <x:c r="J341" s="10" t="str">
        <x:v>MT0</x:v>
      </x:c>
    </x:row>
    <x:row r="342" ht="24" hidden="0" customHeight="1">
      <x:c r="A342" s="10" t="str">
        <x:v>BR-SPAPESP_DASP-PENITPRE-CSDTCARANDIRU.xlsx</x:v>
      </x:c>
      <x:c r="B342" s="10" t="str">
        <x:v>Geral</x:v>
      </x:c>
      <x:c r="C342" s="11" t="n">
        <x:v>329</x:v>
      </x:c>
      <x:c r="D342" s="10" t="str">
        <x:v>BR-SPAPESP_DASP-PENITPRE-CSDTCARANDIRU.xlsx:Geral:329</x:v>
      </x:c>
      <x:c r="E342" s="10" t="str">
        <x:v>BRSPAPESP_DASPPENITPRE-CSDTCARANDIRU_ICOFOTDGZMT0_3055-003-012F.jpg</x:v>
      </x:c>
      <x:c r="F342" s="10" t="str">
        <x:v>PENITPRE-CSDTCARANDIRU</x:v>
      </x:c>
      <x:c r="G342" s="10" t="str">
        <x:v>ICO</x:v>
      </x:c>
      <x:c r="H342" s="10" t="str">
        <x:v>FOT</x:v>
      </x:c>
      <x:c r="I342" s="10" t="str">
        <x:v>DGZ</x:v>
      </x:c>
      <x:c r="J342" s="10" t="str">
        <x:v>MT0</x:v>
      </x:c>
    </x:row>
    <x:row r="343" ht="24" hidden="0" customHeight="1">
      <x:c r="A343" s="10" t="str">
        <x:v>BR-SPAPESP_DASP-PENITPRE-CSDTCARANDIRU.xlsx</x:v>
      </x:c>
      <x:c r="B343" s="10" t="str">
        <x:v>Geral</x:v>
      </x:c>
      <x:c r="C343" s="11" t="n">
        <x:v>330</x:v>
      </x:c>
      <x:c r="D343" s="10" t="str">
        <x:v>BR-SPAPESP_DASP-PENITPRE-CSDTCARANDIRU.xlsx:Geral:330</x:v>
      </x:c>
      <x:c r="E343" s="10" t="str">
        <x:v>BRSPAPESP_DASPPENITPRE-CSDTCARANDIRU_ICOFOTDGZMT0_3055-003-012V.jpg</x:v>
      </x:c>
      <x:c r="F343" s="10" t="str">
        <x:v>PENITPRE-CSDTCARANDIRU</x:v>
      </x:c>
      <x:c r="G343" s="10" t="str">
        <x:v>ICO</x:v>
      </x:c>
      <x:c r="H343" s="10" t="str">
        <x:v>FOT</x:v>
      </x:c>
      <x:c r="I343" s="10" t="str">
        <x:v>DGZ</x:v>
      </x:c>
      <x:c r="J343" s="10" t="str">
        <x:v>MT0</x:v>
      </x:c>
    </x:row>
    <x:row r="344" ht="24" hidden="0" customHeight="1">
      <x:c r="A344" s="10" t="str">
        <x:v>BR-SPAPESP_DASP-PENITPRE-CSDTCARANDIRU.xlsx</x:v>
      </x:c>
      <x:c r="B344" s="10" t="str">
        <x:v>Geral</x:v>
      </x:c>
      <x:c r="C344" s="11" t="n">
        <x:v>331</x:v>
      </x:c>
      <x:c r="D344" s="10" t="str">
        <x:v>BR-SPAPESP_DASP-PENITPRE-CSDTCARANDIRU.xlsx:Geral:331</x:v>
      </x:c>
      <x:c r="E344" s="10" t="str">
        <x:v>BRSPAPESP_DASPPENITPRE-CSDTCARANDIRU_ICOFOTDGZMT0_3055-003-013F.jpg</x:v>
      </x:c>
      <x:c r="F344" s="10" t="str">
        <x:v>PENITPRE-CSDTCARANDIRU</x:v>
      </x:c>
      <x:c r="G344" s="10" t="str">
        <x:v>ICO</x:v>
      </x:c>
      <x:c r="H344" s="10" t="str">
        <x:v>FOT</x:v>
      </x:c>
      <x:c r="I344" s="10" t="str">
        <x:v>DGZ</x:v>
      </x:c>
      <x:c r="J344" s="10" t="str">
        <x:v>MT0</x:v>
      </x:c>
    </x:row>
    <x:row r="345" ht="24" hidden="0" customHeight="1">
      <x:c r="A345" s="10" t="str">
        <x:v>BR-SPAPESP_DASP-PENITPRE-CSDTCARANDIRU.xlsx</x:v>
      </x:c>
      <x:c r="B345" s="10" t="str">
        <x:v>Geral</x:v>
      </x:c>
      <x:c r="C345" s="11" t="n">
        <x:v>332</x:v>
      </x:c>
      <x:c r="D345" s="10" t="str">
        <x:v>BR-SPAPESP_DASP-PENITPRE-CSDTCARANDIRU.xlsx:Geral:332</x:v>
      </x:c>
      <x:c r="E345" s="10" t="str">
        <x:v>BRSPAPESP_DASPPENITPRE-CSDTCARANDIRU_ICOFOTDGZMT0_3055-003-013V.jpg</x:v>
      </x:c>
      <x:c r="F345" s="10" t="str">
        <x:v>PENITPRE-CSDTCARANDIRU</x:v>
      </x:c>
      <x:c r="G345" s="10" t="str">
        <x:v>ICO</x:v>
      </x:c>
      <x:c r="H345" s="10" t="str">
        <x:v>FOT</x:v>
      </x:c>
      <x:c r="I345" s="10" t="str">
        <x:v>DGZ</x:v>
      </x:c>
      <x:c r="J345" s="10" t="str">
        <x:v>MT0</x:v>
      </x:c>
    </x:row>
    <x:row r="346" ht="24" hidden="0" customHeight="1">
      <x:c r="A346" s="10" t="str">
        <x:v>BR-SPAPESP_DASP-PENITPRE-CSDTCARANDIRU.xlsx</x:v>
      </x:c>
      <x:c r="B346" s="10" t="str">
        <x:v>Geral</x:v>
      </x:c>
      <x:c r="C346" s="11" t="n">
        <x:v>333</x:v>
      </x:c>
      <x:c r="D346" s="10" t="str">
        <x:v>BR-SPAPESP_DASP-PENITPRE-CSDTCARANDIRU.xlsx:Geral:333</x:v>
      </x:c>
      <x:c r="E346" s="10" t="str">
        <x:v>BRSPAPESP_DASPPENITPRE-CSDTCARANDIRU_ICOFOTDGZMT0_3055-003-014F.jpg</x:v>
      </x:c>
      <x:c r="F346" s="10" t="str">
        <x:v>PENITPRE-CSDTCARANDIRU</x:v>
      </x:c>
      <x:c r="G346" s="10" t="str">
        <x:v>ICO</x:v>
      </x:c>
      <x:c r="H346" s="10" t="str">
        <x:v>FOT</x:v>
      </x:c>
      <x:c r="I346" s="10" t="str">
        <x:v>DGZ</x:v>
      </x:c>
      <x:c r="J346" s="10" t="str">
        <x:v>MT0</x:v>
      </x:c>
    </x:row>
    <x:row r="347" ht="24" hidden="0" customHeight="1">
      <x:c r="A347" s="10" t="str">
        <x:v>BR-SPAPESP_DASP-PENITPRE-CSDTCARANDIRU.xlsx</x:v>
      </x:c>
      <x:c r="B347" s="10" t="str">
        <x:v>Geral</x:v>
      </x:c>
      <x:c r="C347" s="11" t="n">
        <x:v>334</x:v>
      </x:c>
      <x:c r="D347" s="10" t="str">
        <x:v>BR-SPAPESP_DASP-PENITPRE-CSDTCARANDIRU.xlsx:Geral:334</x:v>
      </x:c>
      <x:c r="E347" s="10" t="str">
        <x:v>BRSPAPESP_DASPPENITPRE-CSDTCARANDIRU_ICOFOTDGZMT0_3055-003-014V.jpg</x:v>
      </x:c>
      <x:c r="F347" s="10" t="str">
        <x:v>PENITPRE-CSDTCARANDIRU</x:v>
      </x:c>
      <x:c r="G347" s="10" t="str">
        <x:v>ICO</x:v>
      </x:c>
      <x:c r="H347" s="10" t="str">
        <x:v>FOT</x:v>
      </x:c>
      <x:c r="I347" s="10" t="str">
        <x:v>DGZ</x:v>
      </x:c>
      <x:c r="J347" s="10" t="str">
        <x:v>MT0</x:v>
      </x:c>
    </x:row>
    <x:row r="348" ht="24" hidden="0" customHeight="1">
      <x:c r="A348" s="10" t="str">
        <x:v>BR-SPAPESP_DASP-PENITPRE-CSDTCARANDIRU.xlsx</x:v>
      </x:c>
      <x:c r="B348" s="10" t="str">
        <x:v>Geral</x:v>
      </x:c>
      <x:c r="C348" s="11" t="n">
        <x:v>335</x:v>
      </x:c>
      <x:c r="D348" s="10" t="str">
        <x:v>BR-SPAPESP_DASP-PENITPRE-CSDTCARANDIRU.xlsx:Geral:335</x:v>
      </x:c>
      <x:c r="E348" s="10" t="str">
        <x:v>BRSPAPESP_DASPPENITPRE-CSDTCARANDIRU_ICOFOTDGZMT0_3055-003-015F.jpg</x:v>
      </x:c>
      <x:c r="F348" s="10" t="str">
        <x:v>PENITPRE-CSDTCARANDIRU</x:v>
      </x:c>
      <x:c r="G348" s="10" t="str">
        <x:v>ICO</x:v>
      </x:c>
      <x:c r="H348" s="10" t="str">
        <x:v>FOT</x:v>
      </x:c>
      <x:c r="I348" s="10" t="str">
        <x:v>DGZ</x:v>
      </x:c>
      <x:c r="J348" s="10" t="str">
        <x:v>MT0</x:v>
      </x:c>
    </x:row>
    <x:row r="349" ht="24" hidden="0" customHeight="1">
      <x:c r="A349" s="10" t="str">
        <x:v>BR-SPAPESP_DASP-PENITPRE-CSDTCARANDIRU.xlsx</x:v>
      </x:c>
      <x:c r="B349" s="10" t="str">
        <x:v>Geral</x:v>
      </x:c>
      <x:c r="C349" s="11" t="n">
        <x:v>336</x:v>
      </x:c>
      <x:c r="D349" s="10" t="str">
        <x:v>BR-SPAPESP_DASP-PENITPRE-CSDTCARANDIRU.xlsx:Geral:336</x:v>
      </x:c>
      <x:c r="E349" s="10" t="str">
        <x:v>BRSPAPESP_DASPPENITPRE-CSDTCARANDIRU_ICOFOTDGZMT0_3055-003-015V.jpg</x:v>
      </x:c>
      <x:c r="F349" s="10" t="str">
        <x:v>PENITPRE-CSDTCARANDIRU</x:v>
      </x:c>
      <x:c r="G349" s="10" t="str">
        <x:v>ICO</x:v>
      </x:c>
      <x:c r="H349" s="10" t="str">
        <x:v>FOT</x:v>
      </x:c>
      <x:c r="I349" s="10" t="str">
        <x:v>DGZ</x:v>
      </x:c>
      <x:c r="J349" s="10" t="str">
        <x:v>MT0</x:v>
      </x:c>
    </x:row>
    <x:row r="350" ht="24" hidden="0" customHeight="1">
      <x:c r="A350" s="10" t="str">
        <x:v>BR-SPAPESP_DASP-PENITPRE-CSDTCARANDIRU.xlsx</x:v>
      </x:c>
      <x:c r="B350" s="10" t="str">
        <x:v>Geral</x:v>
      </x:c>
      <x:c r="C350" s="11" t="n">
        <x:v>337</x:v>
      </x:c>
      <x:c r="D350" s="10" t="str">
        <x:v>BR-SPAPESP_DASP-PENITPRE-CSDTCARANDIRU.xlsx:Geral:337</x:v>
      </x:c>
      <x:c r="E350" s="10" t="str">
        <x:v>BRSPAPESP_DASPPENITPRE-CSDTCARANDIRU_ICOFOTDGZMT0_3055-003-016F.jpg</x:v>
      </x:c>
      <x:c r="F350" s="10" t="str">
        <x:v>PENITPRE-CSDTCARANDIRU</x:v>
      </x:c>
      <x:c r="G350" s="10" t="str">
        <x:v>ICO</x:v>
      </x:c>
      <x:c r="H350" s="10" t="str">
        <x:v>FOT</x:v>
      </x:c>
      <x:c r="I350" s="10" t="str">
        <x:v>DGZ</x:v>
      </x:c>
      <x:c r="J350" s="10" t="str">
        <x:v>MT0</x:v>
      </x:c>
    </x:row>
    <x:row r="351" ht="24" hidden="0" customHeight="1">
      <x:c r="A351" s="10" t="str">
        <x:v>BR-SPAPESP_DASP-PENITPRE-CSDTCARANDIRU.xlsx</x:v>
      </x:c>
      <x:c r="B351" s="10" t="str">
        <x:v>Geral</x:v>
      </x:c>
      <x:c r="C351" s="11" t="n">
        <x:v>338</x:v>
      </x:c>
      <x:c r="D351" s="10" t="str">
        <x:v>BR-SPAPESP_DASP-PENITPRE-CSDTCARANDIRU.xlsx:Geral:338</x:v>
      </x:c>
      <x:c r="E351" s="10" t="str">
        <x:v>BRSPAPESP_DASPPENITPRE-CSDTCARANDIRU_ICOFOTDGZMT0_3055-003-016V.jpg</x:v>
      </x:c>
      <x:c r="F351" s="10" t="str">
        <x:v>PENITPRE-CSDTCARANDIRU</x:v>
      </x:c>
      <x:c r="G351" s="10" t="str">
        <x:v>ICO</x:v>
      </x:c>
      <x:c r="H351" s="10" t="str">
        <x:v>FOT</x:v>
      </x:c>
      <x:c r="I351" s="10" t="str">
        <x:v>DGZ</x:v>
      </x:c>
      <x:c r="J351" s="10" t="str">
        <x:v>MT0</x:v>
      </x:c>
    </x:row>
    <x:row r="352" ht="24" hidden="0" customHeight="1">
      <x:c r="A352" s="10" t="str">
        <x:v>BR-SPAPESP_DASP-PENITPRE-CSDTCARANDIRU.xlsx</x:v>
      </x:c>
      <x:c r="B352" s="10" t="str">
        <x:v>Geral</x:v>
      </x:c>
      <x:c r="C352" s="11" t="n">
        <x:v>339</x:v>
      </x:c>
      <x:c r="D352" s="10" t="str">
        <x:v>BR-SPAPESP_DASP-PENITPRE-CSDTCARANDIRU.xlsx:Geral:339</x:v>
      </x:c>
      <x:c r="E352" s="10" t="str">
        <x:v>BRSPAPESP_DASPPENITPRE-CSDTCARANDIRU_ICOFOTDGZMT0_3055-003-017F.jpg</x:v>
      </x:c>
      <x:c r="F352" s="10" t="str">
        <x:v>PENITPRE-CSDTCARANDIRU</x:v>
      </x:c>
      <x:c r="G352" s="10" t="str">
        <x:v>ICO</x:v>
      </x:c>
      <x:c r="H352" s="10" t="str">
        <x:v>FOT</x:v>
      </x:c>
      <x:c r="I352" s="10" t="str">
        <x:v>DGZ</x:v>
      </x:c>
      <x:c r="J352" s="10" t="str">
        <x:v>MT0</x:v>
      </x:c>
    </x:row>
    <x:row r="353" ht="24" hidden="0" customHeight="1">
      <x:c r="A353" s="10" t="str">
        <x:v>BR-SPAPESP_DASP-PENITPRE-CSDTCARANDIRU.xlsx</x:v>
      </x:c>
      <x:c r="B353" s="10" t="str">
        <x:v>Geral</x:v>
      </x:c>
      <x:c r="C353" s="11" t="n">
        <x:v>340</x:v>
      </x:c>
      <x:c r="D353" s="10" t="str">
        <x:v>BR-SPAPESP_DASP-PENITPRE-CSDTCARANDIRU.xlsx:Geral:340</x:v>
      </x:c>
      <x:c r="E353" s="10" t="str">
        <x:v>BRSPAPESP_DASPPENITPRE-CSDTCARANDIRU_ICOFOTDGZMT0_3055-003-017V.jpg</x:v>
      </x:c>
      <x:c r="F353" s="10" t="str">
        <x:v>PENITPRE-CSDTCARANDIRU</x:v>
      </x:c>
      <x:c r="G353" s="10" t="str">
        <x:v>ICO</x:v>
      </x:c>
      <x:c r="H353" s="10" t="str">
        <x:v>FOT</x:v>
      </x:c>
      <x:c r="I353" s="10" t="str">
        <x:v>DGZ</x:v>
      </x:c>
      <x:c r="J353" s="10" t="str">
        <x:v>MT0</x:v>
      </x:c>
    </x:row>
    <x:row r="354" ht="24" hidden="0" customHeight="1">
      <x:c r="A354" s="10" t="str">
        <x:v>BR-SPAPESP_DASP-PENITPRE-CSDTCARANDIRU.xlsx</x:v>
      </x:c>
      <x:c r="B354" s="10" t="str">
        <x:v>Geral</x:v>
      </x:c>
      <x:c r="C354" s="11" t="n">
        <x:v>341</x:v>
      </x:c>
      <x:c r="D354" s="10" t="str">
        <x:v>BR-SPAPESP_DASP-PENITPRE-CSDTCARANDIRU.xlsx:Geral:341</x:v>
      </x:c>
      <x:c r="E354" s="10" t="str">
        <x:v>BRSPAPESP_DASPPENITPRE-CSDTCARANDIRU_ICOFOTDGZMT0_3055-003-018F.jpg</x:v>
      </x:c>
      <x:c r="F354" s="10" t="str">
        <x:v>PENITPRE-CSDTCARANDIRU</x:v>
      </x:c>
      <x:c r="G354" s="10" t="str">
        <x:v>ICO</x:v>
      </x:c>
      <x:c r="H354" s="10" t="str">
        <x:v>FOT</x:v>
      </x:c>
      <x:c r="I354" s="10" t="str">
        <x:v>DGZ</x:v>
      </x:c>
      <x:c r="J354" s="10" t="str">
        <x:v>MT0</x:v>
      </x:c>
    </x:row>
    <x:row r="355" ht="24" hidden="0" customHeight="1">
      <x:c r="A355" s="10" t="str">
        <x:v>BR-SPAPESP_DASP-PENITPRE-CSDTCARANDIRU.xlsx</x:v>
      </x:c>
      <x:c r="B355" s="10" t="str">
        <x:v>Geral</x:v>
      </x:c>
      <x:c r="C355" s="11" t="n">
        <x:v>342</x:v>
      </x:c>
      <x:c r="D355" s="10" t="str">
        <x:v>BR-SPAPESP_DASP-PENITPRE-CSDTCARANDIRU.xlsx:Geral:342</x:v>
      </x:c>
      <x:c r="E355" s="10" t="str">
        <x:v>BRSPAPESP_DASPPENITPRE-CSDTCARANDIRU_ICOFOTDGZMT0_3055-003-018V.jpg</x:v>
      </x:c>
      <x:c r="F355" s="10" t="str">
        <x:v>PENITPRE-CSDTCARANDIRU</x:v>
      </x:c>
      <x:c r="G355" s="10" t="str">
        <x:v>ICO</x:v>
      </x:c>
      <x:c r="H355" s="10" t="str">
        <x:v>FOT</x:v>
      </x:c>
      <x:c r="I355" s="10" t="str">
        <x:v>DGZ</x:v>
      </x:c>
      <x:c r="J355" s="10" t="str">
        <x:v>MT0</x:v>
      </x:c>
    </x:row>
    <x:row r="356" ht="24" hidden="0" customHeight="1">
      <x:c r="A356" s="10" t="str">
        <x:v>BR-SPAPESP_DASP-PENITPRE-CSDTCARANDIRU.xlsx</x:v>
      </x:c>
      <x:c r="B356" s="10" t="str">
        <x:v>Geral</x:v>
      </x:c>
      <x:c r="C356" s="11" t="n">
        <x:v>343</x:v>
      </x:c>
      <x:c r="D356" s="10" t="str">
        <x:v>BR-SPAPESP_DASP-PENITPRE-CSDTCARANDIRU.xlsx:Geral:343</x:v>
      </x:c>
      <x:c r="E356" s="10" t="str">
        <x:v>BRSPAPESP_DASPPENITPRE-CSDTCARANDIRU_ICOFOTDGZMT0_3055-003-019F.jpg</x:v>
      </x:c>
      <x:c r="F356" s="10" t="str">
        <x:v>PENITPRE-CSDTCARANDIRU</x:v>
      </x:c>
      <x:c r="G356" s="10" t="str">
        <x:v>ICO</x:v>
      </x:c>
      <x:c r="H356" s="10" t="str">
        <x:v>FOT</x:v>
      </x:c>
      <x:c r="I356" s="10" t="str">
        <x:v>DGZ</x:v>
      </x:c>
      <x:c r="J356" s="10" t="str">
        <x:v>MT0</x:v>
      </x:c>
    </x:row>
    <x:row r="357" ht="24" hidden="0" customHeight="1">
      <x:c r="A357" s="10" t="str">
        <x:v>BR-SPAPESP_DASP-PENITPRE-CSDTCARANDIRU.xlsx</x:v>
      </x:c>
      <x:c r="B357" s="10" t="str">
        <x:v>Geral</x:v>
      </x:c>
      <x:c r="C357" s="11" t="n">
        <x:v>344</x:v>
      </x:c>
      <x:c r="D357" s="10" t="str">
        <x:v>BR-SPAPESP_DASP-PENITPRE-CSDTCARANDIRU.xlsx:Geral:344</x:v>
      </x:c>
      <x:c r="E357" s="10" t="str">
        <x:v>BRSPAPESP_DASPPENITPRE-CSDTCARANDIRU_ICOFOTDGZMT0_3055-003-019V.jpg</x:v>
      </x:c>
      <x:c r="F357" s="10" t="str">
        <x:v>PENITPRE-CSDTCARANDIRU</x:v>
      </x:c>
      <x:c r="G357" s="10" t="str">
        <x:v>ICO</x:v>
      </x:c>
      <x:c r="H357" s="10" t="str">
        <x:v>FOT</x:v>
      </x:c>
      <x:c r="I357" s="10" t="str">
        <x:v>DGZ</x:v>
      </x:c>
      <x:c r="J357" s="10" t="str">
        <x:v>MT0</x:v>
      </x:c>
    </x:row>
    <x:row r="358" ht="24" hidden="0" customHeight="1">
      <x:c r="A358" s="10" t="str">
        <x:v>BR-SPAPESP_DASP-PENITPRE-CSDTCARANDIRU.xlsx</x:v>
      </x:c>
      <x:c r="B358" s="10" t="str">
        <x:v>Geral</x:v>
      </x:c>
      <x:c r="C358" s="11" t="n">
        <x:v>345</x:v>
      </x:c>
      <x:c r="D358" s="10" t="str">
        <x:v>BR-SPAPESP_DASP-PENITPRE-CSDTCARANDIRU.xlsx:Geral:345</x:v>
      </x:c>
      <x:c r="E358" s="10" t="str">
        <x:v>BRSPAPESP_DASPPENITPRE-CSDTCARANDIRU_ICOFOTDGZMT0_3055-003-020F.jpg</x:v>
      </x:c>
      <x:c r="F358" s="10" t="str">
        <x:v>PENITPRE-CSDTCARANDIRU</x:v>
      </x:c>
      <x:c r="G358" s="10" t="str">
        <x:v>ICO</x:v>
      </x:c>
      <x:c r="H358" s="10" t="str">
        <x:v>FOT</x:v>
      </x:c>
      <x:c r="I358" s="10" t="str">
        <x:v>DGZ</x:v>
      </x:c>
      <x:c r="J358" s="10" t="str">
        <x:v>MT0</x:v>
      </x:c>
    </x:row>
    <x:row r="359" ht="24" hidden="0" customHeight="1">
      <x:c r="A359" s="10" t="str">
        <x:v>BR-SPAPESP_DASP-PENITPRE-CSDTCARANDIRU.xlsx</x:v>
      </x:c>
      <x:c r="B359" s="10" t="str">
        <x:v>Geral</x:v>
      </x:c>
      <x:c r="C359" s="11" t="n">
        <x:v>346</x:v>
      </x:c>
      <x:c r="D359" s="10" t="str">
        <x:v>BR-SPAPESP_DASP-PENITPRE-CSDTCARANDIRU.xlsx:Geral:346</x:v>
      </x:c>
      <x:c r="E359" s="10" t="str">
        <x:v>BRSPAPESP_DASPPENITPRE-CSDTCARANDIRU_ICOFOTDGZMT0_3055-003-020V.jpg</x:v>
      </x:c>
      <x:c r="F359" s="10" t="str">
        <x:v>PENITPRE-CSDTCARANDIRU</x:v>
      </x:c>
      <x:c r="G359" s="10" t="str">
        <x:v>ICO</x:v>
      </x:c>
      <x:c r="H359" s="10" t="str">
        <x:v>FOT</x:v>
      </x:c>
      <x:c r="I359" s="10" t="str">
        <x:v>DGZ</x:v>
      </x:c>
      <x:c r="J359" s="10" t="str">
        <x:v>MT0</x:v>
      </x:c>
    </x:row>
    <x:row r="360" ht="24" hidden="0" customHeight="1">
      <x:c r="A360" s="10" t="str">
        <x:v>BR-SPAPESP_DASP-PENITPRE-CSDTCARANDIRU.xlsx</x:v>
      </x:c>
      <x:c r="B360" s="10" t="str">
        <x:v>Geral</x:v>
      </x:c>
      <x:c r="C360" s="11" t="n">
        <x:v>347</x:v>
      </x:c>
      <x:c r="D360" s="10" t="str">
        <x:v>BR-SPAPESP_DASP-PENITPRE-CSDTCARANDIRU.xlsx:Geral:347</x:v>
      </x:c>
      <x:c r="E360" s="10" t="str">
        <x:v>BRSPAPESP_DASPPENITPRE-CSDTCARANDIRU_ICOFOTDGZMT0_3055-003-021F.jpg</x:v>
      </x:c>
      <x:c r="F360" s="10" t="str">
        <x:v>PENITPRE-CSDTCARANDIRU</x:v>
      </x:c>
      <x:c r="G360" s="10" t="str">
        <x:v>ICO</x:v>
      </x:c>
      <x:c r="H360" s="10" t="str">
        <x:v>FOT</x:v>
      </x:c>
      <x:c r="I360" s="10" t="str">
        <x:v>DGZ</x:v>
      </x:c>
      <x:c r="J360" s="10" t="str">
        <x:v>MT0</x:v>
      </x:c>
    </x:row>
    <x:row r="361" ht="24" hidden="0" customHeight="1">
      <x:c r="A361" s="10" t="str">
        <x:v>BR-SPAPESP_DASP-PENITPRE-CSDTCARANDIRU.xlsx</x:v>
      </x:c>
      <x:c r="B361" s="10" t="str">
        <x:v>Geral</x:v>
      </x:c>
      <x:c r="C361" s="11" t="n">
        <x:v>348</x:v>
      </x:c>
      <x:c r="D361" s="10" t="str">
        <x:v>BR-SPAPESP_DASP-PENITPRE-CSDTCARANDIRU.xlsx:Geral:348</x:v>
      </x:c>
      <x:c r="E361" s="10" t="str">
        <x:v>BRSPAPESP_DASPPENITPRE-CSDTCARANDIRU_ICOFOTDGZMT0_3055-003-021V.jpg</x:v>
      </x:c>
      <x:c r="F361" s="10" t="str">
        <x:v>PENITPRE-CSDTCARANDIRU</x:v>
      </x:c>
      <x:c r="G361" s="10" t="str">
        <x:v>ICO</x:v>
      </x:c>
      <x:c r="H361" s="10" t="str">
        <x:v>FOT</x:v>
      </x:c>
      <x:c r="I361" s="10" t="str">
        <x:v>DGZ</x:v>
      </x:c>
      <x:c r="J361" s="10" t="str">
        <x:v>MT0</x:v>
      </x:c>
    </x:row>
    <x:row r="362" ht="24" hidden="0" customHeight="1">
      <x:c r="A362" s="10" t="str">
        <x:v>BR-SPAPESP_DASP-PENITPRE-CSDTCARANDIRU.xlsx</x:v>
      </x:c>
      <x:c r="B362" s="10" t="str">
        <x:v>Geral</x:v>
      </x:c>
      <x:c r="C362" s="11" t="n">
        <x:v>349</x:v>
      </x:c>
      <x:c r="D362" s="10" t="str">
        <x:v>BR-SPAPESP_DASP-PENITPRE-CSDTCARANDIRU.xlsx:Geral:349</x:v>
      </x:c>
      <x:c r="E362" s="10" t="str">
        <x:v>BRSPAPESP_DASPPENITPRE-CSDTCARANDIRU_ICOFOTDGZMT0_3055-003-022F.jpg</x:v>
      </x:c>
      <x:c r="F362" s="10" t="str">
        <x:v>PENITPRE-CSDTCARANDIRU</x:v>
      </x:c>
      <x:c r="G362" s="10" t="str">
        <x:v>ICO</x:v>
      </x:c>
      <x:c r="H362" s="10" t="str">
        <x:v>FOT</x:v>
      </x:c>
      <x:c r="I362" s="10" t="str">
        <x:v>DGZ</x:v>
      </x:c>
      <x:c r="J362" s="10" t="str">
        <x:v>MT0</x:v>
      </x:c>
    </x:row>
    <x:row r="363" ht="24" hidden="0" customHeight="1">
      <x:c r="A363" s="10" t="str">
        <x:v>BR-SPAPESP_DASP-PENITPRE-CSDTCARANDIRU.xlsx</x:v>
      </x:c>
      <x:c r="B363" s="10" t="str">
        <x:v>Geral</x:v>
      </x:c>
      <x:c r="C363" s="11" t="n">
        <x:v>350</x:v>
      </x:c>
      <x:c r="D363" s="10" t="str">
        <x:v>BR-SPAPESP_DASP-PENITPRE-CSDTCARANDIRU.xlsx:Geral:350</x:v>
      </x:c>
      <x:c r="E363" s="10" t="str">
        <x:v>BRSPAPESP_DASPPENITPRE-CSDTCARANDIRU_ICOFOTDGZMT0_3055-003-022V.jpg</x:v>
      </x:c>
      <x:c r="F363" s="10" t="str">
        <x:v>PENITPRE-CSDTCARANDIRU</x:v>
      </x:c>
      <x:c r="G363" s="10" t="str">
        <x:v>ICO</x:v>
      </x:c>
      <x:c r="H363" s="10" t="str">
        <x:v>FOT</x:v>
      </x:c>
      <x:c r="I363" s="10" t="str">
        <x:v>DGZ</x:v>
      </x:c>
      <x:c r="J363" s="10" t="str">
        <x:v>MT0</x:v>
      </x:c>
    </x:row>
    <x:row r="364" ht="24" hidden="0" customHeight="1">
      <x:c r="A364" s="10" t="str">
        <x:v>BR-SPAPESP_DASP-PENITPRE-CSDTCARANDIRU.xlsx</x:v>
      </x:c>
      <x:c r="B364" s="10" t="str">
        <x:v>Geral</x:v>
      </x:c>
      <x:c r="C364" s="11" t="n">
        <x:v>351</x:v>
      </x:c>
      <x:c r="D364" s="10" t="str">
        <x:v>BR-SPAPESP_DASP-PENITPRE-CSDTCARANDIRU.xlsx:Geral:351</x:v>
      </x:c>
      <x:c r="E364" s="10" t="str">
        <x:v>BRSPAPESP_DASPPENITPRE-CSDTCARANDIRU_ICOFOTDGZMT0_3055-003-023F.jpg</x:v>
      </x:c>
      <x:c r="F364" s="10" t="str">
        <x:v>PENITPRE-CSDTCARANDIRU</x:v>
      </x:c>
      <x:c r="G364" s="10" t="str">
        <x:v>ICO</x:v>
      </x:c>
      <x:c r="H364" s="10" t="str">
        <x:v>FOT</x:v>
      </x:c>
      <x:c r="I364" s="10" t="str">
        <x:v>DGZ</x:v>
      </x:c>
      <x:c r="J364" s="10" t="str">
        <x:v>MT0</x:v>
      </x:c>
    </x:row>
    <x:row r="365" ht="24" hidden="0" customHeight="1">
      <x:c r="A365" s="10" t="str">
        <x:v>BR-SPAPESP_DASP-PENITPRE-CSDTCARANDIRU.xlsx</x:v>
      </x:c>
      <x:c r="B365" s="10" t="str">
        <x:v>Geral</x:v>
      </x:c>
      <x:c r="C365" s="11" t="n">
        <x:v>352</x:v>
      </x:c>
      <x:c r="D365" s="10" t="str">
        <x:v>BR-SPAPESP_DASP-PENITPRE-CSDTCARANDIRU.xlsx:Geral:352</x:v>
      </x:c>
      <x:c r="E365" s="10" t="str">
        <x:v>BRSPAPESP_DASPPENITPRE-CSDTCARANDIRU_ICOFOTDGZMT0_3055-003-023V.jpg</x:v>
      </x:c>
      <x:c r="F365" s="10" t="str">
        <x:v>PENITPRE-CSDTCARANDIRU</x:v>
      </x:c>
      <x:c r="G365" s="10" t="str">
        <x:v>ICO</x:v>
      </x:c>
      <x:c r="H365" s="10" t="str">
        <x:v>FOT</x:v>
      </x:c>
      <x:c r="I365" s="10" t="str">
        <x:v>DGZ</x:v>
      </x:c>
      <x:c r="J365" s="10" t="str">
        <x:v>MT0</x:v>
      </x:c>
    </x:row>
    <x:row r="366" ht="24" hidden="0" customHeight="1">
      <x:c r="A366" s="10" t="str">
        <x:v>BR-SPAPESP_DASP-PENITPRE-CSDTCARANDIRU.xlsx</x:v>
      </x:c>
      <x:c r="B366" s="10" t="str">
        <x:v>Geral</x:v>
      </x:c>
      <x:c r="C366" s="11" t="n">
        <x:v>353</x:v>
      </x:c>
      <x:c r="D366" s="10" t="str">
        <x:v>BR-SPAPESP_DASP-PENITPRE-CSDTCARANDIRU.xlsx:Geral:353</x:v>
      </x:c>
      <x:c r="E366" s="10" t="str">
        <x:v>BRSPAPESP_DASPPENITPRE-CSDTCARANDIRU_ICOFOTDGZMT0_3055-003-024F.jpg</x:v>
      </x:c>
      <x:c r="F366" s="10" t="str">
        <x:v>PENITPRE-CSDTCARANDIRU</x:v>
      </x:c>
      <x:c r="G366" s="10" t="str">
        <x:v>ICO</x:v>
      </x:c>
      <x:c r="H366" s="10" t="str">
        <x:v>FOT</x:v>
      </x:c>
      <x:c r="I366" s="10" t="str">
        <x:v>DGZ</x:v>
      </x:c>
      <x:c r="J366" s="10" t="str">
        <x:v>MT0</x:v>
      </x:c>
    </x:row>
    <x:row r="367" ht="24" hidden="0" customHeight="1">
      <x:c r="A367" s="10" t="str">
        <x:v>BR-SPAPESP_DASP-PENITPRE-CSDTCARANDIRU.xlsx</x:v>
      </x:c>
      <x:c r="B367" s="10" t="str">
        <x:v>Geral</x:v>
      </x:c>
      <x:c r="C367" s="11" t="n">
        <x:v>354</x:v>
      </x:c>
      <x:c r="D367" s="10" t="str">
        <x:v>BR-SPAPESP_DASP-PENITPRE-CSDTCARANDIRU.xlsx:Geral:354</x:v>
      </x:c>
      <x:c r="E367" s="10" t="str">
        <x:v>BRSPAPESP_DASPPENITPRE-CSDTCARANDIRU_ICOFOTDGZMT0_3055-003-024V.jpg</x:v>
      </x:c>
      <x:c r="F367" s="10" t="str">
        <x:v>PENITPRE-CSDTCARANDIRU</x:v>
      </x:c>
      <x:c r="G367" s="10" t="str">
        <x:v>ICO</x:v>
      </x:c>
      <x:c r="H367" s="10" t="str">
        <x:v>FOT</x:v>
      </x:c>
      <x:c r="I367" s="10" t="str">
        <x:v>DGZ</x:v>
      </x:c>
      <x:c r="J367" s="10" t="str">
        <x:v>MT0</x:v>
      </x:c>
    </x:row>
    <x:row r="368" ht="24" hidden="0" customHeight="1">
      <x:c r="A368" s="10" t="str">
        <x:v>BR-SPAPESP_DASP-PENITPRE-CSDTCARANDIRU.xlsx</x:v>
      </x:c>
      <x:c r="B368" s="10" t="str">
        <x:v>Geral</x:v>
      </x:c>
      <x:c r="C368" s="11" t="n">
        <x:v>355</x:v>
      </x:c>
      <x:c r="D368" s="10" t="str">
        <x:v>BR-SPAPESP_DASP-PENITPRE-CSDTCARANDIRU.xlsx:Geral:355</x:v>
      </x:c>
      <x:c r="E368" s="10" t="str">
        <x:v>BRSPAPESP_DASPPENITPRE-CSDTCARANDIRU_ICOFOTDGZMT0_3055-003-025F.jpg</x:v>
      </x:c>
      <x:c r="F368" s="10" t="str">
        <x:v>PENITPRE-CSDTCARANDIRU</x:v>
      </x:c>
      <x:c r="G368" s="10" t="str">
        <x:v>ICO</x:v>
      </x:c>
      <x:c r="H368" s="10" t="str">
        <x:v>FOT</x:v>
      </x:c>
      <x:c r="I368" s="10" t="str">
        <x:v>DGZ</x:v>
      </x:c>
      <x:c r="J368" s="10" t="str">
        <x:v>MT0</x:v>
      </x:c>
    </x:row>
    <x:row r="369" ht="24" hidden="0" customHeight="1">
      <x:c r="A369" s="10" t="str">
        <x:v>BR-SPAPESP_DASP-PENITPRE-CSDTCARANDIRU.xlsx</x:v>
      </x:c>
      <x:c r="B369" s="10" t="str">
        <x:v>Geral</x:v>
      </x:c>
      <x:c r="C369" s="11" t="n">
        <x:v>356</x:v>
      </x:c>
      <x:c r="D369" s="10" t="str">
        <x:v>BR-SPAPESP_DASP-PENITPRE-CSDTCARANDIRU.xlsx:Geral:356</x:v>
      </x:c>
      <x:c r="E369" s="10" t="str">
        <x:v>BRSPAPESP_DASPPENITPRE-CSDTCARANDIRU_ICOFOTDGZMT0_3055-003-025V.jpg</x:v>
      </x:c>
      <x:c r="F369" s="10" t="str">
        <x:v>PENITPRE-CSDTCARANDIRU</x:v>
      </x:c>
      <x:c r="G369" s="10" t="str">
        <x:v>ICO</x:v>
      </x:c>
      <x:c r="H369" s="10" t="str">
        <x:v>FOT</x:v>
      </x:c>
      <x:c r="I369" s="10" t="str">
        <x:v>DGZ</x:v>
      </x:c>
      <x:c r="J369" s="10" t="str">
        <x:v>MT0</x:v>
      </x:c>
    </x:row>
    <x:row r="370" ht="24" hidden="0" customHeight="1">
      <x:c r="A370" s="10" t="str">
        <x:v>BR-SPAPESP_DASP-PENITPRE-CSDTCARANDIRU.xlsx</x:v>
      </x:c>
      <x:c r="B370" s="10" t="str">
        <x:v>Geral</x:v>
      </x:c>
      <x:c r="C370" s="11" t="n">
        <x:v>357</x:v>
      </x:c>
      <x:c r="D370" s="10" t="str">
        <x:v>BR-SPAPESP_DASP-PENITPRE-CSDTCARANDIRU.xlsx:Geral:357</x:v>
      </x:c>
      <x:c r="E370" s="10" t="str">
        <x:v>BRSPAPESP_DASPPENITPRE-CSDTCARANDIRU_ICOFOTDGZMT0_3055-003-026F.jpg</x:v>
      </x:c>
      <x:c r="F370" s="10" t="str">
        <x:v>PENITPRE-CSDTCARANDIRU</x:v>
      </x:c>
      <x:c r="G370" s="10" t="str">
        <x:v>ICO</x:v>
      </x:c>
      <x:c r="H370" s="10" t="str">
        <x:v>FOT</x:v>
      </x:c>
      <x:c r="I370" s="10" t="str">
        <x:v>DGZ</x:v>
      </x:c>
      <x:c r="J370" s="10" t="str">
        <x:v>MT0</x:v>
      </x:c>
    </x:row>
    <x:row r="371" ht="24" hidden="0" customHeight="1">
      <x:c r="A371" s="10" t="str">
        <x:v>BR-SPAPESP_DASP-PENITPRE-CSDTCARANDIRU.xlsx</x:v>
      </x:c>
      <x:c r="B371" s="10" t="str">
        <x:v>Geral</x:v>
      </x:c>
      <x:c r="C371" s="11" t="n">
        <x:v>358</x:v>
      </x:c>
      <x:c r="D371" s="10" t="str">
        <x:v>BR-SPAPESP_DASP-PENITPRE-CSDTCARANDIRU.xlsx:Geral:358</x:v>
      </x:c>
      <x:c r="E371" s="10" t="str">
        <x:v>BRSPAPESP_DASPPENITPRE-CSDTCARANDIRU_ICOFOTDGZMT0_3055-003-026V.jpg</x:v>
      </x:c>
      <x:c r="F371" s="10" t="str">
        <x:v>PENITPRE-CSDTCARANDIRU</x:v>
      </x:c>
      <x:c r="G371" s="10" t="str">
        <x:v>ICO</x:v>
      </x:c>
      <x:c r="H371" s="10" t="str">
        <x:v>FOT</x:v>
      </x:c>
      <x:c r="I371" s="10" t="str">
        <x:v>DGZ</x:v>
      </x:c>
      <x:c r="J371" s="10" t="str">
        <x:v>MT0</x:v>
      </x:c>
    </x:row>
    <x:row r="372" ht="24" hidden="0" customHeight="1">
      <x:c r="A372" s="10" t="str">
        <x:v>BR-SPAPESP_DASP-PENITPRE-CSDTCARANDIRU.xlsx</x:v>
      </x:c>
      <x:c r="B372" s="10" t="str">
        <x:v>Geral</x:v>
      </x:c>
      <x:c r="C372" s="11" t="n">
        <x:v>359</x:v>
      </x:c>
      <x:c r="D372" s="10" t="str">
        <x:v>BR-SPAPESP_DASP-PENITPRE-CSDTCARANDIRU.xlsx:Geral:359</x:v>
      </x:c>
      <x:c r="E372" s="10" t="str">
        <x:v>BRSPAPESP_DASPPENITPRE-CSDTCARANDIRU_ICOFOTDGZMT0_3055-003-027F.jpg</x:v>
      </x:c>
      <x:c r="F372" s="10" t="str">
        <x:v>PENITPRE-CSDTCARANDIRU</x:v>
      </x:c>
      <x:c r="G372" s="10" t="str">
        <x:v>ICO</x:v>
      </x:c>
      <x:c r="H372" s="10" t="str">
        <x:v>FOT</x:v>
      </x:c>
      <x:c r="I372" s="10" t="str">
        <x:v>DGZ</x:v>
      </x:c>
      <x:c r="J372" s="10" t="str">
        <x:v>MT0</x:v>
      </x:c>
    </x:row>
    <x:row r="373" ht="24" hidden="0" customHeight="1">
      <x:c r="A373" s="10" t="str">
        <x:v>BR-SPAPESP_DASP-PENITPRE-CSDTCARANDIRU.xlsx</x:v>
      </x:c>
      <x:c r="B373" s="10" t="str">
        <x:v>Geral</x:v>
      </x:c>
      <x:c r="C373" s="11" t="n">
        <x:v>360</x:v>
      </x:c>
      <x:c r="D373" s="10" t="str">
        <x:v>BR-SPAPESP_DASP-PENITPRE-CSDTCARANDIRU.xlsx:Geral:360</x:v>
      </x:c>
      <x:c r="E373" s="10" t="str">
        <x:v>BRSPAPESP_DASPPENITPRE-CSDTCARANDIRU_ICOFOTDGZMT0_3055-003-027V.jpg</x:v>
      </x:c>
      <x:c r="F373" s="10" t="str">
        <x:v>PENITPRE-CSDTCARANDIRU</x:v>
      </x:c>
      <x:c r="G373" s="10" t="str">
        <x:v>ICO</x:v>
      </x:c>
      <x:c r="H373" s="10" t="str">
        <x:v>FOT</x:v>
      </x:c>
      <x:c r="I373" s="10" t="str">
        <x:v>DGZ</x:v>
      </x:c>
      <x:c r="J373" s="10" t="str">
        <x:v>MT0</x:v>
      </x:c>
    </x:row>
    <x:row r="374" ht="24" hidden="0" customHeight="1">
      <x:c r="A374" s="10" t="str">
        <x:v>BR-SPAPESP_DASP-PENITPRE-CSDTCARANDIRU.xlsx</x:v>
      </x:c>
      <x:c r="B374" s="10" t="str">
        <x:v>Geral</x:v>
      </x:c>
      <x:c r="C374" s="11" t="n">
        <x:v>361</x:v>
      </x:c>
      <x:c r="D374" s="10" t="str">
        <x:v>BR-SPAPESP_DASP-PENITPRE-CSDTCARANDIRU.xlsx:Geral:361</x:v>
      </x:c>
      <x:c r="E374" s="10" t="str">
        <x:v>BRSPAPESP_DASPPENITPRE-CSDTCARANDIRU_ICOFOTDGZMT0_3055-003-028F.jpg</x:v>
      </x:c>
      <x:c r="F374" s="10" t="str">
        <x:v>PENITPRE-CSDTCARANDIRU</x:v>
      </x:c>
      <x:c r="G374" s="10" t="str">
        <x:v>ICO</x:v>
      </x:c>
      <x:c r="H374" s="10" t="str">
        <x:v>FOT</x:v>
      </x:c>
      <x:c r="I374" s="10" t="str">
        <x:v>DGZ</x:v>
      </x:c>
      <x:c r="J374" s="10" t="str">
        <x:v>MT0</x:v>
      </x:c>
    </x:row>
    <x:row r="375" ht="24" hidden="0" customHeight="1">
      <x:c r="A375" s="10" t="str">
        <x:v>BR-SPAPESP_DASP-PENITPRE-CSDTCARANDIRU.xlsx</x:v>
      </x:c>
      <x:c r="B375" s="10" t="str">
        <x:v>Geral</x:v>
      </x:c>
      <x:c r="C375" s="11" t="n">
        <x:v>362</x:v>
      </x:c>
      <x:c r="D375" s="10" t="str">
        <x:v>BR-SPAPESP_DASP-PENITPRE-CSDTCARANDIRU.xlsx:Geral:362</x:v>
      </x:c>
      <x:c r="E375" s="10" t="str">
        <x:v>BRSPAPESP_DASPPENITPRE-CSDTCARANDIRU_ICOFOTDGZMT0_3055-003-028V.jpg</x:v>
      </x:c>
      <x:c r="F375" s="10" t="str">
        <x:v>PENITPRE-CSDTCARANDIRU</x:v>
      </x:c>
      <x:c r="G375" s="10" t="str">
        <x:v>ICO</x:v>
      </x:c>
      <x:c r="H375" s="10" t="str">
        <x:v>FOT</x:v>
      </x:c>
      <x:c r="I375" s="10" t="str">
        <x:v>DGZ</x:v>
      </x:c>
      <x:c r="J375" s="10" t="str">
        <x:v>MT0</x:v>
      </x:c>
    </x:row>
    <x:row r="376" ht="24" hidden="0" customHeight="1">
      <x:c r="A376" s="10" t="str">
        <x:v>BR-SPAPESP_DASP-PENITPRE-CSDTCARANDIRU.xlsx</x:v>
      </x:c>
      <x:c r="B376" s="10" t="str">
        <x:v>Geral</x:v>
      </x:c>
      <x:c r="C376" s="11" t="n">
        <x:v>363</x:v>
      </x:c>
      <x:c r="D376" s="10" t="str">
        <x:v>BR-SPAPESP_DASP-PENITPRE-CSDTCARANDIRU.xlsx:Geral:363</x:v>
      </x:c>
      <x:c r="E376" s="10" t="str">
        <x:v>BRSPAPESP_DASPPENITPRE-CSDTCARANDIRU_ICOFOTDGZMT0_3055-003-029F.jpg</x:v>
      </x:c>
      <x:c r="F376" s="10" t="str">
        <x:v>PENITPRE-CSDTCARANDIRU</x:v>
      </x:c>
      <x:c r="G376" s="10" t="str">
        <x:v>ICO</x:v>
      </x:c>
      <x:c r="H376" s="10" t="str">
        <x:v>FOT</x:v>
      </x:c>
      <x:c r="I376" s="10" t="str">
        <x:v>DGZ</x:v>
      </x:c>
      <x:c r="J376" s="10" t="str">
        <x:v>MT0</x:v>
      </x:c>
    </x:row>
    <x:row r="377" ht="24" hidden="0" customHeight="1">
      <x:c r="A377" s="10" t="str">
        <x:v>BR-SPAPESP_DASP-PENITPRE-CSDTCARANDIRU.xlsx</x:v>
      </x:c>
      <x:c r="B377" s="10" t="str">
        <x:v>Geral</x:v>
      </x:c>
      <x:c r="C377" s="11" t="n">
        <x:v>364</x:v>
      </x:c>
      <x:c r="D377" s="10" t="str">
        <x:v>BR-SPAPESP_DASP-PENITPRE-CSDTCARANDIRU.xlsx:Geral:364</x:v>
      </x:c>
      <x:c r="E377" s="10" t="str">
        <x:v>BRSPAPESP_DASPPENITPRE-CSDTCARANDIRU_ICOFOTDGZMT0_3055-003-029V.jpg</x:v>
      </x:c>
      <x:c r="F377" s="10" t="str">
        <x:v>PENITPRE-CSDTCARANDIRU</x:v>
      </x:c>
      <x:c r="G377" s="10" t="str">
        <x:v>ICO</x:v>
      </x:c>
      <x:c r="H377" s="10" t="str">
        <x:v>FOT</x:v>
      </x:c>
      <x:c r="I377" s="10" t="str">
        <x:v>DGZ</x:v>
      </x:c>
      <x:c r="J377" s="10" t="str">
        <x:v>MT0</x:v>
      </x:c>
    </x:row>
    <x:row r="378" ht="24" hidden="0" customHeight="1">
      <x:c r="A378" s="10" t="str">
        <x:v>BR-SPAPESP_DASP-PENITPRE-CSDTCARANDIRU.xlsx</x:v>
      </x:c>
      <x:c r="B378" s="10" t="str">
        <x:v>Geral</x:v>
      </x:c>
      <x:c r="C378" s="11" t="n">
        <x:v>365</x:v>
      </x:c>
      <x:c r="D378" s="10" t="str">
        <x:v>BR-SPAPESP_DASP-PENITPRE-CSDTCARANDIRU.xlsx:Geral:365</x:v>
      </x:c>
      <x:c r="E378" s="10" t="str">
        <x:v>BRSPAPESP_DASPPENITPRE-CSDTCARANDIRU_ICOFOTDGZMT0_3055-003-030F.jpg</x:v>
      </x:c>
      <x:c r="F378" s="10" t="str">
        <x:v>PENITPRE-CSDTCARANDIRU</x:v>
      </x:c>
      <x:c r="G378" s="10" t="str">
        <x:v>ICO</x:v>
      </x:c>
      <x:c r="H378" s="10" t="str">
        <x:v>FOT</x:v>
      </x:c>
      <x:c r="I378" s="10" t="str">
        <x:v>DGZ</x:v>
      </x:c>
      <x:c r="J378" s="10" t="str">
        <x:v>MT0</x:v>
      </x:c>
    </x:row>
    <x:row r="379" ht="24" hidden="0" customHeight="1">
      <x:c r="A379" s="10" t="str">
        <x:v>BR-SPAPESP_DASP-PENITPRE-CSDTCARANDIRU.xlsx</x:v>
      </x:c>
      <x:c r="B379" s="10" t="str">
        <x:v>Geral</x:v>
      </x:c>
      <x:c r="C379" s="11" t="n">
        <x:v>366</x:v>
      </x:c>
      <x:c r="D379" s="10" t="str">
        <x:v>BR-SPAPESP_DASP-PENITPRE-CSDTCARANDIRU.xlsx:Geral:366</x:v>
      </x:c>
      <x:c r="E379" s="10" t="str">
        <x:v>BRSPAPESP_DASPPENITPRE-CSDTCARANDIRU_ICOFOTDGZMT0_3055-003-030V.jpg</x:v>
      </x:c>
      <x:c r="F379" s="10" t="str">
        <x:v>PENITPRE-CSDTCARANDIRU</x:v>
      </x:c>
      <x:c r="G379" s="10" t="str">
        <x:v>ICO</x:v>
      </x:c>
      <x:c r="H379" s="10" t="str">
        <x:v>FOT</x:v>
      </x:c>
      <x:c r="I379" s="10" t="str">
        <x:v>DGZ</x:v>
      </x:c>
      <x:c r="J379" s="10" t="str">
        <x:v>MT0</x:v>
      </x:c>
    </x:row>
    <x:row r="380" ht="24" hidden="0" customHeight="1">
      <x:c r="A380" s="10" t="str">
        <x:v>BR-SPCARANDIRU_ARCOENGE-DEMOLICAO-CSDTCARANDIRU.xlsx</x:v>
      </x:c>
      <x:c r="B380" s="10" t="str">
        <x:v>Geral</x:v>
      </x:c>
      <x:c r="C380" s="11" t="n">
        <x:v>2</x:v>
      </x:c>
      <x:c r="D380" s="10" t="str">
        <x:v>BR-SPCARANDIRU_ARCOENGE-DEMOLICAO-CSDTCARANDIRU.xlsx:Geral:2</x:v>
      </x:c>
      <x:c r="E380" s="10" t="str">
        <x:v>BRSPCARANDIRU_ARCOENGEDEMOLICAO-CSDTCARANDIRU_ICOFOTDGZMB0_0001-001.JPG</x:v>
      </x:c>
      <x:c r="F380" s="10" t="str">
        <x:v>DEMOLICAO-CSDTCARANDIRU</x:v>
      </x:c>
      <x:c r="G380" s="10" t="str">
        <x:v>ICO</x:v>
      </x:c>
      <x:c r="H380" s="10" t="str">
        <x:v>FOT</x:v>
      </x:c>
      <x:c r="I380" s="10" t="str">
        <x:v>DGZ</x:v>
      </x:c>
      <x:c r="J380" s="10" t="str">
        <x:v>MB0</x:v>
      </x:c>
    </x:row>
    <x:row r="381" ht="24" hidden="0" customHeight="1">
      <x:c r="A381" s="10" t="str">
        <x:v>BR-SPCARANDIRU_ARCOENGE-DEMOLICAO-CSDTCARANDIRU.xlsx</x:v>
      </x:c>
      <x:c r="B381" s="10" t="str">
        <x:v>Geral</x:v>
      </x:c>
      <x:c r="C381" s="11" t="n">
        <x:v>3</x:v>
      </x:c>
      <x:c r="D381" s="10" t="str">
        <x:v>BR-SPCARANDIRU_ARCOENGE-DEMOLICAO-CSDTCARANDIRU.xlsx:Geral:3</x:v>
      </x:c>
      <x:c r="E381" s="10" t="str">
        <x:v>BRSPCARANDIRU_ARCOENGEDEMOLICAO-CSDTCARANDIRU_ICOFOTDGZMB0_0001-002.JPG</x:v>
      </x:c>
      <x:c r="F381" s="10" t="str">
        <x:v>DEMOLICAO-CSDTCARANDIRU</x:v>
      </x:c>
      <x:c r="G381" s="10" t="str">
        <x:v>ICO</x:v>
      </x:c>
      <x:c r="H381" s="10" t="str">
        <x:v>FOT</x:v>
      </x:c>
      <x:c r="I381" s="10" t="str">
        <x:v>DGZ</x:v>
      </x:c>
      <x:c r="J381" s="10" t="str">
        <x:v>MB0</x:v>
      </x:c>
    </x:row>
    <x:row r="382" ht="24" hidden="0" customHeight="1">
      <x:c r="A382" s="10" t="str">
        <x:v>BR-SPCARANDIRU_ARCOENGE-DEMOLICAO-CSDTCARANDIRU.xlsx</x:v>
      </x:c>
      <x:c r="B382" s="10" t="str">
        <x:v>Geral</x:v>
      </x:c>
      <x:c r="C382" s="11" t="n">
        <x:v>4</x:v>
      </x:c>
      <x:c r="D382" s="10" t="str">
        <x:v>BR-SPCARANDIRU_ARCOENGE-DEMOLICAO-CSDTCARANDIRU.xlsx:Geral:4</x:v>
      </x:c>
      <x:c r="E382" s="10" t="str">
        <x:v>BRSPCARANDIRU_ARCOENGEDEMOLICAO-CSDTCARANDIRU_ICOFOTDGZMB0_0001-003.JPG</x:v>
      </x:c>
      <x:c r="F382" s="10" t="str">
        <x:v>DEMOLICAO-CSDTCARANDIRU</x:v>
      </x:c>
      <x:c r="G382" s="10" t="str">
        <x:v>ICO</x:v>
      </x:c>
      <x:c r="H382" s="10" t="str">
        <x:v>FOT</x:v>
      </x:c>
      <x:c r="I382" s="10" t="str">
        <x:v>DGZ</x:v>
      </x:c>
      <x:c r="J382" s="10" t="str">
        <x:v>MB0</x:v>
      </x:c>
    </x:row>
    <x:row r="383" ht="24" hidden="0" customHeight="1">
      <x:c r="A383" s="10" t="str">
        <x:v>BR-SPCARANDIRU_ARCOENGE-DEMOLICAO-CSDTCARANDIRU.xlsx</x:v>
      </x:c>
      <x:c r="B383" s="10" t="str">
        <x:v>Geral</x:v>
      </x:c>
      <x:c r="C383" s="11" t="n">
        <x:v>5</x:v>
      </x:c>
      <x:c r="D383" s="10" t="str">
        <x:v>BR-SPCARANDIRU_ARCOENGE-DEMOLICAO-CSDTCARANDIRU.xlsx:Geral:5</x:v>
      </x:c>
      <x:c r="E383" s="10" t="str">
        <x:v>BRSPCARANDIRU_ARCOENGEDEMOLICAO-CSDTCARANDIRU_ICOFOTDGZMB0_0001-004.JPG</x:v>
      </x:c>
      <x:c r="F383" s="10" t="str">
        <x:v>DEMOLICAO-CSDTCARANDIRU</x:v>
      </x:c>
      <x:c r="G383" s="10" t="str">
        <x:v>ICO</x:v>
      </x:c>
      <x:c r="H383" s="10" t="str">
        <x:v>FOT</x:v>
      </x:c>
      <x:c r="I383" s="10" t="str">
        <x:v>DGZ</x:v>
      </x:c>
      <x:c r="J383" s="10" t="str">
        <x:v>MB0</x:v>
      </x:c>
    </x:row>
    <x:row r="384" ht="24" hidden="0" customHeight="1">
      <x:c r="A384" s="10" t="str">
        <x:v>BR-SPCARANDIRU_ARCOENGE-DEMOLICAO-CSDTCARANDIRU.xlsx</x:v>
      </x:c>
      <x:c r="B384" s="10" t="str">
        <x:v>Geral</x:v>
      </x:c>
      <x:c r="C384" s="11" t="n">
        <x:v>6</x:v>
      </x:c>
      <x:c r="D384" s="10" t="str">
        <x:v>BR-SPCARANDIRU_ARCOENGE-DEMOLICAO-CSDTCARANDIRU.xlsx:Geral:6</x:v>
      </x:c>
      <x:c r="E384" s="10" t="str">
        <x:v>BRSPCARANDIRU_ARCOENGEDEMOLICAO-CSDTCARANDIRU_ICOFOTDGZMB0_0001-005.JPG</x:v>
      </x:c>
      <x:c r="F384" s="10" t="str">
        <x:v>DEMOLICAO-CSDTCARANDIRU</x:v>
      </x:c>
      <x:c r="G384" s="10" t="str">
        <x:v>ICO</x:v>
      </x:c>
      <x:c r="H384" s="10" t="str">
        <x:v>FOT</x:v>
      </x:c>
      <x:c r="I384" s="10" t="str">
        <x:v>DGZ</x:v>
      </x:c>
      <x:c r="J384" s="10" t="str">
        <x:v>MB0</x:v>
      </x:c>
    </x:row>
    <x:row r="385" ht="24" hidden="0" customHeight="1">
      <x:c r="A385" s="10" t="str">
        <x:v>BR-SPCARANDIRU_ARCOENGE-DEMOLICAO-CSDTCARANDIRU.xlsx</x:v>
      </x:c>
      <x:c r="B385" s="10" t="str">
        <x:v>Geral</x:v>
      </x:c>
      <x:c r="C385" s="11" t="n">
        <x:v>7</x:v>
      </x:c>
      <x:c r="D385" s="10" t="str">
        <x:v>BR-SPCARANDIRU_ARCOENGE-DEMOLICAO-CSDTCARANDIRU.xlsx:Geral:7</x:v>
      </x:c>
      <x:c r="E385" s="10" t="str">
        <x:v>BRSPCARANDIRU_ARCOENGEDEMOLICAO-CSDTCARANDIRU_ICOFOTDGZMB0_0001-006.JPG</x:v>
      </x:c>
      <x:c r="F385" s="10" t="str">
        <x:v>DEMOLICAO-CSDTCARANDIRU</x:v>
      </x:c>
      <x:c r="G385" s="10" t="str">
        <x:v>ICO</x:v>
      </x:c>
      <x:c r="H385" s="10" t="str">
        <x:v>FOT</x:v>
      </x:c>
      <x:c r="I385" s="10" t="str">
        <x:v>DGZ</x:v>
      </x:c>
      <x:c r="J385" s="10" t="str">
        <x:v>MB0</x:v>
      </x:c>
    </x:row>
    <x:row r="386" ht="24" hidden="0" customHeight="1">
      <x:c r="A386" s="10" t="str">
        <x:v>BR-SPCARANDIRU_ARCOENGE-DEMOLICAO-CSDTCARANDIRU.xlsx</x:v>
      </x:c>
      <x:c r="B386" s="10" t="str">
        <x:v>Geral</x:v>
      </x:c>
      <x:c r="C386" s="11" t="n">
        <x:v>8</x:v>
      </x:c>
      <x:c r="D386" s="10" t="str">
        <x:v>BR-SPCARANDIRU_ARCOENGE-DEMOLICAO-CSDTCARANDIRU.xlsx:Geral:8</x:v>
      </x:c>
      <x:c r="E386" s="10" t="str">
        <x:v>BRSPCARANDIRU_ARCOENGEDEMOLICAO-CSDTCARANDIRU_ICOFOTDGZMB0_0001-007.JPG</x:v>
      </x:c>
      <x:c r="F386" s="10" t="str">
        <x:v>DEMOLICAO-CSDTCARANDIRU</x:v>
      </x:c>
      <x:c r="G386" s="10" t="str">
        <x:v>ICO</x:v>
      </x:c>
      <x:c r="H386" s="10" t="str">
        <x:v>FOT</x:v>
      </x:c>
      <x:c r="I386" s="10" t="str">
        <x:v>DGZ</x:v>
      </x:c>
      <x:c r="J386" s="10" t="str">
        <x:v>MB0</x:v>
      </x:c>
    </x:row>
    <x:row r="387" ht="24" hidden="0" customHeight="1">
      <x:c r="A387" s="10" t="str">
        <x:v>BR-SPCARANDIRU_ARCOENGE-DEMOLICAO-CSDTCARANDIRU.xlsx</x:v>
      </x:c>
      <x:c r="B387" s="10" t="str">
        <x:v>Geral</x:v>
      </x:c>
      <x:c r="C387" s="11" t="n">
        <x:v>9</x:v>
      </x:c>
      <x:c r="D387" s="10" t="str">
        <x:v>BR-SPCARANDIRU_ARCOENGE-DEMOLICAO-CSDTCARANDIRU.xlsx:Geral:9</x:v>
      </x:c>
      <x:c r="E387" s="10" t="str">
        <x:v>BRSPCARANDIRU_ARCOENGEDEMOLICAO-CSDTCARANDIRU_ICOFOTDGZMB0_0001-008.JPG</x:v>
      </x:c>
      <x:c r="F387" s="10" t="str">
        <x:v>DEMOLICAO-CSDTCARANDIRU</x:v>
      </x:c>
      <x:c r="G387" s="10" t="str">
        <x:v>ICO</x:v>
      </x:c>
      <x:c r="H387" s="10" t="str">
        <x:v>FOT</x:v>
      </x:c>
      <x:c r="I387" s="10" t="str">
        <x:v>DGZ</x:v>
      </x:c>
      <x:c r="J387" s="10" t="str">
        <x:v>MB0</x:v>
      </x:c>
    </x:row>
    <x:row r="388" ht="24" hidden="0" customHeight="1">
      <x:c r="A388" s="10" t="str">
        <x:v>BR-SPCARANDIRU_ARCOENGE-DEMOLICAO-CSDTCARANDIRU.xlsx</x:v>
      </x:c>
      <x:c r="B388" s="10" t="str">
        <x:v>Geral</x:v>
      </x:c>
      <x:c r="C388" s="11" t="n">
        <x:v>10</x:v>
      </x:c>
      <x:c r="D388" s="10" t="str">
        <x:v>BR-SPCARANDIRU_ARCOENGE-DEMOLICAO-CSDTCARANDIRU.xlsx:Geral:10</x:v>
      </x:c>
      <x:c r="E388" s="10" t="str">
        <x:v>BRSPCARANDIRU_ARCOENGEDEMOLICAO-CSDTCARANDIRU_ICOFOTDGZMB0_0001-009.JPG</x:v>
      </x:c>
      <x:c r="F388" s="10" t="str">
        <x:v>DEMOLICAO-CSDTCARANDIRU</x:v>
      </x:c>
      <x:c r="G388" s="10" t="str">
        <x:v>ICO</x:v>
      </x:c>
      <x:c r="H388" s="10" t="str">
        <x:v>FOT</x:v>
      </x:c>
      <x:c r="I388" s="10" t="str">
        <x:v>DGZ</x:v>
      </x:c>
      <x:c r="J388" s="10" t="str">
        <x:v>MB0</x:v>
      </x:c>
    </x:row>
    <x:row r="389" ht="24" hidden="0" customHeight="1">
      <x:c r="A389" s="10" t="str">
        <x:v>BR-SPCARANDIRU_ARCOENGE-DEMOLICAO-CSDTCARANDIRU.xlsx</x:v>
      </x:c>
      <x:c r="B389" s="10" t="str">
        <x:v>Geral</x:v>
      </x:c>
      <x:c r="C389" s="11" t="n">
        <x:v>11</x:v>
      </x:c>
      <x:c r="D389" s="10" t="str">
        <x:v>BR-SPCARANDIRU_ARCOENGE-DEMOLICAO-CSDTCARANDIRU.xlsx:Geral:11</x:v>
      </x:c>
      <x:c r="E389" s="10" t="str">
        <x:v>BRSPCARANDIRU_ARCOENGEDEMOLICAO-CSDTCARANDIRU_ICOFOTDGZMB0_0001-010.JPG</x:v>
      </x:c>
      <x:c r="F389" s="10" t="str">
        <x:v>DEMOLICAO-CSDTCARANDIRU</x:v>
      </x:c>
      <x:c r="G389" s="10" t="str">
        <x:v>ICO</x:v>
      </x:c>
      <x:c r="H389" s="10" t="str">
        <x:v>FOT</x:v>
      </x:c>
      <x:c r="I389" s="10" t="str">
        <x:v>DGZ</x:v>
      </x:c>
      <x:c r="J389" s="10" t="str">
        <x:v>MB0</x:v>
      </x:c>
    </x:row>
    <x:row r="390" ht="24" hidden="0" customHeight="1">
      <x:c r="A390" s="10" t="str">
        <x:v>BR-SPCARANDIRU_ARCOENGE-DEMOLICAO-CSDTCARANDIRU.xlsx</x:v>
      </x:c>
      <x:c r="B390" s="10" t="str">
        <x:v>Geral</x:v>
      </x:c>
      <x:c r="C390" s="11" t="n">
        <x:v>12</x:v>
      </x:c>
      <x:c r="D390" s="10" t="str">
        <x:v>BR-SPCARANDIRU_ARCOENGE-DEMOLICAO-CSDTCARANDIRU.xlsx:Geral:12</x:v>
      </x:c>
      <x:c r="E390" s="10" t="str">
        <x:v>BRSPCARANDIRU_ARCOENGEDEMOLICAO-CSDTCARANDIRU_ICOFOTDGZMB0_0001-011.JPG</x:v>
      </x:c>
      <x:c r="F390" s="10" t="str">
        <x:v>DEMOLICAO-CSDTCARANDIRU</x:v>
      </x:c>
      <x:c r="G390" s="10" t="str">
        <x:v>ICO</x:v>
      </x:c>
      <x:c r="H390" s="10" t="str">
        <x:v>FOT</x:v>
      </x:c>
      <x:c r="I390" s="10" t="str">
        <x:v>DGZ</x:v>
      </x:c>
      <x:c r="J390" s="10" t="str">
        <x:v>MB0</x:v>
      </x:c>
    </x:row>
    <x:row r="391" ht="24" hidden="0" customHeight="1">
      <x:c r="A391" s="10" t="str">
        <x:v>BR-SPCARANDIRU_ARCOENGE-DEMOLICAO-CSDTCARANDIRU.xlsx</x:v>
      </x:c>
      <x:c r="B391" s="10" t="str">
        <x:v>Geral</x:v>
      </x:c>
      <x:c r="C391" s="11" t="n">
        <x:v>13</x:v>
      </x:c>
      <x:c r="D391" s="10" t="str">
        <x:v>BR-SPCARANDIRU_ARCOENGE-DEMOLICAO-CSDTCARANDIRU.xlsx:Geral:13</x:v>
      </x:c>
      <x:c r="E391" s="10" t="str">
        <x:v>BRSPCARANDIRU_ARCOENGEDEMOLICAO-CSDTCARANDIRU_ICOFOTDGZMB0_0001-012.JPG</x:v>
      </x:c>
      <x:c r="F391" s="10" t="str">
        <x:v>DEMOLICAO-CSDTCARANDIRU</x:v>
      </x:c>
      <x:c r="G391" s="10" t="str">
        <x:v>ICO</x:v>
      </x:c>
      <x:c r="H391" s="10" t="str">
        <x:v>FOT</x:v>
      </x:c>
      <x:c r="I391" s="10" t="str">
        <x:v>DGZ</x:v>
      </x:c>
      <x:c r="J391" s="10" t="str">
        <x:v>MB0</x:v>
      </x:c>
    </x:row>
    <x:row r="392" ht="24" hidden="0" customHeight="1">
      <x:c r="A392" s="10" t="str">
        <x:v>BR-SPCARANDIRU_ARCOENGE-DEMOLICAO-CSDTCARANDIRU.xlsx</x:v>
      </x:c>
      <x:c r="B392" s="10" t="str">
        <x:v>Geral</x:v>
      </x:c>
      <x:c r="C392" s="11" t="n">
        <x:v>14</x:v>
      </x:c>
      <x:c r="D392" s="10" t="str">
        <x:v>BR-SPCARANDIRU_ARCOENGE-DEMOLICAO-CSDTCARANDIRU.xlsx:Geral:14</x:v>
      </x:c>
      <x:c r="E392" s="10" t="str">
        <x:v>BRSPCARANDIRU_ARCOENGEDEMOLICAO-CSDTCARANDIRU_ICOFOTDGZMB0_0001-013.JPG</x:v>
      </x:c>
      <x:c r="F392" s="10" t="str">
        <x:v>DEMOLICAO-CSDTCARANDIRU</x:v>
      </x:c>
      <x:c r="G392" s="10" t="str">
        <x:v>ICO</x:v>
      </x:c>
      <x:c r="H392" s="10" t="str">
        <x:v>FOT</x:v>
      </x:c>
      <x:c r="I392" s="10" t="str">
        <x:v>DGZ</x:v>
      </x:c>
      <x:c r="J392" s="10" t="str">
        <x:v>MB0</x:v>
      </x:c>
    </x:row>
    <x:row r="393" ht="24" hidden="0" customHeight="1">
      <x:c r="A393" s="10" t="str">
        <x:v>BR-SPCARANDIRU_ARCOENGE-DEMOLICAO-CSDTCARANDIRU.xlsx</x:v>
      </x:c>
      <x:c r="B393" s="10" t="str">
        <x:v>Geral</x:v>
      </x:c>
      <x:c r="C393" s="11" t="n">
        <x:v>15</x:v>
      </x:c>
      <x:c r="D393" s="10" t="str">
        <x:v>BR-SPCARANDIRU_ARCOENGE-DEMOLICAO-CSDTCARANDIRU.xlsx:Geral:15</x:v>
      </x:c>
      <x:c r="E393" s="10" t="str">
        <x:v>BRSPCARANDIRU_ARCOENGEDEMOLICAO-CSDTCARANDIRU_ICOFOTDGZMB0_0001-014.JPG</x:v>
      </x:c>
      <x:c r="F393" s="10" t="str">
        <x:v>DEMOLICAO-CSDTCARANDIRU</x:v>
      </x:c>
      <x:c r="G393" s="10" t="str">
        <x:v>ICO</x:v>
      </x:c>
      <x:c r="H393" s="10" t="str">
        <x:v>FOT</x:v>
      </x:c>
      <x:c r="I393" s="10" t="str">
        <x:v>DGZ</x:v>
      </x:c>
      <x:c r="J393" s="10" t="str">
        <x:v>MB0</x:v>
      </x:c>
    </x:row>
    <x:row r="394" ht="24" hidden="0" customHeight="1">
      <x:c r="A394" s="10" t="str">
        <x:v>BR-SPCARANDIRU_ARCOENGE-DEMOLICAO-CSDTCARANDIRU.xlsx</x:v>
      </x:c>
      <x:c r="B394" s="10" t="str">
        <x:v>Geral</x:v>
      </x:c>
      <x:c r="C394" s="11" t="n">
        <x:v>16</x:v>
      </x:c>
      <x:c r="D394" s="10" t="str">
        <x:v>BR-SPCARANDIRU_ARCOENGE-DEMOLICAO-CSDTCARANDIRU.xlsx:Geral:16</x:v>
      </x:c>
      <x:c r="E394" s="10" t="str">
        <x:v>BRSPCARANDIRU_ARCOENGEDEMOLICAO-CSDTCARANDIRU_ICOFOTDGZMB0_0001-015.JPG</x:v>
      </x:c>
      <x:c r="F394" s="10" t="str">
        <x:v>DEMOLICAO-CSDTCARANDIRU</x:v>
      </x:c>
      <x:c r="G394" s="10" t="str">
        <x:v>ICO</x:v>
      </x:c>
      <x:c r="H394" s="10" t="str">
        <x:v>FOT</x:v>
      </x:c>
      <x:c r="I394" s="10" t="str">
        <x:v>DGZ</x:v>
      </x:c>
      <x:c r="J394" s="10" t="str">
        <x:v>MB0</x:v>
      </x:c>
    </x:row>
    <x:row r="395" ht="24" hidden="0" customHeight="1">
      <x:c r="A395" s="10" t="str">
        <x:v>BR-SPCARANDIRU_ARCOENGE-DEMOLICAO-CSDTCARANDIRU.xlsx</x:v>
      </x:c>
      <x:c r="B395" s="10" t="str">
        <x:v>Geral</x:v>
      </x:c>
      <x:c r="C395" s="11" t="n">
        <x:v>17</x:v>
      </x:c>
      <x:c r="D395" s="10" t="str">
        <x:v>BR-SPCARANDIRU_ARCOENGE-DEMOLICAO-CSDTCARANDIRU.xlsx:Geral:17</x:v>
      </x:c>
      <x:c r="E395" s="10" t="str">
        <x:v>BRSPCARANDIRU_ARCOENGEDEMOLICAO-CSDTCARANDIRU_ICOFOTDGZMB0_0001-016.JPG</x:v>
      </x:c>
      <x:c r="F395" s="10" t="str">
        <x:v>DEMOLICAO-CSDTCARANDIRU</x:v>
      </x:c>
      <x:c r="G395" s="10" t="str">
        <x:v>ICO</x:v>
      </x:c>
      <x:c r="H395" s="10" t="str">
        <x:v>FOT</x:v>
      </x:c>
      <x:c r="I395" s="10" t="str">
        <x:v>DGZ</x:v>
      </x:c>
      <x:c r="J395" s="10" t="str">
        <x:v>MB0</x:v>
      </x:c>
    </x:row>
    <x:row r="396" ht="24" hidden="0" customHeight="1">
      <x:c r="A396" s="10" t="str">
        <x:v>BR-SPCARANDIRU_ARCOENGE-DEMOLICAO-CSDTCARANDIRU.xlsx</x:v>
      </x:c>
      <x:c r="B396" s="10" t="str">
        <x:v>Geral</x:v>
      </x:c>
      <x:c r="C396" s="11" t="n">
        <x:v>18</x:v>
      </x:c>
      <x:c r="D396" s="10" t="str">
        <x:v>BR-SPCARANDIRU_ARCOENGE-DEMOLICAO-CSDTCARANDIRU.xlsx:Geral:18</x:v>
      </x:c>
      <x:c r="E396" s="10" t="str">
        <x:v>BRSPCARANDIRU_ARCOENGEDEMOLICAO-CSDTCARANDIRU_ICOFOTDGZMB0_0001-017.JPG</x:v>
      </x:c>
      <x:c r="F396" s="10" t="str">
        <x:v>DEMOLICAO-CSDTCARANDIRU</x:v>
      </x:c>
      <x:c r="G396" s="10" t="str">
        <x:v>ICO</x:v>
      </x:c>
      <x:c r="H396" s="10" t="str">
        <x:v>FOT</x:v>
      </x:c>
      <x:c r="I396" s="10" t="str">
        <x:v>DGZ</x:v>
      </x:c>
      <x:c r="J396" s="10" t="str">
        <x:v>MB0</x:v>
      </x:c>
    </x:row>
    <x:row r="397" ht="24" hidden="0" customHeight="1">
      <x:c r="A397" s="10" t="str">
        <x:v>BR-SPCARANDIRU_ARCOENGE-DEMOLICAO-CSDTCARANDIRU.xlsx</x:v>
      </x:c>
      <x:c r="B397" s="10" t="str">
        <x:v>Geral</x:v>
      </x:c>
      <x:c r="C397" s="11" t="n">
        <x:v>19</x:v>
      </x:c>
      <x:c r="D397" s="10" t="str">
        <x:v>BR-SPCARANDIRU_ARCOENGE-DEMOLICAO-CSDTCARANDIRU.xlsx:Geral:19</x:v>
      </x:c>
      <x:c r="E397" s="10" t="str">
        <x:v>BRSPCARANDIRU_ARCOENGEDEMOLICAO-CSDTCARANDIRU_ICOFOTDGZMB0_0001-018.JPG</x:v>
      </x:c>
      <x:c r="F397" s="10" t="str">
        <x:v>DEMOLICAO-CSDTCARANDIRU</x:v>
      </x:c>
      <x:c r="G397" s="10" t="str">
        <x:v>ICO</x:v>
      </x:c>
      <x:c r="H397" s="10" t="str">
        <x:v>FOT</x:v>
      </x:c>
      <x:c r="I397" s="10" t="str">
        <x:v>DGZ</x:v>
      </x:c>
      <x:c r="J397" s="10" t="str">
        <x:v>MB0</x:v>
      </x:c>
    </x:row>
    <x:row r="398" ht="24" hidden="0" customHeight="1">
      <x:c r="A398" s="10" t="str">
        <x:v>BR-SPCARANDIRU_ARCOENGE-DEMOLICAO-CSDTCARANDIRU.xlsx</x:v>
      </x:c>
      <x:c r="B398" s="10" t="str">
        <x:v>Geral</x:v>
      </x:c>
      <x:c r="C398" s="11" t="n">
        <x:v>20</x:v>
      </x:c>
      <x:c r="D398" s="10" t="str">
        <x:v>BR-SPCARANDIRU_ARCOENGE-DEMOLICAO-CSDTCARANDIRU.xlsx:Geral:20</x:v>
      </x:c>
      <x:c r="E398" s="10" t="str">
        <x:v>BRSPCARANDIRU_ARCOENGEDEMOLICAO-CSDTCARANDIRU_ICOFOTDGZMB0_0001-019.JPG</x:v>
      </x:c>
      <x:c r="F398" s="10" t="str">
        <x:v>DEMOLICAO-CSDTCARANDIRU</x:v>
      </x:c>
      <x:c r="G398" s="10" t="str">
        <x:v>ICO</x:v>
      </x:c>
      <x:c r="H398" s="10" t="str">
        <x:v>FOT</x:v>
      </x:c>
      <x:c r="I398" s="10" t="str">
        <x:v>DGZ</x:v>
      </x:c>
      <x:c r="J398" s="10" t="str">
        <x:v>MB0</x:v>
      </x:c>
    </x:row>
    <x:row r="399" ht="24" hidden="0" customHeight="1">
      <x:c r="A399" s="10" t="str">
        <x:v>BR-SPCARANDIRU_ARCOENGE-DEMOLICAO-CSDTCARANDIRU.xlsx</x:v>
      </x:c>
      <x:c r="B399" s="10" t="str">
        <x:v>Geral</x:v>
      </x:c>
      <x:c r="C399" s="11" t="n">
        <x:v>21</x:v>
      </x:c>
      <x:c r="D399" s="10" t="str">
        <x:v>BR-SPCARANDIRU_ARCOENGE-DEMOLICAO-CSDTCARANDIRU.xlsx:Geral:21</x:v>
      </x:c>
      <x:c r="E399" s="10" t="str">
        <x:v>BRSPCARANDIRU_ARCOENGEDEMOLICAO-CSDTCARANDIRU_ICOFOTDGZMB0_0001-020.JPG</x:v>
      </x:c>
      <x:c r="F399" s="10" t="str">
        <x:v>DEMOLICAO-CSDTCARANDIRU</x:v>
      </x:c>
      <x:c r="G399" s="10" t="str">
        <x:v>ICO</x:v>
      </x:c>
      <x:c r="H399" s="10" t="str">
        <x:v>FOT</x:v>
      </x:c>
      <x:c r="I399" s="10" t="str">
        <x:v>DGZ</x:v>
      </x:c>
      <x:c r="J399" s="10" t="str">
        <x:v>MB0</x:v>
      </x:c>
    </x:row>
    <x:row r="400" ht="24" hidden="0" customHeight="1">
      <x:c r="A400" s="10" t="str">
        <x:v>BR-SPCARANDIRU_ARCOENGE-DEMOLICAO-CSDTCARANDIRU.xlsx</x:v>
      </x:c>
      <x:c r="B400" s="10" t="str">
        <x:v>Geral</x:v>
      </x:c>
      <x:c r="C400" s="11" t="n">
        <x:v>22</x:v>
      </x:c>
      <x:c r="D400" s="10" t="str">
        <x:v>BR-SPCARANDIRU_ARCOENGE-DEMOLICAO-CSDTCARANDIRU.xlsx:Geral:22</x:v>
      </x:c>
      <x:c r="E400" s="10" t="str">
        <x:v>BRSPCARANDIRU_ARCOENGEDEMOLICAO-CSDTCARANDIRU_ICOFOTDGZMB0_0001-021.JPG</x:v>
      </x:c>
      <x:c r="F400" s="10" t="str">
        <x:v>DEMOLICAO-CSDTCARANDIRU</x:v>
      </x:c>
      <x:c r="G400" s="10" t="str">
        <x:v>ICO</x:v>
      </x:c>
      <x:c r="H400" s="10" t="str">
        <x:v>FOT</x:v>
      </x:c>
      <x:c r="I400" s="10" t="str">
        <x:v>DGZ</x:v>
      </x:c>
      <x:c r="J400" s="10" t="str">
        <x:v>MB0</x:v>
      </x:c>
    </x:row>
    <x:row r="401" ht="24" hidden="0" customHeight="1">
      <x:c r="A401" s="10" t="str">
        <x:v>BR-SPCARANDIRU_ARCOENGE-DEMOLICAO-CSDTCARANDIRU.xlsx</x:v>
      </x:c>
      <x:c r="B401" s="10" t="str">
        <x:v>Geral</x:v>
      </x:c>
      <x:c r="C401" s="11" t="n">
        <x:v>23</x:v>
      </x:c>
      <x:c r="D401" s="10" t="str">
        <x:v>BR-SPCARANDIRU_ARCOENGE-DEMOLICAO-CSDTCARANDIRU.xlsx:Geral:23</x:v>
      </x:c>
      <x:c r="E401" s="10" t="str">
        <x:v>BRSPCARANDIRU_ARCOENGEDEMOLICAO-CSDTCARANDIRU_ICOFOTDGZMB0_0001-022.JPG</x:v>
      </x:c>
      <x:c r="F401" s="10" t="str">
        <x:v>DEMOLICAO-CSDTCARANDIRU</x:v>
      </x:c>
      <x:c r="G401" s="10" t="str">
        <x:v>ICO</x:v>
      </x:c>
      <x:c r="H401" s="10" t="str">
        <x:v>FOT</x:v>
      </x:c>
      <x:c r="I401" s="10" t="str">
        <x:v>DGZ</x:v>
      </x:c>
      <x:c r="J401" s="10" t="str">
        <x:v>MB0</x:v>
      </x:c>
    </x:row>
    <x:row r="402" ht="24" hidden="0" customHeight="1">
      <x:c r="A402" s="10" t="str">
        <x:v>BR-SPCARANDIRU_ARCOENGE-DEMOLICAO-CSDTCARANDIRU.xlsx</x:v>
      </x:c>
      <x:c r="B402" s="10" t="str">
        <x:v>Geral</x:v>
      </x:c>
      <x:c r="C402" s="11" t="n">
        <x:v>24</x:v>
      </x:c>
      <x:c r="D402" s="10" t="str">
        <x:v>BR-SPCARANDIRU_ARCOENGE-DEMOLICAO-CSDTCARANDIRU.xlsx:Geral:24</x:v>
      </x:c>
      <x:c r="E402" s="10" t="str">
        <x:v>BRSPCARANDIRU_ARCOENGEDEMOLICAO-CSDTCARANDIRU_ICOFOTDGZMB0_0001-023.JPG</x:v>
      </x:c>
      <x:c r="F402" s="10" t="str">
        <x:v>DEMOLICAO-CSDTCARANDIRU</x:v>
      </x:c>
      <x:c r="G402" s="10" t="str">
        <x:v>ICO</x:v>
      </x:c>
      <x:c r="H402" s="10" t="str">
        <x:v>FOT</x:v>
      </x:c>
      <x:c r="I402" s="10" t="str">
        <x:v>DGZ</x:v>
      </x:c>
      <x:c r="J402" s="10" t="str">
        <x:v>MB0</x:v>
      </x:c>
    </x:row>
    <x:row r="403" ht="24" hidden="0" customHeight="1">
      <x:c r="A403" s="10" t="str">
        <x:v>BR-SPCARANDIRU_ARCOENGE-DEMOLICAO-CSDTCARANDIRU.xlsx</x:v>
      </x:c>
      <x:c r="B403" s="10" t="str">
        <x:v>Geral</x:v>
      </x:c>
      <x:c r="C403" s="11" t="n">
        <x:v>25</x:v>
      </x:c>
      <x:c r="D403" s="10" t="str">
        <x:v>BR-SPCARANDIRU_ARCOENGE-DEMOLICAO-CSDTCARANDIRU.xlsx:Geral:25</x:v>
      </x:c>
      <x:c r="E403" s="10" t="str">
        <x:v>BRSPCARANDIRU_ARCOENGEDEMOLICAO-CSDTCARANDIRU_ICOFOTDGZMB0_0001-024.JPG</x:v>
      </x:c>
      <x:c r="F403" s="10" t="str">
        <x:v>DEMOLICAO-CSDTCARANDIRU</x:v>
      </x:c>
      <x:c r="G403" s="10" t="str">
        <x:v>ICO</x:v>
      </x:c>
      <x:c r="H403" s="10" t="str">
        <x:v>FOT</x:v>
      </x:c>
      <x:c r="I403" s="10" t="str">
        <x:v>DGZ</x:v>
      </x:c>
      <x:c r="J403" s="10" t="str">
        <x:v>MB0</x:v>
      </x:c>
    </x:row>
    <x:row r="404" ht="24" hidden="0" customHeight="1">
      <x:c r="A404" s="10" t="str">
        <x:v>BR-SPCARANDIRU_ARCOENGE-DEMOLICAO-CSDTCARANDIRU.xlsx</x:v>
      </x:c>
      <x:c r="B404" s="10" t="str">
        <x:v>Geral</x:v>
      </x:c>
      <x:c r="C404" s="11" t="n">
        <x:v>26</x:v>
      </x:c>
      <x:c r="D404" s="10" t="str">
        <x:v>BR-SPCARANDIRU_ARCOENGE-DEMOLICAO-CSDTCARANDIRU.xlsx:Geral:26</x:v>
      </x:c>
      <x:c r="E404" s="10" t="str">
        <x:v>BRSPCARANDIRU_ARCOENGEDEMOLICAO-CSDTCARANDIRU_ICOFOTDGZMB0_0001-025.JPG</x:v>
      </x:c>
      <x:c r="F404" s="10" t="str">
        <x:v>DEMOLICAO-CSDTCARANDIRU</x:v>
      </x:c>
      <x:c r="G404" s="10" t="str">
        <x:v>ICO</x:v>
      </x:c>
      <x:c r="H404" s="10" t="str">
        <x:v>FOT</x:v>
      </x:c>
      <x:c r="I404" s="10" t="str">
        <x:v>DGZ</x:v>
      </x:c>
      <x:c r="J404" s="10" t="str">
        <x:v>MB0</x:v>
      </x:c>
    </x:row>
    <x:row r="405" ht="24" hidden="0" customHeight="1">
      <x:c r="A405" s="10" t="str">
        <x:v>BR-SPCARANDIRU_ARCOENGE-DEMOLICAO-CSDTCARANDIRU.xlsx</x:v>
      </x:c>
      <x:c r="B405" s="10" t="str">
        <x:v>Geral</x:v>
      </x:c>
      <x:c r="C405" s="11" t="n">
        <x:v>27</x:v>
      </x:c>
      <x:c r="D405" s="10" t="str">
        <x:v>BR-SPCARANDIRU_ARCOENGE-DEMOLICAO-CSDTCARANDIRU.xlsx:Geral:27</x:v>
      </x:c>
      <x:c r="E405" s="10" t="str">
        <x:v>BRSPCARANDIRU_ARCOENGEDEMOLICAO-CSDTCARANDIRU_ICOFOTDGZMB0_0001-026.JPG</x:v>
      </x:c>
      <x:c r="F405" s="10" t="str">
        <x:v>DEMOLICAO-CSDTCARANDIRU</x:v>
      </x:c>
      <x:c r="G405" s="10" t="str">
        <x:v>ICO</x:v>
      </x:c>
      <x:c r="H405" s="10" t="str">
        <x:v>FOT</x:v>
      </x:c>
      <x:c r="I405" s="10" t="str">
        <x:v>DGZ</x:v>
      </x:c>
      <x:c r="J405" s="10" t="str">
        <x:v>MB0</x:v>
      </x:c>
    </x:row>
    <x:row r="406" ht="24" hidden="0" customHeight="1">
      <x:c r="A406" s="10" t="str">
        <x:v>BR-SPCARANDIRU_ARCOENGE-DEMOLICAO-CSDTCARANDIRU.xlsx</x:v>
      </x:c>
      <x:c r="B406" s="10" t="str">
        <x:v>Geral</x:v>
      </x:c>
      <x:c r="C406" s="11" t="n">
        <x:v>28</x:v>
      </x:c>
      <x:c r="D406" s="10" t="str">
        <x:v>BR-SPCARANDIRU_ARCOENGE-DEMOLICAO-CSDTCARANDIRU.xlsx:Geral:28</x:v>
      </x:c>
      <x:c r="E406" s="10" t="str">
        <x:v>BRSPCARANDIRU_ARCOENGEDEMOLICAO-CSDTCARANDIRU_ICOFOTDGZMB0_0001-027.JPG</x:v>
      </x:c>
      <x:c r="F406" s="10" t="str">
        <x:v>DEMOLICAO-CSDTCARANDIRU</x:v>
      </x:c>
      <x:c r="G406" s="10" t="str">
        <x:v>ICO</x:v>
      </x:c>
      <x:c r="H406" s="10" t="str">
        <x:v>FOT</x:v>
      </x:c>
      <x:c r="I406" s="10" t="str">
        <x:v>DGZ</x:v>
      </x:c>
      <x:c r="J406" s="10" t="str">
        <x:v>MB0</x:v>
      </x:c>
    </x:row>
    <x:row r="407" ht="24" hidden="0" customHeight="1">
      <x:c r="A407" s="10" t="str">
        <x:v>BR-SPCARANDIRU_ARCOENGE-DEMOLICAO-CSDTCARANDIRU.xlsx</x:v>
      </x:c>
      <x:c r="B407" s="10" t="str">
        <x:v>Geral</x:v>
      </x:c>
      <x:c r="C407" s="11" t="n">
        <x:v>29</x:v>
      </x:c>
      <x:c r="D407" s="10" t="str">
        <x:v>BR-SPCARANDIRU_ARCOENGE-DEMOLICAO-CSDTCARANDIRU.xlsx:Geral:29</x:v>
      </x:c>
      <x:c r="E407" s="10" t="str">
        <x:v>BRSPCARANDIRU_ARCOENGEDEMOLICAO-CSDTCARANDIRU_ICOFOTDGZMB0_0001-028.JPG</x:v>
      </x:c>
      <x:c r="F407" s="10" t="str">
        <x:v>DEMOLICAO-CSDTCARANDIRU</x:v>
      </x:c>
      <x:c r="G407" s="10" t="str">
        <x:v>ICO</x:v>
      </x:c>
      <x:c r="H407" s="10" t="str">
        <x:v>FOT</x:v>
      </x:c>
      <x:c r="I407" s="10" t="str">
        <x:v>DGZ</x:v>
      </x:c>
      <x:c r="J407" s="10" t="str">
        <x:v>MB0</x:v>
      </x:c>
    </x:row>
    <x:row r="408" ht="24" hidden="0" customHeight="1">
      <x:c r="A408" s="10" t="str">
        <x:v>BR-SPCARANDIRU_ARCOENGE-DEMOLICAO-CSDTCARANDIRU.xlsx</x:v>
      </x:c>
      <x:c r="B408" s="10" t="str">
        <x:v>Geral</x:v>
      </x:c>
      <x:c r="C408" s="11" t="n">
        <x:v>30</x:v>
      </x:c>
      <x:c r="D408" s="10" t="str">
        <x:v>BR-SPCARANDIRU_ARCOENGE-DEMOLICAO-CSDTCARANDIRU.xlsx:Geral:30</x:v>
      </x:c>
      <x:c r="E408" s="10" t="str">
        <x:v>BRSPCARANDIRU_ARCOENGEDEMOLICAO-CSDTCARANDIRU_ICOFOTDGZMB0_0001-029.JPG</x:v>
      </x:c>
      <x:c r="F408" s="10" t="str">
        <x:v>DEMOLICAO-CSDTCARANDIRU</x:v>
      </x:c>
      <x:c r="G408" s="10" t="str">
        <x:v>ICO</x:v>
      </x:c>
      <x:c r="H408" s="10" t="str">
        <x:v>FOT</x:v>
      </x:c>
      <x:c r="I408" s="10" t="str">
        <x:v>DGZ</x:v>
      </x:c>
      <x:c r="J408" s="10" t="str">
        <x:v>MB0</x:v>
      </x:c>
    </x:row>
    <x:row r="409" ht="24" hidden="0" customHeight="1">
      <x:c r="A409" s="10" t="str">
        <x:v>BR-SPCARANDIRU_ARCOENGE-DEMOLICAO-CSDTCARANDIRU.xlsx</x:v>
      </x:c>
      <x:c r="B409" s="10" t="str">
        <x:v>Geral</x:v>
      </x:c>
      <x:c r="C409" s="11" t="n">
        <x:v>31</x:v>
      </x:c>
      <x:c r="D409" s="10" t="str">
        <x:v>BR-SPCARANDIRU_ARCOENGE-DEMOLICAO-CSDTCARANDIRU.xlsx:Geral:31</x:v>
      </x:c>
      <x:c r="E409" s="10" t="str">
        <x:v>BRSPCARANDIRU_ARCOENGEDEMOLICAO-CSDTCARANDIRU_ICOFOTDGZMB0_0001-030.JPG</x:v>
      </x:c>
      <x:c r="F409" s="10" t="str">
        <x:v>DEMOLICAO-CSDTCARANDIRU</x:v>
      </x:c>
      <x:c r="G409" s="10" t="str">
        <x:v>ICO</x:v>
      </x:c>
      <x:c r="H409" s="10" t="str">
        <x:v>FOT</x:v>
      </x:c>
      <x:c r="I409" s="10" t="str">
        <x:v>DGZ</x:v>
      </x:c>
      <x:c r="J409" s="10" t="str">
        <x:v>MB0</x:v>
      </x:c>
    </x:row>
    <x:row r="410" ht="24" hidden="0" customHeight="1">
      <x:c r="A410" s="10" t="str">
        <x:v>BR-SPCARANDIRU_ARCOENGE-DEMOLICAO-CSDTCARANDIRU.xlsx</x:v>
      </x:c>
      <x:c r="B410" s="10" t="str">
        <x:v>Geral</x:v>
      </x:c>
      <x:c r="C410" s="11" t="n">
        <x:v>32</x:v>
      </x:c>
      <x:c r="D410" s="10" t="str">
        <x:v>BR-SPCARANDIRU_ARCOENGE-DEMOLICAO-CSDTCARANDIRU.xlsx:Geral:32</x:v>
      </x:c>
      <x:c r="E410" s="10" t="str">
        <x:v>BRSPCARANDIRU_ARCOENGEDEMOLICAO-CSDTCARANDIRU_ICOFOTDGZMB0_0001-031.JPG</x:v>
      </x:c>
      <x:c r="F410" s="10" t="str">
        <x:v>DEMOLICAO-CSDTCARANDIRU</x:v>
      </x:c>
      <x:c r="G410" s="10" t="str">
        <x:v>ICO</x:v>
      </x:c>
      <x:c r="H410" s="10" t="str">
        <x:v>FOT</x:v>
      </x:c>
      <x:c r="I410" s="10" t="str">
        <x:v>DGZ</x:v>
      </x:c>
      <x:c r="J410" s="10" t="str">
        <x:v>MB0</x:v>
      </x:c>
    </x:row>
    <x:row r="411" ht="24" hidden="0" customHeight="1">
      <x:c r="A411" s="10" t="str">
        <x:v>BR-SPCARANDIRU_ARCOENGE-DEMOLICAO-CSDTCARANDIRU.xlsx</x:v>
      </x:c>
      <x:c r="B411" s="10" t="str">
        <x:v>Geral</x:v>
      </x:c>
      <x:c r="C411" s="11" t="n">
        <x:v>33</x:v>
      </x:c>
      <x:c r="D411" s="10" t="str">
        <x:v>BR-SPCARANDIRU_ARCOENGE-DEMOLICAO-CSDTCARANDIRU.xlsx:Geral:33</x:v>
      </x:c>
      <x:c r="E411" s="10" t="str">
        <x:v>BRSPCARANDIRU_ARCOENGEDEMOLICAO-CSDTCARANDIRU_TXTRELNDGMB0_0001-032.txt</x:v>
      </x:c>
      <x:c r="F411" s="10" t="str">
        <x:v>DEMOLICAO-CSDTCARANDIRU</x:v>
      </x:c>
      <x:c r="G411" s="10" t="str">
        <x:v>TXT</x:v>
      </x:c>
      <x:c r="H411" s="10" t="str">
        <x:v>REL</x:v>
      </x:c>
      <x:c r="I411" s="10" t="str">
        <x:v>NDG</x:v>
      </x:c>
      <x:c r="J411" s="10" t="str">
        <x:v>MB0</x:v>
      </x:c>
    </x:row>
    <x:row r="412" ht="24" hidden="0" customHeight="1">
      <x:c r="A412" s="10" t="str">
        <x:v>BR-SPCARANDIRU_ARCOENGE-DEMOLICAO-CSDTCARANDIRU.xlsx</x:v>
      </x:c>
      <x:c r="B412" s="10" t="str">
        <x:v>Geral</x:v>
      </x:c>
      <x:c r="C412" s="11" t="n">
        <x:v>34</x:v>
      </x:c>
      <x:c r="D412" s="10" t="str">
        <x:v>BR-SPCARANDIRU_ARCOENGE-DEMOLICAO-CSDTCARANDIRU.xlsx:Geral:34</x:v>
      </x:c>
      <x:c r="E412" s="10" t="str">
        <x:v>BRSPCARANDIRU_ARCOENGEDEMOLICAO-CSDTCARANDIRU_ICOFOTNDGMB0_0002-001.JPG</x:v>
      </x:c>
      <x:c r="F412" s="10" t="str">
        <x:v>DEMOLICAO-CSDTCARANDIRU</x:v>
      </x:c>
      <x:c r="G412" s="10" t="str">
        <x:v>ICO</x:v>
      </x:c>
      <x:c r="H412" s="10" t="str">
        <x:v>FOT</x:v>
      </x:c>
      <x:c r="I412" s="10" t="str">
        <x:v>NDG</x:v>
      </x:c>
      <x:c r="J412" s="10" t="str">
        <x:v>MB0</x:v>
      </x:c>
    </x:row>
    <x:row r="413" ht="24" hidden="0" customHeight="1">
      <x:c r="A413" s="10" t="str">
        <x:v>BR-SPCARANDIRU_ARCOENGE-DEMOLICAO-CSDTCARANDIRU.xlsx</x:v>
      </x:c>
      <x:c r="B413" s="10" t="str">
        <x:v>Geral</x:v>
      </x:c>
      <x:c r="C413" s="11" t="n">
        <x:v>35</x:v>
      </x:c>
      <x:c r="D413" s="10" t="str">
        <x:v>BR-SPCARANDIRU_ARCOENGE-DEMOLICAO-CSDTCARANDIRU.xlsx:Geral:35</x:v>
      </x:c>
      <x:c r="E413" s="10" t="str">
        <x:v>BRSPCARANDIRU_ARCOENGEDEMOLICAO-CSDTCARANDIRU_ICOFOTNDGMB0_0002-002.JPG</x:v>
      </x:c>
      <x:c r="F413" s="10" t="str">
        <x:v>DEMOLICAO-CSDTCARANDIRU</x:v>
      </x:c>
      <x:c r="G413" s="10" t="str">
        <x:v>ICO</x:v>
      </x:c>
      <x:c r="H413" s="10" t="str">
        <x:v>FOT</x:v>
      </x:c>
      <x:c r="I413" s="10" t="str">
        <x:v>NDG</x:v>
      </x:c>
      <x:c r="J413" s="10" t="str">
        <x:v>MB0</x:v>
      </x:c>
    </x:row>
    <x:row r="414" ht="24" hidden="0" customHeight="1">
      <x:c r="A414" s="10" t="str">
        <x:v>BR-SPCARANDIRU_ARCOENGE-DEMOLICAO-CSDTCARANDIRU.xlsx</x:v>
      </x:c>
      <x:c r="B414" s="10" t="str">
        <x:v>Geral</x:v>
      </x:c>
      <x:c r="C414" s="11" t="n">
        <x:v>36</x:v>
      </x:c>
      <x:c r="D414" s="10" t="str">
        <x:v>BR-SPCARANDIRU_ARCOENGE-DEMOLICAO-CSDTCARANDIRU.xlsx:Geral:36</x:v>
      </x:c>
      <x:c r="E414" s="10" t="str">
        <x:v>BRSPCARANDIRU_ARCOENGEDEMOLICAO-CSDTCARANDIRU_ICOFOTNDGMB0_0002-003.JPG</x:v>
      </x:c>
      <x:c r="F414" s="10" t="str">
        <x:v>DEMOLICAO-CSDTCARANDIRU</x:v>
      </x:c>
      <x:c r="G414" s="10" t="str">
        <x:v>ICO</x:v>
      </x:c>
      <x:c r="H414" s="10" t="str">
        <x:v>FOT</x:v>
      </x:c>
      <x:c r="I414" s="10" t="str">
        <x:v>NDG</x:v>
      </x:c>
      <x:c r="J414" s="10" t="str">
        <x:v>MB0</x:v>
      </x:c>
    </x:row>
    <x:row r="415" ht="24" hidden="0" customHeight="1">
      <x:c r="A415" s="10" t="str">
        <x:v>BR-SPCARANDIRU_ARCOENGE-DEMOLICAO-CSDTCARANDIRU.xlsx</x:v>
      </x:c>
      <x:c r="B415" s="10" t="str">
        <x:v>Geral</x:v>
      </x:c>
      <x:c r="C415" s="11" t="n">
        <x:v>37</x:v>
      </x:c>
      <x:c r="D415" s="10" t="str">
        <x:v>BR-SPCARANDIRU_ARCOENGE-DEMOLICAO-CSDTCARANDIRU.xlsx:Geral:37</x:v>
      </x:c>
      <x:c r="E415" s="10" t="str">
        <x:v>BRSPCARANDIRU_ARCOENGEDEMOLICAO-CSDTCARANDIRU_ICOFOTNDGMB0_0002-004.JPG</x:v>
      </x:c>
      <x:c r="F415" s="10" t="str">
        <x:v>DEMOLICAO-CSDTCARANDIRU</x:v>
      </x:c>
      <x:c r="G415" s="10" t="str">
        <x:v>ICO</x:v>
      </x:c>
      <x:c r="H415" s="10" t="str">
        <x:v>FOT</x:v>
      </x:c>
      <x:c r="I415" s="10" t="str">
        <x:v>NDG</x:v>
      </x:c>
      <x:c r="J415" s="10" t="str">
        <x:v>MB0</x:v>
      </x:c>
    </x:row>
    <x:row r="416" ht="24" hidden="0" customHeight="1">
      <x:c r="A416" s="10" t="str">
        <x:v>BR-SPCARANDIRU_ARCOENGE-DEMOLICAO-CSDTCARANDIRU.xlsx</x:v>
      </x:c>
      <x:c r="B416" s="10" t="str">
        <x:v>Geral</x:v>
      </x:c>
      <x:c r="C416" s="11" t="n">
        <x:v>38</x:v>
      </x:c>
      <x:c r="D416" s="10" t="str">
        <x:v>BR-SPCARANDIRU_ARCOENGE-DEMOLICAO-CSDTCARANDIRU.xlsx:Geral:38</x:v>
      </x:c>
      <x:c r="E416" s="10" t="str">
        <x:v>BRSPCARANDIRU_ARCOENGEDEMOLICAO-CSDTCARANDIRU_ICOFOTNDGMB0_0002-005.JPG</x:v>
      </x:c>
      <x:c r="F416" s="10" t="str">
        <x:v>DEMOLICAO-CSDTCARANDIRU</x:v>
      </x:c>
      <x:c r="G416" s="10" t="str">
        <x:v>ICO</x:v>
      </x:c>
      <x:c r="H416" s="10" t="str">
        <x:v>FOT</x:v>
      </x:c>
      <x:c r="I416" s="10" t="str">
        <x:v>NDG</x:v>
      </x:c>
      <x:c r="J416" s="10" t="str">
        <x:v>MB0</x:v>
      </x:c>
    </x:row>
    <x:row r="417" ht="24" hidden="0" customHeight="1">
      <x:c r="A417" s="10" t="str">
        <x:v>BR-SPCARANDIRU_ARCOENGE-DEMOLICAO-CSDTCARANDIRU.xlsx</x:v>
      </x:c>
      <x:c r="B417" s="10" t="str">
        <x:v>Geral</x:v>
      </x:c>
      <x:c r="C417" s="11" t="n">
        <x:v>39</x:v>
      </x:c>
      <x:c r="D417" s="10" t="str">
        <x:v>BR-SPCARANDIRU_ARCOENGE-DEMOLICAO-CSDTCARANDIRU.xlsx:Geral:39</x:v>
      </x:c>
      <x:c r="E417" s="10" t="str">
        <x:v>BRSPCARANDIRU_ARCOENGEDEMOLICAO-CSDTCARANDIRU_ICOFOTNDGMB0_0002-006.JPG</x:v>
      </x:c>
      <x:c r="F417" s="10" t="str">
        <x:v>DEMOLICAO-CSDTCARANDIRU</x:v>
      </x:c>
      <x:c r="G417" s="10" t="str">
        <x:v>ICO</x:v>
      </x:c>
      <x:c r="H417" s="10" t="str">
        <x:v>FOT</x:v>
      </x:c>
      <x:c r="I417" s="10" t="str">
        <x:v>NDG</x:v>
      </x:c>
      <x:c r="J417" s="10" t="str">
        <x:v>MB0</x:v>
      </x:c>
    </x:row>
    <x:row r="418" ht="24" hidden="0" customHeight="1">
      <x:c r="A418" s="10" t="str">
        <x:v>BR-SPCARANDIRU_ARCOENGE-DEMOLICAO-CSDTCARANDIRU.xlsx</x:v>
      </x:c>
      <x:c r="B418" s="10" t="str">
        <x:v>Geral</x:v>
      </x:c>
      <x:c r="C418" s="11" t="n">
        <x:v>40</x:v>
      </x:c>
      <x:c r="D418" s="10" t="str">
        <x:v>BR-SPCARANDIRU_ARCOENGE-DEMOLICAO-CSDTCARANDIRU.xlsx:Geral:40</x:v>
      </x:c>
      <x:c r="E418" s="10" t="str">
        <x:v>BRSPCARANDIRU_ARCOENGEDEMOLICAO-CSDTCARANDIRU_ICOFOTNDGMB0_0002-007.JPG</x:v>
      </x:c>
      <x:c r="F418" s="10" t="str">
        <x:v>DEMOLICAO-CSDTCARANDIRU</x:v>
      </x:c>
      <x:c r="G418" s="10" t="str">
        <x:v>ICO</x:v>
      </x:c>
      <x:c r="H418" s="10" t="str">
        <x:v>FOT</x:v>
      </x:c>
      <x:c r="I418" s="10" t="str">
        <x:v>NDG</x:v>
      </x:c>
      <x:c r="J418" s="10" t="str">
        <x:v>MB0</x:v>
      </x:c>
    </x:row>
    <x:row r="419" ht="24" hidden="0" customHeight="1">
      <x:c r="A419" s="10" t="str">
        <x:v>BR-SPCARANDIRU_ARCOENGE-DEMOLICAO-CSDTCARANDIRU.xlsx</x:v>
      </x:c>
      <x:c r="B419" s="10" t="str">
        <x:v>Geral</x:v>
      </x:c>
      <x:c r="C419" s="11" t="n">
        <x:v>41</x:v>
      </x:c>
      <x:c r="D419" s="10" t="str">
        <x:v>BR-SPCARANDIRU_ARCOENGE-DEMOLICAO-CSDTCARANDIRU.xlsx:Geral:41</x:v>
      </x:c>
      <x:c r="E419" s="10" t="str">
        <x:v>BRSPCARANDIRU_ARCOENGEDEMOLICAO-CSDTCARANDIRU_ICOFOTNDGMB0_0002-008.JPG</x:v>
      </x:c>
      <x:c r="F419" s="10" t="str">
        <x:v>DEMOLICAO-CSDTCARANDIRU</x:v>
      </x:c>
      <x:c r="G419" s="10" t="str">
        <x:v>ICO</x:v>
      </x:c>
      <x:c r="H419" s="10" t="str">
        <x:v>FOT</x:v>
      </x:c>
      <x:c r="I419" s="10" t="str">
        <x:v>NDG</x:v>
      </x:c>
      <x:c r="J419" s="10" t="str">
        <x:v>MB0</x:v>
      </x:c>
    </x:row>
    <x:row r="420" ht="24" hidden="0" customHeight="1">
      <x:c r="A420" s="10" t="str">
        <x:v>BR-SPCARANDIRU_ARCOENGE-DEMOLICAO-CSDTCARANDIRU.xlsx</x:v>
      </x:c>
      <x:c r="B420" s="10" t="str">
        <x:v>Geral</x:v>
      </x:c>
      <x:c r="C420" s="11" t="n">
        <x:v>42</x:v>
      </x:c>
      <x:c r="D420" s="10" t="str">
        <x:v>BR-SPCARANDIRU_ARCOENGE-DEMOLICAO-CSDTCARANDIRU.xlsx:Geral:42</x:v>
      </x:c>
      <x:c r="E420" s="10" t="str">
        <x:v>BRSPCARANDIRU_ARCOENGEDEMOLICAO-CSDTCARANDIRU_ICOFOTNDGMB0_0002-009.JPG</x:v>
      </x:c>
      <x:c r="F420" s="10" t="str">
        <x:v>DEMOLICAO-CSDTCARANDIRU</x:v>
      </x:c>
      <x:c r="G420" s="10" t="str">
        <x:v>ICO</x:v>
      </x:c>
      <x:c r="H420" s="10" t="str">
        <x:v>FOT</x:v>
      </x:c>
      <x:c r="I420" s="10" t="str">
        <x:v>NDG</x:v>
      </x:c>
      <x:c r="J420" s="10" t="str">
        <x:v>MB0</x:v>
      </x:c>
    </x:row>
    <x:row r="421" ht="24" hidden="0" customHeight="1">
      <x:c r="A421" s="10" t="str">
        <x:v>BR-SPCARANDIRU_ARCOENGE-DEMOLICAO-CSDTCARANDIRU.xlsx</x:v>
      </x:c>
      <x:c r="B421" s="10" t="str">
        <x:v>Geral</x:v>
      </x:c>
      <x:c r="C421" s="11" t="n">
        <x:v>43</x:v>
      </x:c>
      <x:c r="D421" s="10" t="str">
        <x:v>BR-SPCARANDIRU_ARCOENGE-DEMOLICAO-CSDTCARANDIRU.xlsx:Geral:43</x:v>
      </x:c>
      <x:c r="E421" s="10" t="str">
        <x:v>BRSPCARANDIRU_ARCOENGEDEMOLICAO-CSDTCARANDIRU_ICOFOTNDGMB0_0002-010.JPG</x:v>
      </x:c>
      <x:c r="F421" s="10" t="str">
        <x:v>DEMOLICAO-CSDTCARANDIRU</x:v>
      </x:c>
      <x:c r="G421" s="10" t="str">
        <x:v>ICO</x:v>
      </x:c>
      <x:c r="H421" s="10" t="str">
        <x:v>FOT</x:v>
      </x:c>
      <x:c r="I421" s="10" t="str">
        <x:v>NDG</x:v>
      </x:c>
      <x:c r="J421" s="10" t="str">
        <x:v>MB0</x:v>
      </x:c>
    </x:row>
    <x:row r="422" ht="24" hidden="0" customHeight="1">
      <x:c r="A422" s="10" t="str">
        <x:v>BR-SPCARANDIRU_ARCOENGE-DEMOLICAO-CSDTCARANDIRU.xlsx</x:v>
      </x:c>
      <x:c r="B422" s="10" t="str">
        <x:v>Geral</x:v>
      </x:c>
      <x:c r="C422" s="11" t="n">
        <x:v>44</x:v>
      </x:c>
      <x:c r="D422" s="10" t="str">
        <x:v>BR-SPCARANDIRU_ARCOENGE-DEMOLICAO-CSDTCARANDIRU.xlsx:Geral:44</x:v>
      </x:c>
      <x:c r="E422" s="10" t="str">
        <x:v>BRSPCARANDIRU_ARCOENGEDEMOLICAO-CSDTCARANDIRU_ICOFOTNDGMB0_0002-011.JPG</x:v>
      </x:c>
      <x:c r="F422" s="10" t="str">
        <x:v>DEMOLICAO-CSDTCARANDIRU</x:v>
      </x:c>
      <x:c r="G422" s="10" t="str">
        <x:v>ICO</x:v>
      </x:c>
      <x:c r="H422" s="10" t="str">
        <x:v>FOT</x:v>
      </x:c>
      <x:c r="I422" s="10" t="str">
        <x:v>NDG</x:v>
      </x:c>
      <x:c r="J422" s="10" t="str">
        <x:v>MB0</x:v>
      </x:c>
    </x:row>
    <x:row r="423" ht="24" hidden="0" customHeight="1">
      <x:c r="A423" s="10" t="str">
        <x:v>BR-SPCARANDIRU_ARCOENGE-DEMOLICAO-CSDTCARANDIRU.xlsx</x:v>
      </x:c>
      <x:c r="B423" s="10" t="str">
        <x:v>Geral</x:v>
      </x:c>
      <x:c r="C423" s="11" t="n">
        <x:v>45</x:v>
      </x:c>
      <x:c r="D423" s="10" t="str">
        <x:v>BR-SPCARANDIRU_ARCOENGE-DEMOLICAO-CSDTCARANDIRU.xlsx:Geral:45</x:v>
      </x:c>
      <x:c r="E423" s="10" t="str">
        <x:v>BRSPCARANDIRU_ARCOENGEDEMOLICAO-CSDTCARANDIRU_ICOFOTNDGMB0_0002-012.JPG</x:v>
      </x:c>
      <x:c r="F423" s="10" t="str">
        <x:v>DEMOLICAO-CSDTCARANDIRU</x:v>
      </x:c>
      <x:c r="G423" s="10" t="str">
        <x:v>ICO</x:v>
      </x:c>
      <x:c r="H423" s="10" t="str">
        <x:v>FOT</x:v>
      </x:c>
      <x:c r="I423" s="10" t="str">
        <x:v>NDG</x:v>
      </x:c>
      <x:c r="J423" s="10" t="str">
        <x:v>MB0</x:v>
      </x:c>
    </x:row>
    <x:row r="424" ht="24" hidden="0" customHeight="1">
      <x:c r="A424" s="10" t="str">
        <x:v>BR-SPCARANDIRU_ARCOENGE-DEMOLICAO-CSDTCARANDIRU.xlsx</x:v>
      </x:c>
      <x:c r="B424" s="10" t="str">
        <x:v>Geral</x:v>
      </x:c>
      <x:c r="C424" s="11" t="n">
        <x:v>46</x:v>
      </x:c>
      <x:c r="D424" s="10" t="str">
        <x:v>BR-SPCARANDIRU_ARCOENGE-DEMOLICAO-CSDTCARANDIRU.xlsx:Geral:46</x:v>
      </x:c>
      <x:c r="E424" s="10" t="str">
        <x:v>BRSPCARANDIRU_ARCOENGEDEMOLICAO-CSDTCARANDIRU_ICOFOTNDGMB0_0002-013.JPG</x:v>
      </x:c>
      <x:c r="F424" s="10" t="str">
        <x:v>DEMOLICAO-CSDTCARANDIRU</x:v>
      </x:c>
      <x:c r="G424" s="10" t="str">
        <x:v>ICO</x:v>
      </x:c>
      <x:c r="H424" s="10" t="str">
        <x:v>FOT</x:v>
      </x:c>
      <x:c r="I424" s="10" t="str">
        <x:v>NDG</x:v>
      </x:c>
      <x:c r="J424" s="10" t="str">
        <x:v>MB0</x:v>
      </x:c>
    </x:row>
    <x:row r="425" ht="24" hidden="0" customHeight="1">
      <x:c r="A425" s="10" t="str">
        <x:v>BR-SPCARANDIRU_ARCOENGE-DEMOLICAO-CSDTCARANDIRU.xlsx</x:v>
      </x:c>
      <x:c r="B425" s="10" t="str">
        <x:v>Geral</x:v>
      </x:c>
      <x:c r="C425" s="11" t="n">
        <x:v>47</x:v>
      </x:c>
      <x:c r="D425" s="10" t="str">
        <x:v>BR-SPCARANDIRU_ARCOENGE-DEMOLICAO-CSDTCARANDIRU.xlsx:Geral:47</x:v>
      </x:c>
      <x:c r="E425" s="10" t="str">
        <x:v>BRSPCARANDIRU_ARCOENGEDEMOLICAO-CSDTCARANDIRU_ICOFOTNDGMB0_0002-014.JPG</x:v>
      </x:c>
      <x:c r="F425" s="10" t="str">
        <x:v>DEMOLICAO-CSDTCARANDIRU</x:v>
      </x:c>
      <x:c r="G425" s="10" t="str">
        <x:v>ICO</x:v>
      </x:c>
      <x:c r="H425" s="10" t="str">
        <x:v>FOT</x:v>
      </x:c>
      <x:c r="I425" s="10" t="str">
        <x:v>NDG</x:v>
      </x:c>
      <x:c r="J425" s="10" t="str">
        <x:v>MB0</x:v>
      </x:c>
    </x:row>
    <x:row r="426" ht="24" hidden="0" customHeight="1">
      <x:c r="A426" s="10" t="str">
        <x:v>BR-SPCARANDIRU_ARCOENGE-DEMOLICAO-CSDTCARANDIRU.xlsx</x:v>
      </x:c>
      <x:c r="B426" s="10" t="str">
        <x:v>Geral</x:v>
      </x:c>
      <x:c r="C426" s="11" t="n">
        <x:v>48</x:v>
      </x:c>
      <x:c r="D426" s="10" t="str">
        <x:v>BR-SPCARANDIRU_ARCOENGE-DEMOLICAO-CSDTCARANDIRU.xlsx:Geral:48</x:v>
      </x:c>
      <x:c r="E426" s="10" t="str">
        <x:v>BRSPCARANDIRU_ARCOENGEDEMOLICAO-CSDTCARANDIRU_ICOFOTNDGMB0_0002-015.JPG</x:v>
      </x:c>
      <x:c r="F426" s="10" t="str">
        <x:v>DEMOLICAO-CSDTCARANDIRU</x:v>
      </x:c>
      <x:c r="G426" s="10" t="str">
        <x:v>ICO</x:v>
      </x:c>
      <x:c r="H426" s="10" t="str">
        <x:v>FOT</x:v>
      </x:c>
      <x:c r="I426" s="10" t="str">
        <x:v>NDG</x:v>
      </x:c>
      <x:c r="J426" s="10" t="str">
        <x:v>MB0</x:v>
      </x:c>
    </x:row>
    <x:row r="427" ht="24" hidden="0" customHeight="1">
      <x:c r="A427" s="10" t="str">
        <x:v>BR-SPCARANDIRU_ARCOENGE-DEMOLICAO-CSDTCARANDIRU.xlsx</x:v>
      </x:c>
      <x:c r="B427" s="10" t="str">
        <x:v>Geral</x:v>
      </x:c>
      <x:c r="C427" s="11" t="n">
        <x:v>49</x:v>
      </x:c>
      <x:c r="D427" s="10" t="str">
        <x:v>BR-SPCARANDIRU_ARCOENGE-DEMOLICAO-CSDTCARANDIRU.xlsx:Geral:49</x:v>
      </x:c>
      <x:c r="E427" s="10" t="str">
        <x:v>BRSPCARANDIRU_ARCOENGEDEMOLICAO-CSDTCARANDIRU_ICOFOTNDGMB0_0002-016.JPG</x:v>
      </x:c>
      <x:c r="F427" s="10" t="str">
        <x:v>DEMOLICAO-CSDTCARANDIRU</x:v>
      </x:c>
      <x:c r="G427" s="10" t="str">
        <x:v>ICO</x:v>
      </x:c>
      <x:c r="H427" s="10" t="str">
        <x:v>FOT</x:v>
      </x:c>
      <x:c r="I427" s="10" t="str">
        <x:v>NDG</x:v>
      </x:c>
      <x:c r="J427" s="10" t="str">
        <x:v>MB0</x:v>
      </x:c>
    </x:row>
    <x:row r="428" ht="24" hidden="0" customHeight="1">
      <x:c r="A428" s="10" t="str">
        <x:v>BR-SPCARANDIRU_ARCOENGE-DEMOLICAO-CSDTCARANDIRU.xlsx</x:v>
      </x:c>
      <x:c r="B428" s="10" t="str">
        <x:v>Geral</x:v>
      </x:c>
      <x:c r="C428" s="11" t="n">
        <x:v>50</x:v>
      </x:c>
      <x:c r="D428" s="10" t="str">
        <x:v>BR-SPCARANDIRU_ARCOENGE-DEMOLICAO-CSDTCARANDIRU.xlsx:Geral:50</x:v>
      </x:c>
      <x:c r="E428" s="10" t="str">
        <x:v>BRSPCARANDIRU_ARCOENGEDEMOLICAO-CSDTCARANDIRU_ICOFOTNDGMB0_0002-017.JPG</x:v>
      </x:c>
      <x:c r="F428" s="10" t="str">
        <x:v>DEMOLICAO-CSDTCARANDIRU</x:v>
      </x:c>
      <x:c r="G428" s="10" t="str">
        <x:v>ICO</x:v>
      </x:c>
      <x:c r="H428" s="10" t="str">
        <x:v>FOT</x:v>
      </x:c>
      <x:c r="I428" s="10" t="str">
        <x:v>NDG</x:v>
      </x:c>
      <x:c r="J428" s="10" t="str">
        <x:v>MB0</x:v>
      </x:c>
    </x:row>
    <x:row r="429" ht="24" hidden="0" customHeight="1">
      <x:c r="A429" s="10" t="str">
        <x:v>BR-SPCARANDIRU_ARCOENGE-DEMOLICAO-CSDTCARANDIRU.xlsx</x:v>
      </x:c>
      <x:c r="B429" s="10" t="str">
        <x:v>Geral</x:v>
      </x:c>
      <x:c r="C429" s="11" t="n">
        <x:v>51</x:v>
      </x:c>
      <x:c r="D429" s="10" t="str">
        <x:v>BR-SPCARANDIRU_ARCOENGE-DEMOLICAO-CSDTCARANDIRU.xlsx:Geral:51</x:v>
      </x:c>
      <x:c r="E429" s="10" t="str">
        <x:v>BRSPCARANDIRU_ARCOENGEDEMOLICAO-CSDTCARANDIRU_ICOFOTNDGMB0_0002-018.JPG</x:v>
      </x:c>
      <x:c r="F429" s="10" t="str">
        <x:v>DEMOLICAO-CSDTCARANDIRU</x:v>
      </x:c>
      <x:c r="G429" s="10" t="str">
        <x:v>ICO</x:v>
      </x:c>
      <x:c r="H429" s="10" t="str">
        <x:v>FOT</x:v>
      </x:c>
      <x:c r="I429" s="10" t="str">
        <x:v>NDG</x:v>
      </x:c>
      <x:c r="J429" s="10" t="str">
        <x:v>MB0</x:v>
      </x:c>
    </x:row>
    <x:row r="430" ht="24" hidden="0" customHeight="1">
      <x:c r="A430" s="10" t="str">
        <x:v>BR-SPCARANDIRU_ARCOENGE-DEMOLICAO-CSDTCARANDIRU.xlsx</x:v>
      </x:c>
      <x:c r="B430" s="10" t="str">
        <x:v>Geral</x:v>
      </x:c>
      <x:c r="C430" s="11" t="n">
        <x:v>52</x:v>
      </x:c>
      <x:c r="D430" s="10" t="str">
        <x:v>BR-SPCARANDIRU_ARCOENGE-DEMOLICAO-CSDTCARANDIRU.xlsx:Geral:52</x:v>
      </x:c>
      <x:c r="E430" s="10" t="str">
        <x:v>BRSPCARANDIRU_ARCOENGEDEMOLICAO-CSDTCARANDIRU_ICOFOTNDGMB0_0002-019.JPG</x:v>
      </x:c>
      <x:c r="F430" s="10" t="str">
        <x:v>DEMOLICAO-CSDTCARANDIRU</x:v>
      </x:c>
      <x:c r="G430" s="10" t="str">
        <x:v>ICO</x:v>
      </x:c>
      <x:c r="H430" s="10" t="str">
        <x:v>FOT</x:v>
      </x:c>
      <x:c r="I430" s="10" t="str">
        <x:v>NDG</x:v>
      </x:c>
      <x:c r="J430" s="10" t="str">
        <x:v>MB0</x:v>
      </x:c>
    </x:row>
    <x:row r="431" ht="24" hidden="0" customHeight="1">
      <x:c r="A431" s="10" t="str">
        <x:v>BR-SPCARANDIRU_ARCOENGE-DEMOLICAO-CSDTCARANDIRU.xlsx</x:v>
      </x:c>
      <x:c r="B431" s="10" t="str">
        <x:v>Geral</x:v>
      </x:c>
      <x:c r="C431" s="11" t="n">
        <x:v>53</x:v>
      </x:c>
      <x:c r="D431" s="10" t="str">
        <x:v>BR-SPCARANDIRU_ARCOENGE-DEMOLICAO-CSDTCARANDIRU.xlsx:Geral:53</x:v>
      </x:c>
      <x:c r="E431" s="10" t="str">
        <x:v>BRSPCARANDIRU_ARCOENGEDEMOLICAO-CSDTCARANDIRU_ICOFOTNDGMB0_0002-020.JPG</x:v>
      </x:c>
      <x:c r="F431" s="10" t="str">
        <x:v>DEMOLICAO-CSDTCARANDIRU</x:v>
      </x:c>
      <x:c r="G431" s="10" t="str">
        <x:v>ICO</x:v>
      </x:c>
      <x:c r="H431" s="10" t="str">
        <x:v>FOT</x:v>
      </x:c>
      <x:c r="I431" s="10" t="str">
        <x:v>NDG</x:v>
      </x:c>
      <x:c r="J431" s="10" t="str">
        <x:v>MB0</x:v>
      </x:c>
    </x:row>
    <x:row r="432" ht="24" hidden="0" customHeight="1">
      <x:c r="A432" s="10" t="str">
        <x:v>BR-SPCARANDIRU_ARCOENGE-DEMOLICAO-CSDTCARANDIRU.xlsx</x:v>
      </x:c>
      <x:c r="B432" s="10" t="str">
        <x:v>Geral</x:v>
      </x:c>
      <x:c r="C432" s="11" t="n">
        <x:v>54</x:v>
      </x:c>
      <x:c r="D432" s="10" t="str">
        <x:v>BR-SPCARANDIRU_ARCOENGE-DEMOLICAO-CSDTCARANDIRU.xlsx:Geral:54</x:v>
      </x:c>
      <x:c r="E432" s="10" t="str">
        <x:v>BRSPCARANDIRU_ARCOENGEDEMOLICAO-CSDTCARANDIRU_ICOFOTNDGMB0_0002-021.JPG</x:v>
      </x:c>
      <x:c r="F432" s="10" t="str">
        <x:v>DEMOLICAO-CSDTCARANDIRU</x:v>
      </x:c>
      <x:c r="G432" s="10" t="str">
        <x:v>ICO</x:v>
      </x:c>
      <x:c r="H432" s="10" t="str">
        <x:v>FOT</x:v>
      </x:c>
      <x:c r="I432" s="10" t="str">
        <x:v>NDG</x:v>
      </x:c>
      <x:c r="J432" s="10" t="str">
        <x:v>MB0</x:v>
      </x:c>
    </x:row>
    <x:row r="433" ht="24" hidden="0" customHeight="1">
      <x:c r="A433" s="10" t="str">
        <x:v>BR-SPCARANDIRU_ARCOENGE-DEMOLICAO-CSDTCARANDIRU.xlsx</x:v>
      </x:c>
      <x:c r="B433" s="10" t="str">
        <x:v>Geral</x:v>
      </x:c>
      <x:c r="C433" s="11" t="n">
        <x:v>55</x:v>
      </x:c>
      <x:c r="D433" s="10" t="str">
        <x:v>BR-SPCARANDIRU_ARCOENGE-DEMOLICAO-CSDTCARANDIRU.xlsx:Geral:55</x:v>
      </x:c>
      <x:c r="E433" s="10" t="str">
        <x:v>BRSPCARANDIRU_ARCOENGEDEMOLICAO-CSDTCARANDIRU_ICOFOTNDGMB0_0002-022.JPG</x:v>
      </x:c>
      <x:c r="F433" s="10" t="str">
        <x:v>DEMOLICAO-CSDTCARANDIRU</x:v>
      </x:c>
      <x:c r="G433" s="10" t="str">
        <x:v>ICO</x:v>
      </x:c>
      <x:c r="H433" s="10" t="str">
        <x:v>FOT</x:v>
      </x:c>
      <x:c r="I433" s="10" t="str">
        <x:v>NDG</x:v>
      </x:c>
      <x:c r="J433" s="10" t="str">
        <x:v>MB0</x:v>
      </x:c>
    </x:row>
    <x:row r="434" ht="24" hidden="0" customHeight="1">
      <x:c r="A434" s="10" t="str">
        <x:v>BR-SPCARANDIRU_ARCOENGE-DEMOLICAO-CSDTCARANDIRU.xlsx</x:v>
      </x:c>
      <x:c r="B434" s="10" t="str">
        <x:v>Geral</x:v>
      </x:c>
      <x:c r="C434" s="11" t="n">
        <x:v>56</x:v>
      </x:c>
      <x:c r="D434" s="10" t="str">
        <x:v>BR-SPCARANDIRU_ARCOENGE-DEMOLICAO-CSDTCARANDIRU.xlsx:Geral:56</x:v>
      </x:c>
      <x:c r="E434" s="10" t="str">
        <x:v>BRSPCARANDIRU_ARCOENGEDEMOLICAO-CSDTCARANDIRU_ICOFOTNDGMB0_0002-023.JPG</x:v>
      </x:c>
      <x:c r="F434" s="10" t="str">
        <x:v>DEMOLICAO-CSDTCARANDIRU</x:v>
      </x:c>
      <x:c r="G434" s="10" t="str">
        <x:v>ICO</x:v>
      </x:c>
      <x:c r="H434" s="10" t="str">
        <x:v>FOT</x:v>
      </x:c>
      <x:c r="I434" s="10" t="str">
        <x:v>NDG</x:v>
      </x:c>
      <x:c r="J434" s="10" t="str">
        <x:v>MB0</x:v>
      </x:c>
    </x:row>
    <x:row r="435" ht="24" hidden="0" customHeight="1">
      <x:c r="A435" s="10" t="str">
        <x:v>BR-SPCARANDIRU_ARCOENGE-DEMOLICAO-CSDTCARANDIRU.xlsx</x:v>
      </x:c>
      <x:c r="B435" s="10" t="str">
        <x:v>Geral</x:v>
      </x:c>
      <x:c r="C435" s="11" t="n">
        <x:v>57</x:v>
      </x:c>
      <x:c r="D435" s="10" t="str">
        <x:v>BR-SPCARANDIRU_ARCOENGE-DEMOLICAO-CSDTCARANDIRU.xlsx:Geral:57</x:v>
      </x:c>
      <x:c r="E435" s="10" t="str">
        <x:v>BRSPCARANDIRU_ARCOENGEDEMOLICAO-CSDTCARANDIRU_ICOFOTNDGMB0_0002-024.JPG</x:v>
      </x:c>
      <x:c r="F435" s="10" t="str">
        <x:v>DEMOLICAO-CSDTCARANDIRU</x:v>
      </x:c>
      <x:c r="G435" s="10" t="str">
        <x:v>ICO</x:v>
      </x:c>
      <x:c r="H435" s="10" t="str">
        <x:v>FOT</x:v>
      </x:c>
      <x:c r="I435" s="10" t="str">
        <x:v>NDG</x:v>
      </x:c>
      <x:c r="J435" s="10" t="str">
        <x:v>MB0</x:v>
      </x:c>
    </x:row>
    <x:row r="436" ht="24" hidden="0" customHeight="1">
      <x:c r="A436" s="10" t="str">
        <x:v>BR-SPCARANDIRU_ARCOENGE-DEMOLICAO-CSDTCARANDIRU.xlsx</x:v>
      </x:c>
      <x:c r="B436" s="10" t="str">
        <x:v>Geral</x:v>
      </x:c>
      <x:c r="C436" s="11" t="n">
        <x:v>58</x:v>
      </x:c>
      <x:c r="D436" s="10" t="str">
        <x:v>BR-SPCARANDIRU_ARCOENGE-DEMOLICAO-CSDTCARANDIRU.xlsx:Geral:58</x:v>
      </x:c>
      <x:c r="E436" s="10" t="str">
        <x:v>BRSPCARANDIRU_ARCOENGEDEMOLICAO-CSDTCARANDIRU_ICOFOTNDGMB0_0002-025.JPG</x:v>
      </x:c>
      <x:c r="F436" s="10" t="str">
        <x:v>DEMOLICAO-CSDTCARANDIRU</x:v>
      </x:c>
      <x:c r="G436" s="10" t="str">
        <x:v>ICO</x:v>
      </x:c>
      <x:c r="H436" s="10" t="str">
        <x:v>FOT</x:v>
      </x:c>
      <x:c r="I436" s="10" t="str">
        <x:v>NDG</x:v>
      </x:c>
      <x:c r="J436" s="10" t="str">
        <x:v>MB0</x:v>
      </x:c>
    </x:row>
    <x:row r="437" ht="24" hidden="0" customHeight="1">
      <x:c r="A437" s="10" t="str">
        <x:v>BR-SPCARANDIRU_ARCOENGE-DEMOLICAO-CSDTCARANDIRU.xlsx</x:v>
      </x:c>
      <x:c r="B437" s="10" t="str">
        <x:v>Geral</x:v>
      </x:c>
      <x:c r="C437" s="11" t="n">
        <x:v>59</x:v>
      </x:c>
      <x:c r="D437" s="10" t="str">
        <x:v>BR-SPCARANDIRU_ARCOENGE-DEMOLICAO-CSDTCARANDIRU.xlsx:Geral:59</x:v>
      </x:c>
      <x:c r="E437" s="10" t="str">
        <x:v>BRSPCARANDIRU_ARCOENGEDEMOLICAO-CSDTCARANDIRU_TXTRELNDGMB0_0002-026.txt</x:v>
      </x:c>
      <x:c r="F437" s="10" t="str">
        <x:v>DEMOLICAO-CSDTCARANDIRU</x:v>
      </x:c>
      <x:c r="G437" s="10" t="str">
        <x:v>TXT</x:v>
      </x:c>
      <x:c r="H437" s="10" t="str">
        <x:v>REL</x:v>
      </x:c>
      <x:c r="I437" s="10" t="str">
        <x:v>NDG</x:v>
      </x:c>
      <x:c r="J437" s="10" t="str">
        <x:v>MB0</x:v>
      </x:c>
    </x:row>
    <x:row r="438" ht="24" hidden="0" customHeight="1">
      <x:c r="A438" s="10" t="str">
        <x:v>BR-SPCARANDIRU_ARCOENGE-DEMOLICAO-CSDTCARANDIRU.xlsx</x:v>
      </x:c>
      <x:c r="B438" s="10" t="str">
        <x:v>Geral</x:v>
      </x:c>
      <x:c r="C438" s="11" t="n">
        <x:v>60</x:v>
      </x:c>
      <x:c r="D438" s="10" t="str">
        <x:v>BR-SPCARANDIRU_ARCOENGE-DEMOLICAO-CSDTCARANDIRU.xlsx:Geral:60</x:v>
      </x:c>
      <x:c r="E438" s="10" t="str">
        <x:v>BRSPCARANDIRU_ARCOENGEDEMOLICAO-CSDTCARANDIRU_ICOFOTNDGMB0_0003-001.JPG</x:v>
      </x:c>
      <x:c r="F438" s="10" t="str">
        <x:v>DEMOLICAO-CSDTCARANDIRU</x:v>
      </x:c>
      <x:c r="G438" s="10" t="str">
        <x:v>ICO</x:v>
      </x:c>
      <x:c r="H438" s="10" t="str">
        <x:v>FOT</x:v>
      </x:c>
      <x:c r="I438" s="10" t="str">
        <x:v>NDG</x:v>
      </x:c>
      <x:c r="J438" s="10" t="str">
        <x:v>MB0</x:v>
      </x:c>
    </x:row>
    <x:row r="439" ht="24" hidden="0" customHeight="1">
      <x:c r="A439" s="10" t="str">
        <x:v>BR-SPCARANDIRU_ARCOENGE-DEMOLICAO-CSDTCARANDIRU.xlsx</x:v>
      </x:c>
      <x:c r="B439" s="10" t="str">
        <x:v>Geral</x:v>
      </x:c>
      <x:c r="C439" s="11" t="n">
        <x:v>61</x:v>
      </x:c>
      <x:c r="D439" s="10" t="str">
        <x:v>BR-SPCARANDIRU_ARCOENGE-DEMOLICAO-CSDTCARANDIRU.xlsx:Geral:61</x:v>
      </x:c>
      <x:c r="E439" s="10" t="str">
        <x:v>BRSPCARANDIRU_ARCOENGEDEMOLICAO-CSDTCARANDIRU_ICOFOTNDGMB0_0003-002.JPG</x:v>
      </x:c>
      <x:c r="F439" s="10" t="str">
        <x:v>DEMOLICAO-CSDTCARANDIRU</x:v>
      </x:c>
      <x:c r="G439" s="10" t="str">
        <x:v>ICO</x:v>
      </x:c>
      <x:c r="H439" s="10" t="str">
        <x:v>FOT</x:v>
      </x:c>
      <x:c r="I439" s="10" t="str">
        <x:v>NDG</x:v>
      </x:c>
      <x:c r="J439" s="10" t="str">
        <x:v>MB0</x:v>
      </x:c>
    </x:row>
    <x:row r="440" ht="24" hidden="0" customHeight="1">
      <x:c r="A440" s="10" t="str">
        <x:v>BR-SPCARANDIRU_ARCOENGE-DEMOLICAO-CSDTCARANDIRU.xlsx</x:v>
      </x:c>
      <x:c r="B440" s="10" t="str">
        <x:v>Geral</x:v>
      </x:c>
      <x:c r="C440" s="11" t="n">
        <x:v>62</x:v>
      </x:c>
      <x:c r="D440" s="10" t="str">
        <x:v>BR-SPCARANDIRU_ARCOENGE-DEMOLICAO-CSDTCARANDIRU.xlsx:Geral:62</x:v>
      </x:c>
      <x:c r="E440" s="10" t="str">
        <x:v>BRSPCARANDIRU_ARCOENGEDEMOLICAO-CSDTCARANDIRU_ICOFOTNDGMB0_0003-003.JPG</x:v>
      </x:c>
      <x:c r="F440" s="10" t="str">
        <x:v>DEMOLICAO-CSDTCARANDIRU</x:v>
      </x:c>
      <x:c r="G440" s="10" t="str">
        <x:v>ICO</x:v>
      </x:c>
      <x:c r="H440" s="10" t="str">
        <x:v>FOT</x:v>
      </x:c>
      <x:c r="I440" s="10" t="str">
        <x:v>NDG</x:v>
      </x:c>
      <x:c r="J440" s="10" t="str">
        <x:v>MB0</x:v>
      </x:c>
    </x:row>
    <x:row r="441" ht="24" hidden="0" customHeight="1">
      <x:c r="A441" s="10" t="str">
        <x:v>BR-SPCARANDIRU_ARCOENGE-DEMOLICAO-CSDTCARANDIRU.xlsx</x:v>
      </x:c>
      <x:c r="B441" s="10" t="str">
        <x:v>Geral</x:v>
      </x:c>
      <x:c r="C441" s="11" t="n">
        <x:v>63</x:v>
      </x:c>
      <x:c r="D441" s="10" t="str">
        <x:v>BR-SPCARANDIRU_ARCOENGE-DEMOLICAO-CSDTCARANDIRU.xlsx:Geral:63</x:v>
      </x:c>
      <x:c r="E441" s="10" t="str">
        <x:v>BRSPCARANDIRU_ARCOENGEDEMOLICAO-CSDTCARANDIRU_ICOFOTNDGMB0_0003-004.JPG</x:v>
      </x:c>
      <x:c r="F441" s="10" t="str">
        <x:v>DEMOLICAO-CSDTCARANDIRU</x:v>
      </x:c>
      <x:c r="G441" s="10" t="str">
        <x:v>ICO</x:v>
      </x:c>
      <x:c r="H441" s="10" t="str">
        <x:v>FOT</x:v>
      </x:c>
      <x:c r="I441" s="10" t="str">
        <x:v>NDG</x:v>
      </x:c>
      <x:c r="J441" s="10" t="str">
        <x:v>MB0</x:v>
      </x:c>
    </x:row>
    <x:row r="442" ht="24" hidden="0" customHeight="1">
      <x:c r="A442" s="10" t="str">
        <x:v>BR-SPCARANDIRU_ARCOENGE-DEMOLICAO-CSDTCARANDIRU.xlsx</x:v>
      </x:c>
      <x:c r="B442" s="10" t="str">
        <x:v>Geral</x:v>
      </x:c>
      <x:c r="C442" s="11" t="n">
        <x:v>64</x:v>
      </x:c>
      <x:c r="D442" s="10" t="str">
        <x:v>BR-SPCARANDIRU_ARCOENGE-DEMOLICAO-CSDTCARANDIRU.xlsx:Geral:64</x:v>
      </x:c>
      <x:c r="E442" s="10" t="str">
        <x:v>BRSPCARANDIRU_ARCOENGEDEMOLICAO-CSDTCARANDIRU_ICOFOTNDGMB0_0003-005.JPG</x:v>
      </x:c>
      <x:c r="F442" s="10" t="str">
        <x:v>DEMOLICAO-CSDTCARANDIRU</x:v>
      </x:c>
      <x:c r="G442" s="10" t="str">
        <x:v>ICO</x:v>
      </x:c>
      <x:c r="H442" s="10" t="str">
        <x:v>FOT</x:v>
      </x:c>
      <x:c r="I442" s="10" t="str">
        <x:v>NDG</x:v>
      </x:c>
      <x:c r="J442" s="10" t="str">
        <x:v>MB0</x:v>
      </x:c>
    </x:row>
    <x:row r="443" ht="24" hidden="0" customHeight="1">
      <x:c r="A443" s="10" t="str">
        <x:v>BR-SPCARANDIRU_ARCOENGE-DEMOLICAO-CSDTCARANDIRU.xlsx</x:v>
      </x:c>
      <x:c r="B443" s="10" t="str">
        <x:v>Geral</x:v>
      </x:c>
      <x:c r="C443" s="11" t="n">
        <x:v>65</x:v>
      </x:c>
      <x:c r="D443" s="10" t="str">
        <x:v>BR-SPCARANDIRU_ARCOENGE-DEMOLICAO-CSDTCARANDIRU.xlsx:Geral:65</x:v>
      </x:c>
      <x:c r="E443" s="10" t="str">
        <x:v>BRSPCARANDIRU_ARCOENGEDEMOLICAO-CSDTCARANDIRU_ICOFOTNDGMB0_0003-006.JPG</x:v>
      </x:c>
      <x:c r="F443" s="10" t="str">
        <x:v>DEMOLICAO-CSDTCARANDIRU</x:v>
      </x:c>
      <x:c r="G443" s="10" t="str">
        <x:v>ICO</x:v>
      </x:c>
      <x:c r="H443" s="10" t="str">
        <x:v>FOT</x:v>
      </x:c>
      <x:c r="I443" s="10" t="str">
        <x:v>NDG</x:v>
      </x:c>
      <x:c r="J443" s="10" t="str">
        <x:v>MB0</x:v>
      </x:c>
    </x:row>
    <x:row r="444" ht="24" hidden="0" customHeight="1">
      <x:c r="A444" s="10" t="str">
        <x:v>BR-SPCARANDIRU_ARCOENGE-DEMOLICAO-CSDTCARANDIRU.xlsx</x:v>
      </x:c>
      <x:c r="B444" s="10" t="str">
        <x:v>Geral</x:v>
      </x:c>
      <x:c r="C444" s="11" t="n">
        <x:v>66</x:v>
      </x:c>
      <x:c r="D444" s="10" t="str">
        <x:v>BR-SPCARANDIRU_ARCOENGE-DEMOLICAO-CSDTCARANDIRU.xlsx:Geral:66</x:v>
      </x:c>
      <x:c r="E444" s="10" t="str">
        <x:v>BRSPCARANDIRU_ARCOENGEDEMOLICAO-CSDTCARANDIRU_ICOFOTNDGMB0_0003-007.JPG</x:v>
      </x:c>
      <x:c r="F444" s="10" t="str">
        <x:v>DEMOLICAO-CSDTCARANDIRU</x:v>
      </x:c>
      <x:c r="G444" s="10" t="str">
        <x:v>ICO</x:v>
      </x:c>
      <x:c r="H444" s="10" t="str">
        <x:v>FOT</x:v>
      </x:c>
      <x:c r="I444" s="10" t="str">
        <x:v>NDG</x:v>
      </x:c>
      <x:c r="J444" s="10" t="str">
        <x:v>MB0</x:v>
      </x:c>
    </x:row>
    <x:row r="445" ht="24" hidden="0" customHeight="1">
      <x:c r="A445" s="10" t="str">
        <x:v>BR-SPCARANDIRU_ARCOENGE-DEMOLICAO-CSDTCARANDIRU.xlsx</x:v>
      </x:c>
      <x:c r="B445" s="10" t="str">
        <x:v>Geral</x:v>
      </x:c>
      <x:c r="C445" s="11" t="n">
        <x:v>67</x:v>
      </x:c>
      <x:c r="D445" s="10" t="str">
        <x:v>BR-SPCARANDIRU_ARCOENGE-DEMOLICAO-CSDTCARANDIRU.xlsx:Geral:67</x:v>
      </x:c>
      <x:c r="E445" s="10" t="str">
        <x:v>BRSPCARANDIRU_ARCOENGEDEMOLICAO-CSDTCARANDIRU_ICOFOTNDGMB0_0003-008.JPG</x:v>
      </x:c>
      <x:c r="F445" s="10" t="str">
        <x:v>DEMOLICAO-CSDTCARANDIRU</x:v>
      </x:c>
      <x:c r="G445" s="10" t="str">
        <x:v>ICO</x:v>
      </x:c>
      <x:c r="H445" s="10" t="str">
        <x:v>FOT</x:v>
      </x:c>
      <x:c r="I445" s="10" t="str">
        <x:v>NDG</x:v>
      </x:c>
      <x:c r="J445" s="10" t="str">
        <x:v>MB0</x:v>
      </x:c>
    </x:row>
    <x:row r="446" ht="24" hidden="0" customHeight="1">
      <x:c r="A446" s="10" t="str">
        <x:v>BR-SPCARANDIRU_ARCOENGE-DEMOLICAO-CSDTCARANDIRU.xlsx</x:v>
      </x:c>
      <x:c r="B446" s="10" t="str">
        <x:v>Geral</x:v>
      </x:c>
      <x:c r="C446" s="11" t="n">
        <x:v>68</x:v>
      </x:c>
      <x:c r="D446" s="10" t="str">
        <x:v>BR-SPCARANDIRU_ARCOENGE-DEMOLICAO-CSDTCARANDIRU.xlsx:Geral:68</x:v>
      </x:c>
      <x:c r="E446" s="10" t="str">
        <x:v>BRSPCARANDIRU_ARCOENGEDEMOLICAO-CSDTCARANDIRU_ICOFOTNDGMB0_0003-009.JPG</x:v>
      </x:c>
      <x:c r="F446" s="10" t="str">
        <x:v>DEMOLICAO-CSDTCARANDIRU</x:v>
      </x:c>
      <x:c r="G446" s="10" t="str">
        <x:v>ICO</x:v>
      </x:c>
      <x:c r="H446" s="10" t="str">
        <x:v>FOT</x:v>
      </x:c>
      <x:c r="I446" s="10" t="str">
        <x:v>NDG</x:v>
      </x:c>
      <x:c r="J446" s="10" t="str">
        <x:v>MB0</x:v>
      </x:c>
    </x:row>
    <x:row r="447" ht="24" hidden="0" customHeight="1">
      <x:c r="A447" s="10" t="str">
        <x:v>BR-SPCARANDIRU_ARCOENGE-DEMOLICAO-CSDTCARANDIRU.xlsx</x:v>
      </x:c>
      <x:c r="B447" s="10" t="str">
        <x:v>Geral</x:v>
      </x:c>
      <x:c r="C447" s="11" t="n">
        <x:v>69</x:v>
      </x:c>
      <x:c r="D447" s="10" t="str">
        <x:v>BR-SPCARANDIRU_ARCOENGE-DEMOLICAO-CSDTCARANDIRU.xlsx:Geral:69</x:v>
      </x:c>
      <x:c r="E447" s="10" t="str">
        <x:v>BRSPCARANDIRU_ARCOENGEDEMOLICAO-CSDTCARANDIRU_ICOFOTNDGMB0_0003-010.JPG</x:v>
      </x:c>
      <x:c r="F447" s="10" t="str">
        <x:v>DEMOLICAO-CSDTCARANDIRU</x:v>
      </x:c>
      <x:c r="G447" s="10" t="str">
        <x:v>ICO</x:v>
      </x:c>
      <x:c r="H447" s="10" t="str">
        <x:v>FOT</x:v>
      </x:c>
      <x:c r="I447" s="10" t="str">
        <x:v>NDG</x:v>
      </x:c>
      <x:c r="J447" s="10" t="str">
        <x:v>MB0</x:v>
      </x:c>
    </x:row>
    <x:row r="448" ht="24" hidden="0" customHeight="1">
      <x:c r="A448" s="10" t="str">
        <x:v>BR-SPCARANDIRU_ARCOENGE-DEMOLICAO-CSDTCARANDIRU.xlsx</x:v>
      </x:c>
      <x:c r="B448" s="10" t="str">
        <x:v>Geral</x:v>
      </x:c>
      <x:c r="C448" s="11" t="n">
        <x:v>70</x:v>
      </x:c>
      <x:c r="D448" s="10" t="str">
        <x:v>BR-SPCARANDIRU_ARCOENGE-DEMOLICAO-CSDTCARANDIRU.xlsx:Geral:70</x:v>
      </x:c>
      <x:c r="E448" s="10" t="str">
        <x:v>BRSPCARANDIRU_ARCOENGEDEMOLICAO-CSDTCARANDIRU_ICOFOTNDGMB0_0003-011.JPG</x:v>
      </x:c>
      <x:c r="F448" s="10" t="str">
        <x:v>DEMOLICAO-CSDTCARANDIRU</x:v>
      </x:c>
      <x:c r="G448" s="10" t="str">
        <x:v>ICO</x:v>
      </x:c>
      <x:c r="H448" s="10" t="str">
        <x:v>FOT</x:v>
      </x:c>
      <x:c r="I448" s="10" t="str">
        <x:v>NDG</x:v>
      </x:c>
      <x:c r="J448" s="10" t="str">
        <x:v>MB0</x:v>
      </x:c>
    </x:row>
    <x:row r="449" ht="24" hidden="0" customHeight="1">
      <x:c r="A449" s="10" t="str">
        <x:v>BR-SPCARANDIRU_ARCOENGE-DEMOLICAO-CSDTCARANDIRU.xlsx</x:v>
      </x:c>
      <x:c r="B449" s="10" t="str">
        <x:v>Geral</x:v>
      </x:c>
      <x:c r="C449" s="11" t="n">
        <x:v>71</x:v>
      </x:c>
      <x:c r="D449" s="10" t="str">
        <x:v>BR-SPCARANDIRU_ARCOENGE-DEMOLICAO-CSDTCARANDIRU.xlsx:Geral:71</x:v>
      </x:c>
      <x:c r="E449" s="10" t="str">
        <x:v>BRSPCARANDIRU_ARCOENGEDEMOLICAO-CSDTCARANDIRU_ICOFOTNDGMB0_0003-012.JPG</x:v>
      </x:c>
      <x:c r="F449" s="10" t="str">
        <x:v>DEMOLICAO-CSDTCARANDIRU</x:v>
      </x:c>
      <x:c r="G449" s="10" t="str">
        <x:v>ICO</x:v>
      </x:c>
      <x:c r="H449" s="10" t="str">
        <x:v>FOT</x:v>
      </x:c>
      <x:c r="I449" s="10" t="str">
        <x:v>NDG</x:v>
      </x:c>
      <x:c r="J449" s="10" t="str">
        <x:v>MB0</x:v>
      </x:c>
    </x:row>
    <x:row r="450" ht="24" hidden="0" customHeight="1">
      <x:c r="A450" s="10" t="str">
        <x:v>BR-SPCARANDIRU_ARCOENGE-DEMOLICAO-CSDTCARANDIRU.xlsx</x:v>
      </x:c>
      <x:c r="B450" s="10" t="str">
        <x:v>Geral</x:v>
      </x:c>
      <x:c r="C450" s="11" t="n">
        <x:v>72</x:v>
      </x:c>
      <x:c r="D450" s="10" t="str">
        <x:v>BR-SPCARANDIRU_ARCOENGE-DEMOLICAO-CSDTCARANDIRU.xlsx:Geral:72</x:v>
      </x:c>
      <x:c r="E450" s="10" t="str">
        <x:v>BRSPCARANDIRU_ARCOENGEDEMOLICAO-CSDTCARANDIRU_ICOFOTNDGMB0_0003-013.JPG</x:v>
      </x:c>
      <x:c r="F450" s="10" t="str">
        <x:v>DEMOLICAO-CSDTCARANDIRU</x:v>
      </x:c>
      <x:c r="G450" s="10" t="str">
        <x:v>ICO</x:v>
      </x:c>
      <x:c r="H450" s="10" t="str">
        <x:v>FOT</x:v>
      </x:c>
      <x:c r="I450" s="10" t="str">
        <x:v>NDG</x:v>
      </x:c>
      <x:c r="J450" s="10" t="str">
        <x:v>MB0</x:v>
      </x:c>
    </x:row>
    <x:row r="451" ht="24" hidden="0" customHeight="1">
      <x:c r="A451" s="10" t="str">
        <x:v>BR-SPCARANDIRU_ARCOENGE-DEMOLICAO-CSDTCARANDIRU.xlsx</x:v>
      </x:c>
      <x:c r="B451" s="10" t="str">
        <x:v>Geral</x:v>
      </x:c>
      <x:c r="C451" s="11" t="n">
        <x:v>73</x:v>
      </x:c>
      <x:c r="D451" s="10" t="str">
        <x:v>BR-SPCARANDIRU_ARCOENGE-DEMOLICAO-CSDTCARANDIRU.xlsx:Geral:73</x:v>
      </x:c>
      <x:c r="E451" s="10" t="str">
        <x:v>BRSPCARANDIRU_ARCOENGEDEMOLICAO-CSDTCARANDIRU_ICOFOTNDGMB0_0003-014.JPG</x:v>
      </x:c>
      <x:c r="F451" s="10" t="str">
        <x:v>DEMOLICAO-CSDTCARANDIRU</x:v>
      </x:c>
      <x:c r="G451" s="10" t="str">
        <x:v>ICO</x:v>
      </x:c>
      <x:c r="H451" s="10" t="str">
        <x:v>FOT</x:v>
      </x:c>
      <x:c r="I451" s="10" t="str">
        <x:v>NDG</x:v>
      </x:c>
      <x:c r="J451" s="10" t="str">
        <x:v>MB0</x:v>
      </x:c>
    </x:row>
    <x:row r="452" ht="24" hidden="0" customHeight="1">
      <x:c r="A452" s="10" t="str">
        <x:v>BR-SPCARANDIRU_ARCOENGE-DEMOLICAO-CSDTCARANDIRU.xlsx</x:v>
      </x:c>
      <x:c r="B452" s="10" t="str">
        <x:v>Geral</x:v>
      </x:c>
      <x:c r="C452" s="11" t="n">
        <x:v>74</x:v>
      </x:c>
      <x:c r="D452" s="10" t="str">
        <x:v>BR-SPCARANDIRU_ARCOENGE-DEMOLICAO-CSDTCARANDIRU.xlsx:Geral:74</x:v>
      </x:c>
      <x:c r="E452" s="10" t="str">
        <x:v>BRSPCARANDIRU_ARCOENGEDEMOLICAO-CSDTCARANDIRU_ICOFOTNDGMB0_0003-015.JPG</x:v>
      </x:c>
      <x:c r="F452" s="10" t="str">
        <x:v>DEMOLICAO-CSDTCARANDIRU</x:v>
      </x:c>
      <x:c r="G452" s="10" t="str">
        <x:v>ICO</x:v>
      </x:c>
      <x:c r="H452" s="10" t="str">
        <x:v>FOT</x:v>
      </x:c>
      <x:c r="I452" s="10" t="str">
        <x:v>NDG</x:v>
      </x:c>
      <x:c r="J452" s="10" t="str">
        <x:v>MB0</x:v>
      </x:c>
    </x:row>
    <x:row r="453" ht="24" hidden="0" customHeight="1">
      <x:c r="A453" s="10" t="str">
        <x:v>BR-SPCARANDIRU_ARCOENGE-DEMOLICAO-CSDTCARANDIRU.xlsx</x:v>
      </x:c>
      <x:c r="B453" s="10" t="str">
        <x:v>Geral</x:v>
      </x:c>
      <x:c r="C453" s="11" t="n">
        <x:v>75</x:v>
      </x:c>
      <x:c r="D453" s="10" t="str">
        <x:v>BR-SPCARANDIRU_ARCOENGE-DEMOLICAO-CSDTCARANDIRU.xlsx:Geral:75</x:v>
      </x:c>
      <x:c r="E453" s="10" t="str">
        <x:v>BRSPCARANDIRU_ARCOENGEDEMOLICAO-CSDTCARANDIRU_ICOFOTNDGMB0_0003-016.JPG</x:v>
      </x:c>
      <x:c r="F453" s="10" t="str">
        <x:v>DEMOLICAO-CSDTCARANDIRU</x:v>
      </x:c>
      <x:c r="G453" s="10" t="str">
        <x:v>ICO</x:v>
      </x:c>
      <x:c r="H453" s="10" t="str">
        <x:v>FOT</x:v>
      </x:c>
      <x:c r="I453" s="10" t="str">
        <x:v>NDG</x:v>
      </x:c>
      <x:c r="J453" s="10" t="str">
        <x:v>MB0</x:v>
      </x:c>
    </x:row>
    <x:row r="454" ht="24" hidden="0" customHeight="1">
      <x:c r="A454" s="10" t="str">
        <x:v>BR-SPCARANDIRU_ARCOENGE-DEMOLICAO-CSDTCARANDIRU.xlsx</x:v>
      </x:c>
      <x:c r="B454" s="10" t="str">
        <x:v>Geral</x:v>
      </x:c>
      <x:c r="C454" s="11" t="n">
        <x:v>76</x:v>
      </x:c>
      <x:c r="D454" s="10" t="str">
        <x:v>BR-SPCARANDIRU_ARCOENGE-DEMOLICAO-CSDTCARANDIRU.xlsx:Geral:76</x:v>
      </x:c>
      <x:c r="E454" s="10" t="str">
        <x:v>BRSPCARANDIRU_ARCOENGEDEMOLICAO-CSDTCARANDIRU_ICOFOTNDGMB0_0003-017.JPG</x:v>
      </x:c>
      <x:c r="F454" s="10" t="str">
        <x:v>DEMOLICAO-CSDTCARANDIRU</x:v>
      </x:c>
      <x:c r="G454" s="10" t="str">
        <x:v>ICO</x:v>
      </x:c>
      <x:c r="H454" s="10" t="str">
        <x:v>FOT</x:v>
      </x:c>
      <x:c r="I454" s="10" t="str">
        <x:v>NDG</x:v>
      </x:c>
      <x:c r="J454" s="10" t="str">
        <x:v>MB0</x:v>
      </x:c>
    </x:row>
    <x:row r="455" ht="24" hidden="0" customHeight="1">
      <x:c r="A455" s="10" t="str">
        <x:v>BR-SPCARANDIRU_ARCOENGE-DEMOLICAO-CSDTCARANDIRU.xlsx</x:v>
      </x:c>
      <x:c r="B455" s="10" t="str">
        <x:v>Geral</x:v>
      </x:c>
      <x:c r="C455" s="11" t="n">
        <x:v>77</x:v>
      </x:c>
      <x:c r="D455" s="10" t="str">
        <x:v>BR-SPCARANDIRU_ARCOENGE-DEMOLICAO-CSDTCARANDIRU.xlsx:Geral:77</x:v>
      </x:c>
      <x:c r="E455" s="10" t="str">
        <x:v>BRSPCARANDIRU_ARCOENGEDEMOLICAO-CSDTCARANDIRU_ICOFOTNDGMB0_0003-018.JPG</x:v>
      </x:c>
      <x:c r="F455" s="10" t="str">
        <x:v>DEMOLICAO-CSDTCARANDIRU</x:v>
      </x:c>
      <x:c r="G455" s="10" t="str">
        <x:v>ICO</x:v>
      </x:c>
      <x:c r="H455" s="10" t="str">
        <x:v>FOT</x:v>
      </x:c>
      <x:c r="I455" s="10" t="str">
        <x:v>NDG</x:v>
      </x:c>
      <x:c r="J455" s="10" t="str">
        <x:v>MB0</x:v>
      </x:c>
    </x:row>
    <x:row r="456" ht="24" hidden="0" customHeight="1">
      <x:c r="A456" s="10" t="str">
        <x:v>BR-SPCARANDIRU_ARCOENGE-DEMOLICAO-CSDTCARANDIRU.xlsx</x:v>
      </x:c>
      <x:c r="B456" s="10" t="str">
        <x:v>Geral</x:v>
      </x:c>
      <x:c r="C456" s="11" t="n">
        <x:v>78</x:v>
      </x:c>
      <x:c r="D456" s="10" t="str">
        <x:v>BR-SPCARANDIRU_ARCOENGE-DEMOLICAO-CSDTCARANDIRU.xlsx:Geral:78</x:v>
      </x:c>
      <x:c r="E456" s="10" t="str">
        <x:v>BRSPCARANDIRU_ARCOENGEDEMOLICAO-CSDTCARANDIRU_ICOFOTNDGMB0_0003-019.JPG</x:v>
      </x:c>
      <x:c r="F456" s="10" t="str">
        <x:v>DEMOLICAO-CSDTCARANDIRU</x:v>
      </x:c>
      <x:c r="G456" s="10" t="str">
        <x:v>ICO</x:v>
      </x:c>
      <x:c r="H456" s="10" t="str">
        <x:v>FOT</x:v>
      </x:c>
      <x:c r="I456" s="10" t="str">
        <x:v>NDG</x:v>
      </x:c>
      <x:c r="J456" s="10" t="str">
        <x:v>MB0</x:v>
      </x:c>
    </x:row>
    <x:row r="457" ht="24" hidden="0" customHeight="1">
      <x:c r="A457" s="10" t="str">
        <x:v>BR-SPCARANDIRU_ARCOENGE-DEMOLICAO-CSDTCARANDIRU.xlsx</x:v>
      </x:c>
      <x:c r="B457" s="10" t="str">
        <x:v>Geral</x:v>
      </x:c>
      <x:c r="C457" s="11" t="n">
        <x:v>79</x:v>
      </x:c>
      <x:c r="D457" s="10" t="str">
        <x:v>BR-SPCARANDIRU_ARCOENGE-DEMOLICAO-CSDTCARANDIRU.xlsx:Geral:79</x:v>
      </x:c>
      <x:c r="E457" s="10" t="str">
        <x:v>BRSPCARANDIRU_ARCOENGEDEMOLICAO-CSDTCARANDIRU_ICOFOTNDGMB0_0003-020.JPG</x:v>
      </x:c>
      <x:c r="F457" s="10" t="str">
        <x:v>DEMOLICAO-CSDTCARANDIRU</x:v>
      </x:c>
      <x:c r="G457" s="10" t="str">
        <x:v>ICO</x:v>
      </x:c>
      <x:c r="H457" s="10" t="str">
        <x:v>FOT</x:v>
      </x:c>
      <x:c r="I457" s="10" t="str">
        <x:v>NDG</x:v>
      </x:c>
      <x:c r="J457" s="10" t="str">
        <x:v>MB0</x:v>
      </x:c>
    </x:row>
    <x:row r="458" ht="24" hidden="0" customHeight="1">
      <x:c r="A458" s="10" t="str">
        <x:v>BR-SPCARANDIRU_ARCOENGE-DEMOLICAO-CSDTCARANDIRU.xlsx</x:v>
      </x:c>
      <x:c r="B458" s="10" t="str">
        <x:v>Geral</x:v>
      </x:c>
      <x:c r="C458" s="11" t="n">
        <x:v>80</x:v>
      </x:c>
      <x:c r="D458" s="10" t="str">
        <x:v>BR-SPCARANDIRU_ARCOENGE-DEMOLICAO-CSDTCARANDIRU.xlsx:Geral:80</x:v>
      </x:c>
      <x:c r="E458" s="10" t="str">
        <x:v>BRSPCARANDIRU_ARCOENGEDEMOLICAO-CSDTCARANDIRU_ICOFOTNDGMB0_0003-021.JPG</x:v>
      </x:c>
      <x:c r="F458" s="10" t="str">
        <x:v>DEMOLICAO-CSDTCARANDIRU</x:v>
      </x:c>
      <x:c r="G458" s="10" t="str">
        <x:v>ICO</x:v>
      </x:c>
      <x:c r="H458" s="10" t="str">
        <x:v>FOT</x:v>
      </x:c>
      <x:c r="I458" s="10" t="str">
        <x:v>NDG</x:v>
      </x:c>
      <x:c r="J458" s="10" t="str">
        <x:v>MB0</x:v>
      </x:c>
    </x:row>
    <x:row r="459" ht="24" hidden="0" customHeight="1">
      <x:c r="A459" s="10" t="str">
        <x:v>BR-SPCARANDIRU_ARCOENGE-DEMOLICAO-CSDTCARANDIRU.xlsx</x:v>
      </x:c>
      <x:c r="B459" s="10" t="str">
        <x:v>Geral</x:v>
      </x:c>
      <x:c r="C459" s="11" t="n">
        <x:v>81</x:v>
      </x:c>
      <x:c r="D459" s="10" t="str">
        <x:v>BR-SPCARANDIRU_ARCOENGE-DEMOLICAO-CSDTCARANDIRU.xlsx:Geral:81</x:v>
      </x:c>
      <x:c r="E459" s="10" t="str">
        <x:v>BRSPCARANDIRU_ARCOENGEDEMOLICAO-CSDTCARANDIRU_ICOFOTNDGMB0_0003-022.JPG</x:v>
      </x:c>
      <x:c r="F459" s="10" t="str">
        <x:v>DEMOLICAO-CSDTCARANDIRU</x:v>
      </x:c>
      <x:c r="G459" s="10" t="str">
        <x:v>ICO</x:v>
      </x:c>
      <x:c r="H459" s="10" t="str">
        <x:v>FOT</x:v>
      </x:c>
      <x:c r="I459" s="10" t="str">
        <x:v>NDG</x:v>
      </x:c>
      <x:c r="J459" s="10" t="str">
        <x:v>MB0</x:v>
      </x:c>
    </x:row>
    <x:row r="460" ht="24" hidden="0" customHeight="1">
      <x:c r="A460" s="10" t="str">
        <x:v>BR-SPCARANDIRU_ARCOENGE-DEMOLICAO-CSDTCARANDIRU.xlsx</x:v>
      </x:c>
      <x:c r="B460" s="10" t="str">
        <x:v>Geral</x:v>
      </x:c>
      <x:c r="C460" s="11" t="n">
        <x:v>82</x:v>
      </x:c>
      <x:c r="D460" s="10" t="str">
        <x:v>BR-SPCARANDIRU_ARCOENGE-DEMOLICAO-CSDTCARANDIRU.xlsx:Geral:82</x:v>
      </x:c>
      <x:c r="E460" s="10" t="str">
        <x:v>BRSPCARANDIRU_ARCOENGEDEMOLICAO-CSDTCARANDIRU_ICOFOTNDGMB0_0003-023.JPG</x:v>
      </x:c>
      <x:c r="F460" s="10" t="str">
        <x:v>DEMOLICAO-CSDTCARANDIRU</x:v>
      </x:c>
      <x:c r="G460" s="10" t="str">
        <x:v>ICO</x:v>
      </x:c>
      <x:c r="H460" s="10" t="str">
        <x:v>FOT</x:v>
      </x:c>
      <x:c r="I460" s="10" t="str">
        <x:v>NDG</x:v>
      </x:c>
      <x:c r="J460" s="10" t="str">
        <x:v>MB0</x:v>
      </x:c>
    </x:row>
    <x:row r="461" ht="24" hidden="0" customHeight="1">
      <x:c r="A461" s="10" t="str">
        <x:v>BR-SPCARANDIRU_ARCOENGE-DEMOLICAO-CSDTCARANDIRU.xlsx</x:v>
      </x:c>
      <x:c r="B461" s="10" t="str">
        <x:v>Geral</x:v>
      </x:c>
      <x:c r="C461" s="11" t="n">
        <x:v>83</x:v>
      </x:c>
      <x:c r="D461" s="10" t="str">
        <x:v>BR-SPCARANDIRU_ARCOENGE-DEMOLICAO-CSDTCARANDIRU.xlsx:Geral:83</x:v>
      </x:c>
      <x:c r="E461" s="10" t="str">
        <x:v>BRSPCARANDIRU_ARCOENGEDEMOLICAO-CSDTCARANDIRU_ICOFOTNDGMB0_0003-024.JPG</x:v>
      </x:c>
      <x:c r="F461" s="10" t="str">
        <x:v>DEMOLICAO-CSDTCARANDIRU</x:v>
      </x:c>
      <x:c r="G461" s="10" t="str">
        <x:v>ICO</x:v>
      </x:c>
      <x:c r="H461" s="10" t="str">
        <x:v>FOT</x:v>
      </x:c>
      <x:c r="I461" s="10" t="str">
        <x:v>NDG</x:v>
      </x:c>
      <x:c r="J461" s="10" t="str">
        <x:v>MB0</x:v>
      </x:c>
    </x:row>
    <x:row r="462" ht="24" hidden="0" customHeight="1">
      <x:c r="A462" s="10" t="str">
        <x:v>BR-SPCARANDIRU_ARCOENGE-DEMOLICAO-CSDTCARANDIRU.xlsx</x:v>
      </x:c>
      <x:c r="B462" s="10" t="str">
        <x:v>Geral</x:v>
      </x:c>
      <x:c r="C462" s="11" t="n">
        <x:v>84</x:v>
      </x:c>
      <x:c r="D462" s="10" t="str">
        <x:v>BR-SPCARANDIRU_ARCOENGE-DEMOLICAO-CSDTCARANDIRU.xlsx:Geral:84</x:v>
      </x:c>
      <x:c r="E462" s="10" t="str">
        <x:v>BRSPCARANDIRU_ARCOENGEDEMOLICAO-CSDTCARANDIRU_ICOFOTNDGMB0_0003-025.JPG</x:v>
      </x:c>
      <x:c r="F462" s="10" t="str">
        <x:v>DEMOLICAO-CSDTCARANDIRU</x:v>
      </x:c>
      <x:c r="G462" s="10" t="str">
        <x:v>ICO</x:v>
      </x:c>
      <x:c r="H462" s="10" t="str">
        <x:v>FOT</x:v>
      </x:c>
      <x:c r="I462" s="10" t="str">
        <x:v>NDG</x:v>
      </x:c>
      <x:c r="J462" s="10" t="str">
        <x:v>MB0</x:v>
      </x:c>
    </x:row>
    <x:row r="463" ht="24" hidden="0" customHeight="1">
      <x:c r="A463" s="10" t="str">
        <x:v>BR-SPCARANDIRU_ARCOENGE-DEMOLICAO-CSDTCARANDIRU.xlsx</x:v>
      </x:c>
      <x:c r="B463" s="10" t="str">
        <x:v>Geral</x:v>
      </x:c>
      <x:c r="C463" s="11" t="n">
        <x:v>85</x:v>
      </x:c>
      <x:c r="D463" s="10" t="str">
        <x:v>BR-SPCARANDIRU_ARCOENGE-DEMOLICAO-CSDTCARANDIRU.xlsx:Geral:85</x:v>
      </x:c>
      <x:c r="E463" s="10" t="str">
        <x:v>BRSPCARANDIRU_ARCOENGEDEMOLICAO-CSDTCARANDIRU_TXTRELNDGMB0_0003-026.txt</x:v>
      </x:c>
      <x:c r="F463" s="10" t="str">
        <x:v>DEMOLICAO-CSDTCARANDIRU</x:v>
      </x:c>
      <x:c r="G463" s="10" t="str">
        <x:v>TXT</x:v>
      </x:c>
      <x:c r="H463" s="10" t="str">
        <x:v>REL</x:v>
      </x:c>
      <x:c r="I463" s="10" t="str">
        <x:v>NDG</x:v>
      </x:c>
      <x:c r="J463" s="10" t="str">
        <x:v>MB0</x:v>
      </x:c>
    </x:row>
    <x:row r="464" ht="24" hidden="0" customHeight="1">
      <x:c r="A464" s="10" t="str">
        <x:v>BR-SPCARANDIRU_ARCOENGE-DEMOLICAO-CSDTCARANDIRU.xlsx</x:v>
      </x:c>
      <x:c r="B464" s="10" t="str">
        <x:v>Geral</x:v>
      </x:c>
      <x:c r="C464" s="11" t="n">
        <x:v>86</x:v>
      </x:c>
      <x:c r="D464" s="10" t="str">
        <x:v>BR-SPCARANDIRU_ARCOENGE-DEMOLICAO-CSDTCARANDIRU.xlsx:Geral:86</x:v>
      </x:c>
      <x:c r="E464" s="10" t="str">
        <x:v>BRSPCARANDIRU_ARCOENGEDEMOLICAO-CSDTCARANDIRU_ICOFOTNDGMB0_0004-001.JPG</x:v>
      </x:c>
      <x:c r="F464" s="10" t="str">
        <x:v>DEMOLICAO-CSDTCARANDIRU</x:v>
      </x:c>
      <x:c r="G464" s="10" t="str">
        <x:v>ICO</x:v>
      </x:c>
      <x:c r="H464" s="10" t="str">
        <x:v>FOT</x:v>
      </x:c>
      <x:c r="I464" s="10" t="str">
        <x:v>NDG</x:v>
      </x:c>
      <x:c r="J464" s="10" t="str">
        <x:v>MB0</x:v>
      </x:c>
    </x:row>
    <x:row r="465" ht="24" hidden="0" customHeight="1">
      <x:c r="A465" s="10" t="str">
        <x:v>BR-SPCARANDIRU_ARCOENGE-DEMOLICAO-CSDTCARANDIRU.xlsx</x:v>
      </x:c>
      <x:c r="B465" s="10" t="str">
        <x:v>Geral</x:v>
      </x:c>
      <x:c r="C465" s="11" t="n">
        <x:v>87</x:v>
      </x:c>
      <x:c r="D465" s="10" t="str">
        <x:v>BR-SPCARANDIRU_ARCOENGE-DEMOLICAO-CSDTCARANDIRU.xlsx:Geral:87</x:v>
      </x:c>
      <x:c r="E465" s="10" t="str">
        <x:v>BRSPCARANDIRU_ARCOENGEDEMOLICAO-CSDTCARANDIRU_ICOFOTNDGMB0_0004-002.JPG</x:v>
      </x:c>
      <x:c r="F465" s="10" t="str">
        <x:v>DEMOLICAO-CSDTCARANDIRU</x:v>
      </x:c>
      <x:c r="G465" s="10" t="str">
        <x:v>ICO</x:v>
      </x:c>
      <x:c r="H465" s="10" t="str">
        <x:v>FOT</x:v>
      </x:c>
      <x:c r="I465" s="10" t="str">
        <x:v>NDG</x:v>
      </x:c>
      <x:c r="J465" s="10" t="str">
        <x:v>MB0</x:v>
      </x:c>
    </x:row>
    <x:row r="466" ht="24" hidden="0" customHeight="1">
      <x:c r="A466" s="10" t="str">
        <x:v>BR-SPCARANDIRU_ARCOENGE-DEMOLICAO-CSDTCARANDIRU.xlsx</x:v>
      </x:c>
      <x:c r="B466" s="10" t="str">
        <x:v>Geral</x:v>
      </x:c>
      <x:c r="C466" s="11" t="n">
        <x:v>88</x:v>
      </x:c>
      <x:c r="D466" s="10" t="str">
        <x:v>BR-SPCARANDIRU_ARCOENGE-DEMOLICAO-CSDTCARANDIRU.xlsx:Geral:88</x:v>
      </x:c>
      <x:c r="E466" s="10" t="str">
        <x:v>BRSPCARANDIRU_ARCOENGEDEMOLICAO-CSDTCARANDIRU_ICOFOTNDGMB0_0004-003.JPG</x:v>
      </x:c>
      <x:c r="F466" s="10" t="str">
        <x:v>DEMOLICAO-CSDTCARANDIRU</x:v>
      </x:c>
      <x:c r="G466" s="10" t="str">
        <x:v>ICO</x:v>
      </x:c>
      <x:c r="H466" s="10" t="str">
        <x:v>FOT</x:v>
      </x:c>
      <x:c r="I466" s="10" t="str">
        <x:v>NDG</x:v>
      </x:c>
      <x:c r="J466" s="10" t="str">
        <x:v>MB0</x:v>
      </x:c>
    </x:row>
    <x:row r="467" ht="24" hidden="0" customHeight="1">
      <x:c r="A467" s="10" t="str">
        <x:v>BR-SPCARANDIRU_ARCOENGE-DEMOLICAO-CSDTCARANDIRU.xlsx</x:v>
      </x:c>
      <x:c r="B467" s="10" t="str">
        <x:v>Geral</x:v>
      </x:c>
      <x:c r="C467" s="11" t="n">
        <x:v>89</x:v>
      </x:c>
      <x:c r="D467" s="10" t="str">
        <x:v>BR-SPCARANDIRU_ARCOENGE-DEMOLICAO-CSDTCARANDIRU.xlsx:Geral:89</x:v>
      </x:c>
      <x:c r="E467" s="10" t="str">
        <x:v>BRSPCARANDIRU_ARCOENGEDEMOLICAO-CSDTCARANDIRU_ICOFOTNDGMB0_0004-004.JPG</x:v>
      </x:c>
      <x:c r="F467" s="10" t="str">
        <x:v>DEMOLICAO-CSDTCARANDIRU</x:v>
      </x:c>
      <x:c r="G467" s="10" t="str">
        <x:v>ICO</x:v>
      </x:c>
      <x:c r="H467" s="10" t="str">
        <x:v>FOT</x:v>
      </x:c>
      <x:c r="I467" s="10" t="str">
        <x:v>NDG</x:v>
      </x:c>
      <x:c r="J467" s="10" t="str">
        <x:v>MB0</x:v>
      </x:c>
    </x:row>
    <x:row r="468" ht="24" hidden="0" customHeight="1">
      <x:c r="A468" s="10" t="str">
        <x:v>BR-SPCARANDIRU_ARCOENGE-DEMOLICAO-CSDTCARANDIRU.xlsx</x:v>
      </x:c>
      <x:c r="B468" s="10" t="str">
        <x:v>Geral</x:v>
      </x:c>
      <x:c r="C468" s="11" t="n">
        <x:v>90</x:v>
      </x:c>
      <x:c r="D468" s="10" t="str">
        <x:v>BR-SPCARANDIRU_ARCOENGE-DEMOLICAO-CSDTCARANDIRU.xlsx:Geral:90</x:v>
      </x:c>
      <x:c r="E468" s="10" t="str">
        <x:v>BRSPCARANDIRU_ARCOENGEDEMOLICAO-CSDTCARANDIRU_ICOFOTNDGMB0_0004-005.JPG</x:v>
      </x:c>
      <x:c r="F468" s="10" t="str">
        <x:v>DEMOLICAO-CSDTCARANDIRU</x:v>
      </x:c>
      <x:c r="G468" s="10" t="str">
        <x:v>ICO</x:v>
      </x:c>
      <x:c r="H468" s="10" t="str">
        <x:v>FOT</x:v>
      </x:c>
      <x:c r="I468" s="10" t="str">
        <x:v>NDG</x:v>
      </x:c>
      <x:c r="J468" s="10" t="str">
        <x:v>MB0</x:v>
      </x:c>
    </x:row>
    <x:row r="469" ht="24" hidden="0" customHeight="1">
      <x:c r="A469" s="10" t="str">
        <x:v>BR-SPCARANDIRU_ARCOENGE-DEMOLICAO-CSDTCARANDIRU.xlsx</x:v>
      </x:c>
      <x:c r="B469" s="10" t="str">
        <x:v>Geral</x:v>
      </x:c>
      <x:c r="C469" s="11" t="n">
        <x:v>91</x:v>
      </x:c>
      <x:c r="D469" s="10" t="str">
        <x:v>BR-SPCARANDIRU_ARCOENGE-DEMOLICAO-CSDTCARANDIRU.xlsx:Geral:91</x:v>
      </x:c>
      <x:c r="E469" s="10" t="str">
        <x:v>BRSPCARANDIRU_ARCOENGEDEMOLICAO-CSDTCARANDIRU_ICOFOTNDGMB0_0004-006.JPG</x:v>
      </x:c>
      <x:c r="F469" s="10" t="str">
        <x:v>DEMOLICAO-CSDTCARANDIRU</x:v>
      </x:c>
      <x:c r="G469" s="10" t="str">
        <x:v>ICO</x:v>
      </x:c>
      <x:c r="H469" s="10" t="str">
        <x:v>FOT</x:v>
      </x:c>
      <x:c r="I469" s="10" t="str">
        <x:v>NDG</x:v>
      </x:c>
      <x:c r="J469" s="10" t="str">
        <x:v>MB0</x:v>
      </x:c>
    </x:row>
    <x:row r="470" ht="24" hidden="0" customHeight="1">
      <x:c r="A470" s="10" t="str">
        <x:v>BR-SPCARANDIRU_ARCOENGE-DEMOLICAO-CSDTCARANDIRU.xlsx</x:v>
      </x:c>
      <x:c r="B470" s="10" t="str">
        <x:v>Geral</x:v>
      </x:c>
      <x:c r="C470" s="11" t="n">
        <x:v>92</x:v>
      </x:c>
      <x:c r="D470" s="10" t="str">
        <x:v>BR-SPCARANDIRU_ARCOENGE-DEMOLICAO-CSDTCARANDIRU.xlsx:Geral:92</x:v>
      </x:c>
      <x:c r="E470" s="10" t="str">
        <x:v>BRSPCARANDIRU_ARCOENGEDEMOLICAO-CSDTCARANDIRU_ICOFOTNDGMB0_0004-007.JPG</x:v>
      </x:c>
      <x:c r="F470" s="10" t="str">
        <x:v>DEMOLICAO-CSDTCARANDIRU</x:v>
      </x:c>
      <x:c r="G470" s="10" t="str">
        <x:v>ICO</x:v>
      </x:c>
      <x:c r="H470" s="10" t="str">
        <x:v>FOT</x:v>
      </x:c>
      <x:c r="I470" s="10" t="str">
        <x:v>NDG</x:v>
      </x:c>
      <x:c r="J470" s="10" t="str">
        <x:v>MB0</x:v>
      </x:c>
    </x:row>
    <x:row r="471" ht="24" hidden="0" customHeight="1">
      <x:c r="A471" s="10" t="str">
        <x:v>BR-SPCARANDIRU_ARCOENGE-DEMOLICAO-CSDTCARANDIRU.xlsx</x:v>
      </x:c>
      <x:c r="B471" s="10" t="str">
        <x:v>Geral</x:v>
      </x:c>
      <x:c r="C471" s="11" t="n">
        <x:v>93</x:v>
      </x:c>
      <x:c r="D471" s="10" t="str">
        <x:v>BR-SPCARANDIRU_ARCOENGE-DEMOLICAO-CSDTCARANDIRU.xlsx:Geral:93</x:v>
      </x:c>
      <x:c r="E471" s="10" t="str">
        <x:v>BRSPCARANDIRU_ARCOENGEDEMOLICAO-CSDTCARANDIRU_ICOFOTNDGMB0_0004-008.JPG</x:v>
      </x:c>
      <x:c r="F471" s="10" t="str">
        <x:v>DEMOLICAO-CSDTCARANDIRU</x:v>
      </x:c>
      <x:c r="G471" s="10" t="str">
        <x:v>ICO</x:v>
      </x:c>
      <x:c r="H471" s="10" t="str">
        <x:v>FOT</x:v>
      </x:c>
      <x:c r="I471" s="10" t="str">
        <x:v>NDG</x:v>
      </x:c>
      <x:c r="J471" s="10" t="str">
        <x:v>MB0</x:v>
      </x:c>
    </x:row>
    <x:row r="472" ht="24" hidden="0" customHeight="1">
      <x:c r="A472" s="10" t="str">
        <x:v>BR-SPCARANDIRU_ARCOENGE-DEMOLICAO-CSDTCARANDIRU.xlsx</x:v>
      </x:c>
      <x:c r="B472" s="10" t="str">
        <x:v>Geral</x:v>
      </x:c>
      <x:c r="C472" s="11" t="n">
        <x:v>94</x:v>
      </x:c>
      <x:c r="D472" s="10" t="str">
        <x:v>BR-SPCARANDIRU_ARCOENGE-DEMOLICAO-CSDTCARANDIRU.xlsx:Geral:94</x:v>
      </x:c>
      <x:c r="E472" s="10" t="str">
        <x:v>BRSPCARANDIRU_ARCOENGEDEMOLICAO-CSDTCARANDIRU_ICOFOTNDGMB0_0004-009.JPG</x:v>
      </x:c>
      <x:c r="F472" s="10" t="str">
        <x:v>DEMOLICAO-CSDTCARANDIRU</x:v>
      </x:c>
      <x:c r="G472" s="10" t="str">
        <x:v>ICO</x:v>
      </x:c>
      <x:c r="H472" s="10" t="str">
        <x:v>FOT</x:v>
      </x:c>
      <x:c r="I472" s="10" t="str">
        <x:v>NDG</x:v>
      </x:c>
      <x:c r="J472" s="10" t="str">
        <x:v>MB0</x:v>
      </x:c>
    </x:row>
    <x:row r="473" ht="24" hidden="0" customHeight="1">
      <x:c r="A473" s="10" t="str">
        <x:v>BR-SPCARANDIRU_ARCOENGE-DEMOLICAO-CSDTCARANDIRU.xlsx</x:v>
      </x:c>
      <x:c r="B473" s="10" t="str">
        <x:v>Geral</x:v>
      </x:c>
      <x:c r="C473" s="11" t="n">
        <x:v>95</x:v>
      </x:c>
      <x:c r="D473" s="10" t="str">
        <x:v>BR-SPCARANDIRU_ARCOENGE-DEMOLICAO-CSDTCARANDIRU.xlsx:Geral:95</x:v>
      </x:c>
      <x:c r="E473" s="10" t="str">
        <x:v>BRSPCARANDIRU_ARCOENGEDEMOLICAO-CSDTCARANDIRU_ICOFOTNDGMB0_0004-010.JPG</x:v>
      </x:c>
      <x:c r="F473" s="10" t="str">
        <x:v>DEMOLICAO-CSDTCARANDIRU</x:v>
      </x:c>
      <x:c r="G473" s="10" t="str">
        <x:v>ICO</x:v>
      </x:c>
      <x:c r="H473" s="10" t="str">
        <x:v>FOT</x:v>
      </x:c>
      <x:c r="I473" s="10" t="str">
        <x:v>NDG</x:v>
      </x:c>
      <x:c r="J473" s="10" t="str">
        <x:v>MB0</x:v>
      </x:c>
    </x:row>
    <x:row r="474" ht="24" hidden="0" customHeight="1">
      <x:c r="A474" s="10" t="str">
        <x:v>BR-SPCARANDIRU_ARCOENGE-DEMOLICAO-CSDTCARANDIRU.xlsx</x:v>
      </x:c>
      <x:c r="B474" s="10" t="str">
        <x:v>Geral</x:v>
      </x:c>
      <x:c r="C474" s="11" t="n">
        <x:v>96</x:v>
      </x:c>
      <x:c r="D474" s="10" t="str">
        <x:v>BR-SPCARANDIRU_ARCOENGE-DEMOLICAO-CSDTCARANDIRU.xlsx:Geral:96</x:v>
      </x:c>
      <x:c r="E474" s="10" t="str">
        <x:v>BRSPCARANDIRU_ARCOENGEDEMOLICAO-CSDTCARANDIRU_ICOFOTNDGMB0_0004-011.JPG</x:v>
      </x:c>
      <x:c r="F474" s="10" t="str">
        <x:v>DEMOLICAO-CSDTCARANDIRU</x:v>
      </x:c>
      <x:c r="G474" s="10" t="str">
        <x:v>ICO</x:v>
      </x:c>
      <x:c r="H474" s="10" t="str">
        <x:v>FOT</x:v>
      </x:c>
      <x:c r="I474" s="10" t="str">
        <x:v>NDG</x:v>
      </x:c>
      <x:c r="J474" s="10" t="str">
        <x:v>MB0</x:v>
      </x:c>
    </x:row>
    <x:row r="475" ht="24" hidden="0" customHeight="1">
      <x:c r="A475" s="10" t="str">
        <x:v>BR-SPCARANDIRU_ARCOENGE-DEMOLICAO-CSDTCARANDIRU.xlsx</x:v>
      </x:c>
      <x:c r="B475" s="10" t="str">
        <x:v>Geral</x:v>
      </x:c>
      <x:c r="C475" s="11" t="n">
        <x:v>97</x:v>
      </x:c>
      <x:c r="D475" s="10" t="str">
        <x:v>BR-SPCARANDIRU_ARCOENGE-DEMOLICAO-CSDTCARANDIRU.xlsx:Geral:97</x:v>
      </x:c>
      <x:c r="E475" s="10" t="str">
        <x:v>BRSPCARANDIRU_ARCOENGEDEMOLICAO-CSDTCARANDIRU_ICOFOTNDGMB0_0004-012.JPG</x:v>
      </x:c>
      <x:c r="F475" s="10" t="str">
        <x:v>DEMOLICAO-CSDTCARANDIRU</x:v>
      </x:c>
      <x:c r="G475" s="10" t="str">
        <x:v>ICO</x:v>
      </x:c>
      <x:c r="H475" s="10" t="str">
        <x:v>FOT</x:v>
      </x:c>
      <x:c r="I475" s="10" t="str">
        <x:v>NDG</x:v>
      </x:c>
      <x:c r="J475" s="10" t="str">
        <x:v>MB0</x:v>
      </x:c>
    </x:row>
    <x:row r="476" ht="24" hidden="0" customHeight="1">
      <x:c r="A476" s="10" t="str">
        <x:v>BR-SPCARANDIRU_ARCOENGE-DEMOLICAO-CSDTCARANDIRU.xlsx</x:v>
      </x:c>
      <x:c r="B476" s="10" t="str">
        <x:v>Geral</x:v>
      </x:c>
      <x:c r="C476" s="11" t="n">
        <x:v>98</x:v>
      </x:c>
      <x:c r="D476" s="10" t="str">
        <x:v>BR-SPCARANDIRU_ARCOENGE-DEMOLICAO-CSDTCARANDIRU.xlsx:Geral:98</x:v>
      </x:c>
      <x:c r="E476" s="10" t="str">
        <x:v>BRSPCARANDIRU_ARCOENGEDEMOLICAO-CSDTCARANDIRU_ICOFOTNDGMB0_0004-013.JPG</x:v>
      </x:c>
      <x:c r="F476" s="10" t="str">
        <x:v>DEMOLICAO-CSDTCARANDIRU</x:v>
      </x:c>
      <x:c r="G476" s="10" t="str">
        <x:v>ICO</x:v>
      </x:c>
      <x:c r="H476" s="10" t="str">
        <x:v>FOT</x:v>
      </x:c>
      <x:c r="I476" s="10" t="str">
        <x:v>NDG</x:v>
      </x:c>
      <x:c r="J476" s="10" t="str">
        <x:v>MB0</x:v>
      </x:c>
    </x:row>
    <x:row r="477" ht="24" hidden="0" customHeight="1">
      <x:c r="A477" s="10" t="str">
        <x:v>BR-SPCARANDIRU_ARCOENGE-DEMOLICAO-CSDTCARANDIRU.xlsx</x:v>
      </x:c>
      <x:c r="B477" s="10" t="str">
        <x:v>Geral</x:v>
      </x:c>
      <x:c r="C477" s="11" t="n">
        <x:v>99</x:v>
      </x:c>
      <x:c r="D477" s="10" t="str">
        <x:v>BR-SPCARANDIRU_ARCOENGE-DEMOLICAO-CSDTCARANDIRU.xlsx:Geral:99</x:v>
      </x:c>
      <x:c r="E477" s="10" t="str">
        <x:v>BRSPCARANDIRU_ARCOENGEDEMOLICAO-CSDTCARANDIRU_ICOFOTNDGMB0_0004-014.JPG</x:v>
      </x:c>
      <x:c r="F477" s="10" t="str">
        <x:v>DEMOLICAO-CSDTCARANDIRU</x:v>
      </x:c>
      <x:c r="G477" s="10" t="str">
        <x:v>ICO</x:v>
      </x:c>
      <x:c r="H477" s="10" t="str">
        <x:v>FOT</x:v>
      </x:c>
      <x:c r="I477" s="10" t="str">
        <x:v>NDG</x:v>
      </x:c>
      <x:c r="J477" s="10" t="str">
        <x:v>MB0</x:v>
      </x:c>
    </x:row>
    <x:row r="478" ht="24" hidden="0" customHeight="1">
      <x:c r="A478" s="10" t="str">
        <x:v>BR-SPCARANDIRU_ARCOENGE-DEMOLICAO-CSDTCARANDIRU.xlsx</x:v>
      </x:c>
      <x:c r="B478" s="10" t="str">
        <x:v>Geral</x:v>
      </x:c>
      <x:c r="C478" s="11" t="n">
        <x:v>100</x:v>
      </x:c>
      <x:c r="D478" s="10" t="str">
        <x:v>BR-SPCARANDIRU_ARCOENGE-DEMOLICAO-CSDTCARANDIRU.xlsx:Geral:100</x:v>
      </x:c>
      <x:c r="E478" s="10" t="str">
        <x:v>BRSPCARANDIRU_ARCOENGEDEMOLICAO-CSDTCARANDIRU_ICOFOTNDGMB0_0004-015.JPG</x:v>
      </x:c>
      <x:c r="F478" s="10" t="str">
        <x:v>DEMOLICAO-CSDTCARANDIRU</x:v>
      </x:c>
      <x:c r="G478" s="10" t="str">
        <x:v>ICO</x:v>
      </x:c>
      <x:c r="H478" s="10" t="str">
        <x:v>FOT</x:v>
      </x:c>
      <x:c r="I478" s="10" t="str">
        <x:v>NDG</x:v>
      </x:c>
      <x:c r="J478" s="10" t="str">
        <x:v>MB0</x:v>
      </x:c>
    </x:row>
    <x:row r="479" ht="24" hidden="0" customHeight="1">
      <x:c r="A479" s="10" t="str">
        <x:v>BR-SPCARANDIRU_ARCOENGE-DEMOLICAO-CSDTCARANDIRU.xlsx</x:v>
      </x:c>
      <x:c r="B479" s="10" t="str">
        <x:v>Geral</x:v>
      </x:c>
      <x:c r="C479" s="11" t="n">
        <x:v>101</x:v>
      </x:c>
      <x:c r="D479" s="10" t="str">
        <x:v>BR-SPCARANDIRU_ARCOENGE-DEMOLICAO-CSDTCARANDIRU.xlsx:Geral:101</x:v>
      </x:c>
      <x:c r="E479" s="10" t="str">
        <x:v>BRSPCARANDIRU_ARCOENGEDEMOLICAO-CSDTCARANDIRU_ICOFOTNDGMB0_0004-016.JPG</x:v>
      </x:c>
      <x:c r="F479" s="10" t="str">
        <x:v>DEMOLICAO-CSDTCARANDIRU</x:v>
      </x:c>
      <x:c r="G479" s="10" t="str">
        <x:v>ICO</x:v>
      </x:c>
      <x:c r="H479" s="10" t="str">
        <x:v>FOT</x:v>
      </x:c>
      <x:c r="I479" s="10" t="str">
        <x:v>NDG</x:v>
      </x:c>
      <x:c r="J479" s="10" t="str">
        <x:v>MB0</x:v>
      </x:c>
    </x:row>
    <x:row r="480" ht="24" hidden="0" customHeight="1">
      <x:c r="A480" s="10" t="str">
        <x:v>BR-SPCARANDIRU_ARCOENGE-DEMOLICAO-CSDTCARANDIRU.xlsx</x:v>
      </x:c>
      <x:c r="B480" s="10" t="str">
        <x:v>Geral</x:v>
      </x:c>
      <x:c r="C480" s="11" t="n">
        <x:v>102</x:v>
      </x:c>
      <x:c r="D480" s="10" t="str">
        <x:v>BR-SPCARANDIRU_ARCOENGE-DEMOLICAO-CSDTCARANDIRU.xlsx:Geral:102</x:v>
      </x:c>
      <x:c r="E480" s="10" t="str">
        <x:v>BRSPCARANDIRU_ARCOENGEDEMOLICAO-CSDTCARANDIRU_ICOFOTNDGMB0_0004-017.JPG</x:v>
      </x:c>
      <x:c r="F480" s="10" t="str">
        <x:v>DEMOLICAO-CSDTCARANDIRU</x:v>
      </x:c>
      <x:c r="G480" s="10" t="str">
        <x:v>ICO</x:v>
      </x:c>
      <x:c r="H480" s="10" t="str">
        <x:v>FOT</x:v>
      </x:c>
      <x:c r="I480" s="10" t="str">
        <x:v>NDG</x:v>
      </x:c>
      <x:c r="J480" s="10" t="str">
        <x:v>MB0</x:v>
      </x:c>
    </x:row>
    <x:row r="481" ht="24" hidden="0" customHeight="1">
      <x:c r="A481" s="10" t="str">
        <x:v>BR-SPCARANDIRU_ARCOENGE-DEMOLICAO-CSDTCARANDIRU.xlsx</x:v>
      </x:c>
      <x:c r="B481" s="10" t="str">
        <x:v>Geral</x:v>
      </x:c>
      <x:c r="C481" s="11" t="n">
        <x:v>103</x:v>
      </x:c>
      <x:c r="D481" s="10" t="str">
        <x:v>BR-SPCARANDIRU_ARCOENGE-DEMOLICAO-CSDTCARANDIRU.xlsx:Geral:103</x:v>
      </x:c>
      <x:c r="E481" s="10" t="str">
        <x:v>BRSPCARANDIRU_ARCOENGEDEMOLICAO-CSDTCARANDIRU_ICOFOTNDGMB0_0004-018.JPG</x:v>
      </x:c>
      <x:c r="F481" s="10" t="str">
        <x:v>DEMOLICAO-CSDTCARANDIRU</x:v>
      </x:c>
      <x:c r="G481" s="10" t="str">
        <x:v>ICO</x:v>
      </x:c>
      <x:c r="H481" s="10" t="str">
        <x:v>FOT</x:v>
      </x:c>
      <x:c r="I481" s="10" t="str">
        <x:v>NDG</x:v>
      </x:c>
      <x:c r="J481" s="10" t="str">
        <x:v>MB0</x:v>
      </x:c>
    </x:row>
    <x:row r="482" ht="24" hidden="0" customHeight="1">
      <x:c r="A482" s="10" t="str">
        <x:v>BR-SPCARANDIRU_ARCOENGE-DEMOLICAO-CSDTCARANDIRU.xlsx</x:v>
      </x:c>
      <x:c r="B482" s="10" t="str">
        <x:v>Geral</x:v>
      </x:c>
      <x:c r="C482" s="11" t="n">
        <x:v>104</x:v>
      </x:c>
      <x:c r="D482" s="10" t="str">
        <x:v>BR-SPCARANDIRU_ARCOENGE-DEMOLICAO-CSDTCARANDIRU.xlsx:Geral:104</x:v>
      </x:c>
      <x:c r="E482" s="10" t="str">
        <x:v>BRSPCARANDIRU_ARCOENGEDEMOLICAO-CSDTCARANDIRU_ICOFOTNDGMB0_0004-019.JPG</x:v>
      </x:c>
      <x:c r="F482" s="10" t="str">
        <x:v>DEMOLICAO-CSDTCARANDIRU</x:v>
      </x:c>
      <x:c r="G482" s="10" t="str">
        <x:v>ICO</x:v>
      </x:c>
      <x:c r="H482" s="10" t="str">
        <x:v>FOT</x:v>
      </x:c>
      <x:c r="I482" s="10" t="str">
        <x:v>NDG</x:v>
      </x:c>
      <x:c r="J482" s="10" t="str">
        <x:v>MB0</x:v>
      </x:c>
    </x:row>
    <x:row r="483" ht="24" hidden="0" customHeight="1">
      <x:c r="A483" s="10" t="str">
        <x:v>BR-SPCARANDIRU_ARCOENGE-DEMOLICAO-CSDTCARANDIRU.xlsx</x:v>
      </x:c>
      <x:c r="B483" s="10" t="str">
        <x:v>Geral</x:v>
      </x:c>
      <x:c r="C483" s="11" t="n">
        <x:v>105</x:v>
      </x:c>
      <x:c r="D483" s="10" t="str">
        <x:v>BR-SPCARANDIRU_ARCOENGE-DEMOLICAO-CSDTCARANDIRU.xlsx:Geral:105</x:v>
      </x:c>
      <x:c r="E483" s="10" t="str">
        <x:v>BRSPCARANDIRU_ARCOENGEDEMOLICAO-CSDTCARANDIRU_ICOFOTNDGMB0_0004-020.JPG</x:v>
      </x:c>
      <x:c r="F483" s="10" t="str">
        <x:v>DEMOLICAO-CSDTCARANDIRU</x:v>
      </x:c>
      <x:c r="G483" s="10" t="str">
        <x:v>ICO</x:v>
      </x:c>
      <x:c r="H483" s="10" t="str">
        <x:v>FOT</x:v>
      </x:c>
      <x:c r="I483" s="10" t="str">
        <x:v>NDG</x:v>
      </x:c>
      <x:c r="J483" s="10" t="str">
        <x:v>MB0</x:v>
      </x:c>
    </x:row>
    <x:row r="484" ht="24" hidden="0" customHeight="1">
      <x:c r="A484" s="10" t="str">
        <x:v>BR-SPCARANDIRU_ARCOENGE-DEMOLICAO-CSDTCARANDIRU.xlsx</x:v>
      </x:c>
      <x:c r="B484" s="10" t="str">
        <x:v>Geral</x:v>
      </x:c>
      <x:c r="C484" s="11" t="n">
        <x:v>106</x:v>
      </x:c>
      <x:c r="D484" s="10" t="str">
        <x:v>BR-SPCARANDIRU_ARCOENGE-DEMOLICAO-CSDTCARANDIRU.xlsx:Geral:106</x:v>
      </x:c>
      <x:c r="E484" s="10" t="str">
        <x:v>BRSPCARANDIRU_ARCOENGEDEMOLICAO-CSDTCARANDIRU_ICOFOTNDGMB0_0004-021.JPG</x:v>
      </x:c>
      <x:c r="F484" s="10" t="str">
        <x:v>DEMOLICAO-CSDTCARANDIRU</x:v>
      </x:c>
      <x:c r="G484" s="10" t="str">
        <x:v>ICO</x:v>
      </x:c>
      <x:c r="H484" s="10" t="str">
        <x:v>FOT</x:v>
      </x:c>
      <x:c r="I484" s="10" t="str">
        <x:v>NDG</x:v>
      </x:c>
      <x:c r="J484" s="10" t="str">
        <x:v>MB0</x:v>
      </x:c>
    </x:row>
    <x:row r="485" ht="24" hidden="0" customHeight="1">
      <x:c r="A485" s="10" t="str">
        <x:v>BR-SPCARANDIRU_ARCOENGE-DEMOLICAO-CSDTCARANDIRU.xlsx</x:v>
      </x:c>
      <x:c r="B485" s="10" t="str">
        <x:v>Geral</x:v>
      </x:c>
      <x:c r="C485" s="11" t="n">
        <x:v>107</x:v>
      </x:c>
      <x:c r="D485" s="10" t="str">
        <x:v>BR-SPCARANDIRU_ARCOENGE-DEMOLICAO-CSDTCARANDIRU.xlsx:Geral:107</x:v>
      </x:c>
      <x:c r="E485" s="10" t="str">
        <x:v>BRSPCARANDIRU_ARCOENGEDEMOLICAO-CSDTCARANDIRU_ICOFOTNDGMB0_0004-022.JPG</x:v>
      </x:c>
      <x:c r="F485" s="10" t="str">
        <x:v>DEMOLICAO-CSDTCARANDIRU</x:v>
      </x:c>
      <x:c r="G485" s="10" t="str">
        <x:v>ICO</x:v>
      </x:c>
      <x:c r="H485" s="10" t="str">
        <x:v>FOT</x:v>
      </x:c>
      <x:c r="I485" s="10" t="str">
        <x:v>NDG</x:v>
      </x:c>
      <x:c r="J485" s="10" t="str">
        <x:v>MB0</x:v>
      </x:c>
    </x:row>
    <x:row r="486" ht="24" hidden="0" customHeight="1">
      <x:c r="A486" s="10" t="str">
        <x:v>BR-SPCARANDIRU_ARCOENGE-DEMOLICAO-CSDTCARANDIRU.xlsx</x:v>
      </x:c>
      <x:c r="B486" s="10" t="str">
        <x:v>Geral</x:v>
      </x:c>
      <x:c r="C486" s="11" t="n">
        <x:v>108</x:v>
      </x:c>
      <x:c r="D486" s="10" t="str">
        <x:v>BR-SPCARANDIRU_ARCOENGE-DEMOLICAO-CSDTCARANDIRU.xlsx:Geral:108</x:v>
      </x:c>
      <x:c r="E486" s="10" t="str">
        <x:v>BRSPCARANDIRU_ARCOENGEDEMOLICAO-CSDTCARANDIRU_ICOFOTNDGMB0_0004-023.JPG</x:v>
      </x:c>
      <x:c r="F486" s="10" t="str">
        <x:v>DEMOLICAO-CSDTCARANDIRU</x:v>
      </x:c>
      <x:c r="G486" s="10" t="str">
        <x:v>ICO</x:v>
      </x:c>
      <x:c r="H486" s="10" t="str">
        <x:v>FOT</x:v>
      </x:c>
      <x:c r="I486" s="10" t="str">
        <x:v>NDG</x:v>
      </x:c>
      <x:c r="J486" s="10" t="str">
        <x:v>MB0</x:v>
      </x:c>
    </x:row>
    <x:row r="487" ht="24" hidden="0" customHeight="1">
      <x:c r="A487" s="10" t="str">
        <x:v>BR-SPCARANDIRU_ARCOENGE-DEMOLICAO-CSDTCARANDIRU.xlsx</x:v>
      </x:c>
      <x:c r="B487" s="10" t="str">
        <x:v>Geral</x:v>
      </x:c>
      <x:c r="C487" s="11" t="n">
        <x:v>109</x:v>
      </x:c>
      <x:c r="D487" s="10" t="str">
        <x:v>BR-SPCARANDIRU_ARCOENGE-DEMOLICAO-CSDTCARANDIRU.xlsx:Geral:109</x:v>
      </x:c>
      <x:c r="E487" s="10" t="str">
        <x:v>BRSPCARANDIRU_ARCOENGEDEMOLICAO-CSDTCARANDIRU_ICOFOTNDGMB0_0004-024.JPG</x:v>
      </x:c>
      <x:c r="F487" s="10" t="str">
        <x:v>DEMOLICAO-CSDTCARANDIRU</x:v>
      </x:c>
      <x:c r="G487" s="10" t="str">
        <x:v>ICO</x:v>
      </x:c>
      <x:c r="H487" s="10" t="str">
        <x:v>FOT</x:v>
      </x:c>
      <x:c r="I487" s="10" t="str">
        <x:v>NDG</x:v>
      </x:c>
      <x:c r="J487" s="10" t="str">
        <x:v>MB0</x:v>
      </x:c>
    </x:row>
    <x:row r="488" ht="24" hidden="0" customHeight="1">
      <x:c r="A488" s="10" t="str">
        <x:v>BR-SPCARANDIRU_ARCOENGE-DEMOLICAO-CSDTCARANDIRU.xlsx</x:v>
      </x:c>
      <x:c r="B488" s="10" t="str">
        <x:v>Geral</x:v>
      </x:c>
      <x:c r="C488" s="11" t="n">
        <x:v>110</x:v>
      </x:c>
      <x:c r="D488" s="10" t="str">
        <x:v>BR-SPCARANDIRU_ARCOENGE-DEMOLICAO-CSDTCARANDIRU.xlsx:Geral:110</x:v>
      </x:c>
      <x:c r="E488" s="10" t="str">
        <x:v>BRSPCARANDIRU_ARCOENGEDEMOLICAO-CSDTCARANDIRU_TXTRELNDGMB0_0004-025.txt</x:v>
      </x:c>
      <x:c r="F488" s="10" t="str">
        <x:v>DEMOLICAO-CSDTCARANDIRU</x:v>
      </x:c>
      <x:c r="G488" s="10" t="str">
        <x:v>TXT</x:v>
      </x:c>
      <x:c r="H488" s="10" t="str">
        <x:v>REL</x:v>
      </x:c>
      <x:c r="I488" s="10" t="str">
        <x:v>NDG</x:v>
      </x:c>
      <x:c r="J488" s="10" t="str">
        <x:v>MB0</x:v>
      </x:c>
    </x:row>
    <x:row r="489" ht="24" hidden="0" customHeight="1">
      <x:c r="A489" s="10" t="str">
        <x:v>BR-SPCARANDIRU_ARCOENGE-DEMOLICAO-CSDTCARANDIRU.xlsx</x:v>
      </x:c>
      <x:c r="B489" s="10" t="str">
        <x:v>Geral</x:v>
      </x:c>
      <x:c r="C489" s="11" t="n">
        <x:v>111</x:v>
      </x:c>
      <x:c r="D489" s="10" t="str">
        <x:v>BR-SPCARANDIRU_ARCOENGE-DEMOLICAO-CSDTCARANDIRU.xlsx:Geral:111</x:v>
      </x:c>
      <x:c r="E489" s="10" t="str">
        <x:v>BRSPCARANDIRU_ARCOENGEDEMOLICAO-CSDTCARANDIRU_ICORELNDGMB0_0005-001.ppt</x:v>
      </x:c>
      <x:c r="F489" s="10" t="str">
        <x:v>DEMOLICAO-CSDTCARANDIRU</x:v>
      </x:c>
      <x:c r="G489" s="10" t="str">
        <x:v>ICO</x:v>
      </x:c>
      <x:c r="H489" s="10" t="str">
        <x:v>REL</x:v>
      </x:c>
      <x:c r="I489" s="10" t="str">
        <x:v>NDG</x:v>
      </x:c>
      <x:c r="J489" s="10" t="str">
        <x:v>MB0</x:v>
      </x:c>
    </x:row>
    <x:row r="490" ht="24" hidden="0" customHeight="1">
      <x:c r="A490" s="10" t="str">
        <x:v>BR-SPCARANDIRU_ARCOENGE-DEMOLICAO-CSDTCARANDIRU.xlsx</x:v>
      </x:c>
      <x:c r="B490" s="10" t="str">
        <x:v>Geral</x:v>
      </x:c>
      <x:c r="C490" s="11" t="n">
        <x:v>112</x:v>
      </x:c>
      <x:c r="D490" s="10" t="str">
        <x:v>BR-SPCARANDIRU_ARCOENGE-DEMOLICAO-CSDTCARANDIRU.xlsx:Geral:112</x:v>
      </x:c>
      <x:c r="E490" s="10" t="str">
        <x:v>BRSPCARANDIRU_ARCOENGEDEMOLICAO-CSDTCARANDIRU_TXTRELNDGMB0_0005-002.txt</x:v>
      </x:c>
      <x:c r="F490" s="10" t="str">
        <x:v>DEMOLICAO-CSDTCARANDIRU</x:v>
      </x:c>
      <x:c r="G490" s="10" t="str">
        <x:v>TXT</x:v>
      </x:c>
      <x:c r="H490" s="10" t="str">
        <x:v>REL</x:v>
      </x:c>
      <x:c r="I490" s="10" t="str">
        <x:v>NDG</x:v>
      </x:c>
      <x:c r="J490" s="10" t="str">
        <x:v>MB0</x:v>
      </x:c>
    </x:row>
    <x:row r="491" ht="24" hidden="0" customHeight="1">
      <x:c r="A491" s="10" t="str">
        <x:v>BR-SPCARANDIRU_ARCOENGE-MASSACRE-CSDTCARANDIRU.xlsx</x:v>
      </x:c>
      <x:c r="B491" s="10" t="str">
        <x:v>Geral</x:v>
      </x:c>
      <x:c r="C491" s="11" t="n">
        <x:v>2</x:v>
      </x:c>
      <x:c r="D491" s="10" t="str">
        <x:v>BR-SPCARANDIRU_ARCOENGE-MASSACRE-CSDTCARANDIRU.xlsx:Geral:2</x:v>
      </x:c>
      <x:c r="E491" s="10" t="str">
        <x:v>BRSPCARANDIRU_ARCOENGEMASSACRE-CSDTCARANDIRU_AVSNOTNDTDT1_0001-001.mp4</x:v>
      </x:c>
      <x:c r="F491" s="10" t="str">
        <x:v>MASSACRE-CSDTCARANDIRU</x:v>
      </x:c>
      <x:c r="G491" s="10" t="str">
        <x:v>AVS</x:v>
      </x:c>
      <x:c r="H491" s="10" t="str">
        <x:v>NOT</x:v>
      </x:c>
      <x:c r="I491" s="10" t="str">
        <x:v>NDT</x:v>
      </x:c>
      <x:c r="J491" s="10" t="str">
        <x:v>DT1</x:v>
      </x:c>
    </x:row>
    <x:row r="492" ht="24" hidden="0" customHeight="1">
      <x:c r="A492" s="10" t="str">
        <x:v>BR-SPCARANDIRU_ARCOENGE-MASSACRE-CSDTCARANDIRU.xlsx</x:v>
      </x:c>
      <x:c r="B492" s="10" t="str">
        <x:v>Geral</x:v>
      </x:c>
      <x:c r="C492" s="11" t="n">
        <x:v>3</x:v>
      </x:c>
      <x:c r="D492" s="10" t="str">
        <x:v>BR-SPCARANDIRU_ARCOENGE-MASSACRE-CSDTCARANDIRU.xlsx:Geral:3</x:v>
      </x:c>
      <x:c r="E492" s="10" t="str">
        <x:v>BRSPCARANDIRU_ARCOENGEMASSACRE-CSDTCARANDIRU_AVSNOTNDTDT1_0001-002.mp4</x:v>
      </x:c>
      <x:c r="F492" s="10" t="str">
        <x:v>MASSACRE-CSDTCARANDIRU</x:v>
      </x:c>
      <x:c r="G492" s="10" t="str">
        <x:v>AVS</x:v>
      </x:c>
      <x:c r="H492" s="10" t="str">
        <x:v>NOT</x:v>
      </x:c>
      <x:c r="I492" s="10" t="str">
        <x:v>NDT</x:v>
      </x:c>
      <x:c r="J492" s="10" t="str">
        <x:v>DT1</x:v>
      </x:c>
    </x:row>
    <x:row r="493" ht="24" hidden="0" customHeight="1">
      <x:c r="A493" s="10" t="str">
        <x:v>BR-SPCARANDIRU_ARCOENGE-NOTDEMOLI-CSDTCARANDIRU.xlsx</x:v>
      </x:c>
      <x:c r="B493" s="10" t="str">
        <x:v>Geral</x:v>
      </x:c>
      <x:c r="C493" s="11" t="n">
        <x:v>2</x:v>
      </x:c>
      <x:c r="D493" s="10" t="str">
        <x:v>BR-SPCARANDIRU_ARCOENGE-NOTDEMOLI-CSDTCARANDIRU.xlsx:Geral:2</x:v>
      </x:c>
      <x:c r="E493" s="10" t="str">
        <x:v>BRSPCARANDIRU_ARCOENGENOTDEMOLI-CSDTCARANDIRU_AVSNOTNDTDT1_0001-001.mp4</x:v>
      </x:c>
      <x:c r="F493" s="10" t="str">
        <x:v>NOTDEMOLI-CSDTCARANDIRU</x:v>
      </x:c>
      <x:c r="G493" s="10" t="str">
        <x:v>AVS</x:v>
      </x:c>
      <x:c r="H493" s="10" t="str">
        <x:v>NOT</x:v>
      </x:c>
      <x:c r="I493" s="10" t="str">
        <x:v>NDT</x:v>
      </x:c>
      <x:c r="J493" s="10" t="str">
        <x:v>DT1</x:v>
      </x:c>
    </x:row>
    <x:row r="494" ht="24" hidden="0" customHeight="1">
      <x:c r="A494" s="10" t="str">
        <x:v>BR-SPCARANDIRU_ARCOENGE-NOTDEMOLI-CSDTCARANDIRU.xlsx</x:v>
      </x:c>
      <x:c r="B494" s="10" t="str">
        <x:v>Geral</x:v>
      </x:c>
      <x:c r="C494" s="11" t="n">
        <x:v>3</x:v>
      </x:c>
      <x:c r="D494" s="10" t="str">
        <x:v>BR-SPCARANDIRU_ARCOENGE-NOTDEMOLI-CSDTCARANDIRU.xlsx:Geral:3</x:v>
      </x:c>
      <x:c r="E494" s="10" t="str">
        <x:v>BRSPCARANDIRU_ARCOENGENOTDEMOLI-CSDTCARANDIRU_AVSNOTNDTDT1_0001-002.mp4</x:v>
      </x:c>
      <x:c r="F494" s="10" t="str">
        <x:v>NOTDEMOLI-CSDTCARANDIRU</x:v>
      </x:c>
      <x:c r="G494" s="10" t="str">
        <x:v>AVS</x:v>
      </x:c>
      <x:c r="H494" s="10" t="str">
        <x:v>NOT</x:v>
      </x:c>
      <x:c r="I494" s="10" t="str">
        <x:v>NDT</x:v>
      </x:c>
      <x:c r="J494" s="10" t="str">
        <x:v>DT1</x:v>
      </x:c>
    </x:row>
    <x:row r="495" ht="24" hidden="0" customHeight="1">
      <x:c r="A495" s="10" t="str">
        <x:v>BR-SPCARANDIRU_ARCOENGE-NOTDEMOLI-CSDTCARANDIRU.xlsx</x:v>
      </x:c>
      <x:c r="B495" s="10" t="str">
        <x:v>Geral</x:v>
      </x:c>
      <x:c r="C495" s="11" t="n">
        <x:v>4</x:v>
      </x:c>
      <x:c r="D495" s="10" t="str">
        <x:v>BR-SPCARANDIRU_ARCOENGE-NOTDEMOLI-CSDTCARANDIRU.xlsx:Geral:4</x:v>
      </x:c>
      <x:c r="E495" s="10" t="str">
        <x:v>BRSPCARANDIRU_ARCOENGENOTDEMOLI-CSDTCARANDIRU_AVSNOTNDTDT1_0001-003.mp4</x:v>
      </x:c>
      <x:c r="F495" s="10" t="str">
        <x:v>NOTDEMOLI-CSDTCARANDIRU</x:v>
      </x:c>
      <x:c r="G495" s="10" t="str">
        <x:v>AVS</x:v>
      </x:c>
      <x:c r="H495" s="10" t="str">
        <x:v>NOT</x:v>
      </x:c>
      <x:c r="I495" s="10" t="str">
        <x:v>NDT</x:v>
      </x:c>
      <x:c r="J495" s="10" t="str">
        <x:v>DT1</x:v>
      </x:c>
    </x:row>
    <x:row r="496" ht="24" hidden="0" customHeight="1">
      <x:c r="A496" s="10" t="str">
        <x:v>BR-SPCARANDIRU_ARCOENGE-NOTDEMOLI-CSDTCARANDIRU.xlsx</x:v>
      </x:c>
      <x:c r="B496" s="10" t="str">
        <x:v>Geral</x:v>
      </x:c>
      <x:c r="C496" s="11" t="n">
        <x:v>5</x:v>
      </x:c>
      <x:c r="D496" s="10" t="str">
        <x:v>BR-SPCARANDIRU_ARCOENGE-NOTDEMOLI-CSDTCARANDIRU.xlsx:Geral:5</x:v>
      </x:c>
      <x:c r="E496" s="10" t="str">
        <x:v>BRSPCARANDIRU_ARCOENGENOTDEMOLI-CSDTCARANDIRU_AVSNOTNDTDT1_0001-004.mp4</x:v>
      </x:c>
      <x:c r="F496" s="10" t="str">
        <x:v>NOTDEMOLI-CSDTCARANDIRU</x:v>
      </x:c>
      <x:c r="G496" s="10" t="str">
        <x:v>AVS</x:v>
      </x:c>
      <x:c r="H496" s="10" t="str">
        <x:v>NOT</x:v>
      </x:c>
      <x:c r="I496" s="10" t="str">
        <x:v>NDT</x:v>
      </x:c>
      <x:c r="J496" s="10" t="str">
        <x:v>DT1</x:v>
      </x:c>
    </x:row>
    <x:row r="497" ht="24" hidden="0" customHeight="1">
      <x:c r="A497" s="10" t="str">
        <x:v>BR-SPCARANDIRU_ARCOENGE-NOTDEMOLI-CSDTCARANDIRU.xlsx</x:v>
      </x:c>
      <x:c r="B497" s="10" t="str">
        <x:v>Geral</x:v>
      </x:c>
      <x:c r="C497" s="11" t="n">
        <x:v>6</x:v>
      </x:c>
      <x:c r="D497" s="10" t="str">
        <x:v>BR-SPCARANDIRU_ARCOENGE-NOTDEMOLI-CSDTCARANDIRU.xlsx:Geral:6</x:v>
      </x:c>
      <x:c r="E497" s="10" t="str">
        <x:v>BRSPCARANDIRU_ARCOENGENOTDEMOLI-CSDTCARANDIRU_AVSNOTNDTDT1_0001-005.mp4</x:v>
      </x:c>
      <x:c r="F497" s="10" t="str">
        <x:v>NOTDEMOLI-CSDTCARANDIRU</x:v>
      </x:c>
      <x:c r="G497" s="10" t="str">
        <x:v>AVS</x:v>
      </x:c>
      <x:c r="H497" s="10" t="str">
        <x:v>NOT</x:v>
      </x:c>
      <x:c r="I497" s="10" t="str">
        <x:v>NDT</x:v>
      </x:c>
      <x:c r="J497" s="10" t="str">
        <x:v>DT1</x:v>
      </x:c>
    </x:row>
    <x:row r="498" ht="24" hidden="0" customHeight="1">
      <x:c r="A498" s="10" t="str">
        <x:v>BR-SPCARANDIRU_ARCOENGE-NOTDEMOLI-CSDTCARANDIRU.xlsx</x:v>
      </x:c>
      <x:c r="B498" s="10" t="str">
        <x:v>Geral</x:v>
      </x:c>
      <x:c r="C498" s="11" t="n">
        <x:v>7</x:v>
      </x:c>
      <x:c r="D498" s="10" t="str">
        <x:v>BR-SPCARANDIRU_ARCOENGE-NOTDEMOLI-CSDTCARANDIRU.xlsx:Geral:7</x:v>
      </x:c>
      <x:c r="E498" s="10" t="str">
        <x:v>BRSPCARANDIRU_ARCOENGENOTDEMOLI-CSDTCARANDIRU_AVSNOTNDTDT1_0001-006.mp4</x:v>
      </x:c>
      <x:c r="F498" s="10" t="str">
        <x:v>NOTDEMOLI-CSDTCARANDIRU</x:v>
      </x:c>
      <x:c r="G498" s="10" t="str">
        <x:v>AVS</x:v>
      </x:c>
      <x:c r="H498" s="10" t="str">
        <x:v>NOT</x:v>
      </x:c>
      <x:c r="I498" s="10" t="str">
        <x:v>NDT</x:v>
      </x:c>
      <x:c r="J498" s="10" t="str">
        <x:v>DT1</x:v>
      </x:c>
    </x:row>
    <x:row r="499" ht="24" hidden="0" customHeight="1">
      <x:c r="A499" s="10" t="str">
        <x:v>BR-SPCARANDIRU_ARCOENGE-NOTDEMOLI-CSDTCARANDIRU.xlsx</x:v>
      </x:c>
      <x:c r="B499" s="10" t="str">
        <x:v>Geral</x:v>
      </x:c>
      <x:c r="C499" s="11" t="n">
        <x:v>8</x:v>
      </x:c>
      <x:c r="D499" s="10" t="str">
        <x:v>BR-SPCARANDIRU_ARCOENGE-NOTDEMOLI-CSDTCARANDIRU.xlsx:Geral:8</x:v>
      </x:c>
      <x:c r="E499" s="10" t="str">
        <x:v>BRSPCARANDIRU_ARCOENGENOTDEMOLI-CSDTCARANDIRU_AVSNOTNDTDT1_0001-007.mp4</x:v>
      </x:c>
      <x:c r="F499" s="10" t="str">
        <x:v>NOTDEMOLI-CSDTCARANDIRU</x:v>
      </x:c>
      <x:c r="G499" s="10" t="str">
        <x:v>AVS</x:v>
      </x:c>
      <x:c r="H499" s="10" t="str">
        <x:v>NOT</x:v>
      </x:c>
      <x:c r="I499" s="10" t="str">
        <x:v>NDT</x:v>
      </x:c>
      <x:c r="J499" s="10" t="str">
        <x:v>DT1</x:v>
      </x:c>
    </x:row>
    <x:row r="500" ht="24" hidden="0" customHeight="1">
      <x:c r="A500" s="10" t="str">
        <x:v>BR-SPCARANDIRU_ARCOENGE-NOTDEMOLI-CSDTCARANDIRU.xlsx</x:v>
      </x:c>
      <x:c r="B500" s="10" t="str">
        <x:v>Geral</x:v>
      </x:c>
      <x:c r="C500" s="11" t="n">
        <x:v>9</x:v>
      </x:c>
      <x:c r="D500" s="10" t="str">
        <x:v>BR-SPCARANDIRU_ARCOENGE-NOTDEMOLI-CSDTCARANDIRU.xlsx:Geral:9</x:v>
      </x:c>
      <x:c r="E500" s="10" t="str">
        <x:v>BRSPCARANDIRU_ARCOENGENOTDEMOLI-CSDTCARANDIRU_AVSNOTNDTDT1_0001-008.mp4</x:v>
      </x:c>
      <x:c r="F500" s="10" t="str">
        <x:v>NOTDEMOLI-CSDTCARANDIRU</x:v>
      </x:c>
      <x:c r="G500" s="10" t="str">
        <x:v>AVS</x:v>
      </x:c>
      <x:c r="H500" s="10" t="str">
        <x:v>NOT</x:v>
      </x:c>
      <x:c r="I500" s="10" t="str">
        <x:v>NDT</x:v>
      </x:c>
      <x:c r="J500" s="10" t="str">
        <x:v>DT1</x:v>
      </x:c>
    </x:row>
    <x:row r="501" ht="24" hidden="0" customHeight="1">
      <x:c r="A501" s="10" t="str">
        <x:v>BR-SPCARANDIRU_ARCOENGE-NOTDEMOLI-CSDTCARANDIRU.xlsx</x:v>
      </x:c>
      <x:c r="B501" s="10" t="str">
        <x:v>Geral</x:v>
      </x:c>
      <x:c r="C501" s="11" t="n">
        <x:v>10</x:v>
      </x:c>
      <x:c r="D501" s="10" t="str">
        <x:v>BR-SPCARANDIRU_ARCOENGE-NOTDEMOLI-CSDTCARANDIRU.xlsx:Geral:10</x:v>
      </x:c>
      <x:c r="E501" s="10" t="str">
        <x:v>BRSPCARANDIRU_ARCOENGENOTDEMOLI-CSDTCARANDIRU_AVSNOTNDTDT1_0001-009.mp4</x:v>
      </x:c>
      <x:c r="F501" s="10" t="str">
        <x:v>NOTDEMOLI-CSDTCARANDIRU</x:v>
      </x:c>
      <x:c r="G501" s="10" t="str">
        <x:v>AVS</x:v>
      </x:c>
      <x:c r="H501" s="10" t="str">
        <x:v>NOT</x:v>
      </x:c>
      <x:c r="I501" s="10" t="str">
        <x:v>NDT</x:v>
      </x:c>
      <x:c r="J501" s="10" t="str">
        <x:v>DT1</x:v>
      </x:c>
    </x:row>
    <x:row r="502" ht="24" hidden="0" customHeight="1">
      <x:c r="A502" s="10" t="str">
        <x:v>BR-SPCARANDIRU_ARCOENGE-NOTDEMOLI-CSDTCARANDIRU.xlsx</x:v>
      </x:c>
      <x:c r="B502" s="10" t="str">
        <x:v>Geral</x:v>
      </x:c>
      <x:c r="C502" s="11" t="n">
        <x:v>11</x:v>
      </x:c>
      <x:c r="D502" s="10" t="str">
        <x:v>BR-SPCARANDIRU_ARCOENGE-NOTDEMOLI-CSDTCARANDIRU.xlsx:Geral:11</x:v>
      </x:c>
      <x:c r="E502" s="10" t="str">
        <x:v>BRSPCARANDIRU_ARCOENGENOTDEMOLI-CSDTCARANDIRU_AVSNOTNDTDT1_0001-010.mp4</x:v>
      </x:c>
      <x:c r="F502" s="10" t="str">
        <x:v>NOTDEMOLI-CSDTCARANDIRU</x:v>
      </x:c>
      <x:c r="G502" s="10" t="str">
        <x:v>AVS</x:v>
      </x:c>
      <x:c r="H502" s="10" t="str">
        <x:v>NOT</x:v>
      </x:c>
      <x:c r="I502" s="10" t="str">
        <x:v>NDT</x:v>
      </x:c>
      <x:c r="J502" s="10" t="str">
        <x:v>DT1</x:v>
      </x:c>
    </x:row>
    <x:row r="503" ht="24" hidden="0" customHeight="1">
      <x:c r="A503" s="10" t="str">
        <x:v>BR-SPCARANDIRU_ARCOENGE-NOTDEMOLI-CSDTCARANDIRU.xlsx</x:v>
      </x:c>
      <x:c r="B503" s="10" t="str">
        <x:v>Geral</x:v>
      </x:c>
      <x:c r="C503" s="11" t="n">
        <x:v>12</x:v>
      </x:c>
      <x:c r="D503" s="10" t="str">
        <x:v>BR-SPCARANDIRU_ARCOENGE-NOTDEMOLI-CSDTCARANDIRU.xlsx:Geral:12</x:v>
      </x:c>
      <x:c r="E503" s="10" t="str">
        <x:v>BRSPCARANDIRU_ARCOENGENOTDEMOLI-CSDTCARANDIRU_AVSNOTNDTDT1_0001-011.mp4</x:v>
      </x:c>
      <x:c r="F503" s="10" t="str">
        <x:v>NOTDEMOLI-CSDTCARANDIRU</x:v>
      </x:c>
      <x:c r="G503" s="10" t="str">
        <x:v>AVS</x:v>
      </x:c>
      <x:c r="H503" s="10" t="str">
        <x:v>NOT</x:v>
      </x:c>
      <x:c r="I503" s="10" t="str">
        <x:v>NDT</x:v>
      </x:c>
      <x:c r="J503" s="10" t="str">
        <x:v>DT1</x:v>
      </x:c>
    </x:row>
    <x:row r="504" ht="24" hidden="0" customHeight="1">
      <x:c r="A504" s="10" t="str">
        <x:v>BR-SPCARANDIRU_ARCOENGE-NOTDEMOLI-CSDTCARANDIRU.xlsx</x:v>
      </x:c>
      <x:c r="B504" s="10" t="str">
        <x:v>Geral</x:v>
      </x:c>
      <x:c r="C504" s="11" t="n">
        <x:v>13</x:v>
      </x:c>
      <x:c r="D504" s="10" t="str">
        <x:v>BR-SPCARANDIRU_ARCOENGE-NOTDEMOLI-CSDTCARANDIRU.xlsx:Geral:13</x:v>
      </x:c>
      <x:c r="E504" s="10" t="str">
        <x:v>BRSPCARANDIRU_ARCOENGENOTDEMOLI-CSDTCARANDIRU_AVSNOTNDTDT1_0001-012.mp4</x:v>
      </x:c>
      <x:c r="F504" s="10" t="str">
        <x:v>NOTDEMOLI-CSDTCARANDIRU</x:v>
      </x:c>
      <x:c r="G504" s="10" t="str">
        <x:v>AVS</x:v>
      </x:c>
      <x:c r="H504" s="10" t="str">
        <x:v>NOT</x:v>
      </x:c>
      <x:c r="I504" s="10" t="str">
        <x:v>NDT</x:v>
      </x:c>
      <x:c r="J504" s="10" t="str">
        <x:v>DT1</x:v>
      </x:c>
    </x:row>
    <x:row r="505" ht="24" hidden="0" customHeight="1">
      <x:c r="A505" s="10" t="str">
        <x:v>BR-SPCARANDIRU_ARCOENGE-NOTDEMOLI-CSDTCARANDIRU.xlsx</x:v>
      </x:c>
      <x:c r="B505" s="10" t="str">
        <x:v>Geral</x:v>
      </x:c>
      <x:c r="C505" s="11" t="n">
        <x:v>14</x:v>
      </x:c>
      <x:c r="D505" s="10" t="str">
        <x:v>BR-SPCARANDIRU_ARCOENGE-NOTDEMOLI-CSDTCARANDIRU.xlsx:Geral:14</x:v>
      </x:c>
      <x:c r="E505" s="10" t="str">
        <x:v>BRSPCARANDIRU_ARCOENGENOTDEMOLI-CSDTCARANDIRU_AVSNOTNDTDT1_0001-013.mp4</x:v>
      </x:c>
      <x:c r="F505" s="10" t="str">
        <x:v>NOTDEMOLI-CSDTCARANDIRU</x:v>
      </x:c>
      <x:c r="G505" s="10" t="str">
        <x:v>AVS</x:v>
      </x:c>
      <x:c r="H505" s="10" t="str">
        <x:v>NOT</x:v>
      </x:c>
      <x:c r="I505" s="10" t="str">
        <x:v>NDT</x:v>
      </x:c>
      <x:c r="J505" s="10" t="str">
        <x:v>DT1</x:v>
      </x:c>
    </x:row>
    <x:row r="506" ht="24" hidden="0" customHeight="1">
      <x:c r="A506" s="10" t="str">
        <x:v>BR-SPCARANDIRU_ARCOENGE-NOTDEMOLI-CSDTCARANDIRU.xlsx</x:v>
      </x:c>
      <x:c r="B506" s="10" t="str">
        <x:v>Geral</x:v>
      </x:c>
      <x:c r="C506" s="11" t="n">
        <x:v>15</x:v>
      </x:c>
      <x:c r="D506" s="10" t="str">
        <x:v>BR-SPCARANDIRU_ARCOENGE-NOTDEMOLI-CSDTCARANDIRU.xlsx:Geral:15</x:v>
      </x:c>
      <x:c r="E506" s="10" t="str">
        <x:v>BRSPCARANDIRU_ARCOENGENOTDEMOLI-CSDTCARANDIRU_AVSNOTNDTDT1_0001-014.mp4</x:v>
      </x:c>
      <x:c r="F506" s="10" t="str">
        <x:v>NOTDEMOLI-CSDTCARANDIRU</x:v>
      </x:c>
      <x:c r="G506" s="10" t="str">
        <x:v>AVS</x:v>
      </x:c>
      <x:c r="H506" s="10" t="str">
        <x:v>NOT</x:v>
      </x:c>
      <x:c r="I506" s="10" t="str">
        <x:v>NDT</x:v>
      </x:c>
      <x:c r="J506" s="10" t="str">
        <x:v>DT1</x:v>
      </x:c>
    </x:row>
    <x:row r="507" ht="24" hidden="0" customHeight="1">
      <x:c r="A507" s="10" t="str">
        <x:v>BR-SPCARANDIRU_ARCOENGE-NOTDEMOLI-CSDTCARANDIRU.xlsx</x:v>
      </x:c>
      <x:c r="B507" s="10" t="str">
        <x:v>Geral</x:v>
      </x:c>
      <x:c r="C507" s="11" t="n">
        <x:v>16</x:v>
      </x:c>
      <x:c r="D507" s="10" t="str">
        <x:v>BR-SPCARANDIRU_ARCOENGE-NOTDEMOLI-CSDTCARANDIRU.xlsx:Geral:16</x:v>
      </x:c>
      <x:c r="E507" s="10" t="str">
        <x:v>BRSPCARANDIRU_ARCOENGENOTDEMOLI-CSDTCARANDIRU_AVSNOTNDTDT1_0001-015.mp4</x:v>
      </x:c>
      <x:c r="F507" s="10" t="str">
        <x:v>NOTDEMOLI-CSDTCARANDIRU</x:v>
      </x:c>
      <x:c r="G507" s="10" t="str">
        <x:v>AVS</x:v>
      </x:c>
      <x:c r="H507" s="10" t="str">
        <x:v>NOT</x:v>
      </x:c>
      <x:c r="I507" s="10" t="str">
        <x:v>NDT</x:v>
      </x:c>
      <x:c r="J507" s="10" t="str">
        <x:v>DT1</x:v>
      </x:c>
    </x:row>
    <x:row r="508" ht="24" hidden="0" customHeight="1">
      <x:c r="A508" s="10" t="str">
        <x:v>BR-SPCARANDIRU_ARCOENGE-NOTDEMOLI-CSDTCARANDIRU.xlsx</x:v>
      </x:c>
      <x:c r="B508" s="10" t="str">
        <x:v>Geral</x:v>
      </x:c>
      <x:c r="C508" s="11" t="n">
        <x:v>17</x:v>
      </x:c>
      <x:c r="D508" s="10" t="str">
        <x:v>BR-SPCARANDIRU_ARCOENGE-NOTDEMOLI-CSDTCARANDIRU.xlsx:Geral:17</x:v>
      </x:c>
      <x:c r="E508" s="10" t="str">
        <x:v>BRSPCARANDIRU_ARCOENGENOTDEMOLI-CSDTCARANDIRU_AVSNOTNDTDT1_0001-016.mp4</x:v>
      </x:c>
      <x:c r="F508" s="10" t="str">
        <x:v>NOTDEMOLI-CSDTCARANDIRU</x:v>
      </x:c>
      <x:c r="G508" s="10" t="str">
        <x:v>AVS</x:v>
      </x:c>
      <x:c r="H508" s="10" t="str">
        <x:v>NOT</x:v>
      </x:c>
      <x:c r="I508" s="10" t="str">
        <x:v>NDT</x:v>
      </x:c>
      <x:c r="J508" s="10" t="str">
        <x:v>DT1</x:v>
      </x:c>
    </x:row>
    <x:row r="509" ht="24" hidden="0" customHeight="1">
      <x:c r="A509" s="10" t="str">
        <x:v>BR-SPCARANDIRU_ARCOENGE-NOTDEMOLI-CSDTCARANDIRU.xlsx</x:v>
      </x:c>
      <x:c r="B509" s="10" t="str">
        <x:v>Geral</x:v>
      </x:c>
      <x:c r="C509" s="11" t="n">
        <x:v>18</x:v>
      </x:c>
      <x:c r="D509" s="10" t="str">
        <x:v>BR-SPCARANDIRU_ARCOENGE-NOTDEMOLI-CSDTCARANDIRU.xlsx:Geral:18</x:v>
      </x:c>
      <x:c r="E509" s="10" t="str">
        <x:v>BRSPCARANDIRU_ARCOENGENOTDEMOLI-CSDTCARANDIRU_AVSNOTNDTDT1_0001-017.mp4</x:v>
      </x:c>
      <x:c r="F509" s="10" t="str">
        <x:v>NOTDEMOLI-CSDTCARANDIRU</x:v>
      </x:c>
      <x:c r="G509" s="10" t="str">
        <x:v>AVS</x:v>
      </x:c>
      <x:c r="H509" s="10" t="str">
        <x:v>NOT</x:v>
      </x:c>
      <x:c r="I509" s="10" t="str">
        <x:v>NDT</x:v>
      </x:c>
      <x:c r="J509" s="10" t="str">
        <x:v>DT1</x:v>
      </x:c>
    </x:row>
    <x:row r="510" ht="24" hidden="0" customHeight="1">
      <x:c r="A510" s="10" t="str">
        <x:v>BR-SPCARANDIRU_ARCOENGE-NOTDEMOLI-CSDTCARANDIRU.xlsx</x:v>
      </x:c>
      <x:c r="B510" s="10" t="str">
        <x:v>Geral</x:v>
      </x:c>
      <x:c r="C510" s="11" t="n">
        <x:v>19</x:v>
      </x:c>
      <x:c r="D510" s="10" t="str">
        <x:v>BR-SPCARANDIRU_ARCOENGE-NOTDEMOLI-CSDTCARANDIRU.xlsx:Geral:19</x:v>
      </x:c>
      <x:c r="E510" s="10" t="str">
        <x:v>BRSPCARANDIRU_ARCOENGENOTDEMOLI-CSDTCARANDIRU_AVSNOTNDTDT1_0001-018.mp4</x:v>
      </x:c>
      <x:c r="F510" s="10" t="str">
        <x:v>NOTDEMOLI-CSDTCARANDIRU</x:v>
      </x:c>
      <x:c r="G510" s="10" t="str">
        <x:v>AVS</x:v>
      </x:c>
      <x:c r="H510" s="10" t="str">
        <x:v>NOT</x:v>
      </x:c>
      <x:c r="I510" s="10" t="str">
        <x:v>NDT</x:v>
      </x:c>
      <x:c r="J510" s="10" t="str">
        <x:v>DT1</x:v>
      </x:c>
    </x:row>
    <x:row r="511" ht="24" hidden="0" customHeight="1">
      <x:c r="A511" s="10" t="str">
        <x:v>BR-SPCARANDIRU_ARCOENGE-NOTDEMOLI-CSDTCARANDIRU.xlsx</x:v>
      </x:c>
      <x:c r="B511" s="10" t="str">
        <x:v>Geral</x:v>
      </x:c>
      <x:c r="C511" s="11" t="n">
        <x:v>20</x:v>
      </x:c>
      <x:c r="D511" s="10" t="str">
        <x:v>BR-SPCARANDIRU_ARCOENGE-NOTDEMOLI-CSDTCARANDIRU.xlsx:Geral:20</x:v>
      </x:c>
      <x:c r="E511" s="10" t="str">
        <x:v>BRSPCARANDIRU_ARCOENGENOTDEMOLI-CSDTCARANDIRU_AVSNOTNDTDT1_0001-019.mp4</x:v>
      </x:c>
      <x:c r="F511" s="10" t="str">
        <x:v>NOTDEMOLI-CSDTCARANDIRU</x:v>
      </x:c>
      <x:c r="G511" s="10" t="str">
        <x:v>AVS</x:v>
      </x:c>
      <x:c r="H511" s="10" t="str">
        <x:v>NOT</x:v>
      </x:c>
      <x:c r="I511" s="10" t="str">
        <x:v>NDT</x:v>
      </x:c>
      <x:c r="J511" s="10" t="str">
        <x:v>DT1</x:v>
      </x:c>
    </x:row>
    <x:row r="512" ht="24" hidden="0" customHeight="1">
      <x:c r="A512" s="10" t="str">
        <x:v>BR-SPCARANDIRU_ARCOENGE-NOTDEMOLI-CSDTCARANDIRU.xlsx</x:v>
      </x:c>
      <x:c r="B512" s="10" t="str">
        <x:v>Geral</x:v>
      </x:c>
      <x:c r="C512" s="11" t="n">
        <x:v>21</x:v>
      </x:c>
      <x:c r="D512" s="10" t="str">
        <x:v>BR-SPCARANDIRU_ARCOENGE-NOTDEMOLI-CSDTCARANDIRU.xlsx:Geral:21</x:v>
      </x:c>
      <x:c r="E512" s="10" t="str">
        <x:v>BRSPCARANDIRU_ARCOENGENOTDEMOLI-CSDTCARANDIRU_AVSNOTNDTDT1_0001-020.mp4</x:v>
      </x:c>
      <x:c r="F512" s="10" t="str">
        <x:v>NOTDEMOLI-CSDTCARANDIRU</x:v>
      </x:c>
      <x:c r="G512" s="10" t="str">
        <x:v>AVS</x:v>
      </x:c>
      <x:c r="H512" s="10" t="str">
        <x:v>NOT</x:v>
      </x:c>
      <x:c r="I512" s="10" t="str">
        <x:v>NDT</x:v>
      </x:c>
      <x:c r="J512" s="10" t="str">
        <x:v>DT1</x:v>
      </x:c>
    </x:row>
    <x:row r="513" ht="24" hidden="0" customHeight="1">
      <x:c r="A513" s="10" t="str">
        <x:v>BR-SPCARANDIRU_ARCOENGE-NOTDEMOLI-CSDTCARANDIRU.xlsx</x:v>
      </x:c>
      <x:c r="B513" s="10" t="str">
        <x:v>Geral</x:v>
      </x:c>
      <x:c r="C513" s="11" t="n">
        <x:v>22</x:v>
      </x:c>
      <x:c r="D513" s="10" t="str">
        <x:v>BR-SPCARANDIRU_ARCOENGE-NOTDEMOLI-CSDTCARANDIRU.xlsx:Geral:22</x:v>
      </x:c>
      <x:c r="E513" s="10" t="str">
        <x:v>BRSPCARANDIRU_ARCOENGENOTDEMOLI-CSDTCARANDIRU_AVSNOTNDTDT1_0001-021.mp4</x:v>
      </x:c>
      <x:c r="F513" s="10" t="str">
        <x:v>NOTDEMOLI-CSDTCARANDIRU</x:v>
      </x:c>
      <x:c r="G513" s="10" t="str">
        <x:v>AVS</x:v>
      </x:c>
      <x:c r="H513" s="10" t="str">
        <x:v>NOT</x:v>
      </x:c>
      <x:c r="I513" s="10" t="str">
        <x:v>NDT</x:v>
      </x:c>
      <x:c r="J513" s="10" t="str">
        <x:v>DT1</x:v>
      </x:c>
    </x:row>
    <x:row r="514" ht="24" hidden="0" customHeight="1">
      <x:c r="A514" s="10" t="str">
        <x:v>BR-SPCARANDIRU_ARCOENGE-NOTDEMOLI-CSDTCARANDIRU.xlsx</x:v>
      </x:c>
      <x:c r="B514" s="10" t="str">
        <x:v>Geral</x:v>
      </x:c>
      <x:c r="C514" s="11" t="n">
        <x:v>23</x:v>
      </x:c>
      <x:c r="D514" s="10" t="str">
        <x:v>BR-SPCARANDIRU_ARCOENGE-NOTDEMOLI-CSDTCARANDIRU.xlsx:Geral:23</x:v>
      </x:c>
      <x:c r="E514" s="10" t="str">
        <x:v>BRSPCARANDIRU_ARCOENGENOTDEMOLI-CSDTCARANDIRU_AVSNOTNDTDT1_0001-022.mp4</x:v>
      </x:c>
      <x:c r="F514" s="10" t="str">
        <x:v>NOTDEMOLI-CSDTCARANDIRU</x:v>
      </x:c>
      <x:c r="G514" s="10" t="str">
        <x:v>AVS</x:v>
      </x:c>
      <x:c r="H514" s="10" t="str">
        <x:v>NOT</x:v>
      </x:c>
      <x:c r="I514" s="10" t="str">
        <x:v>NDT</x:v>
      </x:c>
      <x:c r="J514" s="10" t="str">
        <x:v>DT1</x:v>
      </x:c>
    </x:row>
    <x:row r="515" ht="24" hidden="0" customHeight="1">
      <x:c r="A515" s="10" t="str">
        <x:v>BR-SPCARANDIRU_ARCOENGE-NOTDEMOLI-CSDTCARANDIRU.xlsx</x:v>
      </x:c>
      <x:c r="B515" s="10" t="str">
        <x:v>Geral</x:v>
      </x:c>
      <x:c r="C515" s="11" t="n">
        <x:v>24</x:v>
      </x:c>
      <x:c r="D515" s="10" t="str">
        <x:v>BR-SPCARANDIRU_ARCOENGE-NOTDEMOLI-CSDTCARANDIRU.xlsx:Geral:24</x:v>
      </x:c>
      <x:c r="E515" s="10" t="str">
        <x:v>BRSPCARANDIRU_ARCOENGENOTDEMOLI-CSDTCARANDIRU_AVSNOTNDTDT1_0001-023.mp4</x:v>
      </x:c>
      <x:c r="F515" s="10" t="str">
        <x:v>NOTDEMOLI-CSDTCARANDIRU</x:v>
      </x:c>
      <x:c r="G515" s="10" t="str">
        <x:v>AVS</x:v>
      </x:c>
      <x:c r="H515" s="10" t="str">
        <x:v>NOT</x:v>
      </x:c>
      <x:c r="I515" s="10" t="str">
        <x:v>NDT</x:v>
      </x:c>
      <x:c r="J515" s="10" t="str">
        <x:v>DT1</x:v>
      </x:c>
    </x:row>
    <x:row r="516" ht="24" hidden="0" customHeight="1">
      <x:c r="A516" s="10" t="str">
        <x:v>BR-SPCARANDIRU_ARCOENGE-NOTDEMOLI-CSDTCARANDIRU.xlsx</x:v>
      </x:c>
      <x:c r="B516" s="10" t="str">
        <x:v>Geral</x:v>
      </x:c>
      <x:c r="C516" s="11" t="n">
        <x:v>25</x:v>
      </x:c>
      <x:c r="D516" s="10" t="str">
        <x:v>BR-SPCARANDIRU_ARCOENGE-NOTDEMOLI-CSDTCARANDIRU.xlsx:Geral:25</x:v>
      </x:c>
      <x:c r="E516" s="10" t="str">
        <x:v>BRSPCARANDIRU_ARCOENGENOTDEMOLI-CSDTCARANDIRU_AVSNOTNDTDT1_0001-024.mp4</x:v>
      </x:c>
      <x:c r="F516" s="10" t="str">
        <x:v>NOTDEMOLI-CSDTCARANDIRU</x:v>
      </x:c>
      <x:c r="G516" s="10" t="str">
        <x:v>AVS</x:v>
      </x:c>
      <x:c r="H516" s="10" t="str">
        <x:v>NOT</x:v>
      </x:c>
      <x:c r="I516" s="10" t="str">
        <x:v>NDT</x:v>
      </x:c>
      <x:c r="J516" s="10" t="str">
        <x:v>DT1</x:v>
      </x:c>
    </x:row>
    <x:row r="517" ht="24" hidden="0" customHeight="1">
      <x:c r="A517" s="10" t="str">
        <x:v>BR-SPCARANDIRU_ARCOENGE-NOTDEMOLI-CSDTCARANDIRU.xlsx</x:v>
      </x:c>
      <x:c r="B517" s="10" t="str">
        <x:v>Geral</x:v>
      </x:c>
      <x:c r="C517" s="11" t="n">
        <x:v>26</x:v>
      </x:c>
      <x:c r="D517" s="10" t="str">
        <x:v>BR-SPCARANDIRU_ARCOENGE-NOTDEMOLI-CSDTCARANDIRU.xlsx:Geral:26</x:v>
      </x:c>
      <x:c r="E517" s="10" t="str">
        <x:v>BRSPCARANDIRU_ARCOENGENOTDEMOLI-CSDTCARANDIRU_AVSNOTNDTDT1_0001-025.mp4</x:v>
      </x:c>
      <x:c r="F517" s="10" t="str">
        <x:v>NOTDEMOLI-CSDTCARANDIRU</x:v>
      </x:c>
      <x:c r="G517" s="10" t="str">
        <x:v>AVS</x:v>
      </x:c>
      <x:c r="H517" s="10" t="str">
        <x:v>NOT</x:v>
      </x:c>
      <x:c r="I517" s="10" t="str">
        <x:v>NDT</x:v>
      </x:c>
      <x:c r="J517" s="10" t="str">
        <x:v>DT1</x:v>
      </x:c>
    </x:row>
    <x:row r="518" ht="24" hidden="0" customHeight="1">
      <x:c r="A518" s="10" t="str">
        <x:v>BR-SPCARANDIRU_ARCOENGE-NOTDEMOLI-CSDTCARANDIRU.xlsx</x:v>
      </x:c>
      <x:c r="B518" s="10" t="str">
        <x:v>Geral</x:v>
      </x:c>
      <x:c r="C518" s="11" t="n">
        <x:v>27</x:v>
      </x:c>
      <x:c r="D518" s="10" t="str">
        <x:v>BR-SPCARANDIRU_ARCOENGE-NOTDEMOLI-CSDTCARANDIRU.xlsx:Geral:27</x:v>
      </x:c>
      <x:c r="E518" s="10" t="str">
        <x:v>BRSPCARANDIRU_ARCOENGENOTDEMOLI-CSDTCARANDIRU_AVSNOTNDTDT1_0001-026.mp4</x:v>
      </x:c>
      <x:c r="F518" s="10" t="str">
        <x:v>NOTDEMOLI-CSDTCARANDIRU</x:v>
      </x:c>
      <x:c r="G518" s="10" t="str">
        <x:v>AVS</x:v>
      </x:c>
      <x:c r="H518" s="10" t="str">
        <x:v>NOT</x:v>
      </x:c>
      <x:c r="I518" s="10" t="str">
        <x:v>NDT</x:v>
      </x:c>
      <x:c r="J518" s="10" t="str">
        <x:v>DT1</x:v>
      </x:c>
    </x:row>
    <x:row r="519" ht="24" hidden="0" customHeight="1">
      <x:c r="A519" s="10" t="str">
        <x:v>BR-SPCARANDIRU_ARCOENGE-NOTDEMOLI-CSDTCARANDIRU.xlsx</x:v>
      </x:c>
      <x:c r="B519" s="10" t="str">
        <x:v>Geral</x:v>
      </x:c>
      <x:c r="C519" s="11" t="n">
        <x:v>28</x:v>
      </x:c>
      <x:c r="D519" s="10" t="str">
        <x:v>BR-SPCARANDIRU_ARCOENGE-NOTDEMOLI-CSDTCARANDIRU.xlsx:Geral:28</x:v>
      </x:c>
      <x:c r="E519" s="10" t="str">
        <x:v>BRSPCARANDIRU_ARCOENGENOTDEMOLI-CSDTCARANDIRU_AVSNOTNDTDT1_0001-027.mp4</x:v>
      </x:c>
      <x:c r="F519" s="10" t="str">
        <x:v>NOTDEMOLI-CSDTCARANDIRU</x:v>
      </x:c>
      <x:c r="G519" s="10" t="str">
        <x:v>AVS</x:v>
      </x:c>
      <x:c r="H519" s="10" t="str">
        <x:v>NOT</x:v>
      </x:c>
      <x:c r="I519" s="10" t="str">
        <x:v>NDT</x:v>
      </x:c>
      <x:c r="J519" s="10" t="str">
        <x:v>DT1</x:v>
      </x:c>
    </x:row>
    <x:row r="520" ht="24" hidden="0" customHeight="1">
      <x:c r="A520" s="10" t="str">
        <x:v>BR-SPCARANDIRU_ARCOENGE-NOTDEMOLI-CSDTCARANDIRU.xlsx</x:v>
      </x:c>
      <x:c r="B520" s="10" t="str">
        <x:v>Geral</x:v>
      </x:c>
      <x:c r="C520" s="11" t="n">
        <x:v>29</x:v>
      </x:c>
      <x:c r="D520" s="10" t="str">
        <x:v>BR-SPCARANDIRU_ARCOENGE-NOTDEMOLI-CSDTCARANDIRU.xlsx:Geral:29</x:v>
      </x:c>
      <x:c r="E520" s="10" t="str">
        <x:v>BRSPCARANDIRU_ARCOENGENOTDEMOLI-CSDTCARANDIRU_AVSNOTNDTDT1_0001-028.mp4</x:v>
      </x:c>
      <x:c r="F520" s="10" t="str">
        <x:v>NOTDEMOLI-CSDTCARANDIRU</x:v>
      </x:c>
      <x:c r="G520" s="10" t="str">
        <x:v>AVS</x:v>
      </x:c>
      <x:c r="H520" s="10" t="str">
        <x:v>NOT</x:v>
      </x:c>
      <x:c r="I520" s="10" t="str">
        <x:v>NDT</x:v>
      </x:c>
      <x:c r="J520" s="10" t="str">
        <x:v>DT1</x:v>
      </x:c>
    </x:row>
    <x:row r="521" ht="24" hidden="0" customHeight="1">
      <x:c r="A521" s="10" t="str">
        <x:v>BR-SPCARANDIRU_ARCOENGE-NOTDEMOLI-CSDTCARANDIRU.xlsx</x:v>
      </x:c>
      <x:c r="B521" s="10" t="str">
        <x:v>Geral</x:v>
      </x:c>
      <x:c r="C521" s="11" t="n">
        <x:v>30</x:v>
      </x:c>
      <x:c r="D521" s="10" t="str">
        <x:v>BR-SPCARANDIRU_ARCOENGE-NOTDEMOLI-CSDTCARANDIRU.xlsx:Geral:30</x:v>
      </x:c>
      <x:c r="E521" s="10" t="str">
        <x:v>BRSPCARANDIRU_ARCOENGENOTDEMOLI-CSDTCARANDIRU_AVSNOTNDTDT1_0001-029.mp4</x:v>
      </x:c>
      <x:c r="F521" s="10" t="str">
        <x:v>NOTDEMOLI-CSDTCARANDIRU</x:v>
      </x:c>
      <x:c r="G521" s="10" t="str">
        <x:v>AVS</x:v>
      </x:c>
      <x:c r="H521" s="10" t="str">
        <x:v>NOT</x:v>
      </x:c>
      <x:c r="I521" s="10" t="str">
        <x:v>NDT</x:v>
      </x:c>
      <x:c r="J521" s="10" t="str">
        <x:v>DT1</x:v>
      </x:c>
    </x:row>
    <x:row r="522" ht="24" hidden="0" customHeight="1">
      <x:c r="A522" s="10" t="str">
        <x:v>BR-SPCARANDIRU_ARCOENGE-NOTDEMOLI-CSDTCARANDIRU.xlsx</x:v>
      </x:c>
      <x:c r="B522" s="10" t="str">
        <x:v>Geral</x:v>
      </x:c>
      <x:c r="C522" s="11" t="n">
        <x:v>31</x:v>
      </x:c>
      <x:c r="D522" s="10" t="str">
        <x:v>BR-SPCARANDIRU_ARCOENGE-NOTDEMOLI-CSDTCARANDIRU.xlsx:Geral:31</x:v>
      </x:c>
      <x:c r="E522" s="10" t="str">
        <x:v>BRSPCARANDIRU_ARCOENGENOTDEMOLI-CSDTCARANDIRU_AVSNOTNDTDT1_0001-030.mp4</x:v>
      </x:c>
      <x:c r="F522" s="10" t="str">
        <x:v>NOTDEMOLI-CSDTCARANDIRU</x:v>
      </x:c>
      <x:c r="G522" s="10" t="str">
        <x:v>AVS</x:v>
      </x:c>
      <x:c r="H522" s="10" t="str">
        <x:v>NOT</x:v>
      </x:c>
      <x:c r="I522" s="10" t="str">
        <x:v>NDT</x:v>
      </x:c>
      <x:c r="J522" s="10" t="str">
        <x:v>DT1</x:v>
      </x:c>
    </x:row>
    <x:row r="523" ht="24" hidden="0" customHeight="1">
      <x:c r="A523" s="10" t="str">
        <x:v>BR-SPCARANDIRU_ARCOENGE-NOTDEMOLI-CSDTCARANDIRU.xlsx</x:v>
      </x:c>
      <x:c r="B523" s="10" t="str">
        <x:v>Geral</x:v>
      </x:c>
      <x:c r="C523" s="11" t="n">
        <x:v>32</x:v>
      </x:c>
      <x:c r="D523" s="10" t="str">
        <x:v>BR-SPCARANDIRU_ARCOENGE-NOTDEMOLI-CSDTCARANDIRU.xlsx:Geral:32</x:v>
      </x:c>
      <x:c r="E523" s="10" t="str">
        <x:v>BRSPCARANDIRU_ARCOENGENOTDEMOLI-CSDTCARANDIRU_AVSNOTNDTDT1_0001-031.mp4</x:v>
      </x:c>
      <x:c r="F523" s="10" t="str">
        <x:v>NOTDEMOLI-CSDTCARANDIRU</x:v>
      </x:c>
      <x:c r="G523" s="10" t="str">
        <x:v>AVS</x:v>
      </x:c>
      <x:c r="H523" s="10" t="str">
        <x:v>NOT</x:v>
      </x:c>
      <x:c r="I523" s="10" t="str">
        <x:v>NDT</x:v>
      </x:c>
      <x:c r="J523" s="10" t="str">
        <x:v>DT1</x:v>
      </x:c>
    </x:row>
    <x:row r="524" ht="24" hidden="0" customHeight="1">
      <x:c r="A524" s="10" t="str">
        <x:v>BR-SPCARANDIRU_ARCOENGE-NOTDEMOLI-CSDTCARANDIRU.xlsx</x:v>
      </x:c>
      <x:c r="B524" s="10" t="str">
        <x:v>Geral</x:v>
      </x:c>
      <x:c r="C524" s="11" t="n">
        <x:v>33</x:v>
      </x:c>
      <x:c r="D524" s="10" t="str">
        <x:v>BR-SPCARANDIRU_ARCOENGE-NOTDEMOLI-CSDTCARANDIRU.xlsx:Geral:33</x:v>
      </x:c>
      <x:c r="E524" s="10" t="str">
        <x:v>BRSPCARANDIRU_ARCOENGENOTDEMOLI-CSDTCARANDIRU_AVSNOTNDTDTX_0001-031001.VOB</x:v>
      </x:c>
      <x:c r="F524" s="10" t="str">
        <x:v>NOTDEMOLI-CSDTCARANDIRU</x:v>
      </x:c>
      <x:c r="G524" s="10" t="str">
        <x:v>AVS</x:v>
      </x:c>
      <x:c r="H524" s="10" t="str">
        <x:v>NOT</x:v>
      </x:c>
      <x:c r="I524" s="10" t="str">
        <x:v>NDT</x:v>
      </x:c>
      <x:c r="J524" s="10" t="str">
        <x:v>DTX</x:v>
      </x:c>
    </x:row>
    <x:row r="525" ht="24" hidden="0" customHeight="1">
      <x:c r="A525" s="10" t="str">
        <x:v>BR-SPCARANDIRU_ARCOENGE-NOTDEMOLI-CSDTCARANDIRU.xlsx</x:v>
      </x:c>
      <x:c r="B525" s="10" t="str">
        <x:v>Geral</x:v>
      </x:c>
      <x:c r="C525" s="11" t="n">
        <x:v>34</x:v>
      </x:c>
      <x:c r="D525" s="10" t="str">
        <x:v>BR-SPCARANDIRU_ARCOENGE-NOTDEMOLI-CSDTCARANDIRU.xlsx:Geral:34</x:v>
      </x:c>
      <x:c r="E525" s="10" t="str">
        <x:v>BRSPCARANDIRU_ARCOENGENOTDEMOLI-CSDTCARANDIRU_AVSNOTNDTDTX_0001-031002.VOB</x:v>
      </x:c>
      <x:c r="F525" s="10" t="str">
        <x:v>NOTDEMOLI-CSDTCARANDIRU</x:v>
      </x:c>
      <x:c r="G525" s="10" t="str">
        <x:v>AVS</x:v>
      </x:c>
      <x:c r="H525" s="10" t="str">
        <x:v>NOT</x:v>
      </x:c>
      <x:c r="I525" s="10" t="str">
        <x:v>NDT</x:v>
      </x:c>
      <x:c r="J525" s="10" t="str">
        <x:v>DTX</x:v>
      </x:c>
    </x:row>
    <x:row r="526" ht="24" hidden="0" customHeight="1">
      <x:c r="A526" s="10" t="str">
        <x:v>BR-SPCARANDIRU_ARCOENGE-NOTDEMOLI-CSDTCARANDIRU.xlsx</x:v>
      </x:c>
      <x:c r="B526" s="10" t="str">
        <x:v>Geral</x:v>
      </x:c>
      <x:c r="C526" s="11" t="n">
        <x:v>35</x:v>
      </x:c>
      <x:c r="D526" s="10" t="str">
        <x:v>BR-SPCARANDIRU_ARCOENGE-NOTDEMOLI-CSDTCARANDIRU.xlsx:Geral:35</x:v>
      </x:c>
      <x:c r="E526" s="10" t="str">
        <x:v>BRSPCARANDIRU_ARCOENGENOTDEMOLI-CSDTCARANDIRU_AVSNOTNDTDTX_0001-031003.IFO</x:v>
      </x:c>
      <x:c r="F526" s="10" t="str">
        <x:v>NOTDEMOLI-CSDTCARANDIRU</x:v>
      </x:c>
      <x:c r="G526" s="10" t="str">
        <x:v>AVS</x:v>
      </x:c>
      <x:c r="H526" s="10" t="str">
        <x:v>NOT</x:v>
      </x:c>
      <x:c r="I526" s="10" t="str">
        <x:v>NDT</x:v>
      </x:c>
      <x:c r="J526" s="10" t="str">
        <x:v>DTX</x:v>
      </x:c>
    </x:row>
    <x:row r="527" ht="24" hidden="0" customHeight="1">
      <x:c r="A527" s="10" t="str">
        <x:v>BR-SPCARANDIRU_ARCOENGE-NOTDEMOLI-CSDTCARANDIRU.xlsx</x:v>
      </x:c>
      <x:c r="B527" s="10" t="str">
        <x:v>Geral</x:v>
      </x:c>
      <x:c r="C527" s="11" t="n">
        <x:v>36</x:v>
      </x:c>
      <x:c r="D527" s="10" t="str">
        <x:v>BR-SPCARANDIRU_ARCOENGE-NOTDEMOLI-CSDTCARANDIRU.xlsx:Geral:36</x:v>
      </x:c>
      <x:c r="E527" s="10" t="str">
        <x:v>BRSPCARANDIRU_ARCOENGENOTDEMOLI-CSDTCARANDIRU_AVSNOTNDTDTX_0001-031004.IFO</x:v>
      </x:c>
      <x:c r="F527" s="10" t="str">
        <x:v>NOTDEMOLI-CSDTCARANDIRU</x:v>
      </x:c>
      <x:c r="G527" s="10" t="str">
        <x:v>AVS</x:v>
      </x:c>
      <x:c r="H527" s="10" t="str">
        <x:v>NOT</x:v>
      </x:c>
      <x:c r="I527" s="10" t="str">
        <x:v>NDT</x:v>
      </x:c>
      <x:c r="J527" s="10" t="str">
        <x:v>DTX</x:v>
      </x:c>
    </x:row>
    <x:row r="528" ht="24" hidden="0" customHeight="1">
      <x:c r="A528" s="10" t="str">
        <x:v>BR-SPCARANDIRU_ARCOENGE-NOTDEMOLI-CSDTCARANDIRU.xlsx</x:v>
      </x:c>
      <x:c r="B528" s="10" t="str">
        <x:v>Geral</x:v>
      </x:c>
      <x:c r="C528" s="11" t="n">
        <x:v>37</x:v>
      </x:c>
      <x:c r="D528" s="10" t="str">
        <x:v>BR-SPCARANDIRU_ARCOENGE-NOTDEMOLI-CSDTCARANDIRU.xlsx:Geral:37</x:v>
      </x:c>
      <x:c r="E528" s="10" t="str">
        <x:v>BRSPCARANDIRU_ARCOENGENOTDEMOLI-CSDTCARANDIRU_AVSNOTNDTDTX_0001-031005.BUP</x:v>
      </x:c>
      <x:c r="F528" s="10" t="str">
        <x:v>NOTDEMOLI-CSDTCARANDIRU</x:v>
      </x:c>
      <x:c r="G528" s="10" t="str">
        <x:v>AVS</x:v>
      </x:c>
      <x:c r="H528" s="10" t="str">
        <x:v>NOT</x:v>
      </x:c>
      <x:c r="I528" s="10" t="str">
        <x:v>NDT</x:v>
      </x:c>
      <x:c r="J528" s="10" t="str">
        <x:v>DTX</x:v>
      </x:c>
    </x:row>
    <x:row r="529" ht="24" hidden="0" customHeight="1">
      <x:c r="A529" s="10" t="str">
        <x:v>BR-SPCARANDIRU_ARCOENGE-NOTDEMOLI-CSDTCARANDIRU.xlsx</x:v>
      </x:c>
      <x:c r="B529" s="10" t="str">
        <x:v>Geral</x:v>
      </x:c>
      <x:c r="C529" s="11" t="n">
        <x:v>38</x:v>
      </x:c>
      <x:c r="D529" s="10" t="str">
        <x:v>BR-SPCARANDIRU_ARCOENGE-NOTDEMOLI-CSDTCARANDIRU.xlsx:Geral:38</x:v>
      </x:c>
      <x:c r="E529" s="10" t="str">
        <x:v>BRSPCARANDIRU_ARCOENGENOTDEMOLI-CSDTCARANDIRU_AVSNOTNDTDTX_0001-031006.BUP</x:v>
      </x:c>
      <x:c r="F529" s="10" t="str">
        <x:v>NOTDEMOLI-CSDTCARANDIRU</x:v>
      </x:c>
      <x:c r="G529" s="10" t="str">
        <x:v>AVS</x:v>
      </x:c>
      <x:c r="H529" s="10" t="str">
        <x:v>NOT</x:v>
      </x:c>
      <x:c r="I529" s="10" t="str">
        <x:v>NDT</x:v>
      </x:c>
      <x:c r="J529" s="10" t="str">
        <x:v>DTX</x:v>
      </x:c>
    </x:row>
    <x:row r="530" ht="24" hidden="0" customHeight="1">
      <x:c r="A530" s="10" t="str">
        <x:v>BR-SPCARANDIRU_ARCOENGE-NOTDEMOLI-CSDTCARANDIRU.xlsx</x:v>
      </x:c>
      <x:c r="B530" s="10" t="str">
        <x:v>Geral</x:v>
      </x:c>
      <x:c r="C530" s="11" t="n">
        <x:v>39</x:v>
      </x:c>
      <x:c r="D530" s="10" t="str">
        <x:v>BR-SPCARANDIRU_ARCOENGE-NOTDEMOLI-CSDTCARANDIRU.xlsx:Geral:39</x:v>
      </x:c>
      <x:c r="E530" s="10" t="str">
        <x:v>BRSPCARANDIRU_ARCOENGENOTDEMOLI-CSDTCARANDIRU_AVSNOTNDTDTX_0001-001001BUP</x:v>
      </x:c>
      <x:c r="F530" s="10" t="str">
        <x:v>NOTDEMOLI-CSDTCARANDIRU</x:v>
      </x:c>
      <x:c r="G530" s="10" t="str">
        <x:v>AVS</x:v>
      </x:c>
      <x:c r="H530" s="10" t="str">
        <x:v>NOT</x:v>
      </x:c>
      <x:c r="I530" s="10" t="str">
        <x:v>NDT</x:v>
      </x:c>
      <x:c r="J530" s="10" t="str">
        <x:v>DTX</x:v>
      </x:c>
    </x:row>
    <x:row r="531" ht="24" hidden="0" customHeight="1">
      <x:c r="A531" s="10" t="str">
        <x:v>BR-SPCARANDIRU_ARCOENGE-NOTDEMOLI-CSDTCARANDIRU.xlsx</x:v>
      </x:c>
      <x:c r="B531" s="10" t="str">
        <x:v>Geral</x:v>
      </x:c>
      <x:c r="C531" s="11" t="n">
        <x:v>40</x:v>
      </x:c>
      <x:c r="D531" s="10" t="str">
        <x:v>BR-SPCARANDIRU_ARCOENGE-NOTDEMOLI-CSDTCARANDIRU.xlsx:Geral:40</x:v>
      </x:c>
      <x:c r="E531" s="10" t="str">
        <x:v>BRSPCARANDIRU_ARCOENGENOTDEMOLI-CSDTCARANDIRU_AVSNOTNDTDTX_0001-001002IFO</x:v>
      </x:c>
      <x:c r="F531" s="10" t="str">
        <x:v>NOTDEMOLI-CSDTCARANDIRU</x:v>
      </x:c>
      <x:c r="G531" s="10" t="str">
        <x:v>AVS</x:v>
      </x:c>
      <x:c r="H531" s="10" t="str">
        <x:v>NOT</x:v>
      </x:c>
      <x:c r="I531" s="10" t="str">
        <x:v>NDT</x:v>
      </x:c>
      <x:c r="J531" s="10" t="str">
        <x:v>DTX</x:v>
      </x:c>
    </x:row>
    <x:row r="532" ht="24" hidden="0" customHeight="1">
      <x:c r="A532" s="10" t="str">
        <x:v>BR-SPCARANDIRU_ARCOENGE-NOTDEMOLI-CSDTCARANDIRU.xlsx</x:v>
      </x:c>
      <x:c r="B532" s="10" t="str">
        <x:v>Geral</x:v>
      </x:c>
      <x:c r="C532" s="11" t="n">
        <x:v>41</x:v>
      </x:c>
      <x:c r="D532" s="10" t="str">
        <x:v>BR-SPCARANDIRU_ARCOENGE-NOTDEMOLI-CSDTCARANDIRU.xlsx:Geral:41</x:v>
      </x:c>
      <x:c r="E532" s="10" t="str">
        <x:v>BRSPCARANDIRU_ARCOENGENOTDEMOLI-CSDTCARANDIRU_AVSNOTNDTDTX_0001-001003VOB</x:v>
      </x:c>
      <x:c r="F532" s="10" t="str">
        <x:v>NOTDEMOLI-CSDTCARANDIRU</x:v>
      </x:c>
      <x:c r="G532" s="10" t="str">
        <x:v>AVS</x:v>
      </x:c>
      <x:c r="H532" s="10" t="str">
        <x:v>NOT</x:v>
      </x:c>
      <x:c r="I532" s="10" t="str">
        <x:v>NDT</x:v>
      </x:c>
      <x:c r="J532" s="10" t="str">
        <x:v>DTX</x:v>
      </x:c>
    </x:row>
    <x:row r="533" ht="24" hidden="0" customHeight="1">
      <x:c r="A533" s="10" t="str">
        <x:v>BR-SPCARANDIRU_ARCOENGE-NOTDEMOLI-CSDTCARANDIRU.xlsx</x:v>
      </x:c>
      <x:c r="B533" s="10" t="str">
        <x:v>Geral</x:v>
      </x:c>
      <x:c r="C533" s="11" t="n">
        <x:v>42</x:v>
      </x:c>
      <x:c r="D533" s="10" t="str">
        <x:v>BR-SPCARANDIRU_ARCOENGE-NOTDEMOLI-CSDTCARANDIRU.xlsx:Geral:42</x:v>
      </x:c>
      <x:c r="E533" s="10" t="str">
        <x:v>BRSPCARANDIRU_ARCOENGENOTDEMOLI-CSDTCARANDIRU_AVSNOTNDTDTX_0001-001004BUP</x:v>
      </x:c>
      <x:c r="F533" s="10" t="str">
        <x:v>NOTDEMOLI-CSDTCARANDIRU</x:v>
      </x:c>
      <x:c r="G533" s="10" t="str">
        <x:v>AVS</x:v>
      </x:c>
      <x:c r="H533" s="10" t="str">
        <x:v>NOT</x:v>
      </x:c>
      <x:c r="I533" s="10" t="str">
        <x:v>NDT</x:v>
      </x:c>
      <x:c r="J533" s="10" t="str">
        <x:v>DTX</x:v>
      </x:c>
    </x:row>
    <x:row r="534" ht="24" hidden="0" customHeight="1">
      <x:c r="A534" s="10" t="str">
        <x:v>BR-SPCARANDIRU_ARCOENGE-NOTDEMOLI-CSDTCARANDIRU.xlsx</x:v>
      </x:c>
      <x:c r="B534" s="10" t="str">
        <x:v>Geral</x:v>
      </x:c>
      <x:c r="C534" s="11" t="n">
        <x:v>43</x:v>
      </x:c>
      <x:c r="D534" s="10" t="str">
        <x:v>BR-SPCARANDIRU_ARCOENGE-NOTDEMOLI-CSDTCARANDIRU.xlsx:Geral:43</x:v>
      </x:c>
      <x:c r="E534" s="10" t="str">
        <x:v>BRSPCARANDIRU_ARCOENGENOTDEMOLI-CSDTCARANDIRU_AVSNOTNDTDTX_0001-001005VOB</x:v>
      </x:c>
      <x:c r="F534" s="10" t="str">
        <x:v>NOTDEMOLI-CSDTCARANDIRU</x:v>
      </x:c>
      <x:c r="G534" s="10" t="str">
        <x:v>AVS</x:v>
      </x:c>
      <x:c r="H534" s="10" t="str">
        <x:v>NOT</x:v>
      </x:c>
      <x:c r="I534" s="10" t="str">
        <x:v>NDT</x:v>
      </x:c>
      <x:c r="J534" s="10" t="str">
        <x:v>DTX</x:v>
      </x:c>
    </x:row>
    <x:row r="535" ht="24" hidden="0" customHeight="1">
      <x:c r="A535" s="10" t="str">
        <x:v>BR-SPCARANDIRU_ARCOENGE-NOTDEMOLI-CSDTCARANDIRU.xlsx</x:v>
      </x:c>
      <x:c r="B535" s="10" t="str">
        <x:v>Geral</x:v>
      </x:c>
      <x:c r="C535" s="11" t="n">
        <x:v>44</x:v>
      </x:c>
      <x:c r="D535" s="10" t="str">
        <x:v>BR-SPCARANDIRU_ARCOENGE-NOTDEMOLI-CSDTCARANDIRU.xlsx:Geral:44</x:v>
      </x:c>
      <x:c r="E535" s="10" t="str">
        <x:v>BRSPCARANDIRU_ARCOENGENOTDEMOLI-CSDTCARANDIRU_AVSNOTNDTDTX_0001-001006VOB</x:v>
      </x:c>
      <x:c r="F535" s="10" t="str">
        <x:v>NOTDEMOLI-CSDTCARANDIRU</x:v>
      </x:c>
      <x:c r="G535" s="10" t="str">
        <x:v>AVS</x:v>
      </x:c>
      <x:c r="H535" s="10" t="str">
        <x:v>NOT</x:v>
      </x:c>
      <x:c r="I535" s="10" t="str">
        <x:v>NDT</x:v>
      </x:c>
      <x:c r="J535" s="10" t="str">
        <x:v>DTX</x:v>
      </x:c>
    </x:row>
    <x:row r="536" ht="24" hidden="0" customHeight="1">
      <x:c r="A536" s="10" t="str">
        <x:v>BR-SPCARANDIRU_ARCOENGE-NOTDEMOLI-CSDTCARANDIRU.xlsx</x:v>
      </x:c>
      <x:c r="B536" s="10" t="str">
        <x:v>Geral</x:v>
      </x:c>
      <x:c r="C536" s="11" t="n">
        <x:v>45</x:v>
      </x:c>
      <x:c r="D536" s="10" t="str">
        <x:v>BR-SPCARANDIRU_ARCOENGE-NOTDEMOLI-CSDTCARANDIRU.xlsx:Geral:45</x:v>
      </x:c>
      <x:c r="E536" s="10" t="str">
        <x:v>BRSPCARANDIRU_ARCOENGENOTDEMOLI-CSDTCARANDIRU_AVSNOTNDTDTX_0001-001007VOB</x:v>
      </x:c>
      <x:c r="F536" s="10" t="str">
        <x:v>NOTDEMOLI-CSDTCARANDIRU</x:v>
      </x:c>
      <x:c r="G536" s="10" t="str">
        <x:v>AVS</x:v>
      </x:c>
      <x:c r="H536" s="10" t="str">
        <x:v>NOT</x:v>
      </x:c>
      <x:c r="I536" s="10" t="str">
        <x:v>NDT</x:v>
      </x:c>
      <x:c r="J536" s="10" t="str">
        <x:v>DTX</x:v>
      </x:c>
    </x:row>
    <x:row r="537" ht="24" hidden="0" customHeight="1">
      <x:c r="A537" s="10" t="str">
        <x:v>BR-SPCARANDIRU_FILMES-CSDTCARANDIRU.xlsx</x:v>
      </x:c>
      <x:c r="B537" s="10" t="str">
        <x:v>Geral</x:v>
      </x:c>
      <x:c r="C537" s="11" t="n">
        <x:v>2</x:v>
      </x:c>
      <x:c r="D537" s="10" t="str">
        <x:v>BR-SPCARANDIRU_FILMES-CSDTCARANDIRU.xlsx:Geral:2</x:v>
      </x:c>
      <x:c r="E537" s="10" t="str">
        <x:v>BRSPCARANDIRU_FILMESPENITESTADO1928-CSDTCARANDIRU_FLGFMENDTDT1_0001-001.mp4</x:v>
      </x:c>
      <x:c r="F537" s="10" t="str">
        <x:v>PENITESTADO1928-CSDTCARANDIRU</x:v>
      </x:c>
      <x:c r="G537" s="10" t="str">
        <x:v>FLG</x:v>
      </x:c>
      <x:c r="H537" s="10" t="str">
        <x:v>FME</x:v>
      </x:c>
      <x:c r="I537" s="10" t="str">
        <x:v>NDT</x:v>
      </x:c>
      <x:c r="J537" s="10" t="str">
        <x:v>DT1</x:v>
      </x:c>
    </x:row>
    <x:row r="538" ht="24" hidden="0" customHeight="1">
      <x:c r="A538" s="10" t="str">
        <x:v>BR-SPCARANDIRU_FILMES-CSDTCARANDIRU.xlsx</x:v>
      </x:c>
      <x:c r="B538" s="10" t="str">
        <x:v>Geral</x:v>
      </x:c>
      <x:c r="C538" s="11" t="n">
        <x:v>3</x:v>
      </x:c>
      <x:c r="D538" s="10" t="str">
        <x:v>BR-SPCARANDIRU_FILMES-CSDTCARANDIRU.xlsx:Geral:3</x:v>
      </x:c>
      <x:c r="E538" s="10" t="str">
        <x:v>BRSPCARANDIRU_FILMESDIRARTECARANDIRU-CSDTCARANDIRU_FLGFMENDTDT1_0001-001.mp4</x:v>
      </x:c>
      <x:c r="F538" s="10" t="str">
        <x:v>DIRARTECARANDIRU-CSDTCARANDIRU</x:v>
      </x:c>
      <x:c r="G538" s="10" t="str">
        <x:v>FLG</x:v>
      </x:c>
      <x:c r="H538" s="10" t="str">
        <x:v>FME</x:v>
      </x:c>
      <x:c r="I538" s="10" t="str">
        <x:v>NDT</x:v>
      </x:c>
      <x:c r="J538" s="10" t="str">
        <x:v>DT1</x:v>
      </x:c>
    </x:row>
    <x:row r="539" ht="24" hidden="0" customHeight="1">
      <x:c r="A539" s="10" t="str">
        <x:v>BR-SPCARANDIRU_FILMES-CSDTCARANDIRU.xlsx</x:v>
      </x:c>
      <x:c r="B539" s="10" t="str">
        <x:v>Geral</x:v>
      </x:c>
      <x:c r="C539" s="11" t="n">
        <x:v>4</x:v>
      </x:c>
      <x:c r="D539" s="10" t="str">
        <x:v>BR-SPCARANDIRU_FILMES-CSDTCARANDIRU.xlsx:Geral:4</x:v>
      </x:c>
      <x:c r="E539" s="10" t="str">
        <x:v>BRSPCARANDIRU_FILMESSLIDESHOWCHARGE-CSDTCARANDIRU_FLGFMENDTDT1_0001-001.mp4</x:v>
      </x:c>
      <x:c r="F539" s="10" t="str">
        <x:v>SLIDESHOWCHARGE-CSDTCARANDIRU</x:v>
      </x:c>
      <x:c r="G539" s="10" t="str">
        <x:v>FLG</x:v>
      </x:c>
      <x:c r="H539" s="10" t="str">
        <x:v>FME</x:v>
      </x:c>
      <x:c r="I539" s="10" t="str">
        <x:v>NDT</x:v>
      </x:c>
      <x:c r="J539" s="10" t="str">
        <x:v>DT1</x:v>
      </x:c>
    </x:row>
    <x:row r="540" ht="24" hidden="0" customHeight="1">
      <x:c r="A540" s="10" t="str">
        <x:v>BR-SPCARANDIRU_FILMES-CSDTCARANDIRU.xlsx</x:v>
      </x:c>
      <x:c r="B540" s="10" t="str">
        <x:v>Geral</x:v>
      </x:c>
      <x:c r="C540" s="11" t="n">
        <x:v>5</x:v>
      </x:c>
      <x:c r="D540" s="10" t="str">
        <x:v>BR-SPCARANDIRU_FILMES-CSDTCARANDIRU.xlsx:Geral:5</x:v>
      </x:c>
      <x:c r="E540" s="10" t="str">
        <x:v>BRSPCARANDIRU_FILMESBASTIDFLMCARANDIRU-CSDTCARANDIRU_FLGFMENDTDT1_0001-001.mp4</x:v>
      </x:c>
      <x:c r="F540" s="10" t="str">
        <x:v>BASTIDFLMCARANDIRU-CSDTCARANDIRU</x:v>
      </x:c>
      <x:c r="G540" s="10" t="str">
        <x:v>FLG</x:v>
      </x:c>
      <x:c r="H540" s="10" t="str">
        <x:v>FME</x:v>
      </x:c>
      <x:c r="I540" s="10" t="str">
        <x:v>NDT</x:v>
      </x:c>
      <x:c r="J540" s="10" t="str">
        <x:v>DT1</x:v>
      </x:c>
    </x:row>
    <x:row r="541" ht="24" hidden="0" customHeight="1">
      <x:c r="A541" s="10" t="str">
        <x:v>BR-SPCARANDIRU_FILMES-CSDTCARANDIRU.xlsx</x:v>
      </x:c>
      <x:c r="B541" s="10" t="str">
        <x:v>Geral</x:v>
      </x:c>
      <x:c r="C541" s="11" t="n">
        <x:v>6</x:v>
      </x:c>
      <x:c r="D541" s="10" t="str">
        <x:v>BR-SPCARANDIRU_FILMES-CSDTCARANDIRU.xlsx:Geral:6</x:v>
      </x:c>
      <x:c r="E541" s="10" t="str">
        <x:v>BRSPCARANDIRU_FILMESFLMSHECTORBABENCO-CSDTCARANDIRU_FLGFMENDTDT1_0001-001.mp4</x:v>
      </x:c>
      <x:c r="F541" s="10" t="str">
        <x:v>FLMSHECTORBABENCO-CSDTCARANDIRU</x:v>
      </x:c>
      <x:c r="G541" s="10" t="str">
        <x:v>FLG</x:v>
      </x:c>
      <x:c r="H541" s="10" t="str">
        <x:v>FME</x:v>
      </x:c>
      <x:c r="I541" s="10" t="str">
        <x:v>NDT</x:v>
      </x:c>
      <x:c r="J541" s="10" t="str">
        <x:v>DT1</x:v>
      </x:c>
    </x:row>
    <x:row r="542" ht="24" hidden="0" customHeight="1">
      <x:c r="A542" s="10" t="str">
        <x:v>BR-SPCARANDIRU_FILMES-CSDTCARANDIRU.xlsx</x:v>
      </x:c>
      <x:c r="B542" s="10" t="str">
        <x:v>Geral</x:v>
      </x:c>
      <x:c r="C542" s="11" t="n">
        <x:v>7</x:v>
      </x:c>
      <x:c r="D542" s="10" t="str">
        <x:v>BR-SPCARANDIRU_FILMES-CSDTCARANDIRU.xlsx:Geral:7</x:v>
      </x:c>
      <x:c r="E542" s="10" t="str">
        <x:v>BRSPCARANDIRU_FILMESORIGINALDVD-CSDTCARANDIRU_FLGFMENDTDTX_0001-001001BUP</x:v>
      </x:c>
      <x:c r="F542" s="10" t="str">
        <x:v>ORIGINALDVD-CSDTCARANDIRU</x:v>
      </x:c>
      <x:c r="G542" s="10" t="str">
        <x:v>FLG</x:v>
      </x:c>
      <x:c r="H542" s="10" t="str">
        <x:v>FME</x:v>
      </x:c>
      <x:c r="I542" s="10" t="str">
        <x:v>NDT</x:v>
      </x:c>
      <x:c r="J542" s="10" t="str">
        <x:v>DTX</x:v>
      </x:c>
    </x:row>
    <x:row r="543" ht="24" hidden="0" customHeight="1">
      <x:c r="A543" s="10" t="str">
        <x:v>BR-SPCARANDIRU_FILMES-CSDTCARANDIRU.xlsx</x:v>
      </x:c>
      <x:c r="B543" s="10" t="str">
        <x:v>Geral</x:v>
      </x:c>
      <x:c r="C543" s="11" t="n">
        <x:v>8</x:v>
      </x:c>
      <x:c r="D543" s="10" t="str">
        <x:v>BR-SPCARANDIRU_FILMES-CSDTCARANDIRU.xlsx:Geral:8</x:v>
      </x:c>
      <x:c r="E543" s="10" t="str">
        <x:v>BRSPCARANDIRU_FILMESORIGINALDVD-CSDTCARANDIRU_FLGFMENDTDTX_0001-001002IFO</x:v>
      </x:c>
      <x:c r="F543" s="10" t="str">
        <x:v>ORIGINALDVD-CSDTCARANDIRU</x:v>
      </x:c>
      <x:c r="G543" s="10" t="str">
        <x:v>FLG</x:v>
      </x:c>
      <x:c r="H543" s="10" t="str">
        <x:v>FME</x:v>
      </x:c>
      <x:c r="I543" s="10" t="str">
        <x:v>NDT</x:v>
      </x:c>
      <x:c r="J543" s="10" t="str">
        <x:v>DTX</x:v>
      </x:c>
    </x:row>
    <x:row r="544" ht="24" hidden="0" customHeight="1">
      <x:c r="A544" s="10" t="str">
        <x:v>BR-SPCARANDIRU_FILMES-CSDTCARANDIRU.xlsx</x:v>
      </x:c>
      <x:c r="B544" s="10" t="str">
        <x:v>Geral</x:v>
      </x:c>
      <x:c r="C544" s="11" t="n">
        <x:v>9</x:v>
      </x:c>
      <x:c r="D544" s="10" t="str">
        <x:v>BR-SPCARANDIRU_FILMES-CSDTCARANDIRU.xlsx:Geral:9</x:v>
      </x:c>
      <x:c r="E544" s="10" t="str">
        <x:v>BRSPCARANDIRU_FILMESORIGINALDVD-CSDTCARANDIRU_FLGFMENDTDTX_0001-001003BUP</x:v>
      </x:c>
      <x:c r="F544" s="10" t="str">
        <x:v>ORIGINALDVD-CSDTCARANDIRU</x:v>
      </x:c>
      <x:c r="G544" s="10" t="str">
        <x:v>FLG</x:v>
      </x:c>
      <x:c r="H544" s="10" t="str">
        <x:v>FME</x:v>
      </x:c>
      <x:c r="I544" s="10" t="str">
        <x:v>NDT</x:v>
      </x:c>
      <x:c r="J544" s="10" t="str">
        <x:v>DTX</x:v>
      </x:c>
    </x:row>
    <x:row r="545" ht="24" hidden="0" customHeight="1">
      <x:c r="A545" s="10" t="str">
        <x:v>BR-SPCARANDIRU_FILMES-CSDTCARANDIRU.xlsx</x:v>
      </x:c>
      <x:c r="B545" s="10" t="str">
        <x:v>Geral</x:v>
      </x:c>
      <x:c r="C545" s="11" t="n">
        <x:v>10</x:v>
      </x:c>
      <x:c r="D545" s="10" t="str">
        <x:v>BR-SPCARANDIRU_FILMES-CSDTCARANDIRU.xlsx:Geral:10</x:v>
      </x:c>
      <x:c r="E545" s="10" t="str">
        <x:v>BRSPCARANDIRU_FILMESORIGINALDVD-CSDTCARANDIRU_FLGFMENDTDTX_0001-001004IFO</x:v>
      </x:c>
      <x:c r="F545" s="10" t="str">
        <x:v>ORIGINALDVD-CSDTCARANDIRU</x:v>
      </x:c>
      <x:c r="G545" s="10" t="str">
        <x:v>FLG</x:v>
      </x:c>
      <x:c r="H545" s="10" t="str">
        <x:v>FME</x:v>
      </x:c>
      <x:c r="I545" s="10" t="str">
        <x:v>NDT</x:v>
      </x:c>
      <x:c r="J545" s="10" t="str">
        <x:v>DTX</x:v>
      </x:c>
    </x:row>
    <x:row r="546" ht="24" hidden="0" customHeight="1">
      <x:c r="A546" s="10" t="str">
        <x:v>BR-SPCARANDIRU_FILMES-CSDTCARANDIRU.xlsx</x:v>
      </x:c>
      <x:c r="B546" s="10" t="str">
        <x:v>Geral</x:v>
      </x:c>
      <x:c r="C546" s="11" t="n">
        <x:v>11</x:v>
      </x:c>
      <x:c r="D546" s="10" t="str">
        <x:v>BR-SPCARANDIRU_FILMES-CSDTCARANDIRU.xlsx:Geral:11</x:v>
      </x:c>
      <x:c r="E546" s="10" t="str">
        <x:v>BRSPCARANDIRU_FILMESORIGINALDVD-CSDTCARANDIRU_FLGFMENDTDTX_0001-001005VOB</x:v>
      </x:c>
      <x:c r="F546" s="10" t="str">
        <x:v>ORIGINALDVD-CSDTCARANDIRU</x:v>
      </x:c>
      <x:c r="G546" s="10" t="str">
        <x:v>FLG</x:v>
      </x:c>
      <x:c r="H546" s="10" t="str">
        <x:v>FME</x:v>
      </x:c>
      <x:c r="I546" s="10" t="str">
        <x:v>NDT</x:v>
      </x:c>
      <x:c r="J546" s="10" t="str">
        <x:v>DTX</x:v>
      </x:c>
    </x:row>
    <x:row r="547" ht="24" hidden="0" customHeight="1">
      <x:c r="A547" s="10" t="str">
        <x:v>BR-SPCARANDIRU_FILMES-CSDTCARANDIRU.xlsx</x:v>
      </x:c>
      <x:c r="B547" s="10" t="str">
        <x:v>Geral</x:v>
      </x:c>
      <x:c r="C547" s="11" t="n">
        <x:v>12</x:v>
      </x:c>
      <x:c r="D547" s="10" t="str">
        <x:v>BR-SPCARANDIRU_FILMES-CSDTCARANDIRU.xlsx:Geral:12</x:v>
      </x:c>
      <x:c r="E547" s="10" t="str">
        <x:v>BRSPCARANDIRU_FILMESORIGINALDVD-CSDTCARANDIRU_FLGFMENDTDTX_0001-001006VOB</x:v>
      </x:c>
      <x:c r="F547" s="10" t="str">
        <x:v>ORIGINALDVD-CSDTCARANDIRU</x:v>
      </x:c>
      <x:c r="G547" s="10" t="str">
        <x:v>FLG</x:v>
      </x:c>
      <x:c r="H547" s="10" t="str">
        <x:v>FME</x:v>
      </x:c>
      <x:c r="I547" s="10" t="str">
        <x:v>NDT</x:v>
      </x:c>
      <x:c r="J547" s="10" t="str">
        <x:v>DTX</x:v>
      </x:c>
    </x:row>
    <x:row r="548" ht="24" hidden="0" customHeight="1">
      <x:c r="A548" s="10" t="str">
        <x:v>BR-SPCARANDIRU_FILMES-CSDTCARANDIRU.xlsx</x:v>
      </x:c>
      <x:c r="B548" s="10" t="str">
        <x:v>Geral</x:v>
      </x:c>
      <x:c r="C548" s="11" t="n">
        <x:v>13</x:v>
      </x:c>
      <x:c r="D548" s="10" t="str">
        <x:v>BR-SPCARANDIRU_FILMES-CSDTCARANDIRU.xlsx:Geral:13</x:v>
      </x:c>
      <x:c r="E548" s="10" t="str">
        <x:v>BRSPCARANDIRU_FILMESORIGINALDVD-CSDTCARANDIRU_FLGFMENDTDTX_0001-001007BUP</x:v>
      </x:c>
      <x:c r="F548" s="10" t="str">
        <x:v>ORIGINALDVD-CSDTCARANDIRU</x:v>
      </x:c>
      <x:c r="G548" s="10" t="str">
        <x:v>FLG</x:v>
      </x:c>
      <x:c r="H548" s="10" t="str">
        <x:v>FME</x:v>
      </x:c>
      <x:c r="I548" s="10" t="str">
        <x:v>NDT</x:v>
      </x:c>
      <x:c r="J548" s="10" t="str">
        <x:v>DTX</x:v>
      </x:c>
    </x:row>
    <x:row r="549" ht="24" hidden="0" customHeight="1">
      <x:c r="A549" s="10" t="str">
        <x:v>BR-SPCARANDIRU_FILMES-CSDTCARANDIRU.xlsx</x:v>
      </x:c>
      <x:c r="B549" s="10" t="str">
        <x:v>Geral</x:v>
      </x:c>
      <x:c r="C549" s="11" t="n">
        <x:v>14</x:v>
      </x:c>
      <x:c r="D549" s="10" t="str">
        <x:v>BR-SPCARANDIRU_FILMES-CSDTCARANDIRU.xlsx:Geral:14</x:v>
      </x:c>
      <x:c r="E549" s="10" t="str">
        <x:v>BRSPCARANDIRU_FILMESORIGINALDVD-CSDTCARANDIRU_FLGFMENDTDTX_0001-001008IFO</x:v>
      </x:c>
      <x:c r="F549" s="10" t="str">
        <x:v>ORIGINALDVD-CSDTCARANDIRU</x:v>
      </x:c>
      <x:c r="G549" s="10" t="str">
        <x:v>FLG</x:v>
      </x:c>
      <x:c r="H549" s="10" t="str">
        <x:v>FME</x:v>
      </x:c>
      <x:c r="I549" s="10" t="str">
        <x:v>NDT</x:v>
      </x:c>
      <x:c r="J549" s="10" t="str">
        <x:v>DTX</x:v>
      </x:c>
    </x:row>
    <x:row r="550" ht="24" hidden="0" customHeight="1">
      <x:c r="A550" s="10" t="str">
        <x:v>BR-SPCARANDIRU_FILMES-CSDTCARANDIRU.xlsx</x:v>
      </x:c>
      <x:c r="B550" s="10" t="str">
        <x:v>Geral</x:v>
      </x:c>
      <x:c r="C550" s="11" t="n">
        <x:v>15</x:v>
      </x:c>
      <x:c r="D550" s="10" t="str">
        <x:v>BR-SPCARANDIRU_FILMES-CSDTCARANDIRU.xlsx:Geral:15</x:v>
      </x:c>
      <x:c r="E550" s="10" t="str">
        <x:v>BRSPCARANDIRU_FILMESORIGINALDVD-CSDTCARANDIRU_FLGFMENDTDTX_0001-001009VOB</x:v>
      </x:c>
      <x:c r="F550" s="10" t="str">
        <x:v>ORIGINALDVD-CSDTCARANDIRU</x:v>
      </x:c>
      <x:c r="G550" s="10" t="str">
        <x:v>FLG</x:v>
      </x:c>
      <x:c r="H550" s="10" t="str">
        <x:v>FME</x:v>
      </x:c>
      <x:c r="I550" s="10" t="str">
        <x:v>NDT</x:v>
      </x:c>
      <x:c r="J550" s="10" t="str">
        <x:v>DTX</x:v>
      </x:c>
    </x:row>
    <x:row r="551" ht="24" hidden="0" customHeight="1">
      <x:c r="A551" s="10" t="str">
        <x:v>BR-SPCARANDIRU_FILMES-CSDTCARANDIRU.xlsx</x:v>
      </x:c>
      <x:c r="B551" s="10" t="str">
        <x:v>Geral</x:v>
      </x:c>
      <x:c r="C551" s="11" t="n">
        <x:v>16</x:v>
      </x:c>
      <x:c r="D551" s="10" t="str">
        <x:v>BR-SPCARANDIRU_FILMES-CSDTCARANDIRU.xlsx:Geral:16</x:v>
      </x:c>
      <x:c r="E551" s="10" t="str">
        <x:v>BRSPCARANDIRU_FILMESORIGINALDVD-CSDTCARANDIRU_FLGFMENDTDTX_0001-001010BUP</x:v>
      </x:c>
      <x:c r="F551" s="10" t="str">
        <x:v>ORIGINALDVD-CSDTCARANDIRU</x:v>
      </x:c>
      <x:c r="G551" s="10" t="str">
        <x:v>FLG</x:v>
      </x:c>
      <x:c r="H551" s="10" t="str">
        <x:v>FME</x:v>
      </x:c>
      <x:c r="I551" s="10" t="str">
        <x:v>NDT</x:v>
      </x:c>
      <x:c r="J551" s="10" t="str">
        <x:v>DTX</x:v>
      </x:c>
    </x:row>
    <x:row r="552" ht="24" hidden="0" customHeight="1">
      <x:c r="A552" s="10" t="str">
        <x:v>BR-SPCARANDIRU_FILMES-CSDTCARANDIRU.xlsx</x:v>
      </x:c>
      <x:c r="B552" s="10" t="str">
        <x:v>Geral</x:v>
      </x:c>
      <x:c r="C552" s="11" t="n">
        <x:v>17</x:v>
      </x:c>
      <x:c r="D552" s="10" t="str">
        <x:v>BR-SPCARANDIRU_FILMES-CSDTCARANDIRU.xlsx:Geral:17</x:v>
      </x:c>
      <x:c r="E552" s="10" t="str">
        <x:v>BRSPCARANDIRU_FILMESORIGINALDVD-CSDTCARANDIRU_FLGFMENDTDTX_0001-001011IFO</x:v>
      </x:c>
      <x:c r="F552" s="10" t="str">
        <x:v>ORIGINALDVD-CSDTCARANDIRU</x:v>
      </x:c>
      <x:c r="G552" s="10" t="str">
        <x:v>FLG</x:v>
      </x:c>
      <x:c r="H552" s="10" t="str">
        <x:v>FME</x:v>
      </x:c>
      <x:c r="I552" s="10" t="str">
        <x:v>NDT</x:v>
      </x:c>
      <x:c r="J552" s="10" t="str">
        <x:v>DTX</x:v>
      </x:c>
    </x:row>
    <x:row r="553" ht="24" hidden="0" customHeight="1">
      <x:c r="A553" s="10" t="str">
        <x:v>BR-SPCARANDIRU_FILMES-CSDTCARANDIRU.xlsx</x:v>
      </x:c>
      <x:c r="B553" s="10" t="str">
        <x:v>Geral</x:v>
      </x:c>
      <x:c r="C553" s="11" t="n">
        <x:v>18</x:v>
      </x:c>
      <x:c r="D553" s="10" t="str">
        <x:v>BR-SPCARANDIRU_FILMES-CSDTCARANDIRU.xlsx:Geral:18</x:v>
      </x:c>
      <x:c r="E553" s="10" t="str">
        <x:v>BRSPCARANDIRU_FILMESORIGINALDVD-CSDTCARANDIRU_FLGFMENDTDTX_0001-001012VOB</x:v>
      </x:c>
      <x:c r="F553" s="10" t="str">
        <x:v>ORIGINALDVD-CSDTCARANDIRU</x:v>
      </x:c>
      <x:c r="G553" s="10" t="str">
        <x:v>FLG</x:v>
      </x:c>
      <x:c r="H553" s="10" t="str">
        <x:v>FME</x:v>
      </x:c>
      <x:c r="I553" s="10" t="str">
        <x:v>NDT</x:v>
      </x:c>
      <x:c r="J553" s="10" t="str">
        <x:v>DTX</x:v>
      </x:c>
    </x:row>
    <x:row r="554" ht="24" hidden="0" customHeight="1">
      <x:c r="A554" s="10" t="str">
        <x:v>BR-SPCARANDIRU_FILMES-CSDTCARANDIRU.xlsx</x:v>
      </x:c>
      <x:c r="B554" s="10" t="str">
        <x:v>Geral</x:v>
      </x:c>
      <x:c r="C554" s="11" t="n">
        <x:v>19</x:v>
      </x:c>
      <x:c r="D554" s="10" t="str">
        <x:v>BR-SPCARANDIRU_FILMES-CSDTCARANDIRU.xlsx:Geral:19</x:v>
      </x:c>
      <x:c r="E554" s="10" t="str">
        <x:v>BRSPCARANDIRU_FILMESORIGINALDVD-CSDTCARANDIRU_FLGFMENDTDTX_0001-001013BUP</x:v>
      </x:c>
      <x:c r="F554" s="10" t="str">
        <x:v>ORIGINALDVD-CSDTCARANDIRU</x:v>
      </x:c>
      <x:c r="G554" s="10" t="str">
        <x:v>FLG</x:v>
      </x:c>
      <x:c r="H554" s="10" t="str">
        <x:v>FME</x:v>
      </x:c>
      <x:c r="I554" s="10" t="str">
        <x:v>NDT</x:v>
      </x:c>
      <x:c r="J554" s="10" t="str">
        <x:v>DTX</x:v>
      </x:c>
    </x:row>
    <x:row r="555" ht="24" hidden="0" customHeight="1">
      <x:c r="A555" s="10" t="str">
        <x:v>BR-SPCARANDIRU_FILMES-CSDTCARANDIRU.xlsx</x:v>
      </x:c>
      <x:c r="B555" s="10" t="str">
        <x:v>Geral</x:v>
      </x:c>
      <x:c r="C555" s="11" t="n">
        <x:v>20</x:v>
      </x:c>
      <x:c r="D555" s="10" t="str">
        <x:v>BR-SPCARANDIRU_FILMES-CSDTCARANDIRU.xlsx:Geral:20</x:v>
      </x:c>
      <x:c r="E555" s="10" t="str">
        <x:v>BRSPCARANDIRU_FILMESORIGINALDVD-CSDTCARANDIRU_FLGFMENDTDTX_0001-001014IFO</x:v>
      </x:c>
      <x:c r="F555" s="10" t="str">
        <x:v>ORIGINALDVD-CSDTCARANDIRU</x:v>
      </x:c>
      <x:c r="G555" s="10" t="str">
        <x:v>FLG</x:v>
      </x:c>
      <x:c r="H555" s="10" t="str">
        <x:v>FME</x:v>
      </x:c>
      <x:c r="I555" s="10" t="str">
        <x:v>NDT</x:v>
      </x:c>
      <x:c r="J555" s="10" t="str">
        <x:v>DTX</x:v>
      </x:c>
    </x:row>
    <x:row r="556" ht="24" hidden="0" customHeight="1">
      <x:c r="A556" s="10" t="str">
        <x:v>BR-SPCARANDIRU_FILMES-CSDTCARANDIRU.xlsx</x:v>
      </x:c>
      <x:c r="B556" s="10" t="str">
        <x:v>Geral</x:v>
      </x:c>
      <x:c r="C556" s="11" t="n">
        <x:v>21</x:v>
      </x:c>
      <x:c r="D556" s="10" t="str">
        <x:v>BR-SPCARANDIRU_FILMES-CSDTCARANDIRU.xlsx:Geral:21</x:v>
      </x:c>
      <x:c r="E556" s="10" t="str">
        <x:v>BRSPCARANDIRU_FILMESORIGINALDVD-CSDTCARANDIRU_FLGFMENDTDTX_0001-001015VOB</x:v>
      </x:c>
      <x:c r="F556" s="10" t="str">
        <x:v>ORIGINALDVD-CSDTCARANDIRU</x:v>
      </x:c>
      <x:c r="G556" s="10" t="str">
        <x:v>FLG</x:v>
      </x:c>
      <x:c r="H556" s="10" t="str">
        <x:v>FME</x:v>
      </x:c>
      <x:c r="I556" s="10" t="str">
        <x:v>NDT</x:v>
      </x:c>
      <x:c r="J556" s="10" t="str">
        <x:v>DTX</x:v>
      </x:c>
    </x:row>
    <x:row r="557" ht="24" hidden="0" customHeight="1">
      <x:c r="A557" s="10" t="str">
        <x:v>BR-SPCARANDIRU_FILMES-CSDTCARANDIRU.xlsx</x:v>
      </x:c>
      <x:c r="B557" s="10" t="str">
        <x:v>Geral</x:v>
      </x:c>
      <x:c r="C557" s="11" t="n">
        <x:v>22</x:v>
      </x:c>
      <x:c r="D557" s="10" t="str">
        <x:v>BR-SPCARANDIRU_FILMES-CSDTCARANDIRU.xlsx:Geral:22</x:v>
      </x:c>
      <x:c r="E557" s="10" t="str">
        <x:v>BRSPCARANDIRU_FILMESORIGINALDVD-CSDTCARANDIRU_FLGFMENDTDTX_0001-001016BUP</x:v>
      </x:c>
      <x:c r="F557" s="10" t="str">
        <x:v>ORIGINALDVD-CSDTCARANDIRU</x:v>
      </x:c>
      <x:c r="G557" s="10" t="str">
        <x:v>FLG</x:v>
      </x:c>
      <x:c r="H557" s="10" t="str">
        <x:v>FME</x:v>
      </x:c>
      <x:c r="I557" s="10" t="str">
        <x:v>NDT</x:v>
      </x:c>
      <x:c r="J557" s="10" t="str">
        <x:v>DTX</x:v>
      </x:c>
    </x:row>
    <x:row r="558" ht="24" hidden="0" customHeight="1">
      <x:c r="A558" s="10" t="str">
        <x:v>BR-SPCARANDIRU_FILMES-CSDTCARANDIRU.xlsx</x:v>
      </x:c>
      <x:c r="B558" s="10" t="str">
        <x:v>Geral</x:v>
      </x:c>
      <x:c r="C558" s="11" t="n">
        <x:v>23</x:v>
      </x:c>
      <x:c r="D558" s="10" t="str">
        <x:v>BR-SPCARANDIRU_FILMES-CSDTCARANDIRU.xlsx:Geral:23</x:v>
      </x:c>
      <x:c r="E558" s="10" t="str">
        <x:v>BRSPCARANDIRU_FILMESORIGINALDVD-CSDTCARANDIRU_FLGFMENDTDTX_0001-001017IFO</x:v>
      </x:c>
      <x:c r="F558" s="10" t="str">
        <x:v>ORIGINALDVD-CSDTCARANDIRU</x:v>
      </x:c>
      <x:c r="G558" s="10" t="str">
        <x:v>FLG</x:v>
      </x:c>
      <x:c r="H558" s="10" t="str">
        <x:v>FME</x:v>
      </x:c>
      <x:c r="I558" s="10" t="str">
        <x:v>NDT</x:v>
      </x:c>
      <x:c r="J558" s="10" t="str">
        <x:v>DTX</x:v>
      </x:c>
    </x:row>
    <x:row r="559" ht="24" hidden="0" customHeight="1">
      <x:c r="A559" s="10" t="str">
        <x:v>BR-SPCARANDIRU_FILMES-CSDTCARANDIRU.xlsx</x:v>
      </x:c>
      <x:c r="B559" s="10" t="str">
        <x:v>Geral</x:v>
      </x:c>
      <x:c r="C559" s="11" t="n">
        <x:v>24</x:v>
      </x:c>
      <x:c r="D559" s="10" t="str">
        <x:v>BR-SPCARANDIRU_FILMES-CSDTCARANDIRU.xlsx:Geral:24</x:v>
      </x:c>
      <x:c r="E559" s="10" t="str">
        <x:v>BRSPCARANDIRU_FILMESORIGINALDVD-CSDTCARANDIRU_FLGFMENDTDTX_0001-001018VOB</x:v>
      </x:c>
      <x:c r="F559" s="10" t="str">
        <x:v>ORIGINALDVD-CSDTCARANDIRU</x:v>
      </x:c>
      <x:c r="G559" s="10" t="str">
        <x:v>FLG</x:v>
      </x:c>
      <x:c r="H559" s="10" t="str">
        <x:v>FME</x:v>
      </x:c>
      <x:c r="I559" s="10" t="str">
        <x:v>NDT</x:v>
      </x:c>
      <x:c r="J559" s="10" t="str">
        <x:v>DTX</x:v>
      </x:c>
    </x:row>
    <x:row r="560" ht="24" hidden="0" customHeight="1">
      <x:c r="A560" s="10" t="str">
        <x:v>BR-SPCARANDIRU_FILMES-CSDTCARANDIRU.xlsx</x:v>
      </x:c>
      <x:c r="B560" s="10" t="str">
        <x:v>Geral</x:v>
      </x:c>
      <x:c r="C560" s="11" t="n">
        <x:v>25</x:v>
      </x:c>
      <x:c r="D560" s="10" t="str">
        <x:v>BR-SPCARANDIRU_FILMES-CSDTCARANDIRU.xlsx:Geral:25</x:v>
      </x:c>
      <x:c r="E560" s="10" t="str">
        <x:v>BRSPCARANDIRU_FILMESORIGINALDVD-CSDTCARANDIRU_FLGFMENDTDTX_0001-001019VOB</x:v>
      </x:c>
      <x:c r="F560" s="10" t="str">
        <x:v>ORIGINALDVD-CSDTCARANDIRU</x:v>
      </x:c>
      <x:c r="G560" s="10" t="str">
        <x:v>FLG</x:v>
      </x:c>
      <x:c r="H560" s="10" t="str">
        <x:v>FME</x:v>
      </x:c>
      <x:c r="I560" s="10" t="str">
        <x:v>NDT</x:v>
      </x:c>
      <x:c r="J560" s="10" t="str">
        <x:v>DTX</x:v>
      </x:c>
    </x:row>
    <x:row r="561" ht="24" hidden="0" customHeight="1">
      <x:c r="A561" s="10" t="str">
        <x:v>BR-SPCARANDIRU_FILMES-CSDTCARANDIRU.xlsx</x:v>
      </x:c>
      <x:c r="B561" s="10" t="str">
        <x:v>Geral</x:v>
      </x:c>
      <x:c r="C561" s="11" t="n">
        <x:v>26</x:v>
      </x:c>
      <x:c r="D561" s="10" t="str">
        <x:v>BR-SPCARANDIRU_FILMES-CSDTCARANDIRU.xlsx:Geral:26</x:v>
      </x:c>
      <x:c r="E561" s="10" t="str">
        <x:v>BRSPCARANDIRU_FILMESORIGINALDVD-CSDTCARANDIRU_FLGFMENDTDTX_0001-001020VOB</x:v>
      </x:c>
      <x:c r="F561" s="10" t="str">
        <x:v>ORIGINALDVD-CSDTCARANDIRU</x:v>
      </x:c>
      <x:c r="G561" s="10" t="str">
        <x:v>FLG</x:v>
      </x:c>
      <x:c r="H561" s="10" t="str">
        <x:v>FME</x:v>
      </x:c>
      <x:c r="I561" s="10" t="str">
        <x:v>NDT</x:v>
      </x:c>
      <x:c r="J561" s="10" t="str">
        <x:v>DTX</x:v>
      </x:c>
    </x:row>
    <x:row r="562" ht="24" hidden="0" customHeight="1">
      <x:c r="A562" s="10" t="str">
        <x:v>BR-SPCARANDIRU_FILMES-CSDTCARANDIRU.xlsx</x:v>
      </x:c>
      <x:c r="B562" s="10" t="str">
        <x:v>Geral</x:v>
      </x:c>
      <x:c r="C562" s="11" t="n">
        <x:v>27</x:v>
      </x:c>
      <x:c r="D562" s="10" t="str">
        <x:v>BR-SPCARANDIRU_FILMES-CSDTCARANDIRU.xlsx:Geral:27</x:v>
      </x:c>
      <x:c r="E562" s="10" t="str">
        <x:v>BRSPCARANDIRU_FILMESORIGINALDVD-CSDTCARANDIRU_FLGFMENDTDTX_0001-001021BUP</x:v>
      </x:c>
      <x:c r="F562" s="10" t="str">
        <x:v>ORIGINALDVD-CSDTCARANDIRU</x:v>
      </x:c>
      <x:c r="G562" s="10" t="str">
        <x:v>FLG</x:v>
      </x:c>
      <x:c r="H562" s="10" t="str">
        <x:v>FME</x:v>
      </x:c>
      <x:c r="I562" s="10" t="str">
        <x:v>NDT</x:v>
      </x:c>
      <x:c r="J562" s="10" t="str">
        <x:v>DTX</x:v>
      </x:c>
    </x:row>
    <x:row r="563" ht="24" hidden="0" customHeight="1">
      <x:c r="A563" s="10" t="str">
        <x:v>BR-SPCARANDIRU_FILMES-CSDTCARANDIRU.xlsx</x:v>
      </x:c>
      <x:c r="B563" s="10" t="str">
        <x:v>Geral</x:v>
      </x:c>
      <x:c r="C563" s="11" t="n">
        <x:v>28</x:v>
      </x:c>
      <x:c r="D563" s="10" t="str">
        <x:v>BR-SPCARANDIRU_FILMES-CSDTCARANDIRU.xlsx:Geral:28</x:v>
      </x:c>
      <x:c r="E563" s="10" t="str">
        <x:v>BRSPCARANDIRU_FILMESORIGINALDVD-CSDTCARANDIRU_FLGFMENDTDTX_0001-001022IFO</x:v>
      </x:c>
      <x:c r="F563" s="10" t="str">
        <x:v>ORIGINALDVD-CSDTCARANDIRU</x:v>
      </x:c>
      <x:c r="G563" s="10" t="str">
        <x:v>FLG</x:v>
      </x:c>
      <x:c r="H563" s="10" t="str">
        <x:v>FME</x:v>
      </x:c>
      <x:c r="I563" s="10" t="str">
        <x:v>NDT</x:v>
      </x:c>
      <x:c r="J563" s="10" t="str">
        <x:v>DTX</x:v>
      </x:c>
    </x:row>
    <x:row r="564" ht="24" hidden="0" customHeight="1">
      <x:c r="A564" s="10" t="str">
        <x:v>BR-SPCARANDIRU_FILMES-CSDTCARANDIRU.xlsx</x:v>
      </x:c>
      <x:c r="B564" s="10" t="str">
        <x:v>Geral</x:v>
      </x:c>
      <x:c r="C564" s="11" t="n">
        <x:v>29</x:v>
      </x:c>
      <x:c r="D564" s="10" t="str">
        <x:v>BR-SPCARANDIRU_FILMES-CSDTCARANDIRU.xlsx:Geral:29</x:v>
      </x:c>
      <x:c r="E564" s="10" t="str">
        <x:v>BRSPCARANDIRU_FILMESORIGINALDVD-CSDTCARANDIRU_FLGFMENDTDTX_0001-001023VOB</x:v>
      </x:c>
      <x:c r="F564" s="10" t="str">
        <x:v>ORIGINALDVD-CSDTCARANDIRU</x:v>
      </x:c>
      <x:c r="G564" s="10" t="str">
        <x:v>FLG</x:v>
      </x:c>
      <x:c r="H564" s="10" t="str">
        <x:v>FME</x:v>
      </x:c>
      <x:c r="I564" s="10" t="str">
        <x:v>NDT</x:v>
      </x:c>
      <x:c r="J564" s="10" t="str">
        <x:v>DTX</x:v>
      </x:c>
    </x:row>
    <x:row r="565" ht="24" hidden="0" customHeight="1">
      <x:c r="A565" s="10" t="str">
        <x:v>BR-SPCARANDIRU_FILMES-CSDTCARANDIRU.xlsx</x:v>
      </x:c>
      <x:c r="B565" s="10" t="str">
        <x:v>Geral</x:v>
      </x:c>
      <x:c r="C565" s="11" t="n">
        <x:v>30</x:v>
      </x:c>
      <x:c r="D565" s="10" t="str">
        <x:v>BR-SPCARANDIRU_FILMES-CSDTCARANDIRU.xlsx:Geral:30</x:v>
      </x:c>
      <x:c r="E565" s="10" t="str">
        <x:v>BRSPCARANDIRU_FILMESORIGINALDVD-CSDTCARANDIRU_FLGFMENDTDTX_0001-001024BUP</x:v>
      </x:c>
      <x:c r="F565" s="10" t="str">
        <x:v>ORIGINALDVD-CSDTCARANDIRU</x:v>
      </x:c>
      <x:c r="G565" s="10" t="str">
        <x:v>FLG</x:v>
      </x:c>
      <x:c r="H565" s="10" t="str">
        <x:v>FME</x:v>
      </x:c>
      <x:c r="I565" s="10" t="str">
        <x:v>NDT</x:v>
      </x:c>
      <x:c r="J565" s="10" t="str">
        <x:v>DTX</x:v>
      </x:c>
    </x:row>
    <x:row r="566" ht="24" hidden="0" customHeight="1">
      <x:c r="A566" s="10" t="str">
        <x:v>BR-SPCARANDIRU_FILMES-CSDTCARANDIRU.xlsx</x:v>
      </x:c>
      <x:c r="B566" s="10" t="str">
        <x:v>Geral</x:v>
      </x:c>
      <x:c r="C566" s="11" t="n">
        <x:v>31</x:v>
      </x:c>
      <x:c r="D566" s="10" t="str">
        <x:v>BR-SPCARANDIRU_FILMES-CSDTCARANDIRU.xlsx:Geral:31</x:v>
      </x:c>
      <x:c r="E566" s="10" t="str">
        <x:v>BRSPCARANDIRU_FILMESORIGINALDVD-CSDTCARANDIRU_FLGFMENDTDTX_0001-001025IFO</x:v>
      </x:c>
      <x:c r="F566" s="10" t="str">
        <x:v>ORIGINALDVD-CSDTCARANDIRU</x:v>
      </x:c>
      <x:c r="G566" s="10" t="str">
        <x:v>FLG</x:v>
      </x:c>
      <x:c r="H566" s="10" t="str">
        <x:v>FME</x:v>
      </x:c>
      <x:c r="I566" s="10" t="str">
        <x:v>NDT</x:v>
      </x:c>
      <x:c r="J566" s="10" t="str">
        <x:v>DTX</x:v>
      </x:c>
    </x:row>
    <x:row r="567" ht="24" hidden="0" customHeight="1">
      <x:c r="A567" s="10" t="str">
        <x:v>BR-SPCARANDIRU_FILMES-CSDTCARANDIRU.xlsx</x:v>
      </x:c>
      <x:c r="B567" s="10" t="str">
        <x:v>Geral</x:v>
      </x:c>
      <x:c r="C567" s="11" t="n">
        <x:v>32</x:v>
      </x:c>
      <x:c r="D567" s="10" t="str">
        <x:v>BR-SPCARANDIRU_FILMES-CSDTCARANDIRU.xlsx:Geral:32</x:v>
      </x:c>
      <x:c r="E567" s="10" t="str">
        <x:v>BRSPCARANDIRU_FILMESORIGINALDVD-CSDTCARANDIRU_FLGFMENDTDTX_0001-001026VOB</x:v>
      </x:c>
      <x:c r="F567" s="10" t="str">
        <x:v>ORIGINALDVD-CSDTCARANDIRU</x:v>
      </x:c>
      <x:c r="G567" s="10" t="str">
        <x:v>FLG</x:v>
      </x:c>
      <x:c r="H567" s="10" t="str">
        <x:v>FME</x:v>
      </x:c>
      <x:c r="I567" s="10" t="str">
        <x:v>NDT</x:v>
      </x:c>
      <x:c r="J567" s="10" t="str">
        <x:v>DTX</x:v>
      </x:c>
    </x:row>
    <x:row r="568" ht="24" hidden="0" customHeight="1">
      <x:c r="A568" s="10" t="str">
        <x:v>BR-SPCARANDIRU_FILMES-CSDTCARANDIRU.xlsx</x:v>
      </x:c>
      <x:c r="B568" s="10" t="str">
        <x:v>Geral</x:v>
      </x:c>
      <x:c r="C568" s="11" t="n">
        <x:v>33</x:v>
      </x:c>
      <x:c r="D568" s="10" t="str">
        <x:v>BR-SPCARANDIRU_FILMES-CSDTCARANDIRU.xlsx:Geral:33</x:v>
      </x:c>
      <x:c r="E568" s="10" t="str">
        <x:v>BRSPCARANDIRU_FILMESORIGINALDVD-CSDTCARANDIRU_FLGFMENDTDTX_0001-001027BUP</x:v>
      </x:c>
      <x:c r="F568" s="10" t="str">
        <x:v>ORIGINALDVD-CSDTCARANDIRU</x:v>
      </x:c>
      <x:c r="G568" s="10" t="str">
        <x:v>FLG</x:v>
      </x:c>
      <x:c r="H568" s="10" t="str">
        <x:v>FME</x:v>
      </x:c>
      <x:c r="I568" s="10" t="str">
        <x:v>NDT</x:v>
      </x:c>
      <x:c r="J568" s="10" t="str">
        <x:v>DTX</x:v>
      </x:c>
    </x:row>
    <x:row r="569" ht="24" hidden="0" customHeight="1">
      <x:c r="A569" s="10" t="str">
        <x:v>BR-SPCARANDIRU_FILMES-CSDTCARANDIRU.xlsx</x:v>
      </x:c>
      <x:c r="B569" s="10" t="str">
        <x:v>Geral</x:v>
      </x:c>
      <x:c r="C569" s="11" t="n">
        <x:v>34</x:v>
      </x:c>
      <x:c r="D569" s="10" t="str">
        <x:v>BR-SPCARANDIRU_FILMES-CSDTCARANDIRU.xlsx:Geral:34</x:v>
      </x:c>
      <x:c r="E569" s="10" t="str">
        <x:v>BRSPCARANDIRU_FILMESORIGINALDVD-CSDTCARANDIRU_FLGFMENDTDTX_0001-001028IFO</x:v>
      </x:c>
      <x:c r="F569" s="10" t="str">
        <x:v>ORIGINALDVD-CSDTCARANDIRU</x:v>
      </x:c>
      <x:c r="G569" s="10" t="str">
        <x:v>FLG</x:v>
      </x:c>
      <x:c r="H569" s="10" t="str">
        <x:v>FME</x:v>
      </x:c>
      <x:c r="I569" s="10" t="str">
        <x:v>NDT</x:v>
      </x:c>
      <x:c r="J569" s="10" t="str">
        <x:v>DTX</x:v>
      </x:c>
    </x:row>
    <x:row r="570" ht="24" hidden="0" customHeight="1">
      <x:c r="A570" s="10" t="str">
        <x:v>BR-SPCARANDIRU_FILMES-CSDTCARANDIRU.xlsx</x:v>
      </x:c>
      <x:c r="B570" s="10" t="str">
        <x:v>Geral</x:v>
      </x:c>
      <x:c r="C570" s="11" t="n">
        <x:v>35</x:v>
      </x:c>
      <x:c r="D570" s="10" t="str">
        <x:v>BR-SPCARANDIRU_FILMES-CSDTCARANDIRU.xlsx:Geral:35</x:v>
      </x:c>
      <x:c r="E570" s="10" t="str">
        <x:v>BRSPCARANDIRU_FILMESORIGINALDVD-CSDTCARANDIRU_FLGFMENDTDTX_0001-001029VOB</x:v>
      </x:c>
      <x:c r="F570" s="10" t="str">
        <x:v>ORIGINALDVD-CSDTCARANDIRU</x:v>
      </x:c>
      <x:c r="G570" s="10" t="str">
        <x:v>FLG</x:v>
      </x:c>
      <x:c r="H570" s="10" t="str">
        <x:v>FME</x:v>
      </x:c>
      <x:c r="I570" s="10" t="str">
        <x:v>NDT</x:v>
      </x:c>
      <x:c r="J570" s="10" t="str">
        <x:v>DTX</x:v>
      </x:c>
    </x:row>
    <x:row r="571" ht="24" hidden="0" customHeight="1">
      <x:c r="A571" s="10" t="str">
        <x:v>BR-SPCARANDIRU_FILMES-CSDTCARANDIRU.xlsx</x:v>
      </x:c>
      <x:c r="B571" s="10" t="str">
        <x:v>Geral</x:v>
      </x:c>
      <x:c r="C571" s="11" t="n">
        <x:v>36</x:v>
      </x:c>
      <x:c r="D571" s="10" t="str">
        <x:v>BR-SPCARANDIRU_FILMES-CSDTCARANDIRU.xlsx:Geral:36</x:v>
      </x:c>
      <x:c r="E571" s="10" t="str">
        <x:v>BRSPCARANDIRU_FILMESORIGINALDVD-CSDTCARANDIRU_FLGFMENDTDTX_0001-001030BUP</x:v>
      </x:c>
      <x:c r="F571" s="10" t="str">
        <x:v>ORIGINALDVD-CSDTCARANDIRU</x:v>
      </x:c>
      <x:c r="G571" s="10" t="str">
        <x:v>FLG</x:v>
      </x:c>
      <x:c r="H571" s="10" t="str">
        <x:v>FME</x:v>
      </x:c>
      <x:c r="I571" s="10" t="str">
        <x:v>NDT</x:v>
      </x:c>
      <x:c r="J571" s="10" t="str">
        <x:v>DTX</x:v>
      </x:c>
    </x:row>
    <x:row r="572" ht="24" hidden="0" customHeight="1">
      <x:c r="A572" s="10" t="str">
        <x:v>BR-SPCARANDIRU_FILMES-CSDTCARANDIRU.xlsx</x:v>
      </x:c>
      <x:c r="B572" s="10" t="str">
        <x:v>Geral</x:v>
      </x:c>
      <x:c r="C572" s="11" t="n">
        <x:v>37</x:v>
      </x:c>
      <x:c r="D572" s="10" t="str">
        <x:v>BR-SPCARANDIRU_FILMES-CSDTCARANDIRU.xlsx:Geral:37</x:v>
      </x:c>
      <x:c r="E572" s="10" t="str">
        <x:v>BRSPCARANDIRU_FILMESORIGINALDVD-CSDTCARANDIRU_FLGFMENDTDTX_0001-001031IFO</x:v>
      </x:c>
      <x:c r="F572" s="10" t="str">
        <x:v>ORIGINALDVD-CSDTCARANDIRU</x:v>
      </x:c>
      <x:c r="G572" s="10" t="str">
        <x:v>FLG</x:v>
      </x:c>
      <x:c r="H572" s="10" t="str">
        <x:v>FME</x:v>
      </x:c>
      <x:c r="I572" s="10" t="str">
        <x:v>NDT</x:v>
      </x:c>
      <x:c r="J572" s="10" t="str">
        <x:v>DTX</x:v>
      </x:c>
    </x:row>
    <x:row r="573" ht="24" hidden="0" customHeight="1">
      <x:c r="A573" s="10" t="str">
        <x:v>BR-SPCARANDIRU_FILMES-CSDTCARANDIRU.xlsx</x:v>
      </x:c>
      <x:c r="B573" s="10" t="str">
        <x:v>Geral</x:v>
      </x:c>
      <x:c r="C573" s="11" t="n">
        <x:v>38</x:v>
      </x:c>
      <x:c r="D573" s="10" t="str">
        <x:v>BR-SPCARANDIRU_FILMES-CSDTCARANDIRU.xlsx:Geral:38</x:v>
      </x:c>
      <x:c r="E573" s="10" t="str">
        <x:v>BRSPCARANDIRU_FILMESORIGINALDVD-CSDTCARANDIRU_FLGFMENDTDTX_0001-001032VOB</x:v>
      </x:c>
      <x:c r="F573" s="10" t="str">
        <x:v>ORIGINALDVD-CSDTCARANDIRU</x:v>
      </x:c>
      <x:c r="G573" s="10" t="str">
        <x:v>FLG</x:v>
      </x:c>
      <x:c r="H573" s="10" t="str">
        <x:v>FME</x:v>
      </x:c>
      <x:c r="I573" s="10" t="str">
        <x:v>NDT</x:v>
      </x:c>
      <x:c r="J573" s="10" t="str">
        <x:v>DTX</x:v>
      </x:c>
    </x:row>
    <x:row r="574" ht="24" hidden="0" customHeight="1">
      <x:c r="A574" s="10" t="str">
        <x:v>BR-SPCARANDIRU_FILMES-CSDTCARANDIRU.xlsx</x:v>
      </x:c>
      <x:c r="B574" s="10" t="str">
        <x:v>Geral</x:v>
      </x:c>
      <x:c r="C574" s="11" t="n">
        <x:v>39</x:v>
      </x:c>
      <x:c r="D574" s="10" t="str">
        <x:v>BR-SPCARANDIRU_FILMES-CSDTCARANDIRU.xlsx:Geral:39</x:v>
      </x:c>
      <x:c r="E574" s="10" t="str">
        <x:v>BRSPCARANDIRU_FILMESORIGINALDVD-CSDTCARANDIRU_FLGFMENDTDTX_0001-001033BUP</x:v>
      </x:c>
      <x:c r="F574" s="10" t="str">
        <x:v>ORIGINALDVD-CSDTCARANDIRU</x:v>
      </x:c>
      <x:c r="G574" s="10" t="str">
        <x:v>FLG</x:v>
      </x:c>
      <x:c r="H574" s="10" t="str">
        <x:v>FME</x:v>
      </x:c>
      <x:c r="I574" s="10" t="str">
        <x:v>NDT</x:v>
      </x:c>
      <x:c r="J574" s="10" t="str">
        <x:v>DTX</x:v>
      </x:c>
    </x:row>
    <x:row r="575" ht="24" hidden="0" customHeight="1">
      <x:c r="A575" s="10" t="str">
        <x:v>BR-SPCARANDIRU_FILMES-CSDTCARANDIRU.xlsx</x:v>
      </x:c>
      <x:c r="B575" s="10" t="str">
        <x:v>Geral</x:v>
      </x:c>
      <x:c r="C575" s="11" t="n">
        <x:v>40</x:v>
      </x:c>
      <x:c r="D575" s="10" t="str">
        <x:v>BR-SPCARANDIRU_FILMES-CSDTCARANDIRU.xlsx:Geral:40</x:v>
      </x:c>
      <x:c r="E575" s="10" t="str">
        <x:v>BRSPCARANDIRU_FILMESORIGINALDVD-CSDTCARANDIRU_FLGFMENDTDTX_0001-001034IFO</x:v>
      </x:c>
      <x:c r="F575" s="10" t="str">
        <x:v>ORIGINALDVD-CSDTCARANDIRU</x:v>
      </x:c>
      <x:c r="G575" s="10" t="str">
        <x:v>FLG</x:v>
      </x:c>
      <x:c r="H575" s="10" t="str">
        <x:v>FME</x:v>
      </x:c>
      <x:c r="I575" s="10" t="str">
        <x:v>NDT</x:v>
      </x:c>
      <x:c r="J575" s="10" t="str">
        <x:v>DTX</x:v>
      </x:c>
    </x:row>
  </x:sheetData>
  <x:pageMargins left="0.7" right="0.7" top="0.75" bottom="0.75" header="0.3" footer="0.3"/>
  <x:tableParts count="1">
    <x:tablePart xmlns:r="http://schemas.openxmlformats.org/officeDocument/2006/relationships" r:id="R6774ebf9c66c41d6"/>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70" hidden="0" customWidth="1"/>
    <x:col min="2" max="2" width="30" hidden="0" customWidth="1"/>
    <x:col min="3" max="3" width="30" hidden="0" customWidth="1"/>
    <x:col min="4" max="4" width="30" hidden="0" customWidth="1"/>
    <x:col min="5" max="5" width="58" hidden="0" customWidth="1"/>
    <x:col min="6" max="6" width="58" hidden="0" customWidth="1"/>
  </x:cols>
  <x:sheetData>
    <x:row r="1" ht="42" customHeight="1">
      <x:c r="A1" s="6" t="str">
        <x:v>Arquivo</x:v>
      </x:c>
      <x:c r="B1" s="6" t="str">
        <x:v>Aba</x:v>
      </x:c>
      <x:c r="C1" s="6" t="str">
        <x:v>Célula</x:v>
      </x:c>
      <x:c r="D1" s="6" t="str">
        <x:v>Problema</x:v>
      </x:c>
      <x:c r="E1" s="6" t="str">
        <x:v>Valor original</x:v>
      </x:c>
      <x:c r="F1" s="6" t="str">
        <x:v>Encaminhamento</x:v>
      </x:c>
    </x:row>
    <x:row r="2" ht="15" hidden="0" customHeight="1">
      <x:c r="A2" s="10" t="str">
        <x:v>BR-SPAPESP_CPOS-PLNCARANDIRU.xlsx</x:v>
      </x:c>
      <x:c r="B2" s="10" t="str">
        <x:v>3350 0001</x:v>
      </x:c>
      <x:c r="C2" s="10" t="str">
        <x:v>D1</x:v>
      </x:c>
      <x:c r="D2" s="10" t="str">
        <x:v>Espaço externo ou caractere invisível</x:v>
      </x:c>
      <x:c r="E2" s="10" t="str">
        <x:v>Data grafada na fotografia </x:v>
      </x:c>
      <x:c r="F2" s="10" t="str">
        <x:v>Removido apenas na cópia tabular de análise; original preservado.</x:v>
      </x:c>
    </x:row>
    <x:row r="3" ht="15" hidden="0" customHeight="1">
      <x:c r="A3" s="10" t="str">
        <x:v>BR-SPAPESP_CPOS-PLNCARANDIRU.xlsx</x:v>
      </x:c>
      <x:c r="B3" s="10" t="str">
        <x:v>3350 0001</x:v>
      </x:c>
      <x:c r="C3" s="10" t="str">
        <x:v>H1</x:v>
      </x:c>
      <x:c r="D3" s="10" t="str">
        <x:v>Espaço externo ou caractere invisível</x:v>
      </x:c>
      <x:c r="E3" s="10" t="str">
        <x:v>Autor/Responsável </x:v>
      </x:c>
      <x:c r="F3" s="10" t="str">
        <x:v>Removido apenas na cópia tabular de análise; original preservado.</x:v>
      </x:c>
    </x:row>
    <x:row r="4" ht="15" hidden="0" customHeight="1">
      <x:c r="A4" s="10" t="str">
        <x:v>BR-SPAPESP_CPOS-PLNCARANDIRU.xlsx</x:v>
      </x:c>
      <x:c r="B4" s="10" t="str">
        <x:v>3350 0001</x:v>
      </x:c>
      <x:c r="C4" s="10" t="str">
        <x:v>K1</x:v>
      </x:c>
      <x:c r="D4" s="10" t="str">
        <x:v>Espaço externo ou caractere invisível</x:v>
      </x:c>
      <x:c r="E4" s="10" t="str">
        <x:v>Código de referência </x:v>
      </x:c>
      <x:c r="F4" s="10" t="str">
        <x:v>Removido apenas na cópia tabular de análise; original preservado.</x:v>
      </x:c>
    </x:row>
    <x:row r="5" ht="15" hidden="0" customHeight="1">
      <x:c r="A5" s="10" t="str">
        <x:v>BR-SPAPESP_CPOS-PLNCARANDIRU.xlsx</x:v>
      </x:c>
      <x:c r="B5" s="10" t="str">
        <x:v>3350 0001</x:v>
      </x:c>
      <x:c r="C5" s="10" t="str">
        <x:v>N1</x:v>
      </x:c>
      <x:c r="D5" s="10" t="str">
        <x:v>Espaço externo ou caractere invisível</x:v>
      </x:c>
      <x:c r="E5" s="10" t="str">
        <x:v>Condições de acesso e reprodução </x:v>
      </x:c>
      <x:c r="F5" s="10" t="str">
        <x:v>Removido apenas na cópia tabular de análise; original preservado.</x:v>
      </x:c>
    </x:row>
    <x:row r="6" ht="15" hidden="0" customHeight="1">
      <x:c r="A6" s="10" t="str">
        <x:v>BR-SPAPESP_CPOS-PLNCARANDIRU.xlsx</x:v>
      </x:c>
      <x:c r="B6" s="10" t="str">
        <x:v>3350 0001</x:v>
      </x:c>
      <x:c r="C6" s="10" t="str">
        <x:v>T1</x:v>
      </x:c>
      <x:c r="D6" s="10" t="str">
        <x:v>Espaço externo ou caractere invisível</x:v>
      </x:c>
      <x:c r="E6" s="10" t="str">
        <x:v>Notas (transcrição e outras informações) </x:v>
      </x:c>
      <x:c r="F6" s="10" t="str">
        <x:v>Removido apenas na cópia tabular de análise; original preservado.</x:v>
      </x:c>
    </x:row>
    <x:row r="7" ht="28.799999237060547" hidden="0" customHeight="1">
      <x:c r="A7" s="10" t="str">
        <x:v>BR-SPAPESP_CPOS-PLNCARANDIRU.xlsx</x:v>
      </x:c>
      <x:c r="B7" s="10" t="str">
        <x:v>3350 0001</x:v>
      </x:c>
      <x:c r="C7" s="10" t="str">
        <x:v>J2</x:v>
      </x:c>
      <x:c r="D7" s="10" t="str">
        <x:v>Espaço externo ou caractere invisível</x:v>
      </x:c>
      <x:c r="E7" s="10" t="str">
        <x:v>Caixa: 3350
</x:v>
      </x:c>
      <x:c r="F7" s="10" t="str">
        <x:v>Removido apenas na cópia tabular de análise; original preservado.</x:v>
      </x:c>
    </x:row>
    <x:row r="8" ht="28.799999237060547" hidden="0" customHeight="1">
      <x:c r="A8" s="10" t="str">
        <x:v>BR-SPAPESP_CPOS-PLNCARANDIRU.xlsx</x:v>
      </x:c>
      <x:c r="B8" s="10" t="str">
        <x:v>3350 0001</x:v>
      </x:c>
      <x:c r="C8" s="10" t="str">
        <x:v>J3</x:v>
      </x:c>
      <x:c r="D8" s="10" t="str">
        <x:v>Espaço externo ou caractere invisível</x:v>
      </x:c>
      <x:c r="E8" s="10" t="str">
        <x:v>Caixa: 3350
</x:v>
      </x:c>
      <x:c r="F8" s="10" t="str">
        <x:v>Removido apenas na cópia tabular de análise; original preservado.</x:v>
      </x:c>
    </x:row>
    <x:row r="9" ht="28.799999237060547" hidden="0" customHeight="1">
      <x:c r="A9" s="10" t="str">
        <x:v>BR-SPAPESP_CPOS-PLNCARANDIRU.xlsx</x:v>
      </x:c>
      <x:c r="B9" s="10" t="str">
        <x:v>3350 0001</x:v>
      </x:c>
      <x:c r="C9" s="10" t="str">
        <x:v>J4</x:v>
      </x:c>
      <x:c r="D9" s="10" t="str">
        <x:v>Espaço externo ou caractere invisível</x:v>
      </x:c>
      <x:c r="E9" s="10" t="str">
        <x:v>Caixa: 3350
</x:v>
      </x:c>
      <x:c r="F9" s="10" t="str">
        <x:v>Removido apenas na cópia tabular de análise; original preservado.</x:v>
      </x:c>
    </x:row>
    <x:row r="10" ht="28.799999237060547" hidden="0" customHeight="1">
      <x:c r="A10" s="10" t="str">
        <x:v>BR-SPAPESP_CPOS-PLNCARANDIRU.xlsx</x:v>
      </x:c>
      <x:c r="B10" s="10" t="str">
        <x:v>3350 0001</x:v>
      </x:c>
      <x:c r="C10" s="10" t="str">
        <x:v>J5</x:v>
      </x:c>
      <x:c r="D10" s="10" t="str">
        <x:v>Espaço externo ou caractere invisível</x:v>
      </x:c>
      <x:c r="E10" s="10" t="str">
        <x:v>Caixa: 3350
</x:v>
      </x:c>
      <x:c r="F10" s="10" t="str">
        <x:v>Removido apenas na cópia tabular de análise; original preservado.</x:v>
      </x:c>
    </x:row>
    <x:row r="11" ht="28.799999237060547" hidden="0" customHeight="1">
      <x:c r="A11" s="10" t="str">
        <x:v>BR-SPAPESP_CPOS-PLNCARANDIRU.xlsx</x:v>
      </x:c>
      <x:c r="B11" s="10" t="str">
        <x:v>3350 0001</x:v>
      </x:c>
      <x:c r="C11" s="10" t="str">
        <x:v>J6</x:v>
      </x:c>
      <x:c r="D11" s="10" t="str">
        <x:v>Espaço externo ou caractere invisível</x:v>
      </x:c>
      <x:c r="E11" s="10" t="str">
        <x:v>Caixa: 3350
</x:v>
      </x:c>
      <x:c r="F11" s="10" t="str">
        <x:v>Removido apenas na cópia tabular de análise; original preservado.</x:v>
      </x:c>
    </x:row>
    <x:row r="12" ht="28.799999237060547" hidden="0" customHeight="1">
      <x:c r="A12" s="10" t="str">
        <x:v>BR-SPAPESP_CPOS-PLNCARANDIRU.xlsx</x:v>
      </x:c>
      <x:c r="B12" s="10" t="str">
        <x:v>3350 0001</x:v>
      </x:c>
      <x:c r="C12" s="10" t="str">
        <x:v>J7</x:v>
      </x:c>
      <x:c r="D12" s="10" t="str">
        <x:v>Espaço externo ou caractere invisível</x:v>
      </x:c>
      <x:c r="E12" s="10" t="str">
        <x:v>Caixa: 3350
</x:v>
      </x:c>
      <x:c r="F12" s="10" t="str">
        <x:v>Removido apenas na cópia tabular de análise; original preservado.</x:v>
      </x:c>
    </x:row>
    <x:row r="13" ht="28.799999237060547" hidden="0" customHeight="1">
      <x:c r="A13" s="10" t="str">
        <x:v>BR-SPAPESP_CPOS-PLNCARANDIRU.xlsx</x:v>
      </x:c>
      <x:c r="B13" s="10" t="str">
        <x:v>3350 0001</x:v>
      </x:c>
      <x:c r="C13" s="10" t="str">
        <x:v>J8</x:v>
      </x:c>
      <x:c r="D13" s="10" t="str">
        <x:v>Espaço externo ou caractere invisível</x:v>
      </x:c>
      <x:c r="E13" s="10" t="str">
        <x:v>Caixa: 3350
</x:v>
      </x:c>
      <x:c r="F13" s="10" t="str">
        <x:v>Removido apenas na cópia tabular de análise; original preservado.</x:v>
      </x:c>
    </x:row>
    <x:row r="14" ht="28.799999237060547" hidden="0" customHeight="1">
      <x:c r="A14" s="10" t="str">
        <x:v>BR-SPAPESP_CPOS-PLNCARANDIRU.xlsx</x:v>
      </x:c>
      <x:c r="B14" s="10" t="str">
        <x:v>3350 0001</x:v>
      </x:c>
      <x:c r="C14" s="10" t="str">
        <x:v>J9</x:v>
      </x:c>
      <x:c r="D14" s="10" t="str">
        <x:v>Espaço externo ou caractere invisível</x:v>
      </x:c>
      <x:c r="E14" s="10" t="str">
        <x:v>Caixa: 3350
</x:v>
      </x:c>
      <x:c r="F14" s="10" t="str">
        <x:v>Removido apenas na cópia tabular de análise; original preservado.</x:v>
      </x:c>
    </x:row>
    <x:row r="15" ht="28.799999237060547" hidden="0" customHeight="1">
      <x:c r="A15" s="10" t="str">
        <x:v>BR-SPAPESP_CPOS-PLNCARANDIRU.xlsx</x:v>
      </x:c>
      <x:c r="B15" s="10" t="str">
        <x:v>3350 0001</x:v>
      </x:c>
      <x:c r="C15" s="10" t="str">
        <x:v>J10</x:v>
      </x:c>
      <x:c r="D15" s="10" t="str">
        <x:v>Espaço externo ou caractere invisível</x:v>
      </x:c>
      <x:c r="E15" s="10" t="str">
        <x:v>Caixa: 3350
</x:v>
      </x:c>
      <x:c r="F15" s="10" t="str">
        <x:v>Removido apenas na cópia tabular de análise; original preservado.</x:v>
      </x:c>
    </x:row>
    <x:row r="16" ht="28.799999237060547" hidden="0" customHeight="1">
      <x:c r="A16" s="10" t="str">
        <x:v>BR-SPAPESP_CPOS-PLNCARANDIRU.xlsx</x:v>
      </x:c>
      <x:c r="B16" s="10" t="str">
        <x:v>3350 0001</x:v>
      </x:c>
      <x:c r="C16" s="10" t="str">
        <x:v>J11</x:v>
      </x:c>
      <x:c r="D16" s="10" t="str">
        <x:v>Espaço externo ou caractere invisível</x:v>
      </x:c>
      <x:c r="E16" s="10" t="str">
        <x:v>Caixa: 3350
</x:v>
      </x:c>
      <x:c r="F16" s="10" t="str">
        <x:v>Removido apenas na cópia tabular de análise; original preservado.</x:v>
      </x:c>
    </x:row>
    <x:row r="17" ht="28.799999237060547" hidden="0" customHeight="1">
      <x:c r="A17" s="10" t="str">
        <x:v>BR-SPAPESP_CPOS-PLNCARANDIRU.xlsx</x:v>
      </x:c>
      <x:c r="B17" s="10" t="str">
        <x:v>3350 0001</x:v>
      </x:c>
      <x:c r="C17" s="10" t="str">
        <x:v>J12</x:v>
      </x:c>
      <x:c r="D17" s="10" t="str">
        <x:v>Espaço externo ou caractere invisível</x:v>
      </x:c>
      <x:c r="E17" s="10" t="str">
        <x:v>Caixa: 3350
</x:v>
      </x:c>
      <x:c r="F17" s="10" t="str">
        <x:v>Removido apenas na cópia tabular de análise; original preservado.</x:v>
      </x:c>
    </x:row>
    <x:row r="18" ht="28.799999237060547" hidden="0" customHeight="1">
      <x:c r="A18" s="10" t="str">
        <x:v>BR-SPAPESP_CPOS-PLNCARANDIRU.xlsx</x:v>
      </x:c>
      <x:c r="B18" s="10" t="str">
        <x:v>3350 0001</x:v>
      </x:c>
      <x:c r="C18" s="10" t="str">
        <x:v>J13</x:v>
      </x:c>
      <x:c r="D18" s="10" t="str">
        <x:v>Espaço externo ou caractere invisível</x:v>
      </x:c>
      <x:c r="E18" s="10" t="str">
        <x:v>Caixa: 3350
</x:v>
      </x:c>
      <x:c r="F18" s="10" t="str">
        <x:v>Removido apenas na cópia tabular de análise; original preservado.</x:v>
      </x:c>
    </x:row>
    <x:row r="19" ht="28.799999237060547" hidden="0" customHeight="1">
      <x:c r="A19" s="10" t="str">
        <x:v>BR-SPAPESP_CPOS-PLNCARANDIRU.xlsx</x:v>
      </x:c>
      <x:c r="B19" s="10" t="str">
        <x:v>3350 0001</x:v>
      </x:c>
      <x:c r="C19" s="10" t="str">
        <x:v>J14</x:v>
      </x:c>
      <x:c r="D19" s="10" t="str">
        <x:v>Espaço externo ou caractere invisível</x:v>
      </x:c>
      <x:c r="E19" s="10" t="str">
        <x:v>Caixa: 3350
</x:v>
      </x:c>
      <x:c r="F19" s="10" t="str">
        <x:v>Removido apenas na cópia tabular de análise; original preservado.</x:v>
      </x:c>
    </x:row>
    <x:row r="20" ht="36" hidden="0" customHeight="1">
      <x:c r="A20" s="10" t="str">
        <x:v>BR-SPAPESP_CPOS-PLNCARANDIRU.xlsx</x:v>
      </x:c>
      <x:c r="B20" s="10" t="str">
        <x:v>3350 0001</x:v>
      </x:c>
      <x:c r="C20" s="10" t="str">
        <x:v>Q3</x:v>
      </x:c>
      <x:c r="D20" s="10" t="str">
        <x:v>Técnica detalhada diverge do código</x:v>
      </x:c>
      <x:c r="E20" s="10" t="str">
        <x:v>Digitalização de fotografia em preto e branco (analógica original)</x:v>
      </x:c>
      <x:c r="F20" s="10" t="str">
        <x:v>Descrição informa digitalização, código contém FOT: BR-SPAPESP_CPOS-PLNCARANDIRU_ICO-PLN-FOT-MT0_3350-0001002F. Conferir também Geral!O. Não reclassificado automaticamente.</x:v>
      </x:c>
    </x:row>
    <x:row r="21" ht="36" hidden="0" customHeight="1">
      <x:c r="A21" s="10" t="str">
        <x:v>BR-SPAPESP_CPOS-PLNCARANDIRU.xlsx</x:v>
      </x:c>
      <x:c r="B21" s="10" t="str">
        <x:v>3350 0001</x:v>
      </x:c>
      <x:c r="C21" s="10" t="str">
        <x:v>Q4</x:v>
      </x:c>
      <x:c r="D21" s="10" t="str">
        <x:v>Técnica detalhada diverge do código</x:v>
      </x:c>
      <x:c r="E21" s="10" t="str">
        <x:v>Digitalização de fotografia em preto e branco (analógica original)</x:v>
      </x:c>
      <x:c r="F21" s="10" t="str">
        <x:v>Descrição informa digitalização, código contém FOT: BR-SPAPESP_CPOS-PLNCARANDIRU_ICO-PLN-FOT-MT0_3350-0001003F. Conferir também Geral!O. Não reclassificado automaticamente.</x:v>
      </x:c>
    </x:row>
    <x:row r="22" ht="36" hidden="0" customHeight="1">
      <x:c r="A22" s="10" t="str">
        <x:v>BR-SPAPESP_CPOS-PLNCARANDIRU.xlsx</x:v>
      </x:c>
      <x:c r="B22" s="10" t="str">
        <x:v>3350 0001</x:v>
      </x:c>
      <x:c r="C22" s="10" t="str">
        <x:v>Q5</x:v>
      </x:c>
      <x:c r="D22" s="10" t="str">
        <x:v>Técnica detalhada diverge do código</x:v>
      </x:c>
      <x:c r="E22" s="10" t="str">
        <x:v>Digitalização de fotografia em preto e branco (analógica original)</x:v>
      </x:c>
      <x:c r="F22" s="10" t="str">
        <x:v>Descrição informa digitalização, código contém FOT: BR-SPAPESP_CPOS-PLNCARANDIRU_ICO-PLN-FOT-MT0_3350-0001004F. Conferir também Geral!O. Não reclassificado automaticamente.</x:v>
      </x:c>
    </x:row>
    <x:row r="23" ht="36" hidden="0" customHeight="1">
      <x:c r="A23" s="10" t="str">
        <x:v>BR-SPAPESP_CPOS-PLNCARANDIRU.xlsx</x:v>
      </x:c>
      <x:c r="B23" s="10" t="str">
        <x:v>3350 0001</x:v>
      </x:c>
      <x:c r="C23" s="10" t="str">
        <x:v>Q6</x:v>
      </x:c>
      <x:c r="D23" s="10" t="str">
        <x:v>Técnica detalhada diverge do código</x:v>
      </x:c>
      <x:c r="E23" s="10" t="str">
        <x:v>Digitalização de fotografia em preto e branco (analógica original)</x:v>
      </x:c>
      <x:c r="F23" s="10" t="str">
        <x:v>Descrição informa digitalização, código contém FOT: BR-SPAPESP_CPOS-PLNCARANDIRU_ICO-PLN-FOT-MT0_3350-0001005F. Conferir também Geral!O. Não reclassificado automaticamente.</x:v>
      </x:c>
    </x:row>
    <x:row r="24" ht="36" hidden="0" customHeight="1">
      <x:c r="A24" s="10" t="str">
        <x:v>BR-SPAPESP_CPOS-PLNCARANDIRU.xlsx</x:v>
      </x:c>
      <x:c r="B24" s="10" t="str">
        <x:v>3350 0001</x:v>
      </x:c>
      <x:c r="C24" s="10" t="str">
        <x:v>Q7</x:v>
      </x:c>
      <x:c r="D24" s="10" t="str">
        <x:v>Técnica detalhada diverge do código</x:v>
      </x:c>
      <x:c r="E24" s="10" t="str">
        <x:v>Digitalização de fotografia em preto e branco (analógica original)</x:v>
      </x:c>
      <x:c r="F24" s="10" t="str">
        <x:v>Descrição informa digitalização, código contém FOT: BR-SPAPESP_CPOS-PLNCARANDIRU_ICO-PLN-FOT-MT0_3350-0001006F. Conferir também Geral!O. Não reclassificado automaticamente.</x:v>
      </x:c>
    </x:row>
    <x:row r="25" ht="36" hidden="0" customHeight="1">
      <x:c r="A25" s="10" t="str">
        <x:v>BR-SPAPESP_CPOS-PLNCARANDIRU.xlsx</x:v>
      </x:c>
      <x:c r="B25" s="10" t="str">
        <x:v>3350 0001</x:v>
      </x:c>
      <x:c r="C25" s="10" t="str">
        <x:v>Q8</x:v>
      </x:c>
      <x:c r="D25" s="10" t="str">
        <x:v>Técnica detalhada diverge do código</x:v>
      </x:c>
      <x:c r="E25" s="10" t="str">
        <x:v>Digitalização de fotografia em preto e branco (analógica original)</x:v>
      </x:c>
      <x:c r="F25" s="10" t="str">
        <x:v>Descrição informa digitalização, código contém FOT: BR-SPAPESP_CPOS-PLNCARANDIRU_ICO-PLN-FOT-MT0_3350-0001007F. Conferir também Geral!O. Não reclassificado automaticamente.</x:v>
      </x:c>
    </x:row>
    <x:row r="26" ht="36" hidden="0" customHeight="1">
      <x:c r="A26" s="10" t="str">
        <x:v>BR-SPAPESP_CPOS-PLNCARANDIRU.xlsx</x:v>
      </x:c>
      <x:c r="B26" s="10" t="str">
        <x:v>3350 0001</x:v>
      </x:c>
      <x:c r="C26" s="10" t="str">
        <x:v>Q9</x:v>
      </x:c>
      <x:c r="D26" s="10" t="str">
        <x:v>Técnica detalhada diverge do código</x:v>
      </x:c>
      <x:c r="E26" s="10" t="str">
        <x:v>Digitalização de fotografia em preto e branco (analógica original)</x:v>
      </x:c>
      <x:c r="F26" s="10" t="str">
        <x:v>Descrição informa digitalização, código contém FOT: BR-SPAPESP_CPOS-PLNCARANDIRU_ICO-PLN-FOT-MT0_3350-0001008F. Conferir também Geral!O. Não reclassificado automaticamente.</x:v>
      </x:c>
    </x:row>
    <x:row r="27" ht="36" hidden="0" customHeight="1">
      <x:c r="A27" s="10" t="str">
        <x:v>BR-SPAPESP_CPOS-PLNCARANDIRU.xlsx</x:v>
      </x:c>
      <x:c r="B27" s="10" t="str">
        <x:v>3350 0001</x:v>
      </x:c>
      <x:c r="C27" s="10" t="str">
        <x:v>Q10</x:v>
      </x:c>
      <x:c r="D27" s="10" t="str">
        <x:v>Técnica detalhada diverge do código</x:v>
      </x:c>
      <x:c r="E27" s="10" t="str">
        <x:v>Digitalização de fotografia em preto e branco (analógica original)</x:v>
      </x:c>
      <x:c r="F27" s="10" t="str">
        <x:v>Descrição informa digitalização, código contém FOT: BR-SPAPESP_CPOS-PLNCARANDIRU_ICO-FOT-FOT-MT0_3350-0001009F. Conferir também Geral!O. Não reclassificado automaticamente.</x:v>
      </x:c>
    </x:row>
    <x:row r="28" ht="36" hidden="0" customHeight="1">
      <x:c r="A28" s="10" t="str">
        <x:v>BR-SPAPESP_CPOS-PLNCARANDIRU.xlsx</x:v>
      </x:c>
      <x:c r="B28" s="10" t="str">
        <x:v>3350 0001</x:v>
      </x:c>
      <x:c r="C28" s="10" t="str">
        <x:v>Q11</x:v>
      </x:c>
      <x:c r="D28" s="10" t="str">
        <x:v>Técnica detalhada diverge do código</x:v>
      </x:c>
      <x:c r="E28" s="10" t="str">
        <x:v>Digitalização de fotografia em preto e branco (analógica original)</x:v>
      </x:c>
      <x:c r="F28" s="10" t="str">
        <x:v>Descrição informa digitalização, código contém FOT: BR-SPAPESP_CPOS-PLNCARANDIRU_ICO-FOT-FOT-MT0_3350-0001010F. Conferir também Geral!O. Não reclassificado automaticamente.</x:v>
      </x:c>
    </x:row>
    <x:row r="29" ht="36" hidden="0" customHeight="1">
      <x:c r="A29" s="10" t="str">
        <x:v>BR-SPAPESP_CPOS-PLNCARANDIRU.xlsx</x:v>
      </x:c>
      <x:c r="B29" s="10" t="str">
        <x:v>3350 0001</x:v>
      </x:c>
      <x:c r="C29" s="10" t="str">
        <x:v>Q12</x:v>
      </x:c>
      <x:c r="D29" s="10" t="str">
        <x:v>Técnica detalhada diverge do código</x:v>
      </x:c>
      <x:c r="E29" s="10" t="str">
        <x:v>Digitalização de fotografia em preto e branco (analógica original)</x:v>
      </x:c>
      <x:c r="F29" s="10" t="str">
        <x:v>Descrição informa digitalização, código contém FOT: BR-SPAPESP_CPOS-PLNCARANDIRU_ICO-PLN-FOT-MT0_3350-0001011F. Conferir também Geral!O. Não reclassificado automaticamente.</x:v>
      </x:c>
    </x:row>
    <x:row r="30" ht="36" hidden="0" customHeight="1">
      <x:c r="A30" s="10" t="str">
        <x:v>BR-SPAPESP_CPOS-PLNCARANDIRU.xlsx</x:v>
      </x:c>
      <x:c r="B30" s="10" t="str">
        <x:v>3350 0001</x:v>
      </x:c>
      <x:c r="C30" s="10" t="str">
        <x:v>Q13</x:v>
      </x:c>
      <x:c r="D30" s="10" t="str">
        <x:v>Técnica detalhada diverge do código</x:v>
      </x:c>
      <x:c r="E30" s="10" t="str">
        <x:v>Digitalização de fotografia em preto e branco (analógica original)</x:v>
      </x:c>
      <x:c r="F30" s="10" t="str">
        <x:v>Descrição informa digitalização, código contém FOT: BR-SPAPESP_CPOS-PLNCARANDIRU_ICO-FOT-FOT-MT0_3350-0001012F. Conferir também Geral!O. Não reclassificado automaticamente.</x:v>
      </x:c>
    </x:row>
    <x:row r="31" ht="36" hidden="0" customHeight="1">
      <x:c r="A31" s="10" t="str">
        <x:v>BR-SPAPESP_CPOS-PLNCARANDIRU.xlsx</x:v>
      </x:c>
      <x:c r="B31" s="10" t="str">
        <x:v>3350 0001</x:v>
      </x:c>
      <x:c r="C31" s="10" t="str">
        <x:v>Q14</x:v>
      </x:c>
      <x:c r="D31" s="10" t="str">
        <x:v>Técnica detalhada diverge do código</x:v>
      </x:c>
      <x:c r="E31" s="10" t="str">
        <x:v>Digitalização de fotografia em preto e branco (analógica original)</x:v>
      </x:c>
      <x:c r="F31" s="10" t="str">
        <x:v>Descrição informa digitalização, código contém FOT: BR-SPAPESP_CPOS-PLNCARANDIRU_ICO-FOT-FOT-MT0_3350-0001013F. Conferir também Geral!O. Não reclassificado automaticamente.</x:v>
      </x:c>
    </x:row>
    <x:row r="32" ht="15" hidden="0" customHeight="1">
      <x:c r="A32" s="10" t="str">
        <x:v>BR-SPAPESP_DASP-PENITPRE-CSDTCARANDIRU.xlsx</x:v>
      </x:c>
      <x:c r="B32" s="10" t="str">
        <x:v>3055-005</x:v>
      </x:c>
      <x:c r="C32" s="10" t="str">
        <x:v>H1</x:v>
      </x:c>
      <x:c r="D32" s="10" t="str">
        <x:v>Espaço externo ou caractere invisível</x:v>
      </x:c>
      <x:c r="E32" s="10" t="str">
        <x:v>Autor/Responsável </x:v>
      </x:c>
      <x:c r="F32" s="10" t="str">
        <x:v>Removido apenas na cópia tabular de análise; original preservado.</x:v>
      </x:c>
    </x:row>
    <x:row r="33" ht="15" hidden="0" customHeight="1">
      <x:c r="A33" s="10" t="str">
        <x:v>BR-SPAPESP_DASP-PENITPRE-CSDTCARANDIRU.xlsx</x:v>
      </x:c>
      <x:c r="B33" s="10" t="str">
        <x:v>3055-005</x:v>
      </x:c>
      <x:c r="C33" s="10" t="str">
        <x:v>K1</x:v>
      </x:c>
      <x:c r="D33" s="10" t="str">
        <x:v>Espaço externo ou caractere invisível</x:v>
      </x:c>
      <x:c r="E33" s="10" t="str">
        <x:v>Código de referência </x:v>
      </x:c>
      <x:c r="F33" s="10" t="str">
        <x:v>Removido apenas na cópia tabular de análise; original preservado.</x:v>
      </x:c>
    </x:row>
    <x:row r="34" ht="15" hidden="0" customHeight="1">
      <x:c r="A34" s="10" t="str">
        <x:v>BR-SPAPESP_DASP-PENITPRE-CSDTCARANDIRU.xlsx</x:v>
      </x:c>
      <x:c r="B34" s="10" t="str">
        <x:v>3055-005</x:v>
      </x:c>
      <x:c r="C34" s="10" t="str">
        <x:v>N1</x:v>
      </x:c>
      <x:c r="D34" s="10" t="str">
        <x:v>Espaço externo ou caractere invisível</x:v>
      </x:c>
      <x:c r="E34" s="10" t="str">
        <x:v>Condições de acesso e reprodução </x:v>
      </x:c>
      <x:c r="F34" s="10" t="str">
        <x:v>Removido apenas na cópia tabular de análise; original preservado.</x:v>
      </x:c>
    </x:row>
    <x:row r="35" ht="15" hidden="0" customHeight="1">
      <x:c r="A35" s="10" t="str">
        <x:v>BR-SPAPESP_DASP-PENITPRE-CSDTCARANDIRU.xlsx</x:v>
      </x:c>
      <x:c r="B35" s="10" t="str">
        <x:v>3055-005</x:v>
      </x:c>
      <x:c r="C35" s="10" t="str">
        <x:v>T1</x:v>
      </x:c>
      <x:c r="D35" s="10" t="str">
        <x:v>Espaço externo ou caractere invisível</x:v>
      </x:c>
      <x:c r="E35" s="10" t="str">
        <x:v>Notas (transcrição das informações do verso) </x:v>
      </x:c>
      <x:c r="F35" s="10" t="str">
        <x:v>Removido apenas na cópia tabular de análise; original preservado.</x:v>
      </x:c>
    </x:row>
    <x:row r="36" ht="108" hidden="0" customHeight="1">
      <x:c r="A36" s="10" t="str">
        <x:v>BR-SPAPESP_DASP-PENITPRE-CSDTCARANDIRU.xlsx</x:v>
      </x:c>
      <x:c r="B36" s="10" t="str">
        <x:v>3055-005</x:v>
      </x:c>
      <x:c r="C36" s="10" t="str">
        <x:v>T43</x:v>
      </x:c>
      <x:c r="D36" s="10" t="str">
        <x:v>Espaço externo ou caractere invisível</x:v>
      </x:c>
      <x:c r="E36" s="10" t="str">
        <x:v>Estado de São Paulo – Penitenciárias e Presídios – Casa de Detenção (Carandiru)
O secretário de Segurança, Dr. Carlos Eugênio Bittencourt da Fonseca, e o comandante da Força Pública, Rubens Teixeira Branco, em flagrante registrado por ocasião da inauguração da nova Casa de Detenção de São Paulo no Carandiru.
Arq., 12/9/1956 – JL
Manuscrito: Nova Casa de Detenção Sec. de Segurança Carlos Eugenio Bittencourt da Fonseca e o comandante de Segurança Pública Rubens Teixeira Branco. Visitando os [ilég</x:v>
      </x:c>
      <x:c r="F36" s="10" t="str">
        <x:v>Removido apenas na cópia tabular de análise; original preservado.</x:v>
      </x:c>
    </x:row>
    <x:row r="37" ht="84" hidden="0" customHeight="1">
      <x:c r="A37" s="10" t="str">
        <x:v>BR-SPAPESP_DASP-PENITPRE-CSDTCARANDIRU.xlsx</x:v>
      </x:c>
      <x:c r="B37" s="10" t="str">
        <x:v>3055-005</x:v>
      </x:c>
      <x:c r="C37" s="10" t="str">
        <x:v>M56</x:v>
      </x:c>
      <x:c r="D37" s="10" t="str">
        <x:v>Espaço externo ou caractere invisível</x:v>
      </x:c>
      <x:c r="E37" s="10" t="str">
        <x:v>A fotografia em preto e branco registra o trabalho em uma oficina de alfaiataria na Casa de Detenção. Em primeiro plano, uma mesa de trabalho coberta por um tecido claro exibe um ferro de passar antigo e pesado e um recipiente. No fundo, dois detentos estão concentrados, operando máquinas de costura de pedal. O detento à esquerda veste camisa escura, e o à direita veste camisa clara (possivelmente jaleco de trabalho). A iluminação do ambiente é simples, e as máquinas e a postura dos homens indic</x:v>
      </x:c>
      <x:c r="F37" s="10" t="str">
        <x:v>Removido apenas na cópia tabular de análise; original preservado.</x:v>
      </x:c>
    </x:row>
    <x:row r="38" ht="84" hidden="0" customHeight="1">
      <x:c r="A38" s="10" t="str">
        <x:v>BR-SPAPESP_DASP-PENITPRE-CSDTCARANDIRU.xlsx</x:v>
      </x:c>
      <x:c r="B38" s="10" t="str">
        <x:v>3055-005</x:v>
      </x:c>
      <x:c r="C38" s="10" t="str">
        <x:v>M71</x:v>
      </x:c>
      <x:c r="D38" s="10" t="str">
        <x:v>Espaço externo ou caractere invisível</x:v>
      </x:c>
      <x:c r="E38" s="10" t="str">
        <x:v>A fotografia em preto e branco registra um agente de segurança em serviço de vigilância em um ponto alto da prisão. A cena é capturada de baixo, focando no agente, que está de costas, em pé em uma passarela estreita (possivelmente uma ponte ou rampa de acesso). O agente veste uniforme militar escuro, usa capacete e carrega um rifle com bandoleira nas costas, enfatizando a prontidão e o estado de alerta. O guarda está cercado por grades e corrimãos laterais. O fundo mostra a estrutura rígida dos </x:v>
      </x:c>
      <x:c r="F38" s="10" t="str">
        <x:v>Removido apenas na cópia tabular de análise; original preservado.</x:v>
      </x:c>
    </x:row>
    <x:row r="39" ht="15" hidden="0" customHeight="1">
      <x:c r="A39" s="10" t="str">
        <x:v>BR-SPAPESP_DASP-PENITPRE-CSDTCARANDIRU.xlsx</x:v>
      </x:c>
      <x:c r="B39" s="10" t="str">
        <x:v>3055-005</x:v>
      </x:c>
      <x:c r="C39" s="10" t="str">
        <x:v>F80</x:v>
      </x:c>
      <x:c r="D39" s="10" t="str">
        <x:v>Espaço externo ou caractere invisível</x:v>
      </x:c>
      <x:c r="E39" s="10" t="str">
        <x:v> Fotografia digitalizada; preto e branco; suporte em papel fotográfico</x:v>
      </x:c>
      <x:c r="F39" s="10" t="str">
        <x:v>Removido apenas na cópia tabular de análise; original preservado.</x:v>
      </x:c>
    </x:row>
    <x:row r="40" ht="15" hidden="0" customHeight="1">
      <x:c r="A40" s="10" t="str">
        <x:v>BR-SPAPESP_DASP-PENITPRE-CSDTCARANDIRU.xlsx</x:v>
      </x:c>
      <x:c r="B40" s="10" t="str">
        <x:v>3055-005</x:v>
      </x:c>
      <x:c r="C40" s="10" t="str">
        <x:v>B81</x:v>
      </x:c>
      <x:c r="D40" s="10" t="str">
        <x:v>Espaço externo ou caractere invisível</x:v>
      </x:c>
      <x:c r="E40" s="10" t="str">
        <x:v> Estaqueamento, detalhe (1952)</x:v>
      </x:c>
      <x:c r="F40" s="10" t="str">
        <x:v>Removido apenas na cópia tabular de análise; original preservado.</x:v>
      </x:c>
    </x:row>
    <x:row r="41" ht="84" hidden="0" customHeight="1">
      <x:c r="A41" s="10" t="str">
        <x:v>BR-SPAPESP_DASP-PENITPRE-CSDTCARANDIRU.xlsx</x:v>
      </x:c>
      <x:c r="B41" s="10" t="str">
        <x:v>3055-005</x:v>
      </x:c>
      <x:c r="C41" s="10" t="str">
        <x:v>T85</x:v>
      </x:c>
      <x:c r="D41" s="10" t="str">
        <x:v>Espaço externo ou caractere invisível</x:v>
      </x:c>
      <x:c r="E41" s="10" t="str">
        <x:v>Estado de São Paulo - Penitenciárias e Presídios - Casa de Detenção de São Paulo no Carandiru
Casa de Detenção: 500 detentos dormem no chão por falta de espaço e camas
Esta é a nova Casa de Detenção que está sendo construída no Carandiru. As obras prosseguem em ritmo lento, muito embora a entrega do prédio esteja marcada para 7 de outubro próximo.
DN 2ª Ed. 15/6/1959 W </x:v>
      </x:c>
      <x:c r="F41" s="10" t="str">
        <x:v>Removido apenas na cópia tabular de análise; original preservado.</x:v>
      </x:c>
    </x:row>
    <x:row r="42" ht="15" hidden="0" customHeight="1">
      <x:c r="A42" s="10" t="str">
        <x:v>BR-SPAPESP_DASP-PENITPRE-CSDTCARANDIRU.xlsx</x:v>
      </x:c>
      <x:c r="B42" s="10" t="str">
        <x:v>2767-011</x:v>
      </x:c>
      <x:c r="C42" s="10" t="str">
        <x:v>H1</x:v>
      </x:c>
      <x:c r="D42" s="10" t="str">
        <x:v>Espaço externo ou caractere invisível</x:v>
      </x:c>
      <x:c r="E42" s="10" t="str">
        <x:v>Autor/Responsável </x:v>
      </x:c>
      <x:c r="F42" s="10" t="str">
        <x:v>Removido apenas na cópia tabular de análise; original preservado.</x:v>
      </x:c>
    </x:row>
    <x:row r="43" ht="15" hidden="0" customHeight="1">
      <x:c r="A43" s="10" t="str">
        <x:v>BR-SPAPESP_DASP-PENITPRE-CSDTCARANDIRU.xlsx</x:v>
      </x:c>
      <x:c r="B43" s="10" t="str">
        <x:v>2767-011</x:v>
      </x:c>
      <x:c r="C43" s="10" t="str">
        <x:v>K1</x:v>
      </x:c>
      <x:c r="D43" s="10" t="str">
        <x:v>Espaço externo ou caractere invisível</x:v>
      </x:c>
      <x:c r="E43" s="10" t="str">
        <x:v>Código de referência </x:v>
      </x:c>
      <x:c r="F43" s="10" t="str">
        <x:v>Removido apenas na cópia tabular de análise; original preservado.</x:v>
      </x:c>
    </x:row>
    <x:row r="44" ht="15" hidden="0" customHeight="1">
      <x:c r="A44" s="10" t="str">
        <x:v>BR-SPAPESP_DASP-PENITPRE-CSDTCARANDIRU.xlsx</x:v>
      </x:c>
      <x:c r="B44" s="10" t="str">
        <x:v>2767-011</x:v>
      </x:c>
      <x:c r="C44" s="10" t="str">
        <x:v>N1</x:v>
      </x:c>
      <x:c r="D44" s="10" t="str">
        <x:v>Espaço externo ou caractere invisível</x:v>
      </x:c>
      <x:c r="E44" s="10" t="str">
        <x:v>Condições de acesso e reprodução </x:v>
      </x:c>
      <x:c r="F44" s="10" t="str">
        <x:v>Removido apenas na cópia tabular de análise; original preservado.</x:v>
      </x:c>
    </x:row>
    <x:row r="45" ht="15" hidden="0" customHeight="1">
      <x:c r="A45" s="10" t="str">
        <x:v>BR-SPAPESP_DASP-PENITPRE-CSDTCARANDIRU.xlsx</x:v>
      </x:c>
      <x:c r="B45" s="10" t="str">
        <x:v>2767-011</x:v>
      </x:c>
      <x:c r="C45" s="10" t="str">
        <x:v>T1</x:v>
      </x:c>
      <x:c r="D45" s="10" t="str">
        <x:v>Espaço externo ou caractere invisível</x:v>
      </x:c>
      <x:c r="E45" s="10" t="str">
        <x:v>Notas (transcrição das informações do verso) </x:v>
      </x:c>
      <x:c r="F45" s="10" t="str">
        <x:v>Removido apenas na cópia tabular de análise; original preservado.</x:v>
      </x:c>
    </x:row>
    <x:row r="46" ht="15" hidden="0" customHeight="1">
      <x:c r="A46" s="10" t="str">
        <x:v>BR-SPAPESP_DASP-PENITPRE-CSDTCARANDIRU.xlsx</x:v>
      </x:c>
      <x:c r="B46" s="10" t="str">
        <x:v>2776-012</x:v>
      </x:c>
      <x:c r="C46" s="10" t="str">
        <x:v>H1</x:v>
      </x:c>
      <x:c r="D46" s="10" t="str">
        <x:v>Espaço externo ou caractere invisível</x:v>
      </x:c>
      <x:c r="E46" s="10" t="str">
        <x:v>Autor/Responsável </x:v>
      </x:c>
      <x:c r="F46" s="10" t="str">
        <x:v>Removido apenas na cópia tabular de análise; original preservado.</x:v>
      </x:c>
    </x:row>
    <x:row r="47" ht="15" hidden="0" customHeight="1">
      <x:c r="A47" s="10" t="str">
        <x:v>BR-SPAPESP_DASP-PENITPRE-CSDTCARANDIRU.xlsx</x:v>
      </x:c>
      <x:c r="B47" s="10" t="str">
        <x:v>2776-012</x:v>
      </x:c>
      <x:c r="C47" s="10" t="str">
        <x:v>K1</x:v>
      </x:c>
      <x:c r="D47" s="10" t="str">
        <x:v>Espaço externo ou caractere invisível</x:v>
      </x:c>
      <x:c r="E47" s="10" t="str">
        <x:v>Código de referência </x:v>
      </x:c>
      <x:c r="F47" s="10" t="str">
        <x:v>Removido apenas na cópia tabular de análise; original preservado.</x:v>
      </x:c>
    </x:row>
    <x:row r="48" ht="15" hidden="0" customHeight="1">
      <x:c r="A48" s="10" t="str">
        <x:v>BR-SPAPESP_DASP-PENITPRE-CSDTCARANDIRU.xlsx</x:v>
      </x:c>
      <x:c r="B48" s="10" t="str">
        <x:v>2776-012</x:v>
      </x:c>
      <x:c r="C48" s="10" t="str">
        <x:v>N1</x:v>
      </x:c>
      <x:c r="D48" s="10" t="str">
        <x:v>Espaço externo ou caractere invisível</x:v>
      </x:c>
      <x:c r="E48" s="10" t="str">
        <x:v>Condições de acesso e reprodução </x:v>
      </x:c>
      <x:c r="F48" s="10" t="str">
        <x:v>Removido apenas na cópia tabular de análise; original preservado.</x:v>
      </x:c>
    </x:row>
    <x:row r="49" ht="15" hidden="0" customHeight="1">
      <x:c r="A49" s="10" t="str">
        <x:v>BR-SPAPESP_DASP-PENITPRE-CSDTCARANDIRU.xlsx</x:v>
      </x:c>
      <x:c r="B49" s="10" t="str">
        <x:v>2776-012</x:v>
      </x:c>
      <x:c r="C49" s="10" t="str">
        <x:v>T1</x:v>
      </x:c>
      <x:c r="D49" s="10" t="str">
        <x:v>Espaço externo ou caractere invisível</x:v>
      </x:c>
      <x:c r="E49" s="10" t="str">
        <x:v>Notas (transcrição das informações do verso) </x:v>
      </x:c>
      <x:c r="F49" s="10" t="str">
        <x:v>Removido apenas na cópia tabular de análise; original preservado.</x:v>
      </x:c>
    </x:row>
    <x:row r="50" ht="15" hidden="0" customHeight="1">
      <x:c r="A50" s="10" t="str">
        <x:v>BR-SPAPESP_DASP-PENITPRE-CSDTCARANDIRU.xlsx</x:v>
      </x:c>
      <x:c r="B50" s="10" t="str">
        <x:v>3055-003</x:v>
      </x:c>
      <x:c r="C50" s="10" t="str">
        <x:v>H1</x:v>
      </x:c>
      <x:c r="D50" s="10" t="str">
        <x:v>Espaço externo ou caractere invisível</x:v>
      </x:c>
      <x:c r="E50" s="10" t="str">
        <x:v>Autor/Responsável </x:v>
      </x:c>
      <x:c r="F50" s="10" t="str">
        <x:v>Removido apenas na cópia tabular de análise; original preservado.</x:v>
      </x:c>
    </x:row>
    <x:row r="51" ht="15" hidden="0" customHeight="1">
      <x:c r="A51" s="10" t="str">
        <x:v>BR-SPAPESP_DASP-PENITPRE-CSDTCARANDIRU.xlsx</x:v>
      </x:c>
      <x:c r="B51" s="10" t="str">
        <x:v>3055-003</x:v>
      </x:c>
      <x:c r="C51" s="10" t="str">
        <x:v>K1</x:v>
      </x:c>
      <x:c r="D51" s="10" t="str">
        <x:v>Espaço externo ou caractere invisível</x:v>
      </x:c>
      <x:c r="E51" s="10" t="str">
        <x:v>Código de referência </x:v>
      </x:c>
      <x:c r="F51" s="10" t="str">
        <x:v>Removido apenas na cópia tabular de análise; original preservado.</x:v>
      </x:c>
    </x:row>
    <x:row r="52" ht="15" hidden="0" customHeight="1">
      <x:c r="A52" s="10" t="str">
        <x:v>BR-SPAPESP_DASP-PENITPRE-CSDTCARANDIRU.xlsx</x:v>
      </x:c>
      <x:c r="B52" s="10" t="str">
        <x:v>3055-003</x:v>
      </x:c>
      <x:c r="C52" s="10" t="str">
        <x:v>N1</x:v>
      </x:c>
      <x:c r="D52" s="10" t="str">
        <x:v>Espaço externo ou caractere invisível</x:v>
      </x:c>
      <x:c r="E52" s="10" t="str">
        <x:v>Condições de acesso e reprodução </x:v>
      </x:c>
      <x:c r="F52" s="10" t="str">
        <x:v>Removido apenas na cópia tabular de análise; original preservado.</x:v>
      </x:c>
    </x:row>
    <x:row r="53" ht="15" hidden="0" customHeight="1">
      <x:c r="A53" s="10" t="str">
        <x:v>BR-SPAPESP_DASP-PENITPRE-CSDTCARANDIRU.xlsx</x:v>
      </x:c>
      <x:c r="B53" s="10" t="str">
        <x:v>3055-003</x:v>
      </x:c>
      <x:c r="C53" s="10" t="str">
        <x:v>T1</x:v>
      </x:c>
      <x:c r="D53" s="10" t="str">
        <x:v>Espaço externo ou caractere invisível</x:v>
      </x:c>
      <x:c r="E53" s="10" t="str">
        <x:v>Notas (transcrição das informações do verso) </x:v>
      </x:c>
      <x:c r="F53" s="10" t="str">
        <x:v>Removido apenas na cópia tabular de análise; original preservado.</x:v>
      </x:c>
    </x:row>
    <x:row r="54" ht="24" hidden="0" customHeight="1">
      <x:c r="A54" s="10" t="str">
        <x:v>BR-SPAPESP_DASP-PENITPRE-CSDTCARANDIRU.xlsx</x:v>
      </x:c>
      <x:c r="B54" s="10" t="str">
        <x:v>Classificação</x:v>
      </x:c>
      <x:c r="C54" s="10" t="str">
        <x:v>F3</x:v>
      </x:c>
      <x:c r="D54" s="10" t="str">
        <x:v>Espaço externo ou caractere invisível</x:v>
      </x:c>
      <x:c r="E54" s="10" t="str">
        <x:v>Penitenciárias E Presídios - 
Casa de Detenção de São Paulo no Carandiru </x:v>
      </x:c>
      <x:c r="F54" s="10" t="str">
        <x:v>Removido apenas na cópia tabular de análise; original preservado.</x:v>
      </x:c>
    </x:row>
    <x:row r="55" ht="15" hidden="0" customHeight="1">
      <x:c r="A55" s="10" t="str">
        <x:v>BR-SPCARANDIRU_ARCOENGE-DEMOLICAO-CSDTCARANDIRU.xlsx</x:v>
      </x:c>
      <x:c r="B55" s="10" t="str">
        <x:v>0001</x:v>
      </x:c>
      <x:c r="C55" s="10" t="str">
        <x:v>H1</x:v>
      </x:c>
      <x:c r="D55" s="10" t="str">
        <x:v>Espaço externo ou caractere invisível</x:v>
      </x:c>
      <x:c r="E55" s="10" t="str">
        <x:v>Autor/Responsável </x:v>
      </x:c>
      <x:c r="F55" s="10" t="str">
        <x:v>Removido apenas na cópia tabular de análise; original preservado.</x:v>
      </x:c>
    </x:row>
    <x:row r="56" ht="15" hidden="0" customHeight="1">
      <x:c r="A56" s="10" t="str">
        <x:v>BR-SPCARANDIRU_ARCOENGE-DEMOLICAO-CSDTCARANDIRU.xlsx</x:v>
      </x:c>
      <x:c r="B56" s="10" t="str">
        <x:v>0001</x:v>
      </x:c>
      <x:c r="C56" s="10" t="str">
        <x:v>K1</x:v>
      </x:c>
      <x:c r="D56" s="10" t="str">
        <x:v>Espaço externo ou caractere invisível</x:v>
      </x:c>
      <x:c r="E56" s="10" t="str">
        <x:v>Código de referência </x:v>
      </x:c>
      <x:c r="F56" s="10" t="str">
        <x:v>Removido apenas na cópia tabular de análise; original preservado.</x:v>
      </x:c>
    </x:row>
    <x:row r="57" ht="15" hidden="0" customHeight="1">
      <x:c r="A57" s="10" t="str">
        <x:v>BR-SPCARANDIRU_ARCOENGE-DEMOLICAO-CSDTCARANDIRU.xlsx</x:v>
      </x:c>
      <x:c r="B57" s="10" t="str">
        <x:v>0001</x:v>
      </x:c>
      <x:c r="C57" s="10" t="str">
        <x:v>N1</x:v>
      </x:c>
      <x:c r="D57" s="10" t="str">
        <x:v>Espaço externo ou caractere invisível</x:v>
      </x:c>
      <x:c r="E57" s="10" t="str">
        <x:v>Condições de acesso e reprodução </x:v>
      </x:c>
      <x:c r="F57" s="10" t="str">
        <x:v>Removido apenas na cópia tabular de análise; original preservado.</x:v>
      </x:c>
    </x:row>
    <x:row r="58" ht="60" hidden="0" customHeight="1">
      <x:c r="A58" s="10" t="str">
        <x:v>BR-SPCARANDIRU_ARCOENGE-DEMOLICAO-CSDTCARANDIRU.xlsx</x:v>
      </x:c>
      <x:c r="B58" s="10" t="str">
        <x:v>0001</x:v>
      </x:c>
      <x:c r="C58" s="10" t="str">
        <x:v>L2</x:v>
      </x:c>
      <x:c r="D58" s="10" t="str">
        <x:v>Espaço externo ou caractere invisível</x:v>
      </x:c>
      <x:c r="E58"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x:v>
      </x:c>
      <x:c r="F58" s="10" t="str">
        <x:v>Removido apenas na cópia tabular de análise; original preservado.</x:v>
      </x:c>
    </x:row>
    <x:row r="59" ht="15" hidden="0" customHeight="1">
      <x:c r="A59" s="10" t="str">
        <x:v>BR-SPCARANDIRU_ARCOENGE-DEMOLICAO-CSDTCARANDIRU.xlsx</x:v>
      </x:c>
      <x:c r="B59" s="10" t="str">
        <x:v>0001</x:v>
      </x:c>
      <x:c r="C59" s="10" t="str">
        <x:v>B33</x:v>
      </x:c>
      <x:c r="D59" s="10" t="str">
        <x:v>Espaço externo ou caractere invisível</x:v>
      </x:c>
      <x:c r="E59" s="10" t="str">
        <x:v>Relatório de correspondência de nomes </x:v>
      </x:c>
      <x:c r="F59" s="10" t="str">
        <x:v>Removido apenas na cópia tabular de análise; original preservado.</x:v>
      </x:c>
    </x:row>
    <x:row r="60" ht="15" hidden="0" customHeight="1">
      <x:c r="A60" s="10" t="str">
        <x:v>BR-SPCARANDIRU_ARCOENGE-DEMOLICAO-CSDTCARANDIRU.xlsx</x:v>
      </x:c>
      <x:c r="B60" s="10" t="str">
        <x:v>0002</x:v>
      </x:c>
      <x:c r="C60" s="10" t="str">
        <x:v>H1</x:v>
      </x:c>
      <x:c r="D60" s="10" t="str">
        <x:v>Espaço externo ou caractere invisível</x:v>
      </x:c>
      <x:c r="E60" s="10" t="str">
        <x:v>Autor/Responsável </x:v>
      </x:c>
      <x:c r="F60" s="10" t="str">
        <x:v>Removido apenas na cópia tabular de análise; original preservado.</x:v>
      </x:c>
    </x:row>
    <x:row r="61" ht="15" hidden="0" customHeight="1">
      <x:c r="A61" s="10" t="str">
        <x:v>BR-SPCARANDIRU_ARCOENGE-DEMOLICAO-CSDTCARANDIRU.xlsx</x:v>
      </x:c>
      <x:c r="B61" s="10" t="str">
        <x:v>0002</x:v>
      </x:c>
      <x:c r="C61" s="10" t="str">
        <x:v>K1</x:v>
      </x:c>
      <x:c r="D61" s="10" t="str">
        <x:v>Espaço externo ou caractere invisível</x:v>
      </x:c>
      <x:c r="E61" s="10" t="str">
        <x:v>Código de referência </x:v>
      </x:c>
      <x:c r="F61" s="10" t="str">
        <x:v>Removido apenas na cópia tabular de análise; original preservado.</x:v>
      </x:c>
    </x:row>
    <x:row r="62" ht="15" hidden="0" customHeight="1">
      <x:c r="A62" s="10" t="str">
        <x:v>BR-SPCARANDIRU_ARCOENGE-DEMOLICAO-CSDTCARANDIRU.xlsx</x:v>
      </x:c>
      <x:c r="B62" s="10" t="str">
        <x:v>0002</x:v>
      </x:c>
      <x:c r="C62" s="10" t="str">
        <x:v>N1</x:v>
      </x:c>
      <x:c r="D62" s="10" t="str">
        <x:v>Espaço externo ou caractere invisível</x:v>
      </x:c>
      <x:c r="E62" s="10" t="str">
        <x:v>Condições de acesso e reprodução </x:v>
      </x:c>
      <x:c r="F62" s="10" t="str">
        <x:v>Removido apenas na cópia tabular de análise; original preservado.</x:v>
      </x:c>
    </x:row>
    <x:row r="63" ht="15" hidden="0" customHeight="1">
      <x:c r="A63" s="10" t="str">
        <x:v>BR-SPCARANDIRU_ARCOENGE-DEMOLICAO-CSDTCARANDIRU.xlsx</x:v>
      </x:c>
      <x:c r="B63" s="10" t="str">
        <x:v>0002</x:v>
      </x:c>
      <x:c r="C63" s="10" t="str">
        <x:v>B27</x:v>
      </x:c>
      <x:c r="D63" s="10" t="str">
        <x:v>Espaço externo ou caractere invisível</x:v>
      </x:c>
      <x:c r="E63" s="10" t="str">
        <x:v>Relatório de correspondência de nomes </x:v>
      </x:c>
      <x:c r="F63" s="10" t="str">
        <x:v>Removido apenas na cópia tabular de análise; original preservado.</x:v>
      </x:c>
    </x:row>
    <x:row r="64" ht="15" hidden="0" customHeight="1">
      <x:c r="A64" s="10" t="str">
        <x:v>BR-SPCARANDIRU_ARCOENGE-DEMOLICAO-CSDTCARANDIRU.xlsx</x:v>
      </x:c>
      <x:c r="B64" s="10" t="str">
        <x:v>0003</x:v>
      </x:c>
      <x:c r="C64" s="10" t="str">
        <x:v>H1</x:v>
      </x:c>
      <x:c r="D64" s="10" t="str">
        <x:v>Espaço externo ou caractere invisível</x:v>
      </x:c>
      <x:c r="E64" s="10" t="str">
        <x:v>Autor/Responsável </x:v>
      </x:c>
      <x:c r="F64" s="10" t="str">
        <x:v>Removido apenas na cópia tabular de análise; original preservado.</x:v>
      </x:c>
    </x:row>
    <x:row r="65" ht="15" hidden="0" customHeight="1">
      <x:c r="A65" s="10" t="str">
        <x:v>BR-SPCARANDIRU_ARCOENGE-DEMOLICAO-CSDTCARANDIRU.xlsx</x:v>
      </x:c>
      <x:c r="B65" s="10" t="str">
        <x:v>0003</x:v>
      </x:c>
      <x:c r="C65" s="10" t="str">
        <x:v>K1</x:v>
      </x:c>
      <x:c r="D65" s="10" t="str">
        <x:v>Espaço externo ou caractere invisível</x:v>
      </x:c>
      <x:c r="E65" s="10" t="str">
        <x:v>Código de referência </x:v>
      </x:c>
      <x:c r="F65" s="10" t="str">
        <x:v>Removido apenas na cópia tabular de análise; original preservado.</x:v>
      </x:c>
    </x:row>
    <x:row r="66" ht="15" hidden="0" customHeight="1">
      <x:c r="A66" s="10" t="str">
        <x:v>BR-SPCARANDIRU_ARCOENGE-DEMOLICAO-CSDTCARANDIRU.xlsx</x:v>
      </x:c>
      <x:c r="B66" s="10" t="str">
        <x:v>0003</x:v>
      </x:c>
      <x:c r="C66" s="10" t="str">
        <x:v>N1</x:v>
      </x:c>
      <x:c r="D66" s="10" t="str">
        <x:v>Espaço externo ou caractere invisível</x:v>
      </x:c>
      <x:c r="E66" s="10" t="str">
        <x:v>Condições de acesso e reprodução </x:v>
      </x:c>
      <x:c r="F66" s="10" t="str">
        <x:v>Removido apenas na cópia tabular de análise; original preservado.</x:v>
      </x:c>
    </x:row>
    <x:row r="67" ht="15" hidden="0" customHeight="1">
      <x:c r="A67" s="10" t="str">
        <x:v>BR-SPCARANDIRU_ARCOENGE-DEMOLICAO-CSDTCARANDIRU.xlsx</x:v>
      </x:c>
      <x:c r="B67" s="10" t="str">
        <x:v>0003</x:v>
      </x:c>
      <x:c r="C67" s="10" t="str">
        <x:v>B27</x:v>
      </x:c>
      <x:c r="D67" s="10" t="str">
        <x:v>Espaço externo ou caractere invisível</x:v>
      </x:c>
      <x:c r="E67" s="10" t="str">
        <x:v>Relatório de correspondência de nomes </x:v>
      </x:c>
      <x:c r="F67" s="10" t="str">
        <x:v>Removido apenas na cópia tabular de análise; original preservado.</x:v>
      </x:c>
    </x:row>
    <x:row r="68" ht="15" hidden="0" customHeight="1">
      <x:c r="A68" s="10" t="str">
        <x:v>BR-SPCARANDIRU_ARCOENGE-DEMOLICAO-CSDTCARANDIRU.xlsx</x:v>
      </x:c>
      <x:c r="B68" s="10" t="str">
        <x:v>0004</x:v>
      </x:c>
      <x:c r="C68" s="10" t="str">
        <x:v>H1</x:v>
      </x:c>
      <x:c r="D68" s="10" t="str">
        <x:v>Espaço externo ou caractere invisível</x:v>
      </x:c>
      <x:c r="E68" s="10" t="str">
        <x:v>Autor/Responsável </x:v>
      </x:c>
      <x:c r="F68" s="10" t="str">
        <x:v>Removido apenas na cópia tabular de análise; original preservado.</x:v>
      </x:c>
    </x:row>
    <x:row r="69" ht="15" hidden="0" customHeight="1">
      <x:c r="A69" s="10" t="str">
        <x:v>BR-SPCARANDIRU_ARCOENGE-DEMOLICAO-CSDTCARANDIRU.xlsx</x:v>
      </x:c>
      <x:c r="B69" s="10" t="str">
        <x:v>0004</x:v>
      </x:c>
      <x:c r="C69" s="10" t="str">
        <x:v>K1</x:v>
      </x:c>
      <x:c r="D69" s="10" t="str">
        <x:v>Espaço externo ou caractere invisível</x:v>
      </x:c>
      <x:c r="E69" s="10" t="str">
        <x:v>Código de referência </x:v>
      </x:c>
      <x:c r="F69" s="10" t="str">
        <x:v>Removido apenas na cópia tabular de análise; original preservado.</x:v>
      </x:c>
    </x:row>
    <x:row r="70" ht="15" hidden="0" customHeight="1">
      <x:c r="A70" s="10" t="str">
        <x:v>BR-SPCARANDIRU_ARCOENGE-DEMOLICAO-CSDTCARANDIRU.xlsx</x:v>
      </x:c>
      <x:c r="B70" s="10" t="str">
        <x:v>0004</x:v>
      </x:c>
      <x:c r="C70" s="10" t="str">
        <x:v>N1</x:v>
      </x:c>
      <x:c r="D70" s="10" t="str">
        <x:v>Espaço externo ou caractere invisível</x:v>
      </x:c>
      <x:c r="E70" s="10" t="str">
        <x:v>Condições de acesso e reprodução </x:v>
      </x:c>
      <x:c r="F70" s="10" t="str">
        <x:v>Removido apenas na cópia tabular de análise; original preservado.</x:v>
      </x:c>
    </x:row>
    <x:row r="71" ht="15" hidden="0" customHeight="1">
      <x:c r="A71" s="10" t="str">
        <x:v>BR-SPCARANDIRU_ARCOENGE-DEMOLICAO-CSDTCARANDIRU.xlsx</x:v>
      </x:c>
      <x:c r="B71" s="10" t="str">
        <x:v>0004</x:v>
      </x:c>
      <x:c r="C71" s="10" t="str">
        <x:v>B26</x:v>
      </x:c>
      <x:c r="D71" s="10" t="str">
        <x:v>Espaço externo ou caractere invisível</x:v>
      </x:c>
      <x:c r="E71" s="10" t="str">
        <x:v>Relatório de correspondência de nomes </x:v>
      </x:c>
      <x:c r="F71" s="10" t="str">
        <x:v>Removido apenas na cópia tabular de análise; original preservado.</x:v>
      </x:c>
    </x:row>
    <x:row r="72" ht="15" hidden="0" customHeight="1">
      <x:c r="A72" s="10" t="str">
        <x:v>BR-SPCARANDIRU_ARCOENGE-DEMOLICAO-CSDTCARANDIRU.xlsx</x:v>
      </x:c>
      <x:c r="B72" s="10" t="str">
        <x:v>0005</x:v>
      </x:c>
      <x:c r="C72" s="10" t="str">
        <x:v>H1</x:v>
      </x:c>
      <x:c r="D72" s="10" t="str">
        <x:v>Espaço externo ou caractere invisível</x:v>
      </x:c>
      <x:c r="E72" s="10" t="str">
        <x:v>Autor/Responsável </x:v>
      </x:c>
      <x:c r="F72" s="10" t="str">
        <x:v>Removido apenas na cópia tabular de análise; original preservado.</x:v>
      </x:c>
    </x:row>
    <x:row r="73" ht="15" hidden="0" customHeight="1">
      <x:c r="A73" s="10" t="str">
        <x:v>BR-SPCARANDIRU_ARCOENGE-DEMOLICAO-CSDTCARANDIRU.xlsx</x:v>
      </x:c>
      <x:c r="B73" s="10" t="str">
        <x:v>0005</x:v>
      </x:c>
      <x:c r="C73" s="10" t="str">
        <x:v>K1</x:v>
      </x:c>
      <x:c r="D73" s="10" t="str">
        <x:v>Espaço externo ou caractere invisível</x:v>
      </x:c>
      <x:c r="E73" s="10" t="str">
        <x:v>Código de referência </x:v>
      </x:c>
      <x:c r="F73" s="10" t="str">
        <x:v>Removido apenas na cópia tabular de análise; original preservado.</x:v>
      </x:c>
    </x:row>
    <x:row r="74" ht="15" hidden="0" customHeight="1">
      <x:c r="A74" s="10" t="str">
        <x:v>BR-SPCARANDIRU_ARCOENGE-DEMOLICAO-CSDTCARANDIRU.xlsx</x:v>
      </x:c>
      <x:c r="B74" s="10" t="str">
        <x:v>0005</x:v>
      </x:c>
      <x:c r="C74" s="10" t="str">
        <x:v>N1</x:v>
      </x:c>
      <x:c r="D74" s="10" t="str">
        <x:v>Espaço externo ou caractere invisível</x:v>
      </x:c>
      <x:c r="E74" s="10" t="str">
        <x:v>Condições de acesso e reprodução </x:v>
      </x:c>
      <x:c r="F74" s="10" t="str">
        <x:v>Removido apenas na cópia tabular de análise; original preservado.</x:v>
      </x:c>
    </x:row>
    <x:row r="75" ht="15" hidden="0" customHeight="1">
      <x:c r="A75" s="10" t="str">
        <x:v>BR-SPCARANDIRU_ARCOENGE-DEMOLICAO-CSDTCARANDIRU.xlsx</x:v>
      </x:c>
      <x:c r="B75" s="10" t="str">
        <x:v>0005</x:v>
      </x:c>
      <x:c r="C75" s="10" t="str">
        <x:v>B3</x:v>
      </x:c>
      <x:c r="D75" s="10" t="str">
        <x:v>Espaço externo ou caractere invisível</x:v>
      </x:c>
      <x:c r="E75" s="10" t="str">
        <x:v>Relatório de correspondência de nomes </x:v>
      </x:c>
      <x:c r="F75" s="10" t="str">
        <x:v>Removido apenas na cópia tabular de análise; original preservado.</x:v>
      </x:c>
    </x:row>
    <x:row r="76" ht="15" hidden="0" customHeight="1">
      <x:c r="A76" s="10" t="str">
        <x:v>BR-SPCARANDIRU_ARCOENGE-DEMOLICAO-CSDTCARANDIRU.xlsx</x:v>
      </x:c>
      <x:c r="B76" s="10" t="str">
        <x:v>Classificação</x:v>
      </x:c>
      <x:c r="C76" s="10" t="str">
        <x:v>J5</x:v>
      </x:c>
      <x:c r="D76" s="10" t="str">
        <x:v>Espaço externo ou caractere invisível</x:v>
      </x:c>
      <x:c r="E76" s="10" t="str">
        <x:v>Matriz bruta (produção automática) </x:v>
      </x:c>
      <x:c r="F76" s="10" t="str">
        <x:v>Removido apenas na cópia tabular de análise; original preservado.</x:v>
      </x:c>
    </x:row>
    <x:row r="77" ht="15" hidden="0" customHeight="1">
      <x:c r="A77" s="10" t="str">
        <x:v>BR-SPCARANDIRU_ARCOENGE-MASSACRE-CSDTCARANDIRU.xlsx</x:v>
      </x:c>
      <x:c r="B77" s="10" t="str">
        <x:v>Massacre</x:v>
      </x:c>
      <x:c r="C77" s="10" t="str">
        <x:v>D1</x:v>
      </x:c>
      <x:c r="D77" s="10" t="str">
        <x:v>Espaço externo ou caractere invisível</x:v>
      </x:c>
      <x:c r="E77" s="10" t="str">
        <x:v>Data </x:v>
      </x:c>
      <x:c r="F77" s="10" t="str">
        <x:v>Removido apenas na cópia tabular de análise; original preservado.</x:v>
      </x:c>
    </x:row>
    <x:row r="78" ht="15" hidden="0" customHeight="1">
      <x:c r="A78" s="10" t="str">
        <x:v>BR-SPCARANDIRU_ARCOENGE-MASSACRE-CSDTCARANDIRU.xlsx</x:v>
      </x:c>
      <x:c r="B78" s="10" t="str">
        <x:v>Massacre</x:v>
      </x:c>
      <x:c r="C78" s="10" t="str">
        <x:v>H1</x:v>
      </x:c>
      <x:c r="D78" s="10" t="str">
        <x:v>Espaço externo ou caractere invisível</x:v>
      </x:c>
      <x:c r="E78" s="10" t="str">
        <x:v>Autor/Responsável </x:v>
      </x:c>
      <x:c r="F78" s="10" t="str">
        <x:v>Removido apenas na cópia tabular de análise; original preservado.</x:v>
      </x:c>
    </x:row>
    <x:row r="79" ht="15" hidden="0" customHeight="1">
      <x:c r="A79" s="10" t="str">
        <x:v>BR-SPCARANDIRU_ARCOENGE-MASSACRE-CSDTCARANDIRU.xlsx</x:v>
      </x:c>
      <x:c r="B79" s="10" t="str">
        <x:v>Massacre</x:v>
      </x:c>
      <x:c r="C79" s="10" t="str">
        <x:v>K1</x:v>
      </x:c>
      <x:c r="D79" s="10" t="str">
        <x:v>Espaço externo ou caractere invisível</x:v>
      </x:c>
      <x:c r="E79" s="10" t="str">
        <x:v>Código de referência </x:v>
      </x:c>
      <x:c r="F79" s="10" t="str">
        <x:v>Removido apenas na cópia tabular de análise; original preservado.</x:v>
      </x:c>
    </x:row>
    <x:row r="80" ht="15" hidden="0" customHeight="1">
      <x:c r="A80" s="10" t="str">
        <x:v>BR-SPCARANDIRU_ARCOENGE-MASSACRE-CSDTCARANDIRU.xlsx</x:v>
      </x:c>
      <x:c r="B80" s="10" t="str">
        <x:v>Massacre</x:v>
      </x:c>
      <x:c r="C80" s="10" t="str">
        <x:v>N1</x:v>
      </x:c>
      <x:c r="D80" s="10" t="str">
        <x:v>Espaço externo ou caractere invisível</x:v>
      </x:c>
      <x:c r="E80" s="10" t="str">
        <x:v>Condições de acesso e reprodução </x:v>
      </x:c>
      <x:c r="F80" s="10" t="str">
        <x:v>Removido apenas na cópia tabular de análise; original preservado.</x:v>
      </x:c>
    </x:row>
    <x:row r="81" ht="60" hidden="0" customHeight="1">
      <x:c r="A81" s="10" t="str">
        <x:v>BR-SPCARANDIRU_ARCOENGE-MASSACRE-CSDTCARANDIRU.xlsx</x:v>
      </x:c>
      <x:c r="B81" s="10" t="str">
        <x:v>Massacre</x:v>
      </x:c>
      <x:c r="C81" s="10" t="str">
        <x:v>L2</x:v>
      </x:c>
      <x:c r="D81" s="10" t="str">
        <x:v>Espaço externo ou caractere invisível</x:v>
      </x:c>
      <x:c r="E81" s="10" t="str">
        <x:v>A Casa de Detenção de São Paulo no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x:v>
      </x:c>
      <x:c r="F81" s="10" t="str">
        <x:v>Removido apenas na cópia tabular de análise; original preservado.</x:v>
      </x:c>
    </x:row>
    <x:row r="82" ht="60" hidden="0" customHeight="1">
      <x:c r="A82" s="10" t="str">
        <x:v>BR-SPCARANDIRU_ARCOENGE-MASSACRE-CSDTCARANDIRU.xlsx</x:v>
      </x:c>
      <x:c r="B82" s="10" t="str">
        <x:v>Massacre</x:v>
      </x:c>
      <x:c r="C82" s="10" t="str">
        <x:v>L3</x:v>
      </x:c>
      <x:c r="D82" s="10" t="str">
        <x:v>Espaço externo ou caractere invisível</x:v>
      </x:c>
      <x:c r="E82" s="10" t="str">
        <x:v>A Casa de Detenção de São Paulo no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x:v>
      </x:c>
      <x:c r="F82" s="10" t="str">
        <x:v>Removido apenas na cópia tabular de análise; original preservado.</x:v>
      </x:c>
    </x:row>
    <x:row r="83" ht="28.799999237060547" hidden="0" customHeight="1">
      <x:c r="A83" s="10" t="str">
        <x:v>BR-SPCARANDIRU_ARCOENGE-MASSACRE-CSDTCARANDIRU.xlsx</x:v>
      </x:c>
      <x:c r="B83" s="10" t="str">
        <x:v>Classificação</x:v>
      </x:c>
      <x:c r="C83" s="10" t="str">
        <x:v>J4</x:v>
      </x:c>
      <x:c r="D83" s="10" t="str">
        <x:v>Espaço externo ou caractere invisível</x:v>
      </x:c>
      <x:c r="E83" s="10" t="str">
        <x:v>DT1
</x:v>
      </x:c>
      <x:c r="F83" s="10" t="str">
        <x:v>Removido apenas na cópia tabular de análise; original preservado.</x:v>
      </x:c>
    </x:row>
    <x:row r="84" ht="15" hidden="0" customHeight="1">
      <x:c r="A84" s="10" t="str">
        <x:v>BR-SPCARANDIRU_ARCOENGE-NOTDEMOLI-CSDTCARANDIRU.xlsx</x:v>
      </x:c>
      <x:c r="B84" s="10" t="str">
        <x:v>Demolicao</x:v>
      </x:c>
      <x:c r="C84" s="10" t="str">
        <x:v>H1</x:v>
      </x:c>
      <x:c r="D84" s="10" t="str">
        <x:v>Espaço externo ou caractere invisível</x:v>
      </x:c>
      <x:c r="E84" s="10" t="str">
        <x:v>Autor/Responsável </x:v>
      </x:c>
      <x:c r="F84" s="10" t="str">
        <x:v>Removido apenas na cópia tabular de análise; original preservado.</x:v>
      </x:c>
    </x:row>
    <x:row r="85" ht="15" hidden="0" customHeight="1">
      <x:c r="A85" s="10" t="str">
        <x:v>BR-SPCARANDIRU_ARCOENGE-NOTDEMOLI-CSDTCARANDIRU.xlsx</x:v>
      </x:c>
      <x:c r="B85" s="10" t="str">
        <x:v>Demolicao</x:v>
      </x:c>
      <x:c r="C85" s="10" t="str">
        <x:v>K1</x:v>
      </x:c>
      <x:c r="D85" s="10" t="str">
        <x:v>Espaço externo ou caractere invisível</x:v>
      </x:c>
      <x:c r="E85" s="10" t="str">
        <x:v>Código de referência </x:v>
      </x:c>
      <x:c r="F85" s="10" t="str">
        <x:v>Removido apenas na cópia tabular de análise; original preservado.</x:v>
      </x:c>
    </x:row>
    <x:row r="86" ht="15" hidden="0" customHeight="1">
      <x:c r="A86" s="10" t="str">
        <x:v>BR-SPCARANDIRU_ARCOENGE-NOTDEMOLI-CSDTCARANDIRU.xlsx</x:v>
      </x:c>
      <x:c r="B86" s="10" t="str">
        <x:v>Demolicao</x:v>
      </x:c>
      <x:c r="C86" s="10" t="str">
        <x:v>N1</x:v>
      </x:c>
      <x:c r="D86" s="10" t="str">
        <x:v>Espaço externo ou caractere invisível</x:v>
      </x:c>
      <x:c r="E86" s="10" t="str">
        <x:v>Condições de acesso e reprodução </x:v>
      </x:c>
      <x:c r="F86" s="10" t="str">
        <x:v>Removido apenas na cópia tabular de análise; original preservado.</x:v>
      </x:c>
    </x:row>
    <x:row r="87" ht="60" hidden="0" customHeight="1">
      <x:c r="A87" s="10" t="str">
        <x:v>BR-SPCARANDIRU_ARCOENGE-NOTDEMOLI-CSDTCARANDIRU.xlsx</x:v>
      </x:c>
      <x:c r="B87" s="10" t="str">
        <x:v>Demolicao</x:v>
      </x:c>
      <x:c r="C87" s="10" t="str">
        <x:v>L2</x:v>
      </x:c>
      <x:c r="D87" s="10" t="str">
        <x:v>Espaço externo ou caractere invisível</x:v>
      </x:c>
      <x:c r="E87" s="10" t="str">
        <x:v>A Casa de Detenção de São Paulo, conhecida como Carandiru, foi demolida em etapas. Em 2002, ocorreu a implosão dos pavilhões 6, 8 e 9. Já em 2005, dos pavilhões 2 e 5 pela empresa Arcoenge (contratada pelo governo do estado de São Paulo). A coleção Arcoenge contém subgrupos de fotos, vídeos (clippings de repercussão midiática) e texto. </x:v>
      </x:c>
      <x:c r="F87" s="10" t="str">
        <x:v>Removido apenas na cópia tabular de análise; original preservado.</x:v>
      </x:c>
    </x:row>
    <x:row r="88" ht="15" hidden="0" customHeight="1">
      <x:c r="A88" s="10" t="str">
        <x:v>BR-SPCARANDIRU_ARCOENGE-NOTDEMOLI-CSDTCARANDIRU.xlsx</x:v>
      </x:c>
      <x:c r="B88" s="10" t="str">
        <x:v>OriginalDVD</x:v>
      </x:c>
      <x:c r="C88" s="10" t="str">
        <x:v>H1</x:v>
      </x:c>
      <x:c r="D88" s="10" t="str">
        <x:v>Espaço externo ou caractere invisível</x:v>
      </x:c>
      <x:c r="E88" s="10" t="str">
        <x:v>Autor/Responsável </x:v>
      </x:c>
      <x:c r="F88" s="10" t="str">
        <x:v>Removido apenas na cópia tabular de análise; original preservado.</x:v>
      </x:c>
    </x:row>
    <x:row r="89" ht="15" hidden="0" customHeight="1">
      <x:c r="A89" s="10" t="str">
        <x:v>BR-SPCARANDIRU_ARCOENGE-NOTDEMOLI-CSDTCARANDIRU.xlsx</x:v>
      </x:c>
      <x:c r="B89" s="10" t="str">
        <x:v>OriginalDVD</x:v>
      </x:c>
      <x:c r="C89" s="10" t="str">
        <x:v>K1</x:v>
      </x:c>
      <x:c r="D89" s="10" t="str">
        <x:v>Espaço externo ou caractere invisível</x:v>
      </x:c>
      <x:c r="E89" s="10" t="str">
        <x:v>Código de referência </x:v>
      </x:c>
      <x:c r="F89" s="10" t="str">
        <x:v>Removido apenas na cópia tabular de análise; original preservado.</x:v>
      </x:c>
    </x:row>
    <x:row r="90" ht="15" hidden="0" customHeight="1">
      <x:c r="A90" s="10" t="str">
        <x:v>BR-SPCARANDIRU_ARCOENGE-NOTDEMOLI-CSDTCARANDIRU.xlsx</x:v>
      </x:c>
      <x:c r="B90" s="10" t="str">
        <x:v>OriginalDVD</x:v>
      </x:c>
      <x:c r="C90" s="10" t="str">
        <x:v>N1</x:v>
      </x:c>
      <x:c r="D90" s="10" t="str">
        <x:v>Espaço externo ou caractere invisível</x:v>
      </x:c>
      <x:c r="E90" s="10" t="str">
        <x:v>Condições de acesso e reprodução </x:v>
      </x:c>
      <x:c r="F90" s="10" t="str">
        <x:v>Removido apenas na cópia tabular de análise; original preservado.</x:v>
      </x:c>
    </x:row>
    <x:row r="91" ht="15" hidden="0" customHeight="1">
      <x:c r="A91" s="10" t="str">
        <x:v>BR-SPCARANDIRU_ARCOENGE-NOTDEMOLI-CSDTCARANDIRU.xlsx</x:v>
      </x:c>
      <x:c r="B91" s="10" t="str">
        <x:v>OriginalDVD2</x:v>
      </x:c>
      <x:c r="C91" s="10" t="str">
        <x:v>H1</x:v>
      </x:c>
      <x:c r="D91" s="10" t="str">
        <x:v>Espaço externo ou caractere invisível</x:v>
      </x:c>
      <x:c r="E91" s="10" t="str">
        <x:v>Autor/Responsável </x:v>
      </x:c>
      <x:c r="F91" s="10" t="str">
        <x:v>Removido apenas na cópia tabular de análise; original preservado.</x:v>
      </x:c>
    </x:row>
    <x:row r="92" ht="15" hidden="0" customHeight="1">
      <x:c r="A92" s="10" t="str">
        <x:v>BR-SPCARANDIRU_ARCOENGE-NOTDEMOLI-CSDTCARANDIRU.xlsx</x:v>
      </x:c>
      <x:c r="B92" s="10" t="str">
        <x:v>OriginalDVD2</x:v>
      </x:c>
      <x:c r="C92" s="10" t="str">
        <x:v>K1</x:v>
      </x:c>
      <x:c r="D92" s="10" t="str">
        <x:v>Espaço externo ou caractere invisível</x:v>
      </x:c>
      <x:c r="E92" s="10" t="str">
        <x:v>Código de referência </x:v>
      </x:c>
      <x:c r="F92" s="10" t="str">
        <x:v>Removido apenas na cópia tabular de análise; original preservado.</x:v>
      </x:c>
    </x:row>
    <x:row r="93" ht="15" hidden="0" customHeight="1">
      <x:c r="A93" s="10" t="str">
        <x:v>BR-SPCARANDIRU_ARCOENGE-NOTDEMOLI-CSDTCARANDIRU.xlsx</x:v>
      </x:c>
      <x:c r="B93" s="10" t="str">
        <x:v>OriginalDVD2</x:v>
      </x:c>
      <x:c r="C93" s="10" t="str">
        <x:v>N1</x:v>
      </x:c>
      <x:c r="D93" s="10" t="str">
        <x:v>Espaço externo ou caractere invisível</x:v>
      </x:c>
      <x:c r="E93" s="10" t="str">
        <x:v>Condições de acesso e reprodução </x:v>
      </x:c>
      <x:c r="F93" s="10" t="str">
        <x:v>Removido apenas na cópia tabular de análise; original preservado.</x:v>
      </x:c>
    </x:row>
    <x:row r="94" ht="15" hidden="0" customHeight="1">
      <x:c r="A94" s="10" t="str">
        <x:v>BR-SPCARANDIRU_FILMES-CSDTCARANDIRU.xlsx</x:v>
      </x:c>
      <x:c r="B94" s="10" t="str">
        <x:v>PenitEstado1928</x:v>
      </x:c>
      <x:c r="C94" s="10" t="str">
        <x:v>H1</x:v>
      </x:c>
      <x:c r="D94" s="10" t="str">
        <x:v>Espaço externo ou caractere invisível</x:v>
      </x:c>
      <x:c r="E94" s="10" t="str">
        <x:v>Autor/Responsável </x:v>
      </x:c>
      <x:c r="F94" s="10" t="str">
        <x:v>Removido apenas na cópia tabular de análise; original preservado.</x:v>
      </x:c>
    </x:row>
    <x:row r="95" ht="15" hidden="0" customHeight="1">
      <x:c r="A95" s="10" t="str">
        <x:v>BR-SPCARANDIRU_FILMES-CSDTCARANDIRU.xlsx</x:v>
      </x:c>
      <x:c r="B95" s="10" t="str">
        <x:v>PenitEstado1928</x:v>
      </x:c>
      <x:c r="C95" s="10" t="str">
        <x:v>K1</x:v>
      </x:c>
      <x:c r="D95" s="10" t="str">
        <x:v>Espaço externo ou caractere invisível</x:v>
      </x:c>
      <x:c r="E95" s="10" t="str">
        <x:v>Código de referência </x:v>
      </x:c>
      <x:c r="F95" s="10" t="str">
        <x:v>Removido apenas na cópia tabular de análise; original preservado.</x:v>
      </x:c>
    </x:row>
    <x:row r="96" ht="15" hidden="0" customHeight="1">
      <x:c r="A96" s="10" t="str">
        <x:v>BR-SPCARANDIRU_FILMES-CSDTCARANDIRU.xlsx</x:v>
      </x:c>
      <x:c r="B96" s="10" t="str">
        <x:v>PenitEstado1928</x:v>
      </x:c>
      <x:c r="C96" s="10" t="str">
        <x:v>N1</x:v>
      </x:c>
      <x:c r="D96" s="10" t="str">
        <x:v>Espaço externo ou caractere invisível</x:v>
      </x:c>
      <x:c r="E96" s="10" t="str">
        <x:v>Condições de acesso e reprodução </x:v>
      </x:c>
      <x:c r="F96" s="10" t="str">
        <x:v>Removido apenas na cópia tabular de análise; original preservado.</x:v>
      </x:c>
    </x:row>
    <x:row r="97" ht="36" hidden="0" customHeight="1">
      <x:c r="A97" s="10" t="str">
        <x:v>BR-SPCARANDIRU_FILMES-CSDTCARANDIRU.xlsx</x:v>
      </x:c>
      <x:c r="B97" s="10" t="str">
        <x:v>PenitEstado1928</x:v>
      </x:c>
      <x:c r="C97" s="10" t="str">
        <x:v>M2</x:v>
      </x:c>
      <x:c r="D97" s="10" t="str">
        <x:v>Espaço externo ou caractere invisível</x:v>
      </x:c>
      <x:c r="E97" s="10" t="str">
        <x:v>O documentário-mudo trata da rotina dos presos na Penitenciária do Estado em 1928. Cenas em preto e branco com atividades internas e telas com texto explicativo. A trasncrição completa das telas pode ser encontrada na seção "Notas". </x:v>
      </x:c>
      <x:c r="F97" s="10" t="str">
        <x:v>Removido apenas na cópia tabular de análise; original preservado.</x:v>
      </x:c>
    </x:row>
    <x:row r="98" ht="15" hidden="0" customHeight="1">
      <x:c r="A98" s="10" t="str">
        <x:v>BR-SPCARANDIRU_FILMES-CSDTCARANDIRU.xlsx</x:v>
      </x:c>
      <x:c r="B98" s="10" t="str">
        <x:v>FlmsHectorBabenco</x:v>
      </x:c>
      <x:c r="C98" s="10" t="str">
        <x:v>H1</x:v>
      </x:c>
      <x:c r="D98" s="10" t="str">
        <x:v>Espaço externo ou caractere invisível</x:v>
      </x:c>
      <x:c r="E98" s="10" t="str">
        <x:v>Autor/Responsável </x:v>
      </x:c>
      <x:c r="F98" s="10" t="str">
        <x:v>Removido apenas na cópia tabular de análise; original preservado.</x:v>
      </x:c>
    </x:row>
    <x:row r="99" ht="15" hidden="0" customHeight="1">
      <x:c r="A99" s="10" t="str">
        <x:v>BR-SPCARANDIRU_FILMES-CSDTCARANDIRU.xlsx</x:v>
      </x:c>
      <x:c r="B99" s="10" t="str">
        <x:v>FlmsHectorBabenco</x:v>
      </x:c>
      <x:c r="C99" s="10" t="str">
        <x:v>K1</x:v>
      </x:c>
      <x:c r="D99" s="10" t="str">
        <x:v>Espaço externo ou caractere invisível</x:v>
      </x:c>
      <x:c r="E99" s="10" t="str">
        <x:v>Código de referência </x:v>
      </x:c>
      <x:c r="F99" s="10" t="str">
        <x:v>Removido apenas na cópia tabular de análise; original preservado.</x:v>
      </x:c>
    </x:row>
    <x:row r="100" ht="15" hidden="0" customHeight="1">
      <x:c r="A100" s="10" t="str">
        <x:v>BR-SPCARANDIRU_FILMES-CSDTCARANDIRU.xlsx</x:v>
      </x:c>
      <x:c r="B100" s="10" t="str">
        <x:v>FlmsHectorBabenco</x:v>
      </x:c>
      <x:c r="C100" s="10" t="str">
        <x:v>N1</x:v>
      </x:c>
      <x:c r="D100" s="10" t="str">
        <x:v>Espaço externo ou caractere invisível</x:v>
      </x:c>
      <x:c r="E100" s="10" t="str">
        <x:v>Condições de acesso e reprodução </x:v>
      </x:c>
      <x:c r="F100" s="10" t="str">
        <x:v>Removido apenas na cópia tabular de análise; original preservado.</x:v>
      </x:c>
    </x:row>
    <x:row r="101" ht="24" hidden="0" customHeight="1">
      <x:c r="A101" s="10" t="str">
        <x:v>BR-SPCARANDIRU_FILMES-CSDTCARANDIRU.xlsx</x:v>
      </x:c>
      <x:c r="B101" s="10" t="str">
        <x:v>FlmsHectorBabenco</x:v>
      </x:c>
      <x:c r="C101" s="10" t="str">
        <x:v>M2</x:v>
      </x:c>
      <x:c r="D101" s="10" t="str">
        <x:v>Espaço externo ou caractere invisível</x:v>
      </x:c>
      <x:c r="E101" s="10" t="str">
        <x:v>O trecho trata de todos os filmes dos quais Hector Bebenco (diretor do Filme Carandiru) foi diretor, dentre os quais: Lúcio Flávio, Pixote e Coração Iluminado. </x:v>
      </x:c>
      <x:c r="F101" s="10" t="str">
        <x:v>Removido apenas na cópia tabular de análise; original preservado.</x:v>
      </x:c>
    </x:row>
    <x:row r="102" ht="15" hidden="0" customHeight="1">
      <x:c r="A102" s="10" t="str">
        <x:v>BR-SPCARANDIRU_FILMES-CSDTCARANDIRU.xlsx</x:v>
      </x:c>
      <x:c r="B102" s="10" t="str">
        <x:v>BastidFilmeCarandiru</x:v>
      </x:c>
      <x:c r="C102" s="10" t="str">
        <x:v>H1</x:v>
      </x:c>
      <x:c r="D102" s="10" t="str">
        <x:v>Espaço externo ou caractere invisível</x:v>
      </x:c>
      <x:c r="E102" s="10" t="str">
        <x:v>Autor/Responsável </x:v>
      </x:c>
      <x:c r="F102" s="10" t="str">
        <x:v>Removido apenas na cópia tabular de análise; original preservado.</x:v>
      </x:c>
    </x:row>
    <x:row r="103" ht="15" hidden="0" customHeight="1">
      <x:c r="A103" s="10" t="str">
        <x:v>BR-SPCARANDIRU_FILMES-CSDTCARANDIRU.xlsx</x:v>
      </x:c>
      <x:c r="B103" s="10" t="str">
        <x:v>BastidFilmeCarandiru</x:v>
      </x:c>
      <x:c r="C103" s="10" t="str">
        <x:v>K1</x:v>
      </x:c>
      <x:c r="D103" s="10" t="str">
        <x:v>Espaço externo ou caractere invisível</x:v>
      </x:c>
      <x:c r="E103" s="10" t="str">
        <x:v>Código de referência </x:v>
      </x:c>
      <x:c r="F103" s="10" t="str">
        <x:v>Removido apenas na cópia tabular de análise; original preservado.</x:v>
      </x:c>
    </x:row>
    <x:row r="104" ht="15" hidden="0" customHeight="1">
      <x:c r="A104" s="10" t="str">
        <x:v>BR-SPCARANDIRU_FILMES-CSDTCARANDIRU.xlsx</x:v>
      </x:c>
      <x:c r="B104" s="10" t="str">
        <x:v>BastidFilmeCarandiru</x:v>
      </x:c>
      <x:c r="C104" s="10" t="str">
        <x:v>N1</x:v>
      </x:c>
      <x:c r="D104" s="10" t="str">
        <x:v>Espaço externo ou caractere invisível</x:v>
      </x:c>
      <x:c r="E104" s="10" t="str">
        <x:v>Condições de acesso e reprodução </x:v>
      </x:c>
      <x:c r="F104" s="10" t="str">
        <x:v>Removido apenas na cópia tabular de análise; original preservado.</x:v>
      </x:c>
    </x:row>
    <x:row r="105" ht="60" hidden="0" customHeight="1">
      <x:c r="A105" s="10" t="str">
        <x:v>BR-SPCARANDIRU_FILMES-CSDTCARANDIRU.xlsx</x:v>
      </x:c>
      <x:c r="B105" s="10" t="str">
        <x:v>BastidFilmeCarandiru</x:v>
      </x:c>
      <x:c r="C105" s="10" t="str">
        <x:v>M2</x:v>
      </x:c>
      <x:c r="D105" s="10" t="str">
        <x:v>Espaço externo ou caractere invisível</x:v>
      </x:c>
      <x:c r="E105" s="10" t="str">
        <x:v>O documentário intitulado "Carandiru: um filme de Hector Bebenco" apresenta relatos de Drazio Varella, atores e produtores. Focado em mostrar o processo autoral e divergências quanto ao livro em que é inspirado (Estação Carandiru de Drauzio Varella). Atores contam das inseguranças e desafios na representação de seus personagens. </x:v>
      </x:c>
      <x:c r="F105" s="10" t="str">
        <x:v>Removido apenas na cópia tabular de análise; original preservado.</x:v>
      </x:c>
    </x:row>
    <x:row r="106" ht="15" hidden="0" customHeight="1">
      <x:c r="A106" s="10" t="str">
        <x:v>BR-SPCARANDIRU_FILMES-CSDTCARANDIRU.xlsx</x:v>
      </x:c>
      <x:c r="B106" s="10" t="str">
        <x:v>SlideShowCharge</x:v>
      </x:c>
      <x:c r="C106" s="10" t="str">
        <x:v>H1</x:v>
      </x:c>
      <x:c r="D106" s="10" t="str">
        <x:v>Espaço externo ou caractere invisível</x:v>
      </x:c>
      <x:c r="E106" s="10" t="str">
        <x:v>Autor/Responsável </x:v>
      </x:c>
      <x:c r="F106" s="10" t="str">
        <x:v>Removido apenas na cópia tabular de análise; original preservado.</x:v>
      </x:c>
    </x:row>
    <x:row r="107" ht="15" hidden="0" customHeight="1">
      <x:c r="A107" s="10" t="str">
        <x:v>BR-SPCARANDIRU_FILMES-CSDTCARANDIRU.xlsx</x:v>
      </x:c>
      <x:c r="B107" s="10" t="str">
        <x:v>SlideShowCharge</x:v>
      </x:c>
      <x:c r="C107" s="10" t="str">
        <x:v>K1</x:v>
      </x:c>
      <x:c r="D107" s="10" t="str">
        <x:v>Espaço externo ou caractere invisível</x:v>
      </x:c>
      <x:c r="E107" s="10" t="str">
        <x:v>Código de referência </x:v>
      </x:c>
      <x:c r="F107" s="10" t="str">
        <x:v>Removido apenas na cópia tabular de análise; original preservado.</x:v>
      </x:c>
    </x:row>
    <x:row r="108" ht="15" hidden="0" customHeight="1">
      <x:c r="A108" s="10" t="str">
        <x:v>BR-SPCARANDIRU_FILMES-CSDTCARANDIRU.xlsx</x:v>
      </x:c>
      <x:c r="B108" s="10" t="str">
        <x:v>SlideShowCharge</x:v>
      </x:c>
      <x:c r="C108" s="10" t="str">
        <x:v>N1</x:v>
      </x:c>
      <x:c r="D108" s="10" t="str">
        <x:v>Espaço externo ou caractere invisível</x:v>
      </x:c>
      <x:c r="E108" s="10" t="str">
        <x:v>Condições de acesso e reprodução </x:v>
      </x:c>
      <x:c r="F108" s="10" t="str">
        <x:v>Removido apenas na cópia tabular de análise; original preservado.</x:v>
      </x:c>
    </x:row>
    <x:row r="109" ht="48" hidden="0" customHeight="1">
      <x:c r="A109" s="10" t="str">
        <x:v>BR-SPCARANDIRU_FILMES-CSDTCARANDIRU.xlsx</x:v>
      </x:c>
      <x:c r="B109" s="10" t="str">
        <x:v>SlideShowCharge</x:v>
      </x:c>
      <x:c r="C109" s="10" t="str">
        <x:v>M2</x:v>
      </x:c>
      <x:c r="D109" s="10" t="str">
        <x:v>Espaço externo ou caractere invisível</x:v>
      </x:c>
      <x:c r="E109" s="10" t="str">
        <x:v>Slideshow de fotos da produção do filme Carandiru (por Hector Bebenco), com trilha sonora. Inclui também uma charge intitulada "Recado da Produção" sobre a importância do uso de camisinha em relações sexuais, possivelmente ligada à campanha de prevenção contra a HIV/AIDS que era uma política muito forte à época. </x:v>
      </x:c>
      <x:c r="F109" s="10" t="str">
        <x:v>Removido apenas na cópia tabular de análise; original preservado.</x:v>
      </x:c>
    </x:row>
    <x:row r="110" ht="15" hidden="0" customHeight="1">
      <x:c r="A110" s="10" t="str">
        <x:v>BR-SPCARANDIRU_FILMES-CSDTCARANDIRU.xlsx</x:v>
      </x:c>
      <x:c r="B110" s="10" t="str">
        <x:v>DirArteCarandiru</x:v>
      </x:c>
      <x:c r="C110" s="10" t="str">
        <x:v>H1</x:v>
      </x:c>
      <x:c r="D110" s="10" t="str">
        <x:v>Espaço externo ou caractere invisível</x:v>
      </x:c>
      <x:c r="E110" s="10" t="str">
        <x:v>Autor/Responsável </x:v>
      </x:c>
      <x:c r="F110" s="10" t="str">
        <x:v>Removido apenas na cópia tabular de análise; original preservado.</x:v>
      </x:c>
    </x:row>
    <x:row r="111" ht="15" hidden="0" customHeight="1">
      <x:c r="A111" s="10" t="str">
        <x:v>BR-SPCARANDIRU_FILMES-CSDTCARANDIRU.xlsx</x:v>
      </x:c>
      <x:c r="B111" s="10" t="str">
        <x:v>DirArteCarandiru</x:v>
      </x:c>
      <x:c r="C111" s="10" t="str">
        <x:v>K1</x:v>
      </x:c>
      <x:c r="D111" s="10" t="str">
        <x:v>Espaço externo ou caractere invisível</x:v>
      </x:c>
      <x:c r="E111" s="10" t="str">
        <x:v>Código de referência </x:v>
      </x:c>
      <x:c r="F111" s="10" t="str">
        <x:v>Removido apenas na cópia tabular de análise; original preservado.</x:v>
      </x:c>
    </x:row>
    <x:row r="112" ht="15" hidden="0" customHeight="1">
      <x:c r="A112" s="10" t="str">
        <x:v>BR-SPCARANDIRU_FILMES-CSDTCARANDIRU.xlsx</x:v>
      </x:c>
      <x:c r="B112" s="10" t="str">
        <x:v>DirArteCarandiru</x:v>
      </x:c>
      <x:c r="C112" s="10" t="str">
        <x:v>N1</x:v>
      </x:c>
      <x:c r="D112" s="10" t="str">
        <x:v>Espaço externo ou caractere invisível</x:v>
      </x:c>
      <x:c r="E112" s="10" t="str">
        <x:v>Condições de acesso e reprodução </x:v>
      </x:c>
      <x:c r="F112" s="10" t="str">
        <x:v>Removido apenas na cópia tabular de análise; original preservado.</x:v>
      </x:c>
    </x:row>
    <x:row r="113" ht="72" hidden="0" customHeight="1">
      <x:c r="A113" s="10" t="str">
        <x:v>BR-SPCARANDIRU_FILMES-CSDTCARANDIRU.xlsx</x:v>
      </x:c>
      <x:c r="B113" s="10" t="str">
        <x:v>DirArteCarandiru</x:v>
      </x:c>
      <x:c r="C113" s="10" t="str">
        <x:v>M2</x:v>
      </x:c>
      <x:c r="D113" s="10" t="str">
        <x:v>Espaço externo ou caractere invisível</x:v>
      </x:c>
      <x:c r="E113" s="10" t="str">
        <x:v>Este conteúdo é parte do tratamento que consistiu na junção de clipes do DVD que introduziam o primeiro vídeo. O tema central é o processo de produção do filme Carandiru (dirigido por Hector Bebenco). Ele inclui o menu do DVD, seguido por longa tela preta com trilha sonora de fundo, vinheta da Columbia Tristar e advertência sobre direitos autorais. Em seguida, pode-se notar um trailer com cenas pontuais finalizadas. Depois, processo de composição da trilha sonora. Preparação do elenco: ensaios e</x:v>
      </x:c>
      <x:c r="F113" s="10" t="str">
        <x:v>Removido apenas na cópia tabular de análise; original preservado.</x:v>
      </x:c>
    </x:row>
    <x:row r="114" ht="15" hidden="0" customHeight="1">
      <x:c r="A114" s="10" t="str">
        <x:v>BR-SPCARANDIRU_FILMES-CSDTCARANDIRU.xlsx</x:v>
      </x:c>
      <x:c r="B114" s="10" t="str">
        <x:v>OriginalDVD</x:v>
      </x:c>
      <x:c r="C114" s="10" t="str">
        <x:v>H1</x:v>
      </x:c>
      <x:c r="D114" s="10" t="str">
        <x:v>Espaço externo ou caractere invisível</x:v>
      </x:c>
      <x:c r="E114" s="10" t="str">
        <x:v>Autor/Responsável </x:v>
      </x:c>
      <x:c r="F114" s="10" t="str">
        <x:v>Removido apenas na cópia tabular de análise; original preservado.</x:v>
      </x:c>
    </x:row>
    <x:row r="115" ht="15" hidden="0" customHeight="1">
      <x:c r="A115" s="10" t="str">
        <x:v>BR-SPCARANDIRU_FILMES-CSDTCARANDIRU.xlsx</x:v>
      </x:c>
      <x:c r="B115" s="10" t="str">
        <x:v>OriginalDVD</x:v>
      </x:c>
      <x:c r="C115" s="10" t="str">
        <x:v>K1</x:v>
      </x:c>
      <x:c r="D115" s="10" t="str">
        <x:v>Espaço externo ou caractere invisível</x:v>
      </x:c>
      <x:c r="E115" s="10" t="str">
        <x:v>Código de referência </x:v>
      </x:c>
      <x:c r="F115" s="10" t="str">
        <x:v>Removido apenas na cópia tabular de análise; original preservado.</x:v>
      </x:c>
    </x:row>
    <x:row r="116" ht="15" hidden="0" customHeight="1">
      <x:c r="A116" s="10" t="str">
        <x:v>BR-SPCARANDIRU_FILMES-CSDTCARANDIRU.xlsx</x:v>
      </x:c>
      <x:c r="B116" s="10" t="str">
        <x:v>OriginalDVD</x:v>
      </x:c>
      <x:c r="C116" s="10" t="str">
        <x:v>N1</x:v>
      </x:c>
      <x:c r="D116" s="10" t="str">
        <x:v>Espaço externo ou caractere invisível</x:v>
      </x:c>
      <x:c r="E116" s="10" t="str">
        <x:v>Condições de acesso e reprodução </x:v>
      </x:c>
      <x:c r="F116" s="10" t="str">
        <x:v>Removido apenas na cópia tabular de análise; original preservado.</x:v>
      </x:c>
    </x:row>
    <x:row r="117" ht="24" hidden="0" customHeight="1">
      <x:c r="A117" s="10" t="str">
        <x:v>BR-SPCARANDIRU_MAPEAMENTOS-REMEMORA-CARANDIRU.xlsx</x:v>
      </x:c>
      <x:c r="B117" s="10" t="str">
        <x:v>Geral</x:v>
      </x:c>
      <x:c r="C117" s="10" t="str">
        <x:v>L2</x:v>
      </x:c>
      <x:c r="D117" s="10" t="str">
        <x:v>Espaço externo ou caractere invisível</x:v>
      </x:c>
      <x:c r="E117" s="10" t="str">
        <x:v>Reprodução
Técnica de registro </x:v>
      </x:c>
      <x:c r="F117" s="10" t="str">
        <x:v>Removido apenas na cópia tabular de análise; original preservado.</x:v>
      </x:c>
    </x:row>
    <x:row r="118" ht="28.799999237060547" hidden="0" customHeight="1">
      <x:c r="A118" s="10" t="str">
        <x:v>BR-SPCARANDIRU_MAPEAMENTOS-REMEMORA-CARANDIRU.xlsx</x:v>
      </x:c>
      <x:c r="B118" s="10" t="str">
        <x:v>Geral</x:v>
      </x:c>
      <x:c r="C118" s="10" t="str">
        <x:v>O8</x:v>
      </x:c>
      <x:c r="D118" s="10" t="str">
        <x:v>Espaço externo ou caractere invisível</x:v>
      </x:c>
      <x:c r="E118" s="10" t="str">
        <x:v>"Massacre do Carandiru" no Youtube
</x:v>
      </x:c>
      <x:c r="F118" s="10" t="str">
        <x:v>Removido apenas na cópia tabular de análise; original preservado.</x:v>
      </x:c>
    </x:row>
    <x:row r="119" ht="28.799999237060547" hidden="0" customHeight="1">
      <x:c r="A119" s="10" t="str">
        <x:v>BR-SPCARANDIRU_MAPEAMENTOS-REMEMORA-CARANDIRU.xlsx</x:v>
      </x:c>
      <x:c r="B119" s="10" t="str">
        <x:v>Geral</x:v>
      </x:c>
      <x:c r="C119" s="10" t="str">
        <x:v>O9</x:v>
      </x:c>
      <x:c r="D119" s="10" t="str">
        <x:v>Espaço externo ou caractere invisível</x:v>
      </x:c>
      <x:c r="E119" s="10" t="str">
        <x:v>"Massacre do Carandiru" no Youtube
</x:v>
      </x:c>
      <x:c r="F119" s="10" t="str">
        <x:v>Removido apenas na cópia tabular de análise; original preservado.</x:v>
      </x:c>
    </x:row>
    <x:row r="120" ht="52.79999923706055" hidden="0" customHeight="1">
      <x:c r="A120" s="10" t="str">
        <x:v>BR-SPCARANDIRU_MAPEAMENTOS-REMEMORA-CARANDIRU.xlsx</x:v>
      </x:c>
      <x:c r="B120" s="10" t="str">
        <x:v>Geral</x:v>
      </x:c>
      <x:c r="C120" s="10" t="str">
        <x:v>S19</x:v>
      </x:c>
      <x:c r="D120" s="10" t="str">
        <x:v>Espaço externo ou caractere invisível</x:v>
      </x:c>
      <x:c r="E120" s="10" t="str">
        <x:v>COMISSÃO INTERAMERICANA DE DIREITOS HUMANOS (CIDH). Relatório nº 34/00. 2000. Disponível em: https://cidh.oas.org/annualrep/99port/brasil11291.htm. Acesso em: 18 jul. 2025.
</x:v>
      </x:c>
      <x:c r="F120" s="10" t="str">
        <x:v>Removido apenas na cópia tabular de análise; original preservado.</x:v>
      </x:c>
    </x:row>
    <x:row r="121" ht="64.80000305175781" hidden="0" customHeight="1">
      <x:c r="A121" s="10" t="str">
        <x:v>BR-SPCARANDIRU_MAPEAMENTOS-REMEMORA-CARANDIRU.xlsx</x:v>
      </x:c>
      <x:c r="B121" s="10" t="str">
        <x:v>Geral</x:v>
      </x:c>
      <x:c r="C121" s="10" t="str">
        <x:v>S20</x:v>
      </x:c>
      <x:c r="D121" s="10" t="str">
        <x:v>Espaço externo ou caractere invisível</x:v>
      </x:c>
      <x:c r="E121" s="10" t="str">
        <x:v>CASTRO, Daniel. “Bancada 111” usa massacre para se eleger. Folha de S. Paulo, São Paulo, 2 out. 1994. Disponível em: https://www1.folha.uol.com.br/fsp/1994/10/02/cotidiano/15.html. Acesso em: 16 jul. 2025.
</x:v>
      </x:c>
      <x:c r="F121" s="10" t="str">
        <x:v>Removido apenas na cópia tabular de análise; original preservado.</x:v>
      </x:c>
    </x:row>
    <x:row r="122" ht="64.80000305175781" hidden="0" customHeight="1">
      <x:c r="A122" s="10" t="str">
        <x:v>BR-SPCARANDIRU_MAPEAMENTOS-REMEMORA-CARANDIRU.xlsx</x:v>
      </x:c>
      <x:c r="B122" s="10" t="str">
        <x:v>Geral</x:v>
      </x:c>
      <x:c r="C122" s="10" t="str">
        <x:v>S21</x:v>
      </x:c>
      <x:c r="D122" s="10" t="str">
        <x:v>Espaço externo ou caractere invisível</x:v>
      </x:c>
      <x:c r="E122" s="10" t="str">
        <x:v>CASTRO, Daniel. “Bancada 111” usa massacre para se eleger. Folha de S. Paulo, São Paulo, 2 out. 1994. Disponível em: https://www1.folha.uol.com.br/fsp/1994/10/02/cotidiano/15.html. Acesso em: 16 jul. 2025.
</x:v>
      </x:c>
      <x:c r="F122" s="10" t="str">
        <x:v>Removido apenas na cópia tabular de análise; original preservado.</x:v>
      </x:c>
    </x:row>
    <x:row r="123" ht="15" hidden="0" customHeight="1">
      <x:c r="A123" s="10" t="str">
        <x:v>BR-SPCARANDIRU_MAPEAMENTOS-REMEMORA-CARANDIRU.xlsx</x:v>
      </x:c>
      <x:c r="B123" s="10" t="str">
        <x:v>Geral</x:v>
      </x:c>
      <x:c r="C123" s="10" t="str">
        <x:v>B24</x:v>
      </x:c>
      <x:c r="D123" s="10" t="str">
        <x:v>Espaço externo ou caractere invisível</x:v>
      </x:c>
      <x:c r="E123" s="10" t="str">
        <x:v>Música </x:v>
      </x:c>
      <x:c r="F123" s="10" t="str">
        <x:v>Removido apenas na cópia tabular de análise; original preservado.</x:v>
      </x:c>
    </x:row>
    <x:row r="124" ht="15" hidden="0" customHeight="1">
      <x:c r="A124" s="10" t="str">
        <x:v>BR-SPCARANDIRU_MAPEAMENTOS-REMEMORA-CARANDIRU.xlsx</x:v>
      </x:c>
      <x:c r="B124" s="10" t="str">
        <x:v>Geral</x:v>
      </x:c>
      <x:c r="C124" s="10" t="str">
        <x:v>H24</x:v>
      </x:c>
      <x:c r="D124" s="10" t="str">
        <x:v>Espaço externo ou caractere invisível</x:v>
      </x:c>
      <x:c r="E124" s="10" t="str">
        <x:v>São Paulo </x:v>
      </x:c>
      <x:c r="F124" s="10" t="str">
        <x:v>Removido apenas na cópia tabular de análise; original preservado.</x:v>
      </x:c>
    </x:row>
    <x:row r="125" ht="52.79999923706055" hidden="0" customHeight="1">
      <x:c r="A125" s="10" t="str">
        <x:v>BR-SPCARANDIRU_MAPEAMENTOS-REMEMORA-CARANDIRU.xlsx</x:v>
      </x:c>
      <x:c r="B125" s="10" t="str">
        <x:v>Geral</x:v>
      </x:c>
      <x:c r="C125" s="10" t="str">
        <x:v>S24</x:v>
      </x:c>
      <x:c r="D125" s="10" t="str">
        <x:v>Espaço externo ou caractere invisível</x:v>
      </x:c>
      <x:c r="E125" s="10" t="str">
        <x:v>PAVILHÃO 9. Dominando sua área. Pavilhão 9 TV, YouTube, [1997]. Vídeo: 5 min 22 s. Publicado em: 20 set. 2018. Disponível em: https://www.youtube.com/watch?v=rN0aIdahIk8. Acesso em: 18 jul. 2025.
</x:v>
      </x:c>
      <x:c r="F125" s="10" t="str">
        <x:v>Removido apenas na cópia tabular de análise; original preservado.</x:v>
      </x:c>
    </x:row>
    <x:row r="126" ht="52.79999923706055" hidden="0" customHeight="1">
      <x:c r="A126" s="10" t="str">
        <x:v>BR-SPCARANDIRU_MAPEAMENTOS-REMEMORA-CARANDIRU.xlsx</x:v>
      </x:c>
      <x:c r="B126" s="10" t="str">
        <x:v>Geral</x:v>
      </x:c>
      <x:c r="C126" s="10" t="str">
        <x:v>S26</x:v>
      </x:c>
      <x:c r="D126" s="10" t="str">
        <x:v>Espaço externo ou caractere invisível</x:v>
      </x:c>
      <x:c r="E126" s="10" t="str">
        <x:v>RACIONAIS MCs. Diário de um detento. Racionais TV, YouTube, [1997]. Vídeo: 7 min 32 s. Disponível em: https://www.youtube.com/watch?v=pK1viMNdYp0. Acesso em: 12 abr. 2008.
</x:v>
      </x:c>
      <x:c r="F126" s="10" t="str">
        <x:v>Removido apenas na cópia tabular de análise; original preservado.</x:v>
      </x:c>
    </x:row>
    <x:row r="127" ht="52.79999923706055" hidden="0" customHeight="1">
      <x:c r="A127" s="10" t="str">
        <x:v>BR-SPCARANDIRU_MAPEAMENTOS-REMEMORA-CARANDIRU.xlsx</x:v>
      </x:c>
      <x:c r="B127" s="10" t="str">
        <x:v>Geral</x:v>
      </x:c>
      <x:c r="C127" s="10" t="str">
        <x:v>S27</x:v>
      </x:c>
      <x:c r="D127" s="10" t="str">
        <x:v>Espaço externo ou caractere invisível</x:v>
      </x:c>
      <x:c r="E127" s="10" t="str">
        <x:v>PAVILHÃO 9. Mandando Bronca feat. Max e Igor Cavalera. YouTube, [1997]. Vídeo: 4 min 32 s. Publicado em: 25 jul. 2017. Disponível em: https://www.youtube.com/watch?v=jxNYhTQUz0k&amp;t=168s. Acesso em: 18 jul. 2025.
</x:v>
      </x:c>
      <x:c r="F127" s="10" t="str">
        <x:v>Removido apenas na cópia tabular de análise; original preservado.</x:v>
      </x:c>
    </x:row>
    <x:row r="128" ht="64.80000305175781" hidden="0" customHeight="1">
      <x:c r="A128" s="10" t="str">
        <x:v>BR-SPCARANDIRU_MAPEAMENTOS-REMEMORA-CARANDIRU.xlsx</x:v>
      </x:c>
      <x:c r="B128" s="10" t="str">
        <x:v>Geral</x:v>
      </x:c>
      <x:c r="C128" s="10" t="str">
        <x:v>S28</x:v>
      </x:c>
      <x:c r="D128" s="10" t="str">
        <x:v>Espaço externo ou caractere invisível</x:v>
      </x:c>
      <x:c r="E128" s="10" t="str">
        <x:v>DETENTOS DO RAP. Casa Cheia. YouTube, [1997]. Vídeo: 5 min 10 s. Publicado em: 25 abr. 2020. Disponível em: https://www.youtube.com/watch?v=WN0XejXEiCs&amp;list=RDWN0XejXEiCs&amp;start_radio=1. Acesso em: 18 jul. 2025
</x:v>
      </x:c>
      <x:c r="F128" s="10" t="str">
        <x:v>Removido apenas na cópia tabular de análise; original preservado.</x:v>
      </x:c>
    </x:row>
    <x:row r="129" ht="28.799999237060547" hidden="0" customHeight="1">
      <x:c r="A129" s="10" t="str">
        <x:v>BR-SPCARANDIRU_MAPEAMENTOS-REMEMORA-CARANDIRU.xlsx</x:v>
      </x:c>
      <x:c r="B129" s="10" t="str">
        <x:v>Geral</x:v>
      </x:c>
      <x:c r="C129" s="10" t="str">
        <x:v>S29</x:v>
      </x:c>
      <x:c r="D129" s="10" t="str">
        <x:v>Espaço externo ou caractere invisível</x:v>
      </x:c>
      <x:c r="E129" s="10" t="str">
        <x:v>VARELLA, Drauzio. Estação Carandiru. São Paulo: Companhia das Letras, 1999.
</x:v>
      </x:c>
      <x:c r="F129" s="10" t="str">
        <x:v>Removido apenas na cópia tabular de análise; original preservado.</x:v>
      </x:c>
    </x:row>
    <x:row r="130" ht="52.79999923706055" hidden="0" customHeight="1">
      <x:c r="A130" s="10" t="str">
        <x:v>BR-SPCARANDIRU_MAPEAMENTOS-REMEMORA-CARANDIRU.xlsx</x:v>
      </x:c>
      <x:c r="B130" s="10" t="str">
        <x:v>Geral</x:v>
      </x:c>
      <x:c r="C130" s="10" t="str">
        <x:v>S30</x:v>
      </x:c>
      <x:c r="D130" s="10" t="str">
        <x:v>Espaço externo ou caractere invisível</x:v>
      </x:c>
      <x:c r="E130" s="10" t="str">
        <x:v>COMISSÃO INTERAMERICANA DE DIREITOS HUMANOS (CIDH). Relatório nº 34/00. 2000. Disponível em: https://cidh.oas.org/annualrep/99port/brasil11291.htm. Acesso em: 18 jul. 2025.
</x:v>
      </x:c>
      <x:c r="F130" s="10" t="str">
        <x:v>Removido apenas na cópia tabular de análise; original preservado.</x:v>
      </x:c>
    </x:row>
    <x:row r="131" ht="15" hidden="0" customHeight="1">
      <x:c r="A131" s="10" t="str">
        <x:v>BR-SPCARANDIRU_MAPEAMENTOS-REMEMORA-CARANDIRU.xlsx</x:v>
      </x:c>
      <x:c r="B131" s="10" t="str">
        <x:v>Geral</x:v>
      </x:c>
      <x:c r="C131" s="10" t="str">
        <x:v>B32</x:v>
      </x:c>
      <x:c r="D131" s="10" t="str">
        <x:v>Espaço externo ou caractere invisível</x:v>
      </x:c>
      <x:c r="E131" s="10" t="str">
        <x:v>Instalação artística </x:v>
      </x:c>
      <x:c r="F131" s="10" t="str">
        <x:v>Removido apenas na cópia tabular de análise; original preservado.</x:v>
      </x:c>
    </x:row>
    <x:row r="132" ht="15" hidden="0" customHeight="1">
      <x:c r="A132" s="10" t="str">
        <x:v>BR-SPCARANDIRU_MAPEAMENTOS-REMEMORA-CARANDIRU.xlsx</x:v>
      </x:c>
      <x:c r="B132" s="10" t="str">
        <x:v>Geral</x:v>
      </x:c>
      <x:c r="C132" s="10" t="str">
        <x:v>B34</x:v>
      </x:c>
      <x:c r="D132" s="10" t="str">
        <x:v>Espaço externo ou caractere invisível</x:v>
      </x:c>
      <x:c r="E132" s="10" t="str">
        <x:v>Manifestação </x:v>
      </x:c>
      <x:c r="F132" s="10" t="str">
        <x:v>Removido apenas na cópia tabular de análise; original preservado.</x:v>
      </x:c>
    </x:row>
    <x:row r="133" ht="64.80000305175781" hidden="0" customHeight="1">
      <x:c r="A133" s="10" t="str">
        <x:v>BR-SPCARANDIRU_MAPEAMENTOS-REMEMORA-CARANDIRU.xlsx</x:v>
      </x:c>
      <x:c r="B133" s="10" t="str">
        <x:v>Geral</x:v>
      </x:c>
      <x:c r="C133" s="10" t="str">
        <x:v>S35</x:v>
      </x:c>
      <x:c r="D133" s="10" t="str">
        <x:v>Espaço externo ou caractere invisível</x:v>
      </x:c>
      <x:c r="E133" s="10" t="str">
        <x:v>GODOY, Marcelo. Tensão marca início do júri do Carandiru. O Estado de S. Paulo, São Paulo, 21 jun. 2001, p. 41. Disponível em: https://acervo.estadao.com.br/pagina/#!/20010621-39328-spo-41-cid-c4-not/busca/Carandiru. Acesso em: 15 jul. 2025.
</x:v>
      </x:c>
      <x:c r="F133" s="10" t="str">
        <x:v>Removido apenas na cópia tabular de análise; original preservado.</x:v>
      </x:c>
    </x:row>
    <x:row r="134" ht="15" hidden="0" customHeight="1">
      <x:c r="A134" s="10" t="str">
        <x:v>BR-SPCARANDIRU_MAPEAMENTOS-REMEMORA-CARANDIRU.xlsx</x:v>
      </x:c>
      <x:c r="B134" s="10" t="str">
        <x:v>Geral</x:v>
      </x:c>
      <x:c r="C134" s="10" t="str">
        <x:v>B36</x:v>
      </x:c>
      <x:c r="D134" s="10" t="str">
        <x:v>Espaço externo ou caractere invisível</x:v>
      </x:c>
      <x:c r="E134" s="10" t="str">
        <x:v>Manifestação </x:v>
      </x:c>
      <x:c r="F134" s="10" t="str">
        <x:v>Removido apenas na cópia tabular de análise; original preservado.</x:v>
      </x:c>
    </x:row>
    <x:row r="135" ht="64.80000305175781" hidden="0" customHeight="1">
      <x:c r="A135" s="10" t="str">
        <x:v>BR-SPCARANDIRU_MAPEAMENTOS-REMEMORA-CARANDIRU.xlsx</x:v>
      </x:c>
      <x:c r="B135" s="10" t="str">
        <x:v>Geral</x:v>
      </x:c>
      <x:c r="C135" s="10" t="str">
        <x:v>S36</x:v>
      </x:c>
      <x:c r="D135" s="10" t="str">
        <x:v>Espaço externo ou caractere invisível</x:v>
      </x:c>
      <x:c r="E135" s="10" t="str">
        <x:v>GODOY, Marcelo; PITTA, Iuri. Sentença sobre o Massacre do Carandiru sai hoje. O Estado de S. Paulo, São Paulo, 29 jun. 2001, p. 32. Disponível em: https://acervo.estadao.com.br/pagina/#!/20010629-39336-nac-32-cid-c5-not/busca/Carandiru. Acesso em: 15 jul. 2025.
</x:v>
      </x:c>
      <x:c r="F135" s="10" t="str">
        <x:v>Removido apenas na cópia tabular de análise; original preservado.</x:v>
      </x:c>
    </x:row>
    <x:row r="136" ht="40.79999923706055" hidden="0" customHeight="1">
      <x:c r="A136" s="10" t="str">
        <x:v>BR-SPCARANDIRU_MAPEAMENTOS-REMEMORA-CARANDIRU.xlsx</x:v>
      </x:c>
      <x:c r="B136" s="10" t="str">
        <x:v>Geral</x:v>
      </x:c>
      <x:c r="C136" s="10" t="str">
        <x:v>S40</x:v>
      </x:c>
      <x:c r="D136" s="10" t="str">
        <x:v>Espaço externo ou caractere invisível</x:v>
      </x:c>
      <x:c r="E136" s="10" t="str">
        <x:v>ZENI, Bruno. Sobrevivente André du Rap (do massacre do Carandiru) / coordenação editorial: Bruno Zeni. São Paulo: Labortexto Editorial, 2002.
</x:v>
      </x:c>
      <x:c r="F136" s="10" t="str">
        <x:v>Removido apenas na cópia tabular de análise; original preservado.</x:v>
      </x:c>
    </x:row>
    <x:row r="137" ht="15" hidden="0" customHeight="1">
      <x:c r="A137" s="10" t="str">
        <x:v>BR-SPCARANDIRU_MAPEAMENTOS-REMEMORA-CARANDIRU.xlsx</x:v>
      </x:c>
      <x:c r="B137" s="10" t="str">
        <x:v>Geral</x:v>
      </x:c>
      <x:c r="C137" s="10" t="str">
        <x:v>B41</x:v>
      </x:c>
      <x:c r="D137" s="10" t="str">
        <x:v>Espaço externo ou caractere invisível</x:v>
      </x:c>
      <x:c r="E137" s="10" t="str">
        <x:v>Ato </x:v>
      </x:c>
      <x:c r="F137" s="10" t="str">
        <x:v>Removido apenas na cópia tabular de análise; original preservado.</x:v>
      </x:c>
    </x:row>
    <x:row r="138" ht="40.79999923706055" hidden="0" customHeight="1">
      <x:c r="A138" s="10" t="str">
        <x:v>BR-SPCARANDIRU_MAPEAMENTOS-REMEMORA-CARANDIRU.xlsx</x:v>
      </x:c>
      <x:c r="B138" s="10" t="str">
        <x:v>Geral</x:v>
      </x:c>
      <x:c r="C138" s="10" t="str">
        <x:v>S42</x:v>
      </x:c>
      <x:c r="D138" s="10" t="str">
        <x:v>Espaço externo ou caractere invisível</x:v>
      </x:c>
      <x:c r="E138" s="10" t="str">
        <x:v>RODRIGUES, Humberto. Vidas do Carandiru: histórias reais. São Paulo: Geração Editorial, 2002.
</x:v>
      </x:c>
      <x:c r="F138" s="10" t="str">
        <x:v>Removido apenas na cópia tabular de análise; original preservado.</x:v>
      </x:c>
    </x:row>
    <x:row r="139" ht="15" hidden="0" customHeight="1">
      <x:c r="A139" s="10" t="str">
        <x:v>BR-SPCARANDIRU_MAPEAMENTOS-REMEMORA-CARANDIRU.xlsx</x:v>
      </x:c>
      <x:c r="B139" s="10" t="str">
        <x:v>Geral</x:v>
      </x:c>
      <x:c r="C139" s="10" t="str">
        <x:v>J46</x:v>
      </x:c>
      <x:c r="D139" s="10" t="str">
        <x:v>Espaço externo ou caractere invisível</x:v>
      </x:c>
      <x:c r="E139" s="10" t="str">
        <x:v>Aqui dentro - páginas de uma memória: Carandiru. </x:v>
      </x:c>
      <x:c r="F139" s="10" t="str">
        <x:v>Removido apenas na cópia tabular de análise; original preservado.</x:v>
      </x:c>
    </x:row>
    <x:row r="140" ht="52.79999923706055" hidden="0" customHeight="1">
      <x:c r="A140" s="10" t="str">
        <x:v>BR-SPCARANDIRU_MAPEAMENTOS-REMEMORA-CARANDIRU.xlsx</x:v>
      </x:c>
      <x:c r="B140" s="10" t="str">
        <x:v>Geral</x:v>
      </x:c>
      <x:c r="C140" s="10" t="str">
        <x:v>S51</x:v>
      </x:c>
      <x:c r="D140" s="10" t="str">
        <x:v>Espaço externo ou caractere invisível</x:v>
      </x:c>
      <x:c r="E140" s="10" t="str">
        <x:v>FACÇÃO CENTRAL. Aonde o Filho Chora e a Mãe Não Vê – O Espetáculo do Circo dos Horrores – Faixa 14. YouTube, [2006]. Publicado em: 9 ago. 2020. Disponível em: https://www.youtube.com/watch?v=ScrbQ-rVJ3A. Acesso em: 18 jul. 2025
</x:v>
      </x:c>
      <x:c r="F140" s="10" t="str">
        <x:v>Removido apenas na cópia tabular de análise; original preservado.</x:v>
      </x:c>
    </x:row>
    <x:row r="141" ht="52.79999923706055" hidden="0" customHeight="1">
      <x:c r="A141" s="10" t="str">
        <x:v>BR-SPCARANDIRU_MAPEAMENTOS-REMEMORA-CARANDIRU.xlsx</x:v>
      </x:c>
      <x:c r="B141" s="10" t="str">
        <x:v>Geral</x:v>
      </x:c>
      <x:c r="C141" s="10" t="str">
        <x:v>S53</x:v>
      </x:c>
      <x:c r="D141" s="10" t="str">
        <x:v>Espaço externo ou caractere invisível</x:v>
      </x:c>
      <x:c r="E141" s="10" t="str">
        <x:v>FACÇÃO CENTRAL. Homenagem Póstuma – O Espetáculo do Circo dos Horrores – Faixa 10. YouTube, [2006]. Vídeo: 5 min 17 s. Disponível em: https://www.youtube.com/watch?v=Na3khdNxYUs. Acesso em: 18 jul. 2025.
</x:v>
      </x:c>
      <x:c r="F141" s="10" t="str">
        <x:v>Removido apenas na cópia tabular de análise; original preservado.</x:v>
      </x:c>
    </x:row>
    <x:row r="142" ht="64.80000305175781" hidden="0" customHeight="1">
      <x:c r="A142" s="10" t="str">
        <x:v>BR-SPCARANDIRU_MAPEAMENTOS-REMEMORA-CARANDIRU.xlsx</x:v>
      </x:c>
      <x:c r="B142" s="10" t="str">
        <x:v>Geral</x:v>
      </x:c>
      <x:c r="C142" s="10" t="str">
        <x:v>S54</x:v>
      </x:c>
      <x:c r="D142" s="10" t="str">
        <x:v>Espaço externo ou caractere invisível</x:v>
      </x:c>
      <x:c r="E142" s="10" t="str">
        <x:v>SINTRAJUSC. São Paulo protesta hoje contra impunidade no massacre do Carandiru. SINTRAJUSC, 20 fev. 2006. Disponível em: https://www.sintrajusc.org.br/sao-paulo-protesta-hoje-contra-impunidade-no-massacre-do-carandiru/. Acesso em: 17 jul. 2025.
</x:v>
      </x:c>
      <x:c r="F142" s="10" t="str">
        <x:v>Removido apenas na cópia tabular de análise; original preservado.</x:v>
      </x:c>
    </x:row>
    <x:row r="143" ht="64.80000305175781" hidden="0" customHeight="1">
      <x:c r="A143" s="10" t="str">
        <x:v>BR-SPCARANDIRU_MAPEAMENTOS-REMEMORA-CARANDIRU.xlsx</x:v>
      </x:c>
      <x:c r="B143" s="10" t="str">
        <x:v>Geral</x:v>
      </x:c>
      <x:c r="C143" s="10" t="str">
        <x:v>S57</x:v>
      </x:c>
      <x:c r="D143" s="10" t="str">
        <x:v>Espaço externo ou caractere invisível</x:v>
      </x:c>
      <x:c r="E143" s="10" t="str">
        <x:v>HEROIS DO G.U.E.T.O, MC DON KING &amp; R!CCO. Estranho Sorriso. Playlist criada por Elias Santos. Spotify. Disponível em: https://open.spotify.com/intl-pt/track/3yJKAg8QXpAyQ1TC2hca1i. Acesso em: 18 jul. 2025.
</x:v>
      </x:c>
      <x:c r="F143" s="10" t="str">
        <x:v>Removido apenas na cópia tabular de análise; original preservado.</x:v>
      </x:c>
    </x:row>
    <x:row r="144" ht="64.80000305175781" hidden="0" customHeight="1">
      <x:c r="A144" s="10" t="str">
        <x:v>BR-SPCARANDIRU_MAPEAMENTOS-REMEMORA-CARANDIRU.xlsx</x:v>
      </x:c>
      <x:c r="B144" s="10" t="str">
        <x:v>Geral</x:v>
      </x:c>
      <x:c r="C144" s="10" t="str">
        <x:v>S69</x:v>
      </x:c>
      <x:c r="D144" s="10" t="str">
        <x:v>Espaço externo ou caractere invisível</x:v>
      </x:c>
      <x:c r="E144" s="10" t="str">
        <x:v>QUILOMBO INVISÍVEL. 28 anos do massacre do Carandiru: álbum da luta por memória e justiça. Quilombo Invisível, 1 out. 2020. Disponível em: https://quilomboinvisivel.com/2020/10/01/28-anos-do-massacre-carandiru-album-da-luta-por-memoria-e-justica/. Acesso em: 17 jul. 2025.
</x:v>
      </x:c>
      <x:c r="F144" s="10" t="str">
        <x:v>Removido apenas na cópia tabular de análise; original preservado.</x:v>
      </x:c>
    </x:row>
    <x:row r="145" ht="84" hidden="0" customHeight="1">
      <x:c r="A145" s="10" t="str">
        <x:v>BR-SPCARANDIRU_MAPEAMENTOS-REMEMORA-CARANDIRU.xlsx</x:v>
      </x:c>
      <x:c r="B145" s="10" t="str">
        <x:v>Geral</x:v>
      </x:c>
      <x:c r="C145" s="10" t="str">
        <x:v>S74</x:v>
      </x:c>
      <x:c r="D145" s="10" t="str">
        <x:v>Espaço externo ou caractere invisível</x:v>
      </x:c>
      <x:c r="E145" s="10" t="str">
        <x:v>MACHADO, Marta Rodriguez de Assis; MACHADO, Maíra Rocha; MATSUDA, Fernanda Emy; FERREIRA, Luisa Moraes Abreu; FERREIRA, Carolina Cutrupi. Massacre do Carandiru + 23: inação, descontinuidade e resistências. In: MACHADO, Maíra Rocha; MACHADO, Marta Rodriguez de Assis (coord.). Carandiru não é coisa do passado [recurso eletrônico]: um balanço sobre os processos, as instituições e as narrativas 23 anos após o massacre. São Paulo: FGV Direito SP, 2015. Disponível em: https://www.santoandre.sp.gov.br/</x:v>
      </x:c>
      <x:c r="F145" s="10" t="str">
        <x:v>Removido apenas na cópia tabular de análise; original preservado.</x:v>
      </x:c>
    </x:row>
    <x:row r="146" ht="15" hidden="0" customHeight="1">
      <x:c r="A146" s="10" t="str">
        <x:v>BR-SPCARANDIRU_MAPEAMENTOS-REMEMORA-CARANDIRU.xlsx</x:v>
      </x:c>
      <x:c r="B146" s="10" t="str">
        <x:v>Geral</x:v>
      </x:c>
      <x:c r="C146" s="10" t="str">
        <x:v>J75</x:v>
      </x:c>
      <x:c r="D146" s="10" t="str">
        <x:v>Espaço externo ou caractere invisível</x:v>
      </x:c>
      <x:c r="E146" s="10" t="str">
        <x:v>Salmo 91 </x:v>
      </x:c>
      <x:c r="F146" s="10" t="str">
        <x:v>Removido apenas na cópia tabular de análise; original preservado.</x:v>
      </x:c>
    </x:row>
    <x:row r="147" ht="64.80000305175781" hidden="0" customHeight="1">
      <x:c r="A147" s="10" t="str">
        <x:v>BR-SPCARANDIRU_MAPEAMENTOS-REMEMORA-CARANDIRU.xlsx</x:v>
      </x:c>
      <x:c r="B147" s="10" t="str">
        <x:v>Geral</x:v>
      </x:c>
      <x:c r="C147" s="10" t="str">
        <x:v>S75</x:v>
      </x:c>
      <x:c r="D147" s="10" t="str">
        <x:v>Espaço externo ou caractere invisível</x:v>
      </x:c>
      <x:c r="E147" s="10" t="str">
        <x:v>REVISTA CONTEMPORARTES. Salmo 91 – estreia. Revista Contemporartes (Blogspot), publicado em: 10 mar. 2012. Disponível em: https://revistacontemporartes.blogspot.com/2012/03/salmo-91-estreia.html. Acesso em: 18 jul. 2025.
</x:v>
      </x:c>
      <x:c r="F147" s="10" t="str">
        <x:v>Removido apenas na cópia tabular de análise; original preservado.</x:v>
      </x:c>
    </x:row>
    <x:row r="148" ht="52.79999923706055" hidden="0" customHeight="1">
      <x:c r="A148" s="10" t="str">
        <x:v>BR-SPCARANDIRU_MAPEAMENTOS-REMEMORA-CARANDIRU.xlsx</x:v>
      </x:c>
      <x:c r="B148" s="10" t="str">
        <x:v>Geral</x:v>
      </x:c>
      <x:c r="C148" s="10" t="str">
        <x:v>S76</x:v>
      </x:c>
      <x:c r="D148" s="10" t="str">
        <x:v>Espaço externo ou caractere invisível</x:v>
      </x:c>
      <x:c r="E148" s="10" t="str">
        <x:v>REDE 02 DE OUTUBRO. Carandiru – O massacre ainda não acabou. Passa Palavra [Vimeo], publicado em: 5 abr. 2012. Vídeo: 14 min. Disponível em: https://vimeo.com/39846281?p=1t. Acesso em: 17 out. 2025.
</x:v>
      </x:c>
      <x:c r="F148" s="10" t="str">
        <x:v>Removido apenas na cópia tabular de análise; original preservado.</x:v>
      </x:c>
    </x:row>
    <x:row r="149" ht="144" hidden="0" customHeight="1">
      <x:c r="A149" s="10" t="str">
        <x:v>BR-SPCARANDIRU_MAPEAMENTOS-REMEMORA-CARANDIRU.xlsx</x:v>
      </x:c>
      <x:c r="B149" s="10" t="str">
        <x:v>Geral</x:v>
      </x:c>
      <x:c r="C149" s="10" t="str">
        <x:v>C78</x:v>
      </x:c>
      <x:c r="D149" s="10" t="str">
        <x:v>Fórmula sem resultado salvo em registro preenchido</x:v>
      </x:c>
      <x:c r="E149" s="10" t="str">
        <x:v>=IFERROR(__xludf.DUMMYFUNCTION("IF(B78="""","""",IF(OR(
  REGEXMATCH(B78,""Performance|Instalação|Álbum|Música|Poema|Livro|Filme|Documentário|Recitação|Espetáculo|Peça|Intervenção|Desfile|Fotografia|Exposição|Charge|Grafite|Leitura pública|Fabricação de cachaça artesanal""),
  REGEXMATC"&amp;"H(B78,""dança|teatral|artístico|musical|artística"")
),""Manifestação artístico-cultural"",
IF(OR(
  REGEXMATCH(B78,""Crônica|Série|Reportagem|Podcast|Audiotour|Entrevista|Vídeo|Rádio""),
  REGEXMATCH(B78,""mid</x:v>
      </x:c>
      <x:c r="F149" s="10" t="str">
        <x:v>Conferir se o campo é opcional ou se precisa recalcular na origem.</x:v>
      </x:c>
    </x:row>
    <x:row r="150" ht="15" hidden="0" customHeight="1">
      <x:c r="A150" s="10" t="str">
        <x:v>BR-SPCARANDIRU_MAPEAMENTOS-REMEMORA-CARANDIRU.xlsx</x:v>
      </x:c>
      <x:c r="B150" s="10" t="str">
        <x:v>Geral</x:v>
      </x:c>
      <x:c r="C150" s="10" t="str">
        <x:v>B80</x:v>
      </x:c>
      <x:c r="D150" s="10" t="str">
        <x:v>Espaço externo ou caractere invisível</x:v>
      </x:c>
      <x:c r="E150" s="10" t="str">
        <x:v>Exposição </x:v>
      </x:c>
      <x:c r="F150" s="10" t="str">
        <x:v>Removido apenas na cópia tabular de análise; original preservado.</x:v>
      </x:c>
    </x:row>
    <x:row r="151" ht="15" hidden="0" customHeight="1">
      <x:c r="A151" s="10" t="str">
        <x:v>BR-SPCARANDIRU_MAPEAMENTOS-REMEMORA-CARANDIRU.xlsx</x:v>
      </x:c>
      <x:c r="B151" s="10" t="str">
        <x:v>Geral</x:v>
      </x:c>
      <x:c r="C151" s="10" t="str">
        <x:v>B86</x:v>
      </x:c>
      <x:c r="D151" s="10" t="str">
        <x:v>Espaço externo ou caractere invisível</x:v>
      </x:c>
      <x:c r="E151" s="10" t="str">
        <x:v>Ato </x:v>
      </x:c>
      <x:c r="F151" s="10" t="str">
        <x:v>Removido apenas na cópia tabular de análise; original preservado.</x:v>
      </x:c>
    </x:row>
    <x:row r="152" ht="52.79999923706055" hidden="0" customHeight="1">
      <x:c r="A152" s="10" t="str">
        <x:v>BR-SPCARANDIRU_MAPEAMENTOS-REMEMORA-CARANDIRU.xlsx</x:v>
      </x:c>
      <x:c r="B152" s="10" t="str">
        <x:v>Geral</x:v>
      </x:c>
      <x:c r="C152" s="10" t="str">
        <x:v>S86</x:v>
      </x:c>
      <x:c r="D152" s="10" t="str">
        <x:v>Espaço externo ou caractere invisível</x:v>
      </x:c>
      <x:c r="E152" s="10" t="str">
        <x:v>REDE 02 DE OUTUBRO. Memória de 21 anos do Massacre do Carandiru: dia pelo fim dos massacres! Rede 02 de Outubro, [2013]. Disponível em: https://rede2deoutubro.blogspot.com/2013/10/. Acesso em: 17 jul. 2025.
</x:v>
      </x:c>
      <x:c r="F152" s="10" t="str">
        <x:v>Removido apenas na cópia tabular de análise; original preservado.</x:v>
      </x:c>
    </x:row>
    <x:row r="153" ht="15" hidden="0" customHeight="1">
      <x:c r="A153" s="10" t="str">
        <x:v>BR-SPCARANDIRU_MAPEAMENTOS-REMEMORA-CARANDIRU.xlsx</x:v>
      </x:c>
      <x:c r="B153" s="10" t="str">
        <x:v>Geral</x:v>
      </x:c>
      <x:c r="C153" s="10" t="str">
        <x:v>H89</x:v>
      </x:c>
      <x:c r="D153" s="10" t="str">
        <x:v>Espaço externo ou caractere invisível</x:v>
      </x:c>
      <x:c r="E153" s="10" t="str">
        <x:v>Rio de Janeiro </x:v>
      </x:c>
      <x:c r="F153" s="10" t="str">
        <x:v>Removido apenas na cópia tabular de análise; original preservado.</x:v>
      </x:c>
    </x:row>
    <x:row r="154" ht="64.80000305175781" hidden="0" customHeight="1">
      <x:c r="A154" s="10" t="str">
        <x:v>BR-SPCARANDIRU_MAPEAMENTOS-REMEMORA-CARANDIRU.xlsx</x:v>
      </x:c>
      <x:c r="B154" s="10" t="str">
        <x:v>Geral</x:v>
      </x:c>
      <x:c r="C154" s="10" t="str">
        <x:v>S90</x:v>
      </x:c>
      <x:c r="D154" s="10" t="str">
        <x:v>Espaço externo ou caractere invisível</x:v>
      </x:c>
      <x:c r="E154" s="10" t="str">
        <x:v>QUILOMBO INVISÍVEL. 28 anos do massacre do Carandiru: álbum da luta por memória e justiça. Quilombo Invisível, 1 out. 2020. Disponível em: https://quilomboinvisivel.com/2020/10/01/28-anos-do-massacre-carandiru-album-da-luta-por-memoria-e-justica/. Acesso em: 17 jul. 2025.
</x:v>
      </x:c>
      <x:c r="F154" s="10" t="str">
        <x:v>Removido apenas na cópia tabular de análise; original preservado.</x:v>
      </x:c>
    </x:row>
    <x:row r="155" ht="64.80000305175781" hidden="0" customHeight="1">
      <x:c r="A155" s="10" t="str">
        <x:v>BR-SPCARANDIRU_MAPEAMENTOS-REMEMORA-CARANDIRU.xlsx</x:v>
      </x:c>
      <x:c r="B155" s="10" t="str">
        <x:v>Geral</x:v>
      </x:c>
      <x:c r="C155" s="10" t="str">
        <x:v>S91</x:v>
      </x:c>
      <x:c r="D155" s="10" t="str">
        <x:v>Espaço externo ou caractere invisível</x:v>
      </x:c>
      <x:c r="E155" s="10" t="str">
        <x:v>MELLO, Daniel. Manifestação lembra 22 anos do Massacre do Carandiru (1). Agência Brasil, 3 out. 2014. Disponível em: https://agenciabrasil.ebc.com.br/direitos-humanos/noticia/2014-10/manifestacao-lembra-22-anos-do-massacre-do-carandiru. Acesso em: 17 jul. 2025.
</x:v>
      </x:c>
      <x:c r="F155" s="10" t="str">
        <x:v>Removido apenas na cópia tabular de análise; original preservado.</x:v>
      </x:c>
    </x:row>
    <x:row r="156" ht="24" hidden="0" customHeight="1">
      <x:c r="A156" s="10" t="str">
        <x:v>BR-SPCARANDIRU_MAPEAMENTOS-REMEMORA-CARANDIRU.xlsx</x:v>
      </x:c>
      <x:c r="B156" s="10" t="str">
        <x:v>Geral</x:v>
      </x:c>
      <x:c r="C156" s="10" t="str">
        <x:v>I92</x:v>
      </x:c>
      <x:c r="D156" s="10" t="str">
        <x:v>Espaço externo ou caractere invisível</x:v>
      </x:c>
      <x:c r="E156" s="10" t="str">
        <x:v>Mães de Maio e outras 16 organizações confirmaram a participação no ato, entre eles o Movimento Passe Livre e a Rede 2 de Outubro. </x:v>
      </x:c>
      <x:c r="F156" s="10" t="str">
        <x:v>Removido apenas na cópia tabular de análise; original preservado.</x:v>
      </x:c>
    </x:row>
    <x:row r="157" ht="64.80000305175781" hidden="0" customHeight="1">
      <x:c r="A157" s="10" t="str">
        <x:v>BR-SPCARANDIRU_MAPEAMENTOS-REMEMORA-CARANDIRU.xlsx</x:v>
      </x:c>
      <x:c r="B157" s="10" t="str">
        <x:v>Geral</x:v>
      </x:c>
      <x:c r="C157" s="10" t="str">
        <x:v>S92</x:v>
      </x:c>
      <x:c r="D157" s="10" t="str">
        <x:v>Espaço externo ou caractere invisível</x:v>
      </x:c>
      <x:c r="E157" s="10" t="str">
        <x:v>G1. Em ato no Centro, grupo relembra massacre do Carandiru. G1, 2 out. 2014. Disponível em: https://g1.globo.com/sao-paulo/noticia/2014/10/em-ato-no-centro-grupo-relembra-massacre-do-carandiru.html. Acesso em: 16 jul. 2025.
</x:v>
      </x:c>
      <x:c r="F157" s="10" t="str">
        <x:v>Removido apenas na cópia tabular de análise; original preservado.</x:v>
      </x:c>
    </x:row>
    <x:row r="158" ht="24" hidden="0" customHeight="1">
      <x:c r="A158" s="10" t="str">
        <x:v>BR-SPCARANDIRU_MAPEAMENTOS-REMEMORA-CARANDIRU.xlsx</x:v>
      </x:c>
      <x:c r="B158" s="10" t="str">
        <x:v>Geral</x:v>
      </x:c>
      <x:c r="C158" s="10" t="str">
        <x:v>I93</x:v>
      </x:c>
      <x:c r="D158" s="10" t="str">
        <x:v>Espaço externo ou caractere invisível</x:v>
      </x:c>
      <x:c r="E158" s="10" t="str">
        <x:v>Movimentos sociais e de direitos humanos; Diretamente citados: Movimento Mães de Maio, Coletivo Perifatividade, Pastoral Carcerária do Estado de São Paulo. </x:v>
      </x:c>
      <x:c r="F158" s="10" t="str">
        <x:v>Removido apenas na cópia tabular de análise; original preservado.</x:v>
      </x:c>
    </x:row>
    <x:row r="159" ht="52.79999923706055" hidden="0" customHeight="1">
      <x:c r="A159" s="10" t="str">
        <x:v>BR-SPCARANDIRU_MAPEAMENTOS-REMEMORA-CARANDIRU.xlsx</x:v>
      </x:c>
      <x:c r="B159" s="10" t="str">
        <x:v>Geral</x:v>
      </x:c>
      <x:c r="C159" s="10" t="str">
        <x:v>S93</x:v>
      </x:c>
      <x:c r="D159" s="10" t="str">
        <x:v>Espaço externo ou caractere invisível</x:v>
      </x:c>
      <x:c r="E159" s="10" t="str">
        <x:v>MIYAGUI, Jô. Manifestação lembra 22 anos do massacre do Carandiru (2). Rede TVT [YouTube], publicado em: 3 out. 2014. Disponível em: https://www.youtube.com/watch?v=TqJgTHxTHp8. Acesso em: 16 jul. 2025.
</x:v>
      </x:c>
      <x:c r="F159" s="10" t="str">
        <x:v>Removido apenas na cópia tabular de análise; original preservado.</x:v>
      </x:c>
    </x:row>
    <x:row r="160" ht="120" hidden="0" customHeight="1">
      <x:c r="A160" s="10" t="str">
        <x:v>BR-SPCARANDIRU_MAPEAMENTOS-REMEMORA-CARANDIRU.xlsx</x:v>
      </x:c>
      <x:c r="B160" s="10" t="str">
        <x:v>Geral</x:v>
      </x:c>
      <x:c r="C160" s="10" t="str">
        <x:v>D96</x:v>
      </x:c>
      <x:c r="D160" s="10" t="str">
        <x:v>Fórmula sem resultado salvo em registro preenchido</x:v>
      </x:c>
      <x:c r="E160" s="10" t="str">
        <x:v>=IFERROR(__xludf.DUMMYFUNCTION("IF(B96="""","""",IF(OR(
  REGEXMATCH(B96,""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REGEXMATCH(B96,""público|Imediato|artística|teatral|memória"")
),""Público Imediato"",
IF(REGEXMATCH(B96,""M</x:v>
      </x:c>
      <x:c r="F160" s="10" t="str">
        <x:v>Conferir se o campo é opcional ou se precisa recalcular na origem.</x:v>
      </x:c>
    </x:row>
    <x:row r="161" ht="120" hidden="0" customHeight="1">
      <x:c r="A161" s="10" t="str">
        <x:v>BR-SPCARANDIRU_MAPEAMENTOS-REMEMORA-CARANDIRU.xlsx</x:v>
      </x:c>
      <x:c r="B161" s="10" t="str">
        <x:v>Geral</x:v>
      </x:c>
      <x:c r="C161" s="10" t="str">
        <x:v>E96</x:v>
      </x:c>
      <x:c r="D161" s="10" t="str">
        <x:v>Fórmula sem resultado salvo em registro preenchido</x:v>
      </x:c>
      <x:c r="E161" s="10" t="str">
        <x:v>=IFERROR(__xludf.DUMMYFUNCTION("IF(B96="""","""",IF(OR(
  REGEXMATCH(B96,""Live|Webinário|Virtual""),
  REGEXMATCH(B96,""online"")
),""Virtual"",
IF(REGEXMATCH(B96,""Música|Álbum|Filme|Documentário|Série|Podcast|Rádio|Audiotour|Episódio|Reportagem|Curta|Charge|Livro|Vídeo|Entrevista""),"&amp;"
""Midiático"",
IF(REGEXMATCH(B96,""Performance|Instalação|Protesto|Manifestação|Ato|Paralisação|Marcha|Exposição|Mobilização|Recitação|Espetáculo|Coletiva|Visita|Roda|Debate|Seminário|Palestra|Aula|Mesa|Jornad</x:v>
      </x:c>
      <x:c r="F161" s="10" t="str">
        <x:v>Conferir se o campo é opcional ou se precisa recalcular na origem.</x:v>
      </x:c>
    </x:row>
    <x:row r="162" ht="52.79999923706055" hidden="0" customHeight="1">
      <x:c r="A162" s="10" t="str">
        <x:v>BR-SPCARANDIRU_MAPEAMENTOS-REMEMORA-CARANDIRU.xlsx</x:v>
      </x:c>
      <x:c r="B162" s="10" t="str">
        <x:v>Geral</x:v>
      </x:c>
      <x:c r="C162" s="10" t="str">
        <x:v>H97</x:v>
      </x:c>
      <x:c r="D162" s="10" t="str">
        <x:v>Espaço externo ou caractere invisível</x:v>
      </x:c>
      <x:c r="E162" s="10" t="str">
        <x:v>Faculdade de Direito da Universidade de São Paulo, Secretária Estadual de Segurança Pública, Praça da Sé, Fórum João Mendes, Páteo do Colégio, Praça do Correio e DOPS.
</x:v>
      </x:c>
      <x:c r="F162" s="10" t="str">
        <x:v>Removido apenas na cópia tabular de análise; original preservado.</x:v>
      </x:c>
    </x:row>
    <x:row r="163" ht="48" hidden="0" customHeight="1">
      <x:c r="A163" s="10" t="str">
        <x:v>BR-SPCARANDIRU_MAPEAMENTOS-REMEMORA-CARANDIRU.xlsx</x:v>
      </x:c>
      <x:c r="B163" s="10" t="str">
        <x:v>Geral</x:v>
      </x:c>
      <x:c r="C163" s="10" t="str">
        <x:v>I97</x:v>
      </x:c>
      <x:c r="D163" s="10" t="str">
        <x:v>Espaço externo ou caractere invisível</x:v>
      </x:c>
      <x:c r="E163" s="10" t="str">
        <x:v>Imprensa: Rede Gazeta e TV Brasil. Movimentos sociais: Mães de Maio, Mães do Cárcere, Pastoral Carcerária, Movimento Passe Livre, Frente Negra Contra o Genocídio, Movimento Revolucionário de Trabalhadores (MRT), Grupo de Mulheres Pão e Rosas, Kilombagem e outros. </x:v>
      </x:c>
      <x:c r="F163" s="10" t="str">
        <x:v>Removido apenas na cópia tabular de análise; original preservado.</x:v>
      </x:c>
    </x:row>
    <x:row r="164" ht="28.799999237060547" hidden="0" customHeight="1">
      <x:c r="A164" s="10" t="str">
        <x:v>BR-SPCARANDIRU_MAPEAMENTOS-REMEMORA-CARANDIRU.xlsx</x:v>
      </x:c>
      <x:c r="B164" s="10" t="str">
        <x:v>Geral</x:v>
      </x:c>
      <x:c r="C164" s="10" t="str">
        <x:v>O98</x:v>
      </x:c>
      <x:c r="D164" s="10" t="str">
        <x:v>Espaço externo ou caractere invisível</x:v>
      </x:c>
      <x:c r="E164" s="10" t="str">
        <x:v>"Massacre do Carandiru" no Youtube
</x:v>
      </x:c>
      <x:c r="F164" s="10" t="str">
        <x:v>Removido apenas na cópia tabular de análise; original preservado.</x:v>
      </x:c>
    </x:row>
    <x:row r="165" ht="15" hidden="0" customHeight="1">
      <x:c r="A165" s="10" t="str">
        <x:v>BR-SPCARANDIRU_MAPEAMENTOS-REMEMORA-CARANDIRU.xlsx</x:v>
      </x:c>
      <x:c r="B165" s="10" t="str">
        <x:v>Geral</x:v>
      </x:c>
      <x:c r="C165" s="10" t="str">
        <x:v>B100</x:v>
      </x:c>
      <x:c r="D165" s="10" t="str">
        <x:v>Espaço externo ou caractere invisível</x:v>
      </x:c>
      <x:c r="E165" s="10" t="str">
        <x:v>Protesto </x:v>
      </x:c>
      <x:c r="F165" s="10" t="str">
        <x:v>Removido apenas na cópia tabular de análise; original preservado.</x:v>
      </x:c>
    </x:row>
    <x:row r="166" ht="15" hidden="0" customHeight="1">
      <x:c r="A166" s="10" t="str">
        <x:v>BR-SPCARANDIRU_MAPEAMENTOS-REMEMORA-CARANDIRU.xlsx</x:v>
      </x:c>
      <x:c r="B166" s="10" t="str">
        <x:v>Geral</x:v>
      </x:c>
      <x:c r="C166" s="10" t="str">
        <x:v>I101</x:v>
      </x:c>
      <x:c r="D166" s="10" t="str">
        <x:v>Espaço externo ou caractere invisível</x:v>
      </x:c>
      <x:c r="E166" s="10" t="str">
        <x:v>Edson Souza (Professor da UFRGS), Nuno Ramos e outros 23 artistas </x:v>
      </x:c>
      <x:c r="F166" s="10" t="str">
        <x:v>Removido apenas na cópia tabular de análise; original preservado.</x:v>
      </x:c>
    </x:row>
    <x:row r="167" ht="64.80000305175781" hidden="0" customHeight="1">
      <x:c r="A167" s="10" t="str">
        <x:v>BR-SPCARANDIRU_MAPEAMENTOS-REMEMORA-CARANDIRU.xlsx</x:v>
      </x:c>
      <x:c r="B167" s="10" t="str">
        <x:v>Geral</x:v>
      </x:c>
      <x:c r="C167" s="10" t="str">
        <x:v>S102</x:v>
      </x:c>
      <x:c r="D167" s="10" t="str">
        <x:v>Espaço externo ou caractere invisível</x:v>
      </x:c>
      <x:c r="E167" s="10" t="str">
        <x:v>QUILOMBO INVISÍVEL. 28 anos do massacre do Carandiru: álbum da luta por memória e justiça. Quilombo Invisível, 1 out. 2020. Disponível em: https://quilomboinvisivel.com/2020/10/01/28-anos-do-massacre-carandiru-album-da-luta-por-memoria-e-justica/. Acesso em: 17 jul. 2025.
</x:v>
      </x:c>
      <x:c r="F167" s="10" t="str">
        <x:v>Removido apenas na cópia tabular de análise; original preservado.</x:v>
      </x:c>
    </x:row>
    <x:row r="168" ht="28.799999237060547" hidden="0" customHeight="1">
      <x:c r="A168" s="10" t="str">
        <x:v>BR-SPCARANDIRU_MAPEAMENTOS-REMEMORA-CARANDIRU.xlsx</x:v>
      </x:c>
      <x:c r="B168" s="10" t="str">
        <x:v>Geral</x:v>
      </x:c>
      <x:c r="C168" s="10" t="str">
        <x:v>O103</x:v>
      </x:c>
      <x:c r="D168" s="10" t="str">
        <x:v>Espaço externo ou caractere invisível</x:v>
      </x:c>
      <x:c r="E168" s="10" t="str">
        <x:v>"Massacre do Carandiru" no Youtube
</x:v>
      </x:c>
      <x:c r="F168" s="10" t="str">
        <x:v>Removido apenas na cópia tabular de análise; original preservado.</x:v>
      </x:c>
    </x:row>
    <x:row r="169" ht="52.79999923706055" hidden="0" customHeight="1">
      <x:c r="A169" s="10" t="str">
        <x:v>BR-SPCARANDIRU_MAPEAMENTOS-REMEMORA-CARANDIRU.xlsx</x:v>
      </x:c>
      <x:c r="B169" s="10" t="str">
        <x:v>Geral</x:v>
      </x:c>
      <x:c r="C169" s="10" t="str">
        <x:v>S104</x:v>
      </x:c>
      <x:c r="D169" s="10" t="str">
        <x:v>Espaço externo ou caractere invisível</x:v>
      </x:c>
      <x:c r="E169" s="10" t="str">
        <x:v>TVPUC. Seminário 25 anos do massacre do Carandiru. TVPUC [YouTube], publicado em: 26 out. 2017. Vídeo: 109 min 57 s. Disponível em: https://www.youtube.com/watch?v=zZX3OETLf4c. Acesso em: 16 jul. 2025.
</x:v>
      </x:c>
      <x:c r="F169" s="10" t="str">
        <x:v>Removido apenas na cópia tabular de análise; original preservado.</x:v>
      </x:c>
    </x:row>
    <x:row r="170" ht="120" hidden="0" customHeight="1">
      <x:c r="A170" s="10" t="str">
        <x:v>BR-SPCARANDIRU_MAPEAMENTOS-REMEMORA-CARANDIRU.xlsx</x:v>
      </x:c>
      <x:c r="B170" s="10" t="str">
        <x:v>Geral</x:v>
      </x:c>
      <x:c r="C170" s="10" t="str">
        <x:v>D107</x:v>
      </x:c>
      <x:c r="D170" s="10" t="str">
        <x:v>Fórmula sem resultado salvo em registro preenchido</x:v>
      </x:c>
      <x:c r="E170" s="10" t="str">
        <x:v>=IFERROR(__xludf.DUMMYFUNCTION("IF(B107="""","""",IF(OR(
  REGEXMATCH(B107,""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REGEXMATCH(B107,""público|Imediato|artística|teatral|memória"")
),""Público Imediato"",
IF(REGEXMATCH(B107</x:v>
      </x:c>
      <x:c r="F170" s="10" t="str">
        <x:v>Conferir se o campo é opcional ou se precisa recalcular na origem.</x:v>
      </x:c>
    </x:row>
    <x:row r="171" ht="120" hidden="0" customHeight="1">
      <x:c r="A171" s="10" t="str">
        <x:v>BR-SPCARANDIRU_MAPEAMENTOS-REMEMORA-CARANDIRU.xlsx</x:v>
      </x:c>
      <x:c r="B171" s="10" t="str">
        <x:v>Geral</x:v>
      </x:c>
      <x:c r="C171" s="10" t="str">
        <x:v>E107</x:v>
      </x:c>
      <x:c r="D171" s="10" t="str">
        <x:v>Fórmula sem resultado salvo em registro preenchido</x:v>
      </x:c>
      <x:c r="E171" s="10" t="str">
        <x:v>=IFERROR(__xludf.DUMMYFUNCTION("IF(B107="""","""",IF(OR(
  REGEXMATCH(B107,""Live|Webinário|Virtual""),
  REGEXMATCH(B107,""online"")
),""Virtual"",
IF(REGEXMATCH(B107,""Música|Álbum|Filme|Documentário|Série|Podcast|Rádio|Audiotour|Episódio|Reportagem|Curta|Charge|Livro|Vídeo|Entrevista"&amp;"""),
""Midiático"",
IF(REGEXMATCH(B107,""Performance|Instalação|Protesto|Manifestação|Ato|Paralisação|Marcha|Exposição|Mobilização|Recitação|Espetáculo|Coletiva|Visita|Roda|Debate|Seminário|Palestra|Aula|Mesa|J</x:v>
      </x:c>
      <x:c r="F171" s="10" t="str">
        <x:v>Conferir se o campo é opcional ou se precisa recalcular na origem.</x:v>
      </x:c>
    </x:row>
    <x:row r="172" ht="64.80000305175781" hidden="0" customHeight="1">
      <x:c r="A172" s="10" t="str">
        <x:v>BR-SPCARANDIRU_MAPEAMENTOS-REMEMORA-CARANDIRU.xlsx</x:v>
      </x:c>
      <x:c r="B172" s="10" t="str">
        <x:v>Geral</x:v>
      </x:c>
      <x:c r="C172" s="10" t="str">
        <x:v>S107</x:v>
      </x:c>
      <x:c r="D172" s="10" t="str">
        <x:v>Espaço externo ou caractere invisível</x:v>
      </x:c>
      <x:c r="E172" s="10" t="str">
        <x:v>QUILOMBO INVISÍVEL. 28 anos do massacre do Carandiru: álbum da luta por memória e justiça. Quilombo Invisível, 1 out. 2020. Disponível em: https://quilomboinvisivel.com/2020/10/01/28-anos-do-massacre-carandiru-album-da-luta-por-memoria-e-justica/. Acesso em: 17 jul. 2025.
</x:v>
      </x:c>
      <x:c r="F172" s="10" t="str">
        <x:v>Removido apenas na cópia tabular de análise; original preservado.</x:v>
      </x:c>
    </x:row>
    <x:row r="173" ht="24" hidden="0" customHeight="1">
      <x:c r="A173" s="10" t="str">
        <x:v>BR-SPCARANDIRU_MAPEAMENTOS-REMEMORA-CARANDIRU.xlsx</x:v>
      </x:c>
      <x:c r="B173" s="10" t="str">
        <x:v>Geral</x:v>
      </x:c>
      <x:c r="C173" s="10" t="str">
        <x:v>J110</x:v>
      </x:c>
      <x:c r="D173" s="10" t="str">
        <x:v>Espaço externo ou caractere invisível</x:v>
      </x:c>
      <x:c r="E173" s="10" t="str">
        <x:v>Nos 27 anos do Massacre do Carandiru, protesto em SP denuncia impunidade de agentes. </x:v>
      </x:c>
      <x:c r="F173" s="10" t="str">
        <x:v>Removido apenas na cópia tabular de análise; original preservado.</x:v>
      </x:c>
    </x:row>
    <x:row r="174" ht="64.80000305175781" hidden="0" customHeight="1">
      <x:c r="A174" s="10" t="str">
        <x:v>BR-SPCARANDIRU_MAPEAMENTOS-REMEMORA-CARANDIRU.xlsx</x:v>
      </x:c>
      <x:c r="B174" s="10" t="str">
        <x:v>Geral</x:v>
      </x:c>
      <x:c r="C174" s="10" t="str">
        <x:v>S110</x:v>
      </x:c>
      <x:c r="D174" s="10" t="str">
        <x:v>Espaço externo ou caractere invisível</x:v>
      </x:c>
      <x:c r="E174" s="10" t="str">
        <x:v>CARVALHO, Igor. Nos 27 anos do Massacre do Carandiru, protesto em SP denuncia impunidade de agentes. Brasil de Fato, 2 out. 2019. Disponível em: https://www.brasildefato.com.br/2019/10/02/nos-27-anos-do-massacre-do-carandiru-protesto-em-sp-denuncia-impunidade-de-agentes/. Acesso em: 16 jul. 2025.
</x:v>
      </x:c>
      <x:c r="F174" s="10" t="str">
        <x:v>Removido apenas na cópia tabular de análise; original preservado.</x:v>
      </x:c>
    </x:row>
    <x:row r="175" ht="64.80000305175781" hidden="0" customHeight="1">
      <x:c r="A175" s="10" t="str">
        <x:v>BR-SPCARANDIRU_MAPEAMENTOS-REMEMORA-CARANDIRU.xlsx</x:v>
      </x:c>
      <x:c r="B175" s="10" t="str">
        <x:v>Geral</x:v>
      </x:c>
      <x:c r="C175" s="10" t="str">
        <x:v>S112</x:v>
      </x:c>
      <x:c r="D175" s="10" t="str">
        <x:v>Espaço externo ou caractere invisível</x:v>
      </x:c>
      <x:c r="E175" s="10" t="str">
        <x:v>QUILOMBO INVISÍVEL. 28 anos do massacre do Carandiru: álbum da luta por memória e justiça. Quilombo Invisível, 1 out. 2020. Disponível em: https://quilomboinvisivel.com/2020/10/01/28-anos-do-massacre-carandiru-album-da-luta-por-memoria-e-justica/. Acesso em: 17 jul. 2025.
</x:v>
      </x:c>
      <x:c r="F175" s="10" t="str">
        <x:v>Removido apenas na cópia tabular de análise; original preservado.</x:v>
      </x:c>
    </x:row>
    <x:row r="176" ht="24" hidden="0" customHeight="1">
      <x:c r="A176" s="10" t="str">
        <x:v>BR-SPCARANDIRU_MAPEAMENTOS-REMEMORA-CARANDIRU.xlsx</x:v>
      </x:c>
      <x:c r="B176" s="10" t="str">
        <x:v>Geral</x:v>
      </x:c>
      <x:c r="C176" s="10" t="str">
        <x:v>I113</x:v>
      </x:c>
      <x:c r="D176" s="10" t="str">
        <x:v>Espaço externo ou caractere invisível</x:v>
      </x:c>
      <x:c r="E176" s="10" t="str">
        <x:v>Memórias Carandiru, Secretaria Municipal de Direitos Humanos e Instituto Resgata Cidadão </x:v>
      </x:c>
      <x:c r="F176" s="10" t="str">
        <x:v>Removido apenas na cópia tabular de análise; original preservado.</x:v>
      </x:c>
    </x:row>
    <x:row r="177" ht="24" hidden="0" customHeight="1">
      <x:c r="A177" s="10" t="str">
        <x:v>BR-SPCARANDIRU_MAPEAMENTOS-REMEMORA-CARANDIRU.xlsx</x:v>
      </x:c>
      <x:c r="B177" s="10" t="str">
        <x:v>Geral</x:v>
      </x:c>
      <x:c r="C177" s="10" t="str">
        <x:v>I115</x:v>
      </x:c>
      <x:c r="D177" s="10" t="str">
        <x:v>Espaço externo ou caractere invisível</x:v>
      </x:c>
      <x:c r="E177" s="10" t="str">
        <x:v>1ª Frente de Sobreviventes do Cárcere, Memórias Carandiru, Secretaria Municipal de Direitos Humanos e Instituto Resgata Cidadão </x:v>
      </x:c>
      <x:c r="F177" s="10" t="str">
        <x:v>Removido apenas na cópia tabular de análise; original preservado.</x:v>
      </x:c>
    </x:row>
    <x:row r="178" ht="76.80000305175781" hidden="0" customHeight="1">
      <x:c r="A178" s="10" t="str">
        <x:v>BR-SPCARANDIRU_MAPEAMENTOS-REMEMORA-CARANDIRU.xlsx</x:v>
      </x:c>
      <x:c r="B178" s="10" t="str">
        <x:v>Geral</x:v>
      </x:c>
      <x:c r="C178" s="10" t="str">
        <x:v>S115</x:v>
      </x:c>
      <x:c r="D178" s="10" t="str">
        <x:v>Espaço externo ou caractere invisível</x:v>
      </x:c>
      <x:c r="E178" s="10" t="str">
        <x:v>MEMÓRIAS CARANDIRU. Memórias poéticas: o Carandiru pelo olhar de Claudinho da Cidade, poeta e ex-detento. Memórias Carandiru [Instagram], 7 mar. 2020. Disponível em: https://www.instagram.com/p/B9Zid3ontXQ/?utm_source=ig_web_copy_link&amp;igsh=MzRlODBiNWFlZA==. Acesso em: 19 jul. 2025.
</x:v>
      </x:c>
      <x:c r="F178" s="10" t="str">
        <x:v>Removido apenas na cópia tabular de análise; original preservado.</x:v>
      </x:c>
    </x:row>
    <x:row r="179" ht="24" hidden="0" customHeight="1">
      <x:c r="A179" s="10" t="str">
        <x:v>BR-SPCARANDIRU_MAPEAMENTOS-REMEMORA-CARANDIRU.xlsx</x:v>
      </x:c>
      <x:c r="B179" s="10" t="str">
        <x:v>Geral</x:v>
      </x:c>
      <x:c r="C179" s="10" t="str">
        <x:v>I116</x:v>
      </x:c>
      <x:c r="D179" s="10" t="str">
        <x:v>Espaço externo ou caractere invisível</x:v>
      </x:c>
      <x:c r="E179" s="10" t="str">
        <x:v>1ª Frente de Sobreviventes do Cárcere, Memórias Carandiru, Secretaria Municipal de Direitos Humanos e Instituto Resgata Cidadão. Com curadoria de Maureen Bisilliat. </x:v>
      </x:c>
      <x:c r="F179" s="10" t="str">
        <x:v>Removido apenas na cópia tabular de análise; original preservado.</x:v>
      </x:c>
    </x:row>
    <x:row r="180" ht="15" hidden="0" customHeight="1">
      <x:c r="A180" s="10" t="str">
        <x:v>BR-SPCARANDIRU_MAPEAMENTOS-REMEMORA-CARANDIRU.xlsx</x:v>
      </x:c>
      <x:c r="B180" s="10" t="str">
        <x:v>Geral</x:v>
      </x:c>
      <x:c r="C180" s="10" t="str">
        <x:v>J116</x:v>
      </x:c>
      <x:c r="D180" s="10" t="str">
        <x:v>Espaço externo ou caractere invisível</x:v>
      </x:c>
      <x:c r="E180" s="10" t="str">
        <x:v>Exposição Sobre Vivências </x:v>
      </x:c>
      <x:c r="F180" s="10" t="str">
        <x:v>Removido apenas na cópia tabular de análise; original preservado.</x:v>
      </x:c>
    </x:row>
    <x:row r="181" ht="64.80000305175781" hidden="0" customHeight="1">
      <x:c r="A181" s="10" t="str">
        <x:v>BR-SPCARANDIRU_MAPEAMENTOS-REMEMORA-CARANDIRU.xlsx</x:v>
      </x:c>
      <x:c r="B181" s="10" t="str">
        <x:v>Geral</x:v>
      </x:c>
      <x:c r="C181" s="10" t="str">
        <x:v>S116</x:v>
      </x:c>
      <x:c r="D181" s="10" t="str">
        <x:v>Espaço externo ou caractere invisível</x:v>
      </x:c>
      <x:c r="E181" s="10" t="str">
        <x:v>MEMÓRIAS CARANDIRU. Exposição Sobre Vivências. Memórias Carandiru [Instagram], 25 jun. 2020. Disponível em: https://www.instagram.com/p/CB3vqFcnRax/?utm_source=ig_web_copy_link&amp;igsh=MzRlODBiNWFlZA==. Acesso em: 19 jul. 2025.
</x:v>
      </x:c>
      <x:c r="F181" s="10" t="str">
        <x:v>Removido apenas na cópia tabular de análise; original preservado.</x:v>
      </x:c>
    </x:row>
    <x:row r="182" ht="64.80000305175781" hidden="0" customHeight="1">
      <x:c r="A182" s="10" t="str">
        <x:v>BR-SPCARANDIRU_MAPEAMENTOS-REMEMORA-CARANDIRU.xlsx</x:v>
      </x:c>
      <x:c r="B182" s="10" t="str">
        <x:v>Geral</x:v>
      </x:c>
      <x:c r="C182" s="10" t="str">
        <x:v>S117</x:v>
      </x:c>
      <x:c r="D182" s="10" t="str">
        <x:v>Espaço externo ou caractere invisível</x:v>
      </x:c>
      <x:c r="E182" s="10" t="str">
        <x:v>QUILOMBO INVISÍVEL. 28 anos do massacre do Carandiru: álbum da luta por memória e justiça. Quilombo Invisível, 1 out. 2020. Disponível em: https://quilomboinvisivel.com/2020/10/01/28-anos-do-massacre-carandiru-album-da-luta-por-memoria-e-justica/. Acesso em: 17 jul. 2025.
</x:v>
      </x:c>
      <x:c r="F182" s="10" t="str">
        <x:v>Removido apenas na cópia tabular de análise; original preservado.</x:v>
      </x:c>
    </x:row>
    <x:row r="183" ht="52.79999923706055" hidden="0" customHeight="1">
      <x:c r="A183" s="10" t="str">
        <x:v>BR-SPCARANDIRU_MAPEAMENTOS-REMEMORA-CARANDIRU.xlsx</x:v>
      </x:c>
      <x:c r="B183" s="10" t="str">
        <x:v>Geral</x:v>
      </x:c>
      <x:c r="C183" s="10" t="str">
        <x:v>S119</x:v>
      </x:c>
      <x:c r="D183" s="10" t="str">
        <x:v>Espaço externo ou caractere invisível</x:v>
      </x:c>
      <x:c r="E183" s="10" t="str">
        <x:v>TV ABA. 29 anos do massacre do Carandiru e a vida que pulsa. TV ABA [YouTube], publicado em: 5 out. 2021. Vídeo: 121 min. Disponível em: https://www.youtube.com/watch?v=JPZyvHuQW2w. Acesso em: 17 jul. 2025.
</x:v>
      </x:c>
      <x:c r="F183" s="10" t="str">
        <x:v>Removido apenas na cópia tabular de análise; original preservado.</x:v>
      </x:c>
    </x:row>
    <x:row r="184" ht="64.80000305175781" hidden="0" customHeight="1">
      <x:c r="A184" s="10" t="str">
        <x:v>BR-SPCARANDIRU_MAPEAMENTOS-REMEMORA-CARANDIRU.xlsx</x:v>
      </x:c>
      <x:c r="B184" s="10" t="str">
        <x:v>Geral</x:v>
      </x:c>
      <x:c r="C184" s="10" t="str">
        <x:v>S121</x:v>
      </x:c>
      <x:c r="D184" s="10" t="str">
        <x:v>Espaço externo ou caractere invisível</x:v>
      </x:c>
      <x:c r="E184" s="10" t="str">
        <x:v>INVASORES DE CÉREBROS. 111 Escombros. Letras, 2022. Disponível em: https://www.letras.mus.br/invasores-de-cerebros/1871807/. Acesso em: 18 jul. 2025.
Se quiser, posso reunir todas as suas referências em uma lista única e ordenada conforme a ABNT. Posso fazer isso agora mesmo se desejar.
</x:v>
      </x:c>
      <x:c r="F184" s="10" t="str">
        <x:v>Removido apenas na cópia tabular de análise; original preservado.</x:v>
      </x:c>
    </x:row>
    <x:row r="185" ht="24" hidden="0" customHeight="1">
      <x:c r="A185" s="10" t="str">
        <x:v>BR-SPCARANDIRU_MAPEAMENTOS-REMEMORA-CARANDIRU.xlsx</x:v>
      </x:c>
      <x:c r="B185" s="10" t="str">
        <x:v>Geral</x:v>
      </x:c>
      <x:c r="C185" s="10" t="str">
        <x:v>I122</x:v>
      </x:c>
      <x:c r="D185" s="10" t="str">
        <x:v>Espaço externo ou caractere invisível</x:v>
      </x:c>
      <x:c r="E185" s="10" t="str">
        <x:v>1ª Frente de Sobreviventes do Cárcere, Memórias Carandiru, Secretaria Municipal de Direitos Humanos e Instituto Resgata Cidadão </x:v>
      </x:c>
      <x:c r="F185" s="10" t="str">
        <x:v>Removido apenas na cópia tabular de análise; original preservado.</x:v>
      </x:c>
    </x:row>
    <x:row r="186" ht="64.80000305175781" hidden="0" customHeight="1">
      <x:c r="A186" s="10" t="str">
        <x:v>BR-SPCARANDIRU_MAPEAMENTOS-REMEMORA-CARANDIRU.xlsx</x:v>
      </x:c>
      <x:c r="B186" s="10" t="str">
        <x:v>Geral</x:v>
      </x:c>
      <x:c r="C186" s="10" t="str">
        <x:v>S122</x:v>
      </x:c>
      <x:c r="D186" s="10" t="str">
        <x:v>Espaço externo ou caractere invisível</x:v>
      </x:c>
      <x:c r="E186" s="10" t="str">
        <x:v>MEMÓRIAS CARANDIRU. Jornada do Patrimônio 2022: Caminhos do Carandiru. Memórias Carandiru [Instagram], 20 ago. 2022. Disponível em: https://www.instagram.com/p/ChaNPE6Pdhj/?utm_source=ig_web_copy_link&amp;igsh=MzRlODBiNWFlZA==. Acesso em: 19 jul. 2025.
</x:v>
      </x:c>
      <x:c r="F186" s="10" t="str">
        <x:v>Removido apenas na cópia tabular de análise; original preservado.</x:v>
      </x:c>
    </x:row>
    <x:row r="187" ht="88.80000305175781" hidden="0" customHeight="1">
      <x:c r="A187" s="10" t="str">
        <x:v>BR-SPCARANDIRU_MAPEAMENTOS-REMEMORA-CARANDIRU.xlsx</x:v>
      </x:c>
      <x:c r="B187" s="10" t="str">
        <x:v>Geral</x:v>
      </x:c>
      <x:c r="C187" s="10" t="str">
        <x:v>S123</x:v>
      </x:c>
      <x:c r="D187" s="10" t="str">
        <x:v>Espaço externo ou caractere invisível</x:v>
      </x:c>
      <x:c r="E187" s="10" t="str">
        <x:v>SP ESCOLA DE TEATRO. Espetáculo Era Uma Vez No… Carandiru estreia dia 6/09 na sede Roosevelt da SP e rememora massacre trágico de 1992. SP Escola de Teatro, 24 ago. 2022. Disponível em: https://www.spescoladeteatro.org.br/noticia/espetaculo-era-uma-vez-no-carandiru-estreia-dia-6-09-na-sede-roosevelt-da-sp-e-rememora-massacre-tragico-de-1992. Acesso em: 18 jul. 2025.
</x:v>
      </x:c>
      <x:c r="F187" s="10" t="str">
        <x:v>Removido apenas na cópia tabular de análise; original preservado.</x:v>
      </x:c>
    </x:row>
    <x:row r="188" ht="15" hidden="0" customHeight="1">
      <x:c r="A188" s="10" t="str">
        <x:v>BR-SPCARANDIRU_MAPEAMENTOS-REMEMORA-CARANDIRU.xlsx</x:v>
      </x:c>
      <x:c r="B188" s="10" t="str">
        <x:v>Geral</x:v>
      </x:c>
      <x:c r="C188" s="10" t="str">
        <x:v>I124</x:v>
      </x:c>
      <x:c r="D188" s="10" t="str">
        <x:v>Espaço externo ou caractere invisível</x:v>
      </x:c>
      <x:c r="E188" s="10" t="str">
        <x:v>Instituto de Filosofia e Ciências Humanas da Universidade Estadual de Campinas </x:v>
      </x:c>
      <x:c r="F188" s="10" t="str">
        <x:v>Removido apenas na cópia tabular de análise; original preservado.</x:v>
      </x:c>
    </x:row>
    <x:row r="189" ht="64.80000305175781" hidden="0" customHeight="1">
      <x:c r="A189" s="10" t="str">
        <x:v>BR-SPCARANDIRU_MAPEAMENTOS-REMEMORA-CARANDIRU.xlsx</x:v>
      </x:c>
      <x:c r="B189" s="10" t="str">
        <x:v>Geral</x:v>
      </x:c>
      <x:c r="C189" s="10" t="str">
        <x:v>S124</x:v>
      </x:c>
      <x:c r="D189" s="10" t="str">
        <x:v>Espaço externo ou caractere invisível</x:v>
      </x:c>
      <x:c r="E189" s="10" t="str">
        <x:v>INSTITUTO DE FILOSOFIA, LETRAS E CIÊNCIAS HUMANAS DA UNIVERSIDADE ESTADUAL DE CAMPINAS. Massacres e(m) Democracias: 30 anos do massacre do Carandiru. Divulgação publicada em 26 set. 2022. Disponível em: https://www.ifch.unicamp.br/eventos/57044. Acesso em: 16 jul. 2025.
</x:v>
      </x:c>
      <x:c r="F189" s="10" t="str">
        <x:v>Removido apenas na cópia tabular de análise; original preservado.</x:v>
      </x:c>
    </x:row>
    <x:row r="190" ht="15" hidden="0" customHeight="1">
      <x:c r="A190" s="10" t="str">
        <x:v>BR-SPCARANDIRU_MAPEAMENTOS-REMEMORA-CARANDIRU.xlsx</x:v>
      </x:c>
      <x:c r="B190" s="10" t="str">
        <x:v>Geral</x:v>
      </x:c>
      <x:c r="C190" s="10" t="str">
        <x:v>H125</x:v>
      </x:c>
      <x:c r="D190" s="10" t="str">
        <x:v>Espaço externo ou caractere invisível</x:v>
      </x:c>
      <x:c r="E190" s="10" t="str">
        <x:v>Camara Municipal de Sao Paulo </x:v>
      </x:c>
      <x:c r="F190" s="10" t="str">
        <x:v>Removido apenas na cópia tabular de análise; original preservado.</x:v>
      </x:c>
    </x:row>
    <x:row r="191" ht="24" hidden="0" customHeight="1">
      <x:c r="A191" s="10" t="str">
        <x:v>BR-SPCARANDIRU_MAPEAMENTOS-REMEMORA-CARANDIRU.xlsx</x:v>
      </x:c>
      <x:c r="B191" s="10" t="str">
        <x:v>Geral</x:v>
      </x:c>
      <x:c r="C191" s="10" t="str">
        <x:v>I125</x:v>
      </x:c>
      <x:c r="D191" s="10" t="str">
        <x:v>Espaço externo ou caractere invisível</x:v>
      </x:c>
      <x:c r="E191" s="10" t="str">
        <x:v> 7 comissões da OAB SP em parceria com mais de 25 organizações de direitos humanos e coletivos</x:v>
      </x:c>
      <x:c r="F191" s="10" t="str">
        <x:v>Removido apenas na cópia tabular de análise; original preservado.</x:v>
      </x:c>
    </x:row>
    <x:row r="192" ht="24" hidden="0" customHeight="1">
      <x:c r="A192" s="10" t="str">
        <x:v>BR-SPCARANDIRU_MAPEAMENTOS-REMEMORA-CARANDIRU.xlsx</x:v>
      </x:c>
      <x:c r="B192" s="10" t="str">
        <x:v>Geral</x:v>
      </x:c>
      <x:c r="C192" s="10" t="str">
        <x:v>J125</x:v>
      </x:c>
      <x:c r="D192" s="10" t="str">
        <x:v>Espaço externo ou caractere invisível</x:v>
      </x:c>
      <x:c r="E192" s="10" t="str">
        <x:v>Inventário do Massacre do Carandiru: evento debate chacina que aconteceu há 30 anos em São Paulo TV Senado  </x:v>
      </x:c>
      <x:c r="F192" s="10" t="str">
        <x:v>Removido apenas na cópia tabular de análise; original preservado.</x:v>
      </x:c>
    </x:row>
    <x:row r="193" ht="64.80000305175781" hidden="0" customHeight="1">
      <x:c r="A193" s="10" t="str">
        <x:v>BR-SPCARANDIRU_MAPEAMENTOS-REMEMORA-CARANDIRU.xlsx</x:v>
      </x:c>
      <x:c r="B193" s="10" t="str">
        <x:v>Geral</x:v>
      </x:c>
      <x:c r="C193" s="10" t="str">
        <x:v>S126</x:v>
      </x:c>
      <x:c r="D193" s="10" t="str">
        <x:v>Espaço externo ou caractere invisível</x:v>
      </x:c>
      <x:c r="E193" s="10" t="str">
        <x:v>MONCAU, Gabriela. 111 baldes de vermelho sangue na bandeira: intervenção marca 30 anos do massacre do Carandiru. Brasil de Fato, 6 nov. 2022. Disponível em: https://www.brasildefato.com.br/2022/11/06/111-baldes-de-vermelho-sangue-na-bandeira-intervencao-marca-30-anos-do-massacre-do-carandiru/. Acesso em: 17 jul. 2025.
</x:v>
      </x:c>
      <x:c r="F193" s="10" t="str">
        <x:v>Removido apenas na cópia tabular de análise; original preservado.</x:v>
      </x:c>
    </x:row>
    <x:row r="194" ht="28.799999237060547" hidden="0" customHeight="1">
      <x:c r="A194" s="10" t="str">
        <x:v>BR-SPCARANDIRU_MAPEAMENTOS-REMEMORA-CARANDIRU.xlsx</x:v>
      </x:c>
      <x:c r="B194" s="10" t="str">
        <x:v>Geral</x:v>
      </x:c>
      <x:c r="C194" s="10" t="str">
        <x:v>O127</x:v>
      </x:c>
      <x:c r="D194" s="10" t="str">
        <x:v>Espaço externo ou caractere invisível</x:v>
      </x:c>
      <x:c r="E194" s="10" t="str">
        <x:v>"Massacre do Carandiru" no Youtube
</x:v>
      </x:c>
      <x:c r="F194" s="10" t="str">
        <x:v>Removido apenas na cópia tabular de análise; original preservado.</x:v>
      </x:c>
    </x:row>
    <x:row r="195" ht="28.799999237060547" hidden="0" customHeight="1">
      <x:c r="A195" s="10" t="str">
        <x:v>BR-SPCARANDIRU_MAPEAMENTOS-REMEMORA-CARANDIRU.xlsx</x:v>
      </x:c>
      <x:c r="B195" s="10" t="str">
        <x:v>Geral</x:v>
      </x:c>
      <x:c r="C195" s="10" t="str">
        <x:v>O128</x:v>
      </x:c>
      <x:c r="D195" s="10" t="str">
        <x:v>Espaço externo ou caractere invisível</x:v>
      </x:c>
      <x:c r="E195" s="10" t="str">
        <x:v>"Massacre do Carandiru" no Youtube
</x:v>
      </x:c>
      <x:c r="F195" s="10" t="str">
        <x:v>Removido apenas na cópia tabular de análise; original preservado.</x:v>
      </x:c>
    </x:row>
    <x:row r="196" ht="24" hidden="0" customHeight="1">
      <x:c r="A196" s="10" t="str">
        <x:v>BR-SPCARANDIRU_MAPEAMENTOS-REMEMORA-CARANDIRU.xlsx</x:v>
      </x:c>
      <x:c r="B196" s="10" t="str">
        <x:v>Geral</x:v>
      </x:c>
      <x:c r="C196" s="10" t="str">
        <x:v>I140</x:v>
      </x:c>
      <x:c r="D196" s="10" t="str">
        <x:v>Espaço externo ou caractere invisível</x:v>
      </x:c>
      <x:c r="E196" s="10" t="str">
        <x:v>1ª Frente de Sobreviventes do Cárcere, Memórias Carandiru, Secretaria Municipal de Direitos Humanos e Instituto Resgata Cidadão </x:v>
      </x:c>
      <x:c r="F196" s="10" t="str">
        <x:v>Removido apenas na cópia tabular de análise; original preservado.</x:v>
      </x:c>
    </x:row>
    <x:row r="197" ht="64.80000305175781" hidden="0" customHeight="1">
      <x:c r="A197" s="10" t="str">
        <x:v>BR-SPCARANDIRU_MAPEAMENTOS-REMEMORA-CARANDIRU.xlsx</x:v>
      </x:c>
      <x:c r="B197" s="10" t="str">
        <x:v>Geral</x:v>
      </x:c>
      <x:c r="C197" s="10" t="str">
        <x:v>S140</x:v>
      </x:c>
      <x:c r="D197" s="10" t="str">
        <x:v>Espaço externo ou caractere invisível</x:v>
      </x:c>
      <x:c r="E197" s="10" t="str">
        <x:v>MEMÓRIAS CARANDIRU. As deficiências no cárcere. Instagram, 13 abr. 2023. Disponível em: https://www.instagram.com/p/Cqq40KAP83x/?utm_source=ig_web_copy_link&amp;igsh=MzRlODBiNWFlZA==. Acesso em: 19 jul. 2025.
</x:v>
      </x:c>
      <x:c r="F197" s="10" t="str">
        <x:v>Removido apenas na cópia tabular de análise; original preservado.</x:v>
      </x:c>
    </x:row>
    <x:row r="198" ht="24" hidden="0" customHeight="1">
      <x:c r="A198" s="10" t="str">
        <x:v>BR-SPCARANDIRU_MAPEAMENTOS-REMEMORA-CARANDIRU.xlsx</x:v>
      </x:c>
      <x:c r="B198" s="10" t="str">
        <x:v>Geral</x:v>
      </x:c>
      <x:c r="C198" s="10" t="str">
        <x:v>I141</x:v>
      </x:c>
      <x:c r="D198" s="10" t="str">
        <x:v>Espaço externo ou caractere invisível</x:v>
      </x:c>
      <x:c r="E198" s="10" t="str">
        <x:v>1ª Frente de Sobreviventes do Cárcere, Memórias Carandiru, Secretaria Municipal de Direitos Humanos e Instituto Resgata Cidadão </x:v>
      </x:c>
      <x:c r="F198" s="10" t="str">
        <x:v>Removido apenas na cópia tabular de análise; original preservado.</x:v>
      </x:c>
    </x:row>
    <x:row r="199" ht="64.80000305175781" hidden="0" customHeight="1">
      <x:c r="A199" s="10" t="str">
        <x:v>BR-SPCARANDIRU_MAPEAMENTOS-REMEMORA-CARANDIRU.xlsx</x:v>
      </x:c>
      <x:c r="B199" s="10" t="str">
        <x:v>Geral</x:v>
      </x:c>
      <x:c r="C199" s="10" t="str">
        <x:v>S141</x:v>
      </x:c>
      <x:c r="D199" s="10" t="str">
        <x:v>Espaço externo ou caractere invisível</x:v>
      </x:c>
      <x:c r="E199" s="10" t="str">
        <x:v>MEMÓRIAS CARANDIRU. Pessoas com deficiência no sistema carcerário e arquitetura excludente. Instagram, 22 abr. 2023. Disponível em: https://www.instagram.com/p/CrBVg8JrgRs/?utm_source=ig_web_copy_link&amp;igsh=MzRlODBiNWFlZA==. Acesso em: 19 jul. 2025.
</x:v>
      </x:c>
      <x:c r="F199" s="10" t="str">
        <x:v>Removido apenas na cópia tabular de análise; original preservado.</x:v>
      </x:c>
    </x:row>
    <x:row r="200" ht="24" hidden="0" customHeight="1">
      <x:c r="A200" s="10" t="str">
        <x:v>BR-SPCARANDIRU_MAPEAMENTOS-REMEMORA-CARANDIRU.xlsx</x:v>
      </x:c>
      <x:c r="B200" s="10" t="str">
        <x:v>Geral</x:v>
      </x:c>
      <x:c r="C200" s="10" t="str">
        <x:v>I142</x:v>
      </x:c>
      <x:c r="D200" s="10" t="str">
        <x:v>Espaço externo ou caractere invisível</x:v>
      </x:c>
      <x:c r="E200" s="10" t="str">
        <x:v>1ª Frente de Sobreviventes do Cárcere, Memórias Carandiru, Secretaria Municipal de Direitos Humanos e Instituto Resgata Cidadão </x:v>
      </x:c>
      <x:c r="F200" s="10" t="str">
        <x:v>Removido apenas na cópia tabular de análise; original preservado.</x:v>
      </x:c>
    </x:row>
    <x:row r="201" ht="64.80000305175781" hidden="0" customHeight="1">
      <x:c r="A201" s="10" t="str">
        <x:v>BR-SPCARANDIRU_MAPEAMENTOS-REMEMORA-CARANDIRU.xlsx</x:v>
      </x:c>
      <x:c r="B201" s="10" t="str">
        <x:v>Geral</x:v>
      </x:c>
      <x:c r="C201" s="10" t="str">
        <x:v>S142</x:v>
      </x:c>
      <x:c r="D201" s="10" t="str">
        <x:v>Espaço externo ou caractere invisível</x:v>
      </x:c>
      <x:c r="E201" s="10" t="str">
        <x:v>MEMÓRIAS CARANDIRU. Sobrevivendo depois do cárcere. Instagram, 13 mai. 2023. Disponível em: https://www.instagram.com/tv/CsMeOi5hhiw/?utm_source=ig_web_copy_link&amp;igsh=MzRlODBiNWFlZA==. Acesso em: 19 jul. 2025.
</x:v>
      </x:c>
      <x:c r="F201" s="10" t="str">
        <x:v>Removido apenas na cópia tabular de análise; original preservado.</x:v>
      </x:c>
    </x:row>
    <x:row r="202" ht="24" hidden="0" customHeight="1">
      <x:c r="A202" s="10" t="str">
        <x:v>BR-SPCARANDIRU_MAPEAMENTOS-REMEMORA-CARANDIRU.xlsx</x:v>
      </x:c>
      <x:c r="B202" s="10" t="str">
        <x:v>Geral</x:v>
      </x:c>
      <x:c r="C202" s="10" t="str">
        <x:v>I143</x:v>
      </x:c>
      <x:c r="D202" s="10" t="str">
        <x:v>Espaço externo ou caractere invisível</x:v>
      </x:c>
      <x:c r="E202" s="10" t="str">
        <x:v>1ª Frente de Sobreviventes do Cárcere, Memórias Carandiru, Secretaria Municipal de Direitos Humanos e Instituto Resgata Cidadão </x:v>
      </x:c>
      <x:c r="F202" s="10" t="str">
        <x:v>Removido apenas na cópia tabular de análise; original preservado.</x:v>
      </x:c>
    </x:row>
    <x:row r="203" ht="64.80000305175781" hidden="0" customHeight="1">
      <x:c r="A203" s="10" t="str">
        <x:v>BR-SPCARANDIRU_MAPEAMENTOS-REMEMORA-CARANDIRU.xlsx</x:v>
      </x:c>
      <x:c r="B203" s="10" t="str">
        <x:v>Geral</x:v>
      </x:c>
      <x:c r="C203" s="10" t="str">
        <x:v>S143</x:v>
      </x:c>
      <x:c r="D203" s="10" t="str">
        <x:v>Espaço externo ou caractere invisível</x:v>
      </x:c>
      <x:c r="E203" s="10" t="str">
        <x:v>MEMÓRIAS CARANDIRU. O complexo prisional e a relação com a saúde. Instagram, 27 mai. 2023. Disponível em: https://www.instagram.com/p/CsrjhUuvTX1/?utm_source=ig_web_copy_link&amp;igsh=MzRlODBiNWFlZA==. Acesso em: 19 jul. 2025.
</x:v>
      </x:c>
      <x:c r="F203" s="10" t="str">
        <x:v>Removido apenas na cópia tabular de análise; original preservado.</x:v>
      </x:c>
    </x:row>
    <x:row r="204" ht="24" hidden="0" customHeight="1">
      <x:c r="A204" s="10" t="str">
        <x:v>BR-SPCARANDIRU_MAPEAMENTOS-REMEMORA-CARANDIRU.xlsx</x:v>
      </x:c>
      <x:c r="B204" s="10" t="str">
        <x:v>Geral</x:v>
      </x:c>
      <x:c r="C204" s="10" t="str">
        <x:v>I144</x:v>
      </x:c>
      <x:c r="D204" s="10" t="str">
        <x:v>Espaço externo ou caractere invisível</x:v>
      </x:c>
      <x:c r="E204" s="10" t="str">
        <x:v>1ª Frente de Sobreviventes do Cárcere, Memórias Carandiru, Secretaria Municipal de Direitos Humanos e Instituto Resgata Cidadão </x:v>
      </x:c>
      <x:c r="F204" s="10" t="str">
        <x:v>Removido apenas na cópia tabular de análise; original preservado.</x:v>
      </x:c>
    </x:row>
    <x:row r="205" ht="64.80000305175781" hidden="0" customHeight="1">
      <x:c r="A205" s="10" t="str">
        <x:v>BR-SPCARANDIRU_MAPEAMENTOS-REMEMORA-CARANDIRU.xlsx</x:v>
      </x:c>
      <x:c r="B205" s="10" t="str">
        <x:v>Geral</x:v>
      </x:c>
      <x:c r="C205" s="10" t="str">
        <x:v>S144</x:v>
      </x:c>
      <x:c r="D205" s="10" t="str">
        <x:v>Espaço externo ou caractere invisível</x:v>
      </x:c>
      <x:c r="E205" s="10" t="str">
        <x:v>MEMÓRIAS CARANDIRU. Arte dentro e fora do Carandiru. Instagram, 8 jun. 2023. Disponível em: https://www.instagram.com/reel/CuPtKK3N35y/?utm_source=ig_web_copy_link&amp;igsh=MzRlODBiNWFlZA==. Acesso em: 19 jul. 2025.
</x:v>
      </x:c>
      <x:c r="F205" s="10" t="str">
        <x:v>Removido apenas na cópia tabular de análise; original preservado.</x:v>
      </x:c>
    </x:row>
    <x:row r="206" ht="24" hidden="0" customHeight="1">
      <x:c r="A206" s="10" t="str">
        <x:v>BR-SPCARANDIRU_MAPEAMENTOS-REMEMORA-CARANDIRU.xlsx</x:v>
      </x:c>
      <x:c r="B206" s="10" t="str">
        <x:v>Geral</x:v>
      </x:c>
      <x:c r="C206" s="10" t="str">
        <x:v>I145</x:v>
      </x:c>
      <x:c r="D206" s="10" t="str">
        <x:v>Espaço externo ou caractere invisível</x:v>
      </x:c>
      <x:c r="E206" s="10" t="str">
        <x:v>1ª Frente de Sobreviventes do Cárcere, Memórias Carandiru, Secretaria Municipal de Direitos Humanos e Instituto Resgata Cidadão </x:v>
      </x:c>
      <x:c r="F206" s="10" t="str">
        <x:v>Removido apenas na cópia tabular de análise; original preservado.</x:v>
      </x:c>
    </x:row>
    <x:row r="207" ht="64.80000305175781" hidden="0" customHeight="1">
      <x:c r="A207" s="10" t="str">
        <x:v>BR-SPCARANDIRU_MAPEAMENTOS-REMEMORA-CARANDIRU.xlsx</x:v>
      </x:c>
      <x:c r="B207" s="10" t="str">
        <x:v>Geral</x:v>
      </x:c>
      <x:c r="C207" s="10" t="str">
        <x:v>S145</x:v>
      </x:c>
      <x:c r="D207" s="10" t="str">
        <x:v>Espaço externo ou caractere invisível</x:v>
      </x:c>
      <x:c r="E207" s="10" t="str">
        <x:v>MEMÓRIAS CARANDIRU. Identidade de gênero dentro do cárcere. Instagram, 10 jun. 2023. Disponível em: https://www.instagram.com/tv/CtUl0ymBYD7/?utm_source=ig_web_copy_link&amp;igsh=MzRlODBiNWFlZA==. Acesso em: 19 jul. 2025.
</x:v>
      </x:c>
      <x:c r="F207" s="10" t="str">
        <x:v>Removido apenas na cópia tabular de análise; original preservado.</x:v>
      </x:c>
    </x:row>
    <x:row r="208" ht="24" hidden="0" customHeight="1">
      <x:c r="A208" s="10" t="str">
        <x:v>BR-SPCARANDIRU_MAPEAMENTOS-REMEMORA-CARANDIRU.xlsx</x:v>
      </x:c>
      <x:c r="B208" s="10" t="str">
        <x:v>Geral</x:v>
      </x:c>
      <x:c r="C208" s="10" t="str">
        <x:v>I146</x:v>
      </x:c>
      <x:c r="D208" s="10" t="str">
        <x:v>Espaço externo ou caractere invisível</x:v>
      </x:c>
      <x:c r="E208" s="10" t="str">
        <x:v>1ª Frente de Sobreviventes do Cárcere, Memórias Carandiru, Secretaria Municipal de Direitos Humanos e Instituto Resgata Cidadão </x:v>
      </x:c>
      <x:c r="F208" s="10" t="str">
        <x:v>Removido apenas na cópia tabular de análise; original preservado.</x:v>
      </x:c>
    </x:row>
    <x:row r="209" ht="64.80000305175781" hidden="0" customHeight="1">
      <x:c r="A209" s="10" t="str">
        <x:v>BR-SPCARANDIRU_MAPEAMENTOS-REMEMORA-CARANDIRU.xlsx</x:v>
      </x:c>
      <x:c r="B209" s="10" t="str">
        <x:v>Geral</x:v>
      </x:c>
      <x:c r="C209" s="10" t="str">
        <x:v>S146</x:v>
      </x:c>
      <x:c r="D209" s="10" t="str">
        <x:v>Espaço externo ou caractere invisível</x:v>
      </x:c>
      <x:c r="E209" s="10" t="str">
        <x:v>MEMÓRIAS CARANDIRU. Direito à memória: o território e os processos de apagamento. Instagram, 24 jun. 2023. Disponível em: https://www.instagram.com/reel/CtzR8rQtxqi/?utm_source=ig_web_copy_link&amp;igsh=MzRlODBiNWFlZA==. Acesso em: 19 jul. 2025.
</x:v>
      </x:c>
      <x:c r="F209" s="10" t="str">
        <x:v>Removido apenas na cópia tabular de análise; original preservado.</x:v>
      </x:c>
    </x:row>
    <x:row r="210" ht="24" hidden="0" customHeight="1">
      <x:c r="A210" s="10" t="str">
        <x:v>BR-SPCARANDIRU_MAPEAMENTOS-REMEMORA-CARANDIRU.xlsx</x:v>
      </x:c>
      <x:c r="B210" s="10" t="str">
        <x:v>Geral</x:v>
      </x:c>
      <x:c r="C210" s="10" t="str">
        <x:v>I147</x:v>
      </x:c>
      <x:c r="D210" s="10" t="str">
        <x:v>Espaço externo ou caractere invisível</x:v>
      </x:c>
      <x:c r="E210" s="10" t="str">
        <x:v>1ª Frente de Sobreviventes do Cárcere, Memórias Carandiru, Secretaria Municipal de Direitos Humanos e Instituto Resgata Cidadão </x:v>
      </x:c>
      <x:c r="F210" s="10" t="str">
        <x:v>Removido apenas na cópia tabular de análise; original preservado.</x:v>
      </x:c>
    </x:row>
    <x:row r="211" ht="64.80000305175781" hidden="0" customHeight="1">
      <x:c r="A211" s="10" t="str">
        <x:v>BR-SPCARANDIRU_MAPEAMENTOS-REMEMORA-CARANDIRU.xlsx</x:v>
      </x:c>
      <x:c r="B211" s="10" t="str">
        <x:v>Geral</x:v>
      </x:c>
      <x:c r="C211" s="10" t="str">
        <x:v>S147</x:v>
      </x:c>
      <x:c r="D211" s="10" t="str">
        <x:v>Espaço externo ou caractere invisível</x:v>
      </x:c>
      <x:c r="E211" s="10" t="str">
        <x:v>MEMÓRIAS CARANDIRU. Mercado de trabalho após o cárcere. Instagram, 15 jul. 2023. Disponível em: https://www.instagram.com/p/CuFGUCPL3cG/?utm_source=ig_web_copy_link&amp;igsh=MzRlODBiNWFlZA==. Acesso em: 19 jul. 2025.
</x:v>
      </x:c>
      <x:c r="F211" s="10" t="str">
        <x:v>Removido apenas na cópia tabular de análise; original preservado.</x:v>
      </x:c>
    </x:row>
    <x:row r="212" ht="24" hidden="0" customHeight="1">
      <x:c r="A212" s="10" t="str">
        <x:v>BR-SPCARANDIRU_MAPEAMENTOS-REMEMORA-CARANDIRU.xlsx</x:v>
      </x:c>
      <x:c r="B212" s="10" t="str">
        <x:v>Geral</x:v>
      </x:c>
      <x:c r="C212" s="10" t="str">
        <x:v>I148</x:v>
      </x:c>
      <x:c r="D212" s="10" t="str">
        <x:v>Espaço externo ou caractere invisível</x:v>
      </x:c>
      <x:c r="E212" s="10" t="str">
        <x:v>1ª Frente de Sobreviventes do Cárcere, Memórias Carandiru, Secretaria Municipal de Direitos Humanos e Instituto Resgata Cidadão </x:v>
      </x:c>
      <x:c r="F212" s="10" t="str">
        <x:v>Removido apenas na cópia tabular de análise; original preservado.</x:v>
      </x:c>
    </x:row>
    <x:row r="213" ht="64.80000305175781" hidden="0" customHeight="1">
      <x:c r="A213" s="10" t="str">
        <x:v>BR-SPCARANDIRU_MAPEAMENTOS-REMEMORA-CARANDIRU.xlsx</x:v>
      </x:c>
      <x:c r="B213" s="10" t="str">
        <x:v>Geral</x:v>
      </x:c>
      <x:c r="C213" s="10" t="str">
        <x:v>S148</x:v>
      </x:c>
      <x:c r="D213" s="10" t="str">
        <x:v>Espaço externo ou caractere invisível</x:v>
      </x:c>
      <x:c r="E213" s="10" t="str">
        <x:v>MEMÓRIAS CARANDIRU. As manifestações artísticas no território. Instagram, 22 jul. 2023. Disponível em: https://www.instagram.com/reel/Cu2IyTRLQZw/?utm_source=ig_web_copy_link&amp;igsh=MzRlODBiNWFlZA==. Acesso em: 19 jul. 2025.
</x:v>
      </x:c>
      <x:c r="F213" s="10" t="str">
        <x:v>Removido apenas na cópia tabular de análise; original preservado.</x:v>
      </x:c>
    </x:row>
    <x:row r="214" ht="24" hidden="0" customHeight="1">
      <x:c r="A214" s="10" t="str">
        <x:v>BR-SPCARANDIRU_MAPEAMENTOS-REMEMORA-CARANDIRU.xlsx</x:v>
      </x:c>
      <x:c r="B214" s="10" t="str">
        <x:v>Geral</x:v>
      </x:c>
      <x:c r="C214" s="10" t="str">
        <x:v>I149</x:v>
      </x:c>
      <x:c r="D214" s="10" t="str">
        <x:v>Espaço externo ou caractere invisível</x:v>
      </x:c>
      <x:c r="E214" s="10" t="str">
        <x:v>1ª Frente de Sobreviventes do Cárcere, Memórias Carandiru, Secretaria Municipal de Direitos Humanos e Instituto Resgata Cidadão </x:v>
      </x:c>
      <x:c r="F214" s="10" t="str">
        <x:v>Removido apenas na cópia tabular de análise; original preservado.</x:v>
      </x:c>
    </x:row>
    <x:row r="215" ht="64.80000305175781" hidden="0" customHeight="1">
      <x:c r="A215" s="10" t="str">
        <x:v>BR-SPCARANDIRU_MAPEAMENTOS-REMEMORA-CARANDIRU.xlsx</x:v>
      </x:c>
      <x:c r="B215" s="10" t="str">
        <x:v>Geral</x:v>
      </x:c>
      <x:c r="C215" s="10" t="str">
        <x:v>S149</x:v>
      </x:c>
      <x:c r="D215" s="10" t="str">
        <x:v>Espaço externo ou caractere invisível</x:v>
      </x:c>
      <x:c r="E215" s="10" t="str">
        <x:v>MEMÓRIAS CARANDIRU. Relatos de um familiar. Instagram, 17 ago. 2023. Disponível em: https://www.instagram.com/p/CvzzsDbu-v_/?utm_source=ig_web_copy_link&amp;igsh=MzRlODBiNWFlZA==. Acesso em: 19 jul. 2025.
</x:v>
      </x:c>
      <x:c r="F215" s="10" t="str">
        <x:v>Removido apenas na cópia tabular de análise; original preservado.</x:v>
      </x:c>
    </x:row>
    <x:row r="216" ht="24" hidden="0" customHeight="1">
      <x:c r="A216" s="10" t="str">
        <x:v>BR-SPCARANDIRU_MAPEAMENTOS-REMEMORA-CARANDIRU.xlsx</x:v>
      </x:c>
      <x:c r="B216" s="10" t="str">
        <x:v>Geral</x:v>
      </x:c>
      <x:c r="C216" s="10" t="str">
        <x:v>I150</x:v>
      </x:c>
      <x:c r="D216" s="10" t="str">
        <x:v>Espaço externo ou caractere invisível</x:v>
      </x:c>
      <x:c r="E216" s="10" t="str">
        <x:v>1ª Frente de Sobreviventes do Cárcere, Memórias Carandiru, Secretaria Municipal de Direitos Humanos e Instituto Resgata Cidadão </x:v>
      </x:c>
      <x:c r="F216" s="10" t="str">
        <x:v>Removido apenas na cópia tabular de análise; original preservado.</x:v>
      </x:c>
    </x:row>
    <x:row r="217" ht="64.80000305175781" hidden="0" customHeight="1">
      <x:c r="A217" s="10" t="str">
        <x:v>BR-SPCARANDIRU_MAPEAMENTOS-REMEMORA-CARANDIRU.xlsx</x:v>
      </x:c>
      <x:c r="B217" s="10" t="str">
        <x:v>Geral</x:v>
      </x:c>
      <x:c r="C217" s="10" t="str">
        <x:v>S150</x:v>
      </x:c>
      <x:c r="D217" s="10" t="str">
        <x:v>Espaço externo ou caractere invisível</x:v>
      </x:c>
      <x:c r="E217" s="10" t="str">
        <x:v>MEMÓRIAS CARANDIRU. Se a cidade fosse um sobrevivente do Carandiru?. Instagram, 19 ago. 2023. Disponível em: https://www.instagram.com/reel/CwF_PgDBBrX/?utm_source=ig_web_copy_link&amp;igsh=MzRlODBiNWFlZA==. Acesso em: 19 jul. 2025.
</x:v>
      </x:c>
      <x:c r="F217" s="10" t="str">
        <x:v>Removido apenas na cópia tabular de análise; original preservado.</x:v>
      </x:c>
    </x:row>
    <x:row r="218" ht="24" hidden="0" customHeight="1">
      <x:c r="A218" s="10" t="str">
        <x:v>BR-SPCARANDIRU_MAPEAMENTOS-REMEMORA-CARANDIRU.xlsx</x:v>
      </x:c>
      <x:c r="B218" s="10" t="str">
        <x:v>Geral</x:v>
      </x:c>
      <x:c r="C218" s="10" t="str">
        <x:v>I151</x:v>
      </x:c>
      <x:c r="D218" s="10" t="str">
        <x:v>Espaço externo ou caractere invisível</x:v>
      </x:c>
      <x:c r="E218" s="10" t="str">
        <x:v>1ª Frente de Sobreviventes do Cárcere, Memórias Carandiru, Secretaria Municipal de Direitos Humanos e Instituto Resgata Cidadão </x:v>
      </x:c>
      <x:c r="F218" s="10" t="str">
        <x:v>Removido apenas na cópia tabular de análise; original preservado.</x:v>
      </x:c>
    </x:row>
    <x:row r="219" ht="64.80000305175781" hidden="0" customHeight="1">
      <x:c r="A219" s="10" t="str">
        <x:v>BR-SPCARANDIRU_MAPEAMENTOS-REMEMORA-CARANDIRU.xlsx</x:v>
      </x:c>
      <x:c r="B219" s="10" t="str">
        <x:v>Geral</x:v>
      </x:c>
      <x:c r="C219" s="10" t="str">
        <x:v>S151</x:v>
      </x:c>
      <x:c r="D219" s="10" t="str">
        <x:v>Espaço externo ou caractere invisível</x:v>
      </x:c>
      <x:c r="E219" s="10" t="str">
        <x:v>MEMÓRIAS CARANDIRU. Jornada do Patrimônio 2023. Instagram, 20 ago. 2023. Disponível em: https://www.instagram.com/p/Cv76EbLvXLA/?utm_source=ig_web_copy_link&amp;igsh=MzRlODBiNWFlZA==. Acesso em: 19 jul. 2025.
</x:v>
      </x:c>
      <x:c r="F219" s="10" t="str">
        <x:v>Removido apenas na cópia tabular de análise; original preservado.</x:v>
      </x:c>
    </x:row>
    <x:row r="220" ht="24" hidden="0" customHeight="1">
      <x:c r="A220" s="10" t="str">
        <x:v>BR-SPCARANDIRU_MAPEAMENTOS-REMEMORA-CARANDIRU.xlsx</x:v>
      </x:c>
      <x:c r="B220" s="10" t="str">
        <x:v>Geral</x:v>
      </x:c>
      <x:c r="C220" s="10" t="str">
        <x:v>I152</x:v>
      </x:c>
      <x:c r="D220" s="10" t="str">
        <x:v>Espaço externo ou caractere invisível</x:v>
      </x:c>
      <x:c r="E220" s="10" t="str">
        <x:v>1ª Frente de Sobreviventes do Cárcere, Memórias Carandiru, Secretaria Municipal de Direitos Humanos e Instituto Resgata Cidadão </x:v>
      </x:c>
      <x:c r="F220" s="10" t="str">
        <x:v>Removido apenas na cópia tabular de análise; original preservado.</x:v>
      </x:c>
    </x:row>
    <x:row r="221" ht="64.80000305175781" hidden="0" customHeight="1">
      <x:c r="A221" s="10" t="str">
        <x:v>BR-SPCARANDIRU_MAPEAMENTOS-REMEMORA-CARANDIRU.xlsx</x:v>
      </x:c>
      <x:c r="B221" s="10" t="str">
        <x:v>Geral</x:v>
      </x:c>
      <x:c r="C221" s="10" t="str">
        <x:v>S152</x:v>
      </x:c>
      <x:c r="D221" s="10" t="str">
        <x:v>Espaço externo ou caractere invisível</x:v>
      </x:c>
      <x:c r="E221" s="10" t="str">
        <x:v>MEMÓRIAS CARANDIRU. O dia a dia na Casa de Detenção. Instagram, 23 ago. 2023. Disponível em: https://www.instagram.com/reel/CxdHvQurTFp/?utm_source=ig_web_copy_link&amp;igsh=MzRlODBiNWFlZA==. Acesso em: 19 jul. 2025.
</x:v>
      </x:c>
      <x:c r="F221" s="10" t="str">
        <x:v>Removido apenas na cópia tabular de análise; original preservado.</x:v>
      </x:c>
    </x:row>
    <x:row r="222" ht="24" hidden="0" customHeight="1">
      <x:c r="A222" s="10" t="str">
        <x:v>BR-SPCARANDIRU_MAPEAMENTOS-REMEMORA-CARANDIRU.xlsx</x:v>
      </x:c>
      <x:c r="B222" s="10" t="str">
        <x:v>Geral</x:v>
      </x:c>
      <x:c r="C222" s="10" t="str">
        <x:v>I153</x:v>
      </x:c>
      <x:c r="D222" s="10" t="str">
        <x:v>Espaço externo ou caractere invisível</x:v>
      </x:c>
      <x:c r="E222" s="10" t="str">
        <x:v>1ª Frente de Sobreviventes do Cárcere, Memórias Carandiru, Secretaria Municipal de Direitos Humanos e Instituto Resgata Cidadão </x:v>
      </x:c>
      <x:c r="F222" s="10" t="str">
        <x:v>Removido apenas na cópia tabular de análise; original preservado.</x:v>
      </x:c>
    </x:row>
    <x:row r="223" ht="64.80000305175781" hidden="0" customHeight="1">
      <x:c r="A223" s="10" t="str">
        <x:v>BR-SPCARANDIRU_MAPEAMENTOS-REMEMORA-CARANDIRU.xlsx</x:v>
      </x:c>
      <x:c r="B223" s="10" t="str">
        <x:v>Geral</x:v>
      </x:c>
      <x:c r="C223" s="10" t="str">
        <x:v>S153</x:v>
      </x:c>
      <x:c r="D223" s="10" t="str">
        <x:v>Espaço externo ou caractere invisível</x:v>
      </x:c>
      <x:c r="E223" s="10" t="str">
        <x:v>MEMÓRIAS CARANDIRU. Dia de Visita: a perspectiva do familiar. Instagram, 26 ago. 2023. Disponível em: https://www.instagram.com/reel/CwS78LUBl6o/?utm_source=ig_web_copy_link&amp;igsh=MzRlODBiNWFlZA==. Acesso em: 19 jul. 2025.
</x:v>
      </x:c>
      <x:c r="F223" s="10" t="str">
        <x:v>Removido apenas na cópia tabular de análise; original preservado.</x:v>
      </x:c>
    </x:row>
    <x:row r="224" ht="24" hidden="0" customHeight="1">
      <x:c r="A224" s="10" t="str">
        <x:v>BR-SPCARANDIRU_MAPEAMENTOS-REMEMORA-CARANDIRU.xlsx</x:v>
      </x:c>
      <x:c r="B224" s="10" t="str">
        <x:v>Geral</x:v>
      </x:c>
      <x:c r="C224" s="10" t="str">
        <x:v>I154</x:v>
      </x:c>
      <x:c r="D224" s="10" t="str">
        <x:v>Espaço externo ou caractere invisível</x:v>
      </x:c>
      <x:c r="E224" s="10" t="str">
        <x:v>1ª Frente de Sobreviventes do Cárcere, Memórias Carandiru, Secretaria Municipal de Direitos Humanos e Instituto Resgata Cidadão </x:v>
      </x:c>
      <x:c r="F224" s="10" t="str">
        <x:v>Removido apenas na cópia tabular de análise; original preservado.</x:v>
      </x:c>
    </x:row>
    <x:row r="225" ht="64.80000305175781" hidden="0" customHeight="1">
      <x:c r="A225" s="10" t="str">
        <x:v>BR-SPCARANDIRU_MAPEAMENTOS-REMEMORA-CARANDIRU.xlsx</x:v>
      </x:c>
      <x:c r="B225" s="10" t="str">
        <x:v>Geral</x:v>
      </x:c>
      <x:c r="C225" s="10" t="str">
        <x:v>S154</x:v>
      </x:c>
      <x:c r="D225" s="10" t="str">
        <x:v>Espaço externo ou caractere invisível</x:v>
      </x:c>
      <x:c r="E225" s="10" t="str">
        <x:v>MEMÓRIAS CARANDIRU. 31 anos de impunidade. Instagram, 25 set. 2023. Disponível em: https://www.instagram.com/p/Cxn7kl2u2ky/?utm_source=ig_web_copy_link&amp;igsh=MzRlODBiNWFlZA==. Acesso em: 19 jul. 2025.
</x:v>
      </x:c>
      <x:c r="F225" s="10" t="str">
        <x:v>Removido apenas na cópia tabular de análise; original preservado.</x:v>
      </x:c>
    </x:row>
    <x:row r="226" ht="64.80000305175781" hidden="0" customHeight="1">
      <x:c r="A226" s="10" t="str">
        <x:v>BR-SPCARANDIRU_MAPEAMENTOS-REMEMORA-CARANDIRU.xlsx</x:v>
      </x:c>
      <x:c r="B226" s="10" t="str">
        <x:v>Geral</x:v>
      </x:c>
      <x:c r="C226" s="10" t="str">
        <x:v>S155</x:v>
      </x:c>
      <x:c r="D226" s="10" t="str">
        <x:v>Espaço externo ou caractere invisível</x:v>
      </x:c>
      <x:c r="E226" s="10" t="str">
        <x:v>MEMÓRIAS CARANDIRU. Bate-papo online: a negritude dentro da cadeia. Instagram, 25 set. 2023. Disponível em: https://www.instagram.com/p/CxbSPsEva2m/?utm_source=ig_web_copy_link&amp;igsh=MzRlODBiNWFlZA==. Acesso em: 19 jul. 2025.
</x:v>
      </x:c>
      <x:c r="F226" s="10" t="str">
        <x:v>Removido apenas na cópia tabular de análise; original preservado.</x:v>
      </x:c>
    </x:row>
    <x:row r="227" ht="24" hidden="0" customHeight="1">
      <x:c r="A227" s="10" t="str">
        <x:v>BR-SPCARANDIRU_MAPEAMENTOS-REMEMORA-CARANDIRU.xlsx</x:v>
      </x:c>
      <x:c r="B227" s="10" t="str">
        <x:v>Geral</x:v>
      </x:c>
      <x:c r="C227" s="10" t="str">
        <x:v>I156</x:v>
      </x:c>
      <x:c r="D227" s="10" t="str">
        <x:v>Espaço externo ou caractere invisível</x:v>
      </x:c>
      <x:c r="E227" s="10" t="str">
        <x:v>1ª Frente de Sobreviventes do Cárcere, Memórias Carandiru, Secretaria Municipal de Direitos Humanos e Instituto Resgata Cidadão </x:v>
      </x:c>
      <x:c r="F227" s="10" t="str">
        <x:v>Removido apenas na cópia tabular de análise; original preservado.</x:v>
      </x:c>
    </x:row>
    <x:row r="228" ht="64.80000305175781" hidden="0" customHeight="1">
      <x:c r="A228" s="10" t="str">
        <x:v>BR-SPCARANDIRU_MAPEAMENTOS-REMEMORA-CARANDIRU.xlsx</x:v>
      </x:c>
      <x:c r="B228" s="10" t="str">
        <x:v>Geral</x:v>
      </x:c>
      <x:c r="C228" s="10" t="str">
        <x:v>S156</x:v>
      </x:c>
      <x:c r="D228" s="10" t="str">
        <x:v>Espaço externo ou caractere invisível</x:v>
      </x:c>
      <x:c r="E228" s="10" t="str">
        <x:v>MEMÓRIAS CARANDIRU. 1º roteiro de memória independente no território. Instagram, 19 out. 2023. Disponível em: https://www.instagram.com/p/CymV1yHt8_o/?utm_source=ig_web_copy_link&amp;igsh=MzRlODBiNWFlZA==. Acesso em: 19 jul. 2025.
</x:v>
      </x:c>
      <x:c r="F228" s="10" t="str">
        <x:v>Removido apenas na cópia tabular de análise; original preservado.</x:v>
      </x:c>
    </x:row>
    <x:row r="229" ht="24" hidden="0" customHeight="1">
      <x:c r="A229" s="10" t="str">
        <x:v>BR-SPCARANDIRU_MAPEAMENTOS-REMEMORA-CARANDIRU.xlsx</x:v>
      </x:c>
      <x:c r="B229" s="10" t="str">
        <x:v>Geral</x:v>
      </x:c>
      <x:c r="C229" s="10" t="str">
        <x:v>I158</x:v>
      </x:c>
      <x:c r="D229" s="10" t="str">
        <x:v>Espaço externo ou caractere invisível</x:v>
      </x:c>
      <x:c r="E229" s="10" t="str">
        <x:v>1ª Frente de Sobreviventes do Cárcere, Memórias Carandiru, Secretaria Municipal de Direitos Humanos e Instituto Resgata Cidadão </x:v>
      </x:c>
      <x:c r="F229" s="10" t="str">
        <x:v>Removido apenas na cópia tabular de análise; original preservado.</x:v>
      </x:c>
    </x:row>
    <x:row r="230" ht="64.80000305175781" hidden="0" customHeight="1">
      <x:c r="A230" s="10" t="str">
        <x:v>BR-SPCARANDIRU_MAPEAMENTOS-REMEMORA-CARANDIRU.xlsx</x:v>
      </x:c>
      <x:c r="B230" s="10" t="str">
        <x:v>Geral</x:v>
      </x:c>
      <x:c r="C230" s="10" t="str">
        <x:v>S158</x:v>
      </x:c>
      <x:c r="D230" s="10" t="str">
        <x:v>Espaço externo ou caractere invisível</x:v>
      </x:c>
      <x:c r="E230" s="10" t="str">
        <x:v>MEMÓRIAS CARANDIRU. 11º Festival de Direitos Humanos – Carandiru: gênero, aprisionamento e apagamento histórico. Instagram, 5 dez. 2023. Disponível em: https://www.instagram.com/p/C0aFc9ovkk9/?utm_source=ig_web_copy_link&amp;igsh=MzRlODBiNWFlZA==. Acesso em: 19 jul. 2025.
</x:v>
      </x:c>
      <x:c r="F230" s="10" t="str">
        <x:v>Removido apenas na cópia tabular de análise; original preservado.</x:v>
      </x:c>
    </x:row>
    <x:row r="231" ht="24" hidden="0" customHeight="1">
      <x:c r="A231" s="10" t="str">
        <x:v>BR-SPCARANDIRU_MAPEAMENTOS-REMEMORA-CARANDIRU.xlsx</x:v>
      </x:c>
      <x:c r="B231" s="10" t="str">
        <x:v>Geral</x:v>
      </x:c>
      <x:c r="C231" s="10" t="str">
        <x:v>I159</x:v>
      </x:c>
      <x:c r="D231" s="10" t="str">
        <x:v>Espaço externo ou caractere invisível</x:v>
      </x:c>
      <x:c r="E231" s="10" t="str">
        <x:v>1ª Frente de Sobreviventes do Cárcere, Instituto Resgata Cidadão e Papel de Menino &amp; Menina </x:v>
      </x:c>
      <x:c r="F231" s="10" t="str">
        <x:v>Removido apenas na cópia tabular de análise; original preservado.</x:v>
      </x:c>
    </x:row>
    <x:row r="232" ht="76.80000305175781" hidden="0" customHeight="1">
      <x:c r="A232" s="10" t="str">
        <x:v>BR-SPCARANDIRU_MAPEAMENTOS-REMEMORA-CARANDIRU.xlsx</x:v>
      </x:c>
      <x:c r="B232" s="10" t="str">
        <x:v>Geral</x:v>
      </x:c>
      <x:c r="C232" s="10" t="str">
        <x:v>S159</x:v>
      </x:c>
      <x:c r="D232" s="10" t="str">
        <x:v>Espaço externo ou caractere invisível</x:v>
      </x:c>
      <x:c r="E232" s="10" t="str">
        <x:v>MEMÓRIAS CARANDIRU. Duas rodas de conversa junto com o Projeto Papel de Menino &amp; Menina e com as crianças e adolescentes que lá estavam. Instagram, 22 dez. 2023. Disponível em: https://www.instagram.com/p/C1aAFA2um2t/?utm_source=ig_web_copy_link&amp;igsh=MzRlODBiNWFlZA==. Acesso em: 19 jul. 2025.
</x:v>
      </x:c>
      <x:c r="F232" s="10" t="str">
        <x:v>Removido apenas na cópia tabular de análise; original preservado.</x:v>
      </x:c>
    </x:row>
    <x:row r="233" ht="28.799999237060547" hidden="0" customHeight="1">
      <x:c r="A233" s="10" t="str">
        <x:v>BR-SPCARANDIRU_MAPEAMENTOS-REMEMORA-CARANDIRU.xlsx</x:v>
      </x:c>
      <x:c r="B233" s="10" t="str">
        <x:v>Geral</x:v>
      </x:c>
      <x:c r="C233" s="10" t="str">
        <x:v>O160</x:v>
      </x:c>
      <x:c r="D233" s="10" t="str">
        <x:v>Espaço externo ou caractere invisível</x:v>
      </x:c>
      <x:c r="E233" s="10" t="str">
        <x:v>"Massacre do Carandiru" no Youtube
</x:v>
      </x:c>
      <x:c r="F233" s="10" t="str">
        <x:v>Removido apenas na cópia tabular de análise; original preservado.</x:v>
      </x:c>
    </x:row>
    <x:row r="234" ht="24" hidden="0" customHeight="1">
      <x:c r="A234" s="10" t="str">
        <x:v>BR-SPCARANDIRU_MAPEAMENTOS-REMEMORA-CARANDIRU.xlsx</x:v>
      </x:c>
      <x:c r="B234" s="10" t="str">
        <x:v>Geral</x:v>
      </x:c>
      <x:c r="C234" s="10" t="str">
        <x:v>I169</x:v>
      </x:c>
      <x:c r="D234" s="10" t="str">
        <x:v>Espaço externo ou caractere invisível</x:v>
      </x:c>
      <x:c r="E234" s="10" t="str">
        <x:v>1ª Frente de Sobreviventes do Cárcere, Memórias Carandiru, Secretaria Municipal de Direitos Humanos e Instituto Resgata Cidadão </x:v>
      </x:c>
      <x:c r="F234" s="10" t="str">
        <x:v>Removido apenas na cópia tabular de análise; original preservado.</x:v>
      </x:c>
    </x:row>
    <x:row r="235" ht="64.80000305175781" hidden="0" customHeight="1">
      <x:c r="A235" s="10" t="str">
        <x:v>BR-SPCARANDIRU_MAPEAMENTOS-REMEMORA-CARANDIRU.xlsx</x:v>
      </x:c>
      <x:c r="B235" s="10" t="str">
        <x:v>Geral</x:v>
      </x:c>
      <x:c r="C235" s="10" t="str">
        <x:v>S169</x:v>
      </x:c>
      <x:c r="D235" s="10" t="str">
        <x:v>Espaço externo ou caractere invisível</x:v>
      </x:c>
      <x:c r="E235" s="10" t="str">
        <x:v>MEMÓRIAS CARANDIRU. 1º Roteiro de Memória de 2024. Instagram, 5 jan. 2024. Disponível em: https://www.instagram.com/p/C1nVpk2PMDo/?utm_source=ig_web_copy_link&amp;igsh=MzRlODBiNWFlZA==. Acesso em: 19 jul. 2025.
</x:v>
      </x:c>
      <x:c r="F235" s="10" t="str">
        <x:v>Removido apenas na cópia tabular de análise; original preservado.</x:v>
      </x:c>
    </x:row>
    <x:row r="236" ht="24" hidden="0" customHeight="1">
      <x:c r="A236" s="10" t="str">
        <x:v>BR-SPCARANDIRU_MAPEAMENTOS-REMEMORA-CARANDIRU.xlsx</x:v>
      </x:c>
      <x:c r="B236" s="10" t="str">
        <x:v>Geral</x:v>
      </x:c>
      <x:c r="C236" s="10" t="str">
        <x:v>I170</x:v>
      </x:c>
      <x:c r="D236" s="10" t="str">
        <x:v>Espaço externo ou caractere invisível</x:v>
      </x:c>
      <x:c r="E236" s="10" t="str">
        <x:v>1ª Frente de Sobreviventes do Cárcere, Memórias Carandiru, Secretaria Municipal de Direitos Humanos e Instituto Resgata Cidadão </x:v>
      </x:c>
      <x:c r="F236" s="10" t="str">
        <x:v>Removido apenas na cópia tabular de análise; original preservado.</x:v>
      </x:c>
    </x:row>
    <x:row r="237" ht="64.80000305175781" hidden="0" customHeight="1">
      <x:c r="A237" s="10" t="str">
        <x:v>BR-SPCARANDIRU_MAPEAMENTOS-REMEMORA-CARANDIRU.xlsx</x:v>
      </x:c>
      <x:c r="B237" s="10" t="str">
        <x:v>Geral</x:v>
      </x:c>
      <x:c r="C237" s="10" t="str">
        <x:v>S170</x:v>
      </x:c>
      <x:c r="D237" s="10" t="str">
        <x:v>Espaço externo ou caractere invisível</x:v>
      </x:c>
      <x:c r="E237" s="10" t="str">
        <x:v>MEMÓRIAS CARANDIRU. Discussão sobre os 10 pontos da Agenda Nacional pelo Desencarceramento. Instagram, 14 jan. 2024. Disponível em: https://www.instagram.com/p/C2Z2qc9rb-6/?utm_source=ig_web_copy_link&amp;igsh=MzRlODBiNWFlZA==. Acesso em: 19 jul. 2025.
</x:v>
      </x:c>
      <x:c r="F237" s="10" t="str">
        <x:v>Removido apenas na cópia tabular de análise; original preservado.</x:v>
      </x:c>
    </x:row>
    <x:row r="238" ht="64.80000305175781" hidden="0" customHeight="1">
      <x:c r="A238" s="10" t="str">
        <x:v>BR-SPCARANDIRU_MAPEAMENTOS-REMEMORA-CARANDIRU.xlsx</x:v>
      </x:c>
      <x:c r="B238" s="10" t="str">
        <x:v>Geral</x:v>
      </x:c>
      <x:c r="C238" s="10" t="str">
        <x:v>S171</x:v>
      </x:c>
      <x:c r="D238" s="10" t="str">
        <x:v>Espaço externo ou caractere invisível</x:v>
      </x:c>
      <x:c r="E238" s="10" t="str">
        <x:v>MEMÓRIAS CARANDIRU. INVENTÁRIO: o massacre do Carandiru numa pintura múltipla de memória. Instagram, 16 jan. 2024. Disponível em: https://www.instagram.com/p/C2Z2qc9rb-6/?utm_source=ig_web_copy_link&amp;igsh=MzRlODBiNWFlZA==. Acesso em: 19 jul. 2025.
</x:v>
      </x:c>
      <x:c r="F238" s="10" t="str">
        <x:v>Removido apenas na cópia tabular de análise; original preservado.</x:v>
      </x:c>
    </x:row>
    <x:row r="239" ht="24" hidden="0" customHeight="1">
      <x:c r="A239" s="10" t="str">
        <x:v>BR-SPCARANDIRU_MAPEAMENTOS-REMEMORA-CARANDIRU.xlsx</x:v>
      </x:c>
      <x:c r="B239" s="10" t="str">
        <x:v>Geral</x:v>
      </x:c>
      <x:c r="C239" s="10" t="str">
        <x:v>I172</x:v>
      </x:c>
      <x:c r="D239" s="10" t="str">
        <x:v>Espaço externo ou caractere invisível</x:v>
      </x:c>
      <x:c r="E239" s="10" t="str">
        <x:v>1ª Frente de Sobreviventes do Cárcere, Memórias Carandiru, Secretaria Municipal de Direitos Humanos e Instituto Resgata Cidadão </x:v>
      </x:c>
      <x:c r="F239" s="10" t="str">
        <x:v>Removido apenas na cópia tabular de análise; original preservado.</x:v>
      </x:c>
    </x:row>
    <x:row r="240" ht="76.80000305175781" hidden="0" customHeight="1">
      <x:c r="A240" s="10" t="str">
        <x:v>BR-SPCARANDIRU_MAPEAMENTOS-REMEMORA-CARANDIRU.xlsx</x:v>
      </x:c>
      <x:c r="B240" s="10" t="str">
        <x:v>Geral</x:v>
      </x:c>
      <x:c r="C240" s="10" t="str">
        <x:v>S172</x:v>
      </x:c>
      <x:c r="D240" s="10" t="str">
        <x:v>Espaço externo ou caractere invisível</x:v>
      </x:c>
      <x:c r="E240" s="10" t="str">
        <x:v>MEMÓRIAS CARANDIRU. Arte, liberdade, desafios e aspirações, criando com jovens um espaço onde as vozes ecoam e são ouvidas. Instagram, 17 jan. 2024. Disponível em: https://www.instagram.com/p/C2Z2qc9rb-6/?utm_source=ig_web_copy_link&amp;igsh=MzRlODBiNWFlZA==. Acesso em: 19 jul. 2025.
</x:v>
      </x:c>
      <x:c r="F240" s="10" t="str">
        <x:v>Removido apenas na cópia tabular de análise; original preservado.</x:v>
      </x:c>
    </x:row>
    <x:row r="241" ht="24" hidden="0" customHeight="1">
      <x:c r="A241" s="10" t="str">
        <x:v>BR-SPCARANDIRU_MAPEAMENTOS-REMEMORA-CARANDIRU.xlsx</x:v>
      </x:c>
      <x:c r="B241" s="10" t="str">
        <x:v>Geral</x:v>
      </x:c>
      <x:c r="C241" s="10" t="str">
        <x:v>I173</x:v>
      </x:c>
      <x:c r="D241" s="10" t="str">
        <x:v>Espaço externo ou caractere invisível</x:v>
      </x:c>
      <x:c r="E241" s="10" t="str">
        <x:v>1ª Frente de Sobreviventes do Cárcere, Memórias Carandiru, Secretaria Municipal de Direitos Humanos e Instituto Resgata Cidadão </x:v>
      </x:c>
      <x:c r="F241" s="10" t="str">
        <x:v>Removido apenas na cópia tabular de análise; original preservado.</x:v>
      </x:c>
    </x:row>
    <x:row r="242" ht="64.80000305175781" hidden="0" customHeight="1">
      <x:c r="A242" s="10" t="str">
        <x:v>BR-SPCARANDIRU_MAPEAMENTOS-REMEMORA-CARANDIRU.xlsx</x:v>
      </x:c>
      <x:c r="B242" s="10" t="str">
        <x:v>Geral</x:v>
      </x:c>
      <x:c r="C242" s="10" t="str">
        <x:v>S173</x:v>
      </x:c>
      <x:c r="D242" s="10" t="str">
        <x:v>Espaço externo ou caractere invisível</x:v>
      </x:c>
      <x:c r="E242" s="10" t="str">
        <x:v>MEMÓRIAS CARANDIRU. Carandiru e processos de apagamento. Instagram, 20 jan. 2024. Disponível em: https://www.instagram.com/p/C2Z2qc9rb-6/?utm_source=ig_web_copy_link&amp;igsh=MzRlODBiNWFlZA==. Acesso em: 19 jul. 2025.
</x:v>
      </x:c>
      <x:c r="F242" s="10" t="str">
        <x:v>Removido apenas na cópia tabular de análise; original preservado.</x:v>
      </x:c>
    </x:row>
    <x:row r="243" ht="24" hidden="0" customHeight="1">
      <x:c r="A243" s="10" t="str">
        <x:v>BR-SPCARANDIRU_MAPEAMENTOS-REMEMORA-CARANDIRU.xlsx</x:v>
      </x:c>
      <x:c r="B243" s="10" t="str">
        <x:v>Geral</x:v>
      </x:c>
      <x:c r="C243" s="10" t="str">
        <x:v>I174</x:v>
      </x:c>
      <x:c r="D243" s="10" t="str">
        <x:v>Espaço externo ou caractere invisível</x:v>
      </x:c>
      <x:c r="E243" s="10" t="str">
        <x:v>1ª Frente de Sobreviventes do Cárcere, Memórias Carandiru, Secretaria Municipal de Direitos Humanos e Instituto Resgata Cidadão </x:v>
      </x:c>
      <x:c r="F243" s="10" t="str">
        <x:v>Removido apenas na cópia tabular de análise; original preservado.</x:v>
      </x:c>
    </x:row>
    <x:row r="244" ht="64.80000305175781" hidden="0" customHeight="1">
      <x:c r="A244" s="10" t="str">
        <x:v>BR-SPCARANDIRU_MAPEAMENTOS-REMEMORA-CARANDIRU.xlsx</x:v>
      </x:c>
      <x:c r="B244" s="10" t="str">
        <x:v>Geral</x:v>
      </x:c>
      <x:c r="C244" s="10" t="str">
        <x:v>S174</x:v>
      </x:c>
      <x:c r="D244" s="10" t="str">
        <x:v>Espaço externo ou caractere invisível</x:v>
      </x:c>
      <x:c r="E244" s="10" t="str">
        <x:v>MEMÓRIAS CARANDIRU. Carandiru e o encarceramento em massa. Instagram, 3 fev. 2024. Disponivel em: https://www.instagram.com/p/C2hlF7CrFtX/?utm_source=ig_web_copy_link&amp;igsh=MzRlODBiNWFlZA%3D%3D. Acesso em: 19 jul. 2025.
</x:v>
      </x:c>
      <x:c r="F244" s="10" t="str">
        <x:v>Removido apenas na cópia tabular de análise; original preservado.</x:v>
      </x:c>
    </x:row>
    <x:row r="245" ht="28.799999237060547" hidden="0" customHeight="1">
      <x:c r="A245" s="10" t="str">
        <x:v>BR-SPCARANDIRU_MAPEAMENTOS-REMEMORA-CARANDIRU.xlsx</x:v>
      </x:c>
      <x:c r="B245" s="10" t="str">
        <x:v>Geral</x:v>
      </x:c>
      <x:c r="C245" s="10" t="str">
        <x:v>I175</x:v>
      </x:c>
      <x:c r="D245" s="10" t="str">
        <x:v>Espaço externo ou caractere invisível</x:v>
      </x:c>
      <x:c r="E245" s="10" t="str">
        <x:v>Vai-Vai (escola de samba) 
</x:v>
      </x:c>
      <x:c r="F245" s="10" t="str">
        <x:v>Removido apenas na cópia tabular de análise; original preservado.</x:v>
      </x:c>
    </x:row>
    <x:row r="246" ht="64.80000305175781" hidden="0" customHeight="1">
      <x:c r="A246" s="10" t="str">
        <x:v>BR-SPCARANDIRU_MAPEAMENTOS-REMEMORA-CARANDIRU.xlsx</x:v>
      </x:c>
      <x:c r="B246" s="10" t="str">
        <x:v>Geral</x:v>
      </x:c>
      <x:c r="C246" s="10" t="str">
        <x:v>S175</x:v>
      </x:c>
      <x:c r="D246" s="10" t="str">
        <x:v>Espaço externo ou caractere invisível</x:v>
      </x:c>
      <x:c r="E246" s="10" t="str">
        <x:v>MARIN, Pedro. Quem faz escárnio da lei é policial que massacra no Carandiru, não Vai-Vai no Anhembi. Revista Opera, São Paulo, 13 fev. 2024. Disponível em: https://operamundi.uol.com.br/opiniao/quem-faz-escarnio-da-lei-e-policial-que-massacra-no-carandiru-nao-vai-vai-no-anhembi/. Acesso em: 16 jul. 2025.
</x:v>
      </x:c>
      <x:c r="F246" s="10" t="str">
        <x:v>Removido apenas na cópia tabular de análise; original preservado.</x:v>
      </x:c>
    </x:row>
    <x:row r="247" ht="24" hidden="0" customHeight="1">
      <x:c r="A247" s="10" t="str">
        <x:v>BR-SPCARANDIRU_MAPEAMENTOS-REMEMORA-CARANDIRU.xlsx</x:v>
      </x:c>
      <x:c r="B247" s="10" t="str">
        <x:v>Geral</x:v>
      </x:c>
      <x:c r="C247" s="10" t="str">
        <x:v>I176</x:v>
      </x:c>
      <x:c r="D247" s="10" t="str">
        <x:v>Espaço externo ou caractere invisível</x:v>
      </x:c>
      <x:c r="E247" s="10" t="str">
        <x:v>1ª Frente de Sobreviventes do Cárcere, Memórias Carandiru, Secretaria Municipal de Direitos Humanos e Instituto Resgata Cidadão </x:v>
      </x:c>
      <x:c r="F247" s="10" t="str">
        <x:v>Removido apenas na cópia tabular de análise; original preservado.</x:v>
      </x:c>
    </x:row>
    <x:row r="248" ht="64.80000305175781" hidden="0" customHeight="1">
      <x:c r="A248" s="10" t="str">
        <x:v>BR-SPCARANDIRU_MAPEAMENTOS-REMEMORA-CARANDIRU.xlsx</x:v>
      </x:c>
      <x:c r="B248" s="10" t="str">
        <x:v>Geral</x:v>
      </x:c>
      <x:c r="C248" s="10" t="str">
        <x:v>S176</x:v>
      </x:c>
      <x:c r="D248" s="10" t="str">
        <x:v>Espaço externo ou caractere invisível</x:v>
      </x:c>
      <x:c r="E248" s="10" t="str">
        <x:v>MEMÓRIAS CARANDIRU. Roda de conversa: aprisionamento e o encarceramento em massa. Instagram, 17 fev. 2024. Disponível em: https://www.instagram.com/p/C3Bi_NrPK2v/?utm_source=ig_web_copy_link&amp;igsh=MzRlODBiNWFlZA%3D%3D. Acesso em: 19 jul. 2025.
</x:v>
      </x:c>
      <x:c r="F248" s="10" t="str">
        <x:v>Removido apenas na cópia tabular de análise; original preservado.</x:v>
      </x:c>
    </x:row>
    <x:row r="249" ht="24" hidden="0" customHeight="1">
      <x:c r="A249" s="10" t="str">
        <x:v>BR-SPCARANDIRU_MAPEAMENTOS-REMEMORA-CARANDIRU.xlsx</x:v>
      </x:c>
      <x:c r="B249" s="10" t="str">
        <x:v>Geral</x:v>
      </x:c>
      <x:c r="C249" s="10" t="str">
        <x:v>I177</x:v>
      </x:c>
      <x:c r="D249" s="10" t="str">
        <x:v>Espaço externo ou caractere invisível</x:v>
      </x:c>
      <x:c r="E249" s="10" t="str">
        <x:v>1ª Frente de Sobreviventes do Cárcere, Memórias Carandiru, Secretaria Municipal de Direitos Humanos e Instituto Resgata Cidadão </x:v>
      </x:c>
      <x:c r="F249" s="10" t="str">
        <x:v>Removido apenas na cópia tabular de análise; original preservado.</x:v>
      </x:c>
    </x:row>
    <x:row r="250" ht="64.80000305175781" hidden="0" customHeight="1">
      <x:c r="A250" s="10" t="str">
        <x:v>BR-SPCARANDIRU_MAPEAMENTOS-REMEMORA-CARANDIRU.xlsx</x:v>
      </x:c>
      <x:c r="B250" s="10" t="str">
        <x:v>Geral</x:v>
      </x:c>
      <x:c r="C250" s="10" t="str">
        <x:v>S177</x:v>
      </x:c>
      <x:c r="D250" s="10" t="str">
        <x:v>Espaço externo ou caractere invisível</x:v>
      </x:c>
      <x:c r="E250" s="10" t="str">
        <x:v>MEMÓRIAS CARANDIRU. Liberdade e Carandiru: apagamento e resistência. Instagram, 22 fev. 2024. Disponível em: https://www.instagram.com/p/C3foJgaLwc5/?utm_source=ig_web_copy_link&amp;igsh=MzRlODBiNWFlZA==. Acesso em: 19 jul. 2025.
</x:v>
      </x:c>
      <x:c r="F250" s="10" t="str">
        <x:v>Removido apenas na cópia tabular de análise; original preservado.</x:v>
      </x:c>
    </x:row>
    <x:row r="251" ht="24" hidden="0" customHeight="1">
      <x:c r="A251" s="10" t="str">
        <x:v>BR-SPCARANDIRU_MAPEAMENTOS-REMEMORA-CARANDIRU.xlsx</x:v>
      </x:c>
      <x:c r="B251" s="10" t="str">
        <x:v>Geral</x:v>
      </x:c>
      <x:c r="C251" s="10" t="str">
        <x:v>I178</x:v>
      </x:c>
      <x:c r="D251" s="10" t="str">
        <x:v>Espaço externo ou caractere invisível</x:v>
      </x:c>
      <x:c r="E251" s="10" t="str">
        <x:v>1ª Frente de Sobreviventes do Cárcere, Memórias Carandiru, Secretaria Municipal de Direitos Humanos e Instituto Resgata Cidadão </x:v>
      </x:c>
      <x:c r="F251" s="10" t="str">
        <x:v>Removido apenas na cópia tabular de análise; original preservado.</x:v>
      </x:c>
    </x:row>
    <x:row r="252" ht="64.80000305175781" hidden="0" customHeight="1">
      <x:c r="A252" s="10" t="str">
        <x:v>BR-SPCARANDIRU_MAPEAMENTOS-REMEMORA-CARANDIRU.xlsx</x:v>
      </x:c>
      <x:c r="B252" s="10" t="str">
        <x:v>Geral</x:v>
      </x:c>
      <x:c r="C252" s="10" t="str">
        <x:v>S178</x:v>
      </x:c>
      <x:c r="D252" s="10" t="str">
        <x:v>Espaço externo ou caractere invisível</x:v>
      </x:c>
      <x:c r="E252" s="10" t="str">
        <x:v>MEMÓRIAS CARANDIRU. Pelo direito à memória, a verdade e a justiça. Instagram, 25 fev. 2024. Disponível em: https://www.instagram.com/p/C3nNNzeuqqT/?utm_source=ig_web_copy_link&amp;igsh=MzRlODBiNWFlZA==. Acesso em: 19 jul. 2025.
</x:v>
      </x:c>
      <x:c r="F252" s="10" t="str">
        <x:v>Removido apenas na cópia tabular de análise; original preservado.</x:v>
      </x:c>
    </x:row>
    <x:row r="253" ht="24" hidden="0" customHeight="1">
      <x:c r="A253" s="10" t="str">
        <x:v>BR-SPCARANDIRU_MAPEAMENTOS-REMEMORA-CARANDIRU.xlsx</x:v>
      </x:c>
      <x:c r="B253" s="10" t="str">
        <x:v>Geral</x:v>
      </x:c>
      <x:c r="C253" s="10" t="str">
        <x:v>I179</x:v>
      </x:c>
      <x:c r="D253" s="10" t="str">
        <x:v>Espaço externo ou caractere invisível</x:v>
      </x:c>
      <x:c r="E253" s="10" t="str">
        <x:v>1ª Frente de Sobreviventes do Cárcere, Memórias Carandiru, Secretaria Municipal de Direitos Humanos e Instituto Resgata Cidadão </x:v>
      </x:c>
      <x:c r="F253" s="10" t="str">
        <x:v>Removido apenas na cópia tabular de análise; original preservado.</x:v>
      </x:c>
    </x:row>
    <x:row r="254" ht="64.80000305175781" hidden="0" customHeight="1">
      <x:c r="A254" s="10" t="str">
        <x:v>BR-SPCARANDIRU_MAPEAMENTOS-REMEMORA-CARANDIRU.xlsx</x:v>
      </x:c>
      <x:c r="B254" s="10" t="str">
        <x:v>Geral</x:v>
      </x:c>
      <x:c r="C254" s="10" t="str">
        <x:v>S179</x:v>
      </x:c>
      <x:c r="D254" s="10" t="str">
        <x:v>Espaço externo ou caractere invisível</x:v>
      </x:c>
      <x:c r="E254" s="10" t="str">
        <x:v>MEMÓRIAS CARANDIRU. Carandiru: lembrar para que nunca mais aconteça. Instagram, 9 mar. 2024. Disponível em: https://www.instagram.com/p/C4LTE7FrOsJ/?utm_source=ig_web_copy_link&amp;igsh=MzRlODBiNWFlZA==. Acesso em: 19 jul. 2025.
</x:v>
      </x:c>
      <x:c r="F254" s="10" t="str">
        <x:v>Removido apenas na cópia tabular de análise; original preservado.</x:v>
      </x:c>
    </x:row>
    <x:row r="255" ht="24" hidden="0" customHeight="1">
      <x:c r="A255" s="10" t="str">
        <x:v>BR-SPCARANDIRU_MAPEAMENTOS-REMEMORA-CARANDIRU.xlsx</x:v>
      </x:c>
      <x:c r="B255" s="10" t="str">
        <x:v>Geral</x:v>
      </x:c>
      <x:c r="C255" s="10" t="str">
        <x:v>I180</x:v>
      </x:c>
      <x:c r="D255" s="10" t="str">
        <x:v>Espaço externo ou caractere invisível</x:v>
      </x:c>
      <x:c r="E255" s="10" t="str">
        <x:v>1ª Frente de Sobreviventes do Cárcere, Memórias Carandiru, Secretaria Municipal de Direitos Humanos e Instituto Resgata Cidadão </x:v>
      </x:c>
      <x:c r="F255" s="10" t="str">
        <x:v>Removido apenas na cópia tabular de análise; original preservado.</x:v>
      </x:c>
    </x:row>
    <x:row r="256" ht="64.80000305175781" hidden="0" customHeight="1">
      <x:c r="A256" s="10" t="str">
        <x:v>BR-SPCARANDIRU_MAPEAMENTOS-REMEMORA-CARANDIRU.xlsx</x:v>
      </x:c>
      <x:c r="B256" s="10" t="str">
        <x:v>Geral</x:v>
      </x:c>
      <x:c r="C256" s="10" t="str">
        <x:v>S180</x:v>
      </x:c>
      <x:c r="D256" s="10" t="str">
        <x:v>Espaço externo ou caractere invisível</x:v>
      </x:c>
      <x:c r="E256" s="10" t="str">
        <x:v>MEMÓRIAS CARANDIRU. Letalidade policial e impunidade. Instagram, 15 mar. 2024. Disponível em: https://www.instagram.com/p/C4YfouLv4Fn/?utm_source=ig_web_copy_link&amp;igsh=MzRlODBiNWFlZA==. Acesso em: 19 jul. 2025.
</x:v>
      </x:c>
      <x:c r="F256" s="10" t="str">
        <x:v>Removido apenas na cópia tabular de análise; original preservado.</x:v>
      </x:c>
    </x:row>
    <x:row r="257" ht="24" hidden="0" customHeight="1">
      <x:c r="A257" s="10" t="str">
        <x:v>BR-SPCARANDIRU_MAPEAMENTOS-REMEMORA-CARANDIRU.xlsx</x:v>
      </x:c>
      <x:c r="B257" s="10" t="str">
        <x:v>Geral</x:v>
      </x:c>
      <x:c r="C257" s="10" t="str">
        <x:v>I181</x:v>
      </x:c>
      <x:c r="D257" s="10" t="str">
        <x:v>Espaço externo ou caractere invisível</x:v>
      </x:c>
      <x:c r="E257" s="10" t="str">
        <x:v>1ª Frente de Sobreviventes do Cárcere, Memórias Carandiru, Secretaria Municipal de Direitos Humanos e Instituto Resgata Cidadão </x:v>
      </x:c>
      <x:c r="F257" s="10" t="str">
        <x:v>Removido apenas na cópia tabular de análise; original preservado.</x:v>
      </x:c>
    </x:row>
    <x:row r="258" ht="64.80000305175781" hidden="0" customHeight="1">
      <x:c r="A258" s="10" t="str">
        <x:v>BR-SPCARANDIRU_MAPEAMENTOS-REMEMORA-CARANDIRU.xlsx</x:v>
      </x:c>
      <x:c r="B258" s="10" t="str">
        <x:v>Geral</x:v>
      </x:c>
      <x:c r="C258" s="10" t="str">
        <x:v>S181</x:v>
      </x:c>
      <x:c r="D258" s="10" t="str">
        <x:v>Espaço externo ou caractere invisível</x:v>
      </x:c>
      <x:c r="E258" s="10" t="str">
        <x:v>MEMÓRIAS CARANDIRU. Justiça pra quem?. Instagram, 23 mar. 2024. Disponível em: https://www.instagram.com/p/C486qk8vqzJ/?utm_source=ig_web_copy_link&amp;igsh=MzRlODBiNWFlZA==. Acesso em: 19 jul. 2025.
</x:v>
      </x:c>
      <x:c r="F258" s="10" t="str">
        <x:v>Removido apenas na cópia tabular de análise; original preservado.</x:v>
      </x:c>
    </x:row>
    <x:row r="259" ht="64.80000305175781" hidden="0" customHeight="1">
      <x:c r="A259" s="10" t="str">
        <x:v>BR-SPCARANDIRU_MAPEAMENTOS-REMEMORA-CARANDIRU.xlsx</x:v>
      </x:c>
      <x:c r="B259" s="10" t="str">
        <x:v>Geral</x:v>
      </x:c>
      <x:c r="C259" s="10" t="str">
        <x:v>S182</x:v>
      </x:c>
      <x:c r="D259" s="10" t="str">
        <x:v>Espaço externo ou caractere invisível</x:v>
      </x:c>
      <x:c r="E259" s="10" t="str">
        <x:v>MEMÓRIAS CARANDIRU. Carandiru: cicatrizes de um massacre. Instagram, 18 abr. 2024. Disponível em: https://www.instagram.com/reel/C56iXXgvp-y/?utm_source=ig_web_copy_link&amp;igsh=MzRlODBiNWFlZA==. Acesso em: 19 jul. 2025.
</x:v>
      </x:c>
      <x:c r="F259" s="10" t="str">
        <x:v>Removido apenas na cópia tabular de análise; original preservado.</x:v>
      </x:c>
    </x:row>
    <x:row r="260" ht="24" hidden="0" customHeight="1">
      <x:c r="A260" s="10" t="str">
        <x:v>BR-SPCARANDIRU_MAPEAMENTOS-REMEMORA-CARANDIRU.xlsx</x:v>
      </x:c>
      <x:c r="B260" s="10" t="str">
        <x:v>Geral</x:v>
      </x:c>
      <x:c r="C260" s="10" t="str">
        <x:v>I183</x:v>
      </x:c>
      <x:c r="D260" s="10" t="str">
        <x:v>Espaço externo ou caractere invisível</x:v>
      </x:c>
      <x:c r="E260" s="10" t="str">
        <x:v>1ª Frente de Sobreviventes do Cárcere, Memórias Carandiru, Secretaria Municipal de Direitos Humanos e Instituto Resgata Cidadão </x:v>
      </x:c>
      <x:c r="F260" s="10" t="str">
        <x:v>Removido apenas na cópia tabular de análise; original preservado.</x:v>
      </x:c>
    </x:row>
    <x:row r="261" ht="40.79999923706055" hidden="0" customHeight="1">
      <x:c r="A261" s="10" t="str">
        <x:v>BR-SPCARANDIRU_MAPEAMENTOS-REMEMORA-CARANDIRU.xlsx</x:v>
      </x:c>
      <x:c r="B261" s="10" t="str">
        <x:v>Geral</x:v>
      </x:c>
      <x:c r="C261" s="10" t="str">
        <x:v>S184</x:v>
      </x:c>
      <x:c r="D261" s="10" t="str">
        <x:v>Espaço externo ou caractere invisível</x:v>
      </x:c>
      <x:c r="E261" s="10" t="str">
        <x:v>COLA NA GRADE. Podcast. Spotify, 14 mai. 2024. Disponível em: https://open.spotify.com/show/1U5eiPEESlZzrAZvJIbjC3. Acesso em: 18 jul. 2025.
</x:v>
      </x:c>
      <x:c r="F261" s="10" t="str">
        <x:v>Removido apenas na cópia tabular de análise; original preservado.</x:v>
      </x:c>
    </x:row>
    <x:row r="262" ht="24" hidden="0" customHeight="1">
      <x:c r="A262" s="10" t="str">
        <x:v>BR-SPCARANDIRU_MAPEAMENTOS-REMEMORA-CARANDIRU.xlsx</x:v>
      </x:c>
      <x:c r="B262" s="10" t="str">
        <x:v>Geral</x:v>
      </x:c>
      <x:c r="C262" s="10" t="str">
        <x:v>I185</x:v>
      </x:c>
      <x:c r="D262" s="10" t="str">
        <x:v>Espaço externo ou caractere invisível</x:v>
      </x:c>
      <x:c r="E262" s="10" t="str">
        <x:v>1ª Frente de Sobreviventes do Cárcere, Memórias Carandiru, Secretaria Municipal de Direitos Humanos e Instituto Resgata Cidadão </x:v>
      </x:c>
      <x:c r="F262" s="10" t="str">
        <x:v>Removido apenas na cópia tabular de análise; original preservado.</x:v>
      </x:c>
    </x:row>
    <x:row r="263" ht="64.80000305175781" hidden="0" customHeight="1">
      <x:c r="A263" s="10" t="str">
        <x:v>BR-SPCARANDIRU_MAPEAMENTOS-REMEMORA-CARANDIRU.xlsx</x:v>
      </x:c>
      <x:c r="B263" s="10" t="str">
        <x:v>Geral</x:v>
      </x:c>
      <x:c r="C263" s="10" t="str">
        <x:v>S185</x:v>
      </x:c>
      <x:c r="D263" s="10" t="str">
        <x:v>Espaço externo ou caractere invisível</x:v>
      </x:c>
      <x:c r="E263" s="10" t="str">
        <x:v>MEMÓRIAS CARANDIRU. Segurança pública: na mira das câmeras. Instagram, 15 mai. 2024. Disponível em: https://www.instagram.com/p/C61EDzwN9KW/?utm_source=ig_web_copy_link&amp;igsh=MzRlODBiNWFlZA==. Acesso em: 19 jul. 2025.
</x:v>
      </x:c>
      <x:c r="F263" s="10" t="str">
        <x:v>Removido apenas na cópia tabular de análise; original preservado.</x:v>
      </x:c>
    </x:row>
    <x:row r="264" ht="24" hidden="0" customHeight="1">
      <x:c r="A264" s="10" t="str">
        <x:v>BR-SPCARANDIRU_MAPEAMENTOS-REMEMORA-CARANDIRU.xlsx</x:v>
      </x:c>
      <x:c r="B264" s="10" t="str">
        <x:v>Geral</x:v>
      </x:c>
      <x:c r="C264" s="10" t="str">
        <x:v>I186</x:v>
      </x:c>
      <x:c r="D264" s="10" t="str">
        <x:v>Espaço externo ou caractere invisível</x:v>
      </x:c>
      <x:c r="E264" s="10" t="str">
        <x:v>1ª Frente de Sobreviventes do Cárcere, Memórias Carandiru, Secretaria Municipal de Direitos Humanos e Instituto Resgata Cidadão </x:v>
      </x:c>
      <x:c r="F264" s="10" t="str">
        <x:v>Removido apenas na cópia tabular de análise; original preservado.</x:v>
      </x:c>
    </x:row>
    <x:row r="265" ht="64.80000305175781" hidden="0" customHeight="1">
      <x:c r="A265" s="10" t="str">
        <x:v>BR-SPCARANDIRU_MAPEAMENTOS-REMEMORA-CARANDIRU.xlsx</x:v>
      </x:c>
      <x:c r="B265" s="10" t="str">
        <x:v>Geral</x:v>
      </x:c>
      <x:c r="C265" s="10" t="str">
        <x:v>S186</x:v>
      </x:c>
      <x:c r="D265" s="10" t="str">
        <x:v>Espaço externo ou caractere invisível</x:v>
      </x:c>
      <x:c r="E265" s="10" t="str">
        <x:v>MEMÓRIAS CARANDIRU. Além dos Muros: histórias e resistência no Parque da Juventude. Instagram, 20 mai. 2024. Disponível em: https://www.instagram.com/p/C7OxOz5OBlY/?utm_source=ig_web_copy_link&amp;igsh=MzRlODBiNWFlZA==. Acesso em: 19 jul. 2025.
</x:v>
      </x:c>
      <x:c r="F265" s="10" t="str">
        <x:v>Removido apenas na cópia tabular de análise; original preservado.</x:v>
      </x:c>
    </x:row>
    <x:row r="266" ht="24" hidden="0" customHeight="1">
      <x:c r="A266" s="10" t="str">
        <x:v>BR-SPCARANDIRU_MAPEAMENTOS-REMEMORA-CARANDIRU.xlsx</x:v>
      </x:c>
      <x:c r="B266" s="10" t="str">
        <x:v>Geral</x:v>
      </x:c>
      <x:c r="C266" s="10" t="str">
        <x:v>I187</x:v>
      </x:c>
      <x:c r="D266" s="10" t="str">
        <x:v>Espaço externo ou caractere invisível</x:v>
      </x:c>
      <x:c r="E266" s="10" t="str">
        <x:v>1ª Frente de Sobreviventes do Cárcere, Memórias Carandiru, Secretaria Municipal de Direitos Humanos e Instituto Resgata Cidadão </x:v>
      </x:c>
      <x:c r="F266" s="10" t="str">
        <x:v>Removido apenas na cópia tabular de análise; original preservado.</x:v>
      </x:c>
    </x:row>
    <x:row r="267" ht="64.80000305175781" hidden="0" customHeight="1">
      <x:c r="A267" s="10" t="str">
        <x:v>BR-SPCARANDIRU_MAPEAMENTOS-REMEMORA-CARANDIRU.xlsx</x:v>
      </x:c>
      <x:c r="B267" s="10" t="str">
        <x:v>Geral</x:v>
      </x:c>
      <x:c r="C267" s="10" t="str">
        <x:v>S187</x:v>
      </x:c>
      <x:c r="D267" s="10" t="str">
        <x:v>Espaço externo ou caractere invisível</x:v>
      </x:c>
      <x:c r="E267" s="10" t="str">
        <x:v>MEMÓRIAS CARANDIRU. Tragédia anunciada: repetição da história. Instagram, 14 jun. 2024. Disponível em: https://www.instagram.com/p/C7phpOgNhrJ/?utm_source=ig_web_copy_link&amp;igsh=MzRlODBiNWFlZA==. Acesso em: 19 jul. 2025.
</x:v>
      </x:c>
      <x:c r="F267" s="10" t="str">
        <x:v>Removido apenas na cópia tabular de análise; original preservado.</x:v>
      </x:c>
    </x:row>
    <x:row r="268" ht="24" hidden="0" customHeight="1">
      <x:c r="A268" s="10" t="str">
        <x:v>BR-SPCARANDIRU_MAPEAMENTOS-REMEMORA-CARANDIRU.xlsx</x:v>
      </x:c>
      <x:c r="B268" s="10" t="str">
        <x:v>Geral</x:v>
      </x:c>
      <x:c r="C268" s="10" t="str">
        <x:v>I188</x:v>
      </x:c>
      <x:c r="D268" s="10" t="str">
        <x:v>Espaço externo ou caractere invisível</x:v>
      </x:c>
      <x:c r="E268" s="10" t="str">
        <x:v>1ª Frente de Sobreviventes do Cárcere, Memórias Carandiru, Secretaria Municipal de Direitos Humanos e Instituto Resgata Cidadão </x:v>
      </x:c>
      <x:c r="F268" s="10" t="str">
        <x:v>Removido apenas na cópia tabular de análise; original preservado.</x:v>
      </x:c>
    </x:row>
    <x:row r="269" ht="64.80000305175781" hidden="0" customHeight="1">
      <x:c r="A269" s="10" t="str">
        <x:v>BR-SPCARANDIRU_MAPEAMENTOS-REMEMORA-CARANDIRU.xlsx</x:v>
      </x:c>
      <x:c r="B269" s="10" t="str">
        <x:v>Geral</x:v>
      </x:c>
      <x:c r="C269" s="10" t="str">
        <x:v>S188</x:v>
      </x:c>
      <x:c r="D269" s="10" t="str">
        <x:v>Espaço externo ou caractere invisível</x:v>
      </x:c>
      <x:c r="E269" s="10" t="str">
        <x:v>MEMÓRIAS CARANDIRU. Caminhos repetidos: tragédias e violências. Instagram, 22 jun. 2024. Disponível em: https://www.instagram.com/p/C8NYStMv5lv/?utm_source=ig_web_copy_link&amp;igsh=MzRlODBiNWFlZA==. Acesso em: 19 jul. 2025.
</x:v>
      </x:c>
      <x:c r="F269" s="10" t="str">
        <x:v>Removido apenas na cópia tabular de análise; original preservado.</x:v>
      </x:c>
    </x:row>
    <x:row r="270" ht="64.80000305175781" hidden="0" customHeight="1">
      <x:c r="A270" s="10" t="str">
        <x:v>BR-SPCARANDIRU_MAPEAMENTOS-REMEMORA-CARANDIRU.xlsx</x:v>
      </x:c>
      <x:c r="B270" s="10" t="str">
        <x:v>Geral</x:v>
      </x:c>
      <x:c r="C270" s="10" t="str">
        <x:v>S189</x:v>
      </x:c>
      <x:c r="D270" s="10" t="str">
        <x:v>Espaço externo ou caractere invisível</x:v>
      </x:c>
      <x:c r="E270" s="10" t="str">
        <x:v>MEMÓRIAS CARANDIRU. A superlotação negra e o racismo no sistema carcerário brasileiro. Instagram, 23 jun. 2024. Disponível em: https://www.instagram.com/p/C8kj-4pvlEy/?utm_source=ig_web_copy_link&amp;igsh=MzRlODBiNWFlZA==. Acesso em: 19 jul. 2025.
</x:v>
      </x:c>
      <x:c r="F270" s="10" t="str">
        <x:v>Removido apenas na cópia tabular de análise; original preservado.</x:v>
      </x:c>
    </x:row>
    <x:row r="271" ht="24" hidden="0" customHeight="1">
      <x:c r="A271" s="10" t="str">
        <x:v>BR-SPCARANDIRU_MAPEAMENTOS-REMEMORA-CARANDIRU.xlsx</x:v>
      </x:c>
      <x:c r="B271" s="10" t="str">
        <x:v>Geral</x:v>
      </x:c>
      <x:c r="C271" s="10" t="str">
        <x:v>I190</x:v>
      </x:c>
      <x:c r="D271" s="10" t="str">
        <x:v>Espaço externo ou caractere invisível</x:v>
      </x:c>
      <x:c r="E271" s="10" t="str">
        <x:v>1ª Frente de Sobreviventes do Cárcere, Memórias Carandiru, Secretaria Municipal de Direitos Humanos e Instituto Resgata Cidadão </x:v>
      </x:c>
      <x:c r="F271" s="10" t="str">
        <x:v>Removido apenas na cópia tabular de análise; original preservado.</x:v>
      </x:c>
    </x:row>
    <x:row r="272" ht="64.80000305175781" hidden="0" customHeight="1">
      <x:c r="A272" s="10" t="str">
        <x:v>BR-SPCARANDIRU_MAPEAMENTOS-REMEMORA-CARANDIRU.xlsx</x:v>
      </x:c>
      <x:c r="B272" s="10" t="str">
        <x:v>Geral</x:v>
      </x:c>
      <x:c r="C272" s="10" t="str">
        <x:v>S190</x:v>
      </x:c>
      <x:c r="D272" s="10" t="str">
        <x:v>Espaço externo ou caractere invisível</x:v>
      </x:c>
      <x:c r="E272" s="10" t="str">
        <x:v>MEMÓRIAS CARANDIRU. Ressignificação ou apagamento da história?. Instagram, 29 jun. 2024. Disponível em: https://www.instagram.com/p/C8p3dZLvc2m/?utm_source=ig_web_copy_link&amp;igsh=MzRlODBiNWFlZA==. Acesso em: 19 jul. 2025.
</x:v>
      </x:c>
      <x:c r="F272" s="10" t="str">
        <x:v>Removido apenas na cópia tabular de análise; original preservado.</x:v>
      </x:c>
    </x:row>
    <x:row r="273" ht="24" hidden="0" customHeight="1">
      <x:c r="A273" s="10" t="str">
        <x:v>BR-SPCARANDIRU_MAPEAMENTOS-REMEMORA-CARANDIRU.xlsx</x:v>
      </x:c>
      <x:c r="B273" s="10" t="str">
        <x:v>Geral</x:v>
      </x:c>
      <x:c r="C273" s="10" t="str">
        <x:v>I191</x:v>
      </x:c>
      <x:c r="D273" s="10" t="str">
        <x:v>Espaço externo ou caractere invisível</x:v>
      </x:c>
      <x:c r="E273" s="10" t="str">
        <x:v>1ª Frente de Sobreviventes do Cárcere, Memórias Carandiru, Secretaria Municipal de Direitos Humanos e Instituto Resgata Cidadão </x:v>
      </x:c>
      <x:c r="F273" s="10" t="str">
        <x:v>Removido apenas na cópia tabular de análise; original preservado.</x:v>
      </x:c>
    </x:row>
    <x:row r="274" ht="64.80000305175781" hidden="0" customHeight="1">
      <x:c r="A274" s="10" t="str">
        <x:v>BR-SPCARANDIRU_MAPEAMENTOS-REMEMORA-CARANDIRU.xlsx</x:v>
      </x:c>
      <x:c r="B274" s="10" t="str">
        <x:v>Geral</x:v>
      </x:c>
      <x:c r="C274" s="10" t="str">
        <x:v>S191</x:v>
      </x:c>
      <x:c r="D274" s="10" t="str">
        <x:v>Espaço externo ou caractere invisível</x:v>
      </x:c>
      <x:c r="E274" s="10" t="str">
        <x:v>MEMÓRIAS CARANDIRU. Pouco tempo na prisão: consequências para todo o sempre. Instagram, 28 ago. 2024. Disponível em: https://www.instagram.com/p/C_JVFwxPFhg/?utm_source=ig_web_copy_link&amp;igsh=MzRlODBiNWFlZA==. Acesso em: 19 jul. 2025.
</x:v>
      </x:c>
      <x:c r="F274" s="10" t="str">
        <x:v>Removido apenas na cópia tabular de análise; original preservado.</x:v>
      </x:c>
    </x:row>
    <x:row r="275" ht="64.80000305175781" hidden="0" customHeight="1">
      <x:c r="A275" s="10" t="str">
        <x:v>BR-SPCARANDIRU_MAPEAMENTOS-REMEMORA-CARANDIRU.xlsx</x:v>
      </x:c>
      <x:c r="B275" s="10" t="str">
        <x:v>Geral</x:v>
      </x:c>
      <x:c r="C275" s="10" t="str">
        <x:v>S192</x:v>
      </x:c>
      <x:c r="D275" s="10" t="str">
        <x:v>Espaço externo ou caractere invisível</x:v>
      </x:c>
      <x:c r="E275" s="10" t="str">
        <x:v>MAURICIO MONTEIRO. Lançamento de um manifesto, constituído por egressos do sistema prisional, em nível internacional. Instagram, 1 set. 2024. Disponível em: https://www.instagram.com/reel/C_ZMO7MvFcH/?utm_source=ig_web_copy_link&amp;igsh=MzRlODBiNWFlZA%3D%3D. Acesso em: 19 jul. 2025.
</x:v>
      </x:c>
      <x:c r="F275" s="10" t="str">
        <x:v>Removido apenas na cópia tabular de análise; original preservado.</x:v>
      </x:c>
    </x:row>
    <x:row r="276" ht="24" hidden="0" customHeight="1">
      <x:c r="A276" s="10" t="str">
        <x:v>BR-SPCARANDIRU_MAPEAMENTOS-REMEMORA-CARANDIRU.xlsx</x:v>
      </x:c>
      <x:c r="B276" s="10" t="str">
        <x:v>Geral</x:v>
      </x:c>
      <x:c r="C276" s="10" t="str">
        <x:v>I193</x:v>
      </x:c>
      <x:c r="D276" s="10" t="str">
        <x:v>Espaço externo ou caractere invisível</x:v>
      </x:c>
      <x:c r="E276" s="10" t="str">
        <x:v>1ª Frente de Sobreviventes do Cárcere, Memórias Carandiru, Secretaria Municipal de Direitos Humanos e Instituto Resgata Cidadão </x:v>
      </x:c>
      <x:c r="F276" s="10" t="str">
        <x:v>Removido apenas na cópia tabular de análise; original preservado.</x:v>
      </x:c>
    </x:row>
    <x:row r="277" ht="64.80000305175781" hidden="0" customHeight="1">
      <x:c r="A277" s="10" t="str">
        <x:v>BR-SPCARANDIRU_MAPEAMENTOS-REMEMORA-CARANDIRU.xlsx</x:v>
      </x:c>
      <x:c r="B277" s="10" t="str">
        <x:v>Geral</x:v>
      </x:c>
      <x:c r="C277" s="10" t="str">
        <x:v>S193</x:v>
      </x:c>
      <x:c r="D277" s="10" t="str">
        <x:v>Espaço externo ou caractere invisível</x:v>
      </x:c>
      <x:c r="E277" s="10" t="str">
        <x:v>MEMÓRIAS CARANDIRU. Transparência ou controle? As câmeras corporais na vista de mães e ex-detentos. Instagram, 14 set. 2024. Disponível em: https://www.instagram.com/p/C_q4rYEvGwr/?utm_source=ig_web_copy_link&amp;igsh=MzRlODBiNWFlZA==. Acesso em: 19 jul. 2025.
</x:v>
      </x:c>
      <x:c r="F277" s="10" t="str">
        <x:v>Removido apenas na cópia tabular de análise; original preservado.</x:v>
      </x:c>
    </x:row>
    <x:row r="278" ht="24" hidden="0" customHeight="1">
      <x:c r="A278" s="10" t="str">
        <x:v>BR-SPCARANDIRU_MAPEAMENTOS-REMEMORA-CARANDIRU.xlsx</x:v>
      </x:c>
      <x:c r="B278" s="10" t="str">
        <x:v>Geral</x:v>
      </x:c>
      <x:c r="C278" s="10" t="str">
        <x:v>I194</x:v>
      </x:c>
      <x:c r="D278" s="10" t="str">
        <x:v>Espaço externo ou caractere invisível</x:v>
      </x:c>
      <x:c r="E278" s="10" t="str">
        <x:v>1ª Frente de Sobreviventes do Cárcere, Memórias Carandiru, Secretaria Municipal de Direitos Humanos e Instituto Resgata Cidadão </x:v>
      </x:c>
      <x:c r="F278" s="10" t="str">
        <x:v>Removido apenas na cópia tabular de análise; original preservado.</x:v>
      </x:c>
    </x:row>
    <x:row r="279" ht="64.80000305175781" hidden="0" customHeight="1">
      <x:c r="A279" s="10" t="str">
        <x:v>BR-SPCARANDIRU_MAPEAMENTOS-REMEMORA-CARANDIRU.xlsx</x:v>
      </x:c>
      <x:c r="B279" s="10" t="str">
        <x:v>Geral</x:v>
      </x:c>
      <x:c r="C279" s="10" t="str">
        <x:v>S194</x:v>
      </x:c>
      <x:c r="D279" s="10" t="str">
        <x:v>Espaço externo ou caractere invisível</x:v>
      </x:c>
      <x:c r="E279" s="10" t="str">
        <x:v>MEMÓRIAS CARANDIRU. Relatos apagados: revelações do antigo Carandiru. Instagram, 22 set. 2024. Disponível em: https://www.instagram.com/p/DATL6w6ujBs/?utm_source=ig_web_copy_link&amp;igsh=MzRlODBiNWFlZA==. Acesso em: 19 jul. 2025.
</x:v>
      </x:c>
      <x:c r="F279" s="10" t="str">
        <x:v>Removido apenas na cópia tabular de análise; original preservado.</x:v>
      </x:c>
    </x:row>
    <x:row r="280" ht="64.80000305175781" hidden="0" customHeight="1">
      <x:c r="A280" s="10" t="str">
        <x:v>BR-SPCARANDIRU_MAPEAMENTOS-REMEMORA-CARANDIRU.xlsx</x:v>
      </x:c>
      <x:c r="B280" s="10" t="str">
        <x:v>Geral</x:v>
      </x:c>
      <x:c r="C280" s="10" t="str">
        <x:v>S195</x:v>
      </x:c>
      <x:c r="D280" s="10" t="str">
        <x:v>Espaço externo ou caractere invisível</x:v>
      </x:c>
      <x:c r="E280" s="10" t="str">
        <x:v>FGV DIREITO SP. Lugar de memória, lugar em disputa: 32 anos do Massacre do Carandiru. FGV DIREITO SP, 1 out. 2024. Disponível em: https://direitosp.fgv.br/eventos/lugar-memoria-lugar-disputa-32-anos-massacre-carandiru. Acesso em: 17 jul. 2025.
</x:v>
      </x:c>
      <x:c r="F280" s="10" t="str">
        <x:v>Removido apenas na cópia tabular de análise; original preservado.</x:v>
      </x:c>
    </x:row>
    <x:row r="281" ht="64.80000305175781" hidden="0" customHeight="1">
      <x:c r="A281" s="10" t="str">
        <x:v>BR-SPCARANDIRU_MAPEAMENTOS-REMEMORA-CARANDIRU.xlsx</x:v>
      </x:c>
      <x:c r="B281" s="10" t="str">
        <x:v>Geral</x:v>
      </x:c>
      <x:c r="C281" s="10" t="str">
        <x:v>S196</x:v>
      </x:c>
      <x:c r="D281" s="10" t="str">
        <x:v>Espaço externo ou caractere invisível</x:v>
      </x:c>
      <x:c r="E281" s="10" t="str">
        <x:v>MEMÓRIAS CARANDIRU. Audiotour TUDO GENTE. Instagram, 2 out. 2024. Disponível em: https://www.instagram.com/p/DABAzFqtrS2/?utm_source=ig_web_copy_link&amp;igsh=MzRlODBiNWFlZA==. Acesso em: 19 jul. 2025.
</x:v>
      </x:c>
      <x:c r="F281" s="10" t="str">
        <x:v>Removido apenas na cópia tabular de análise; original preservado.</x:v>
      </x:c>
    </x:row>
    <x:row r="282" ht="64.80000305175781" hidden="0" customHeight="1">
      <x:c r="A282" s="10" t="str">
        <x:v>BR-SPCARANDIRU_MAPEAMENTOS-REMEMORA-CARANDIRU.xlsx</x:v>
      </x:c>
      <x:c r="B282" s="10" t="str">
        <x:v>Geral</x:v>
      </x:c>
      <x:c r="C282" s="10" t="str">
        <x:v>S197</x:v>
      </x:c>
      <x:c r="D282" s="10" t="str">
        <x:v>Espaço externo ou caractere invisível</x:v>
      </x:c>
      <x:c r="E282" s="10" t="str">
        <x:v>MEMÓRIAS CARANDIRU. Maurício Monteiro no Podcast Do Gueto. Instagram, 3 out. 2024. Disponível em: https://www.instagram.com/p/DAl5b79R8Gs/?utm_source=ig_web_copy_link&amp;igsh=MzRlODBiNWFlZA==. Acesso em: 19 jul. 2025.
</x:v>
      </x:c>
      <x:c r="F282" s="10" t="str">
        <x:v>Removido apenas na cópia tabular de análise; original preservado.</x:v>
      </x:c>
    </x:row>
    <x:row r="283" ht="64.80000305175781" hidden="0" customHeight="1">
      <x:c r="A283" s="10" t="str">
        <x:v>BR-SPCARANDIRU_MAPEAMENTOS-REMEMORA-CARANDIRU.xlsx</x:v>
      </x:c>
      <x:c r="B283" s="10" t="str">
        <x:v>Geral</x:v>
      </x:c>
      <x:c r="C283" s="10" t="str">
        <x:v>S198</x:v>
      </x:c>
      <x:c r="D283" s="10" t="str">
        <x:v>Espaço externo ou caractere invisível</x:v>
      </x:c>
      <x:c r="E283" s="10" t="str">
        <x:v>MEMÓRIAS CARANDIRU. Aula de Sparring, boxe, sarau na BSP e abertura da Audiotour Tudo Gente no Parque da Juventude. Instagram, 3 out. 2024. Disponível em: https://www.instagram.com/p/DAqXfEBPeSz/?utm_source=ig_web_copy_link&amp;igsh=MzRlODBiNWFlZA==. Acesso em: 19 jul. 2025.
</x:v>
      </x:c>
      <x:c r="F283" s="10" t="str">
        <x:v>Removido apenas na cópia tabular de análise; original preservado.</x:v>
      </x:c>
    </x:row>
    <x:row r="284" ht="64.80000305175781" hidden="0" customHeight="1">
      <x:c r="A284" s="10" t="str">
        <x:v>BR-SPCARANDIRU_MAPEAMENTOS-REMEMORA-CARANDIRU.xlsx</x:v>
      </x:c>
      <x:c r="B284" s="10" t="str">
        <x:v>Geral</x:v>
      </x:c>
      <x:c r="C284" s="10" t="str">
        <x:v>S199</x:v>
      </x:c>
      <x:c r="D284" s="10" t="str">
        <x:v>Espaço externo ou caractere invisível</x:v>
      </x:c>
      <x:c r="E284" s="10" t="str">
        <x:v>MEMÓRIAS CARANDIRU. Matéria especial no Repórter Brasil, jornal da TV Brasil. Instagram, 3 out. 2024. Disponível em: https://www.instagram.com/reel/DArp4oFOSEF/?utm_source=ig_web_copy_link&amp;igsh=MzRlODBiNWFlZA==. Acesso em: 19 jul. 2025.
</x:v>
      </x:c>
      <x:c r="F284" s="10" t="str">
        <x:v>Removido apenas na cópia tabular de análise; original preservado.</x:v>
      </x:c>
    </x:row>
    <x:row r="285" ht="64.80000305175781" hidden="0" customHeight="1">
      <x:c r="A285" s="10" t="str">
        <x:v>BR-SPCARANDIRU_MAPEAMENTOS-REMEMORA-CARANDIRU.xlsx</x:v>
      </x:c>
      <x:c r="B285" s="10" t="str">
        <x:v>Geral</x:v>
      </x:c>
      <x:c r="C285" s="10" t="str">
        <x:v>S200</x:v>
      </x:c>
      <x:c r="D285" s="10" t="str">
        <x:v>Espaço externo ou caractere invisível</x:v>
      </x:c>
      <x:c r="E285" s="10" t="str">
        <x:v>MEMÓRIAS CARANDIRU. Histórias do Carandiru. Instagram, 15 out. 2024. Disponível em: https://www.instagram.com/p/DBJs7MlRAay/?utm_source=ig_web_copy_link&amp;igsh=MzRlODBiNWFlZA==. Acesso em: 19 jul. 2025.
</x:v>
      </x:c>
      <x:c r="F285" s="10" t="str">
        <x:v>Removido apenas na cópia tabular de análise; original preservado.</x:v>
      </x:c>
    </x:row>
    <x:row r="286" ht="24" hidden="0" customHeight="1">
      <x:c r="A286" s="10" t="str">
        <x:v>BR-SPCARANDIRU_MAPEAMENTOS-REMEMORA-CARANDIRU.xlsx</x:v>
      </x:c>
      <x:c r="B286" s="10" t="str">
        <x:v>Geral</x:v>
      </x:c>
      <x:c r="C286" s="10" t="str">
        <x:v>I201</x:v>
      </x:c>
      <x:c r="D286" s="10" t="str">
        <x:v>Espaço externo ou caractere invisível</x:v>
      </x:c>
      <x:c r="E286" s="10" t="str">
        <x:v>1ª Frente de Sobreviventes do Cárcere, Memórias Carandiru, Secretaria Municipal de Direitos Humanos e Instituto Resgata Cidadão </x:v>
      </x:c>
      <x:c r="F286" s="10" t="str">
        <x:v>Removido apenas na cópia tabular de análise; original preservado.</x:v>
      </x:c>
    </x:row>
    <x:row r="287" ht="15" hidden="0" customHeight="1">
      <x:c r="A287" s="10" t="str">
        <x:v>BR-SPCARANDIRU_MAPEAMENTOS-REMEMORA-CARANDIRU.xlsx</x:v>
      </x:c>
      <x:c r="B287" s="10" t="str">
        <x:v>Geral</x:v>
      </x:c>
      <x:c r="C287" s="10" t="str">
        <x:v>J201</x:v>
      </x:c>
      <x:c r="D287" s="10" t="str">
        <x:v>Espaço externo ou caractere invisível</x:v>
      </x:c>
      <x:c r="E287" s="10" t="str">
        <x:v>Carandiru: resistência, memória e reparação </x:v>
      </x:c>
      <x:c r="F287" s="10" t="str">
        <x:v>Removido apenas na cópia tabular de análise; original preservado.</x:v>
      </x:c>
    </x:row>
    <x:row r="288" ht="64.80000305175781" hidden="0" customHeight="1">
      <x:c r="A288" s="10" t="str">
        <x:v>BR-SPCARANDIRU_MAPEAMENTOS-REMEMORA-CARANDIRU.xlsx</x:v>
      </x:c>
      <x:c r="B288" s="10" t="str">
        <x:v>Geral</x:v>
      </x:c>
      <x:c r="C288" s="10" t="str">
        <x:v>S201</x:v>
      </x:c>
      <x:c r="D288" s="10" t="str">
        <x:v>Espaço externo ou caractere invisível</x:v>
      </x:c>
      <x:c r="E288" s="10" t="str">
        <x:v>MEMÓRIAS CARANDIRU. Carandiru: resistência, memória e reparação. Instagram, 19 out. 2024. Disponível em: https://www.instagram.com/p/DA9Tu1BP2lO/?utm_source=ig_web_copy_link&amp;igsh=MzRlODBiNWFlZA==. Acesso em: 19 jul. 2025.
</x:v>
      </x:c>
      <x:c r="F288" s="10" t="str">
        <x:v>Removido apenas na cópia tabular de análise; original preservado.</x:v>
      </x:c>
    </x:row>
    <x:row r="289" ht="24" hidden="0" customHeight="1">
      <x:c r="A289" s="10" t="str">
        <x:v>BR-SPCARANDIRU_MAPEAMENTOS-REMEMORA-CARANDIRU.xlsx</x:v>
      </x:c>
      <x:c r="B289" s="10" t="str">
        <x:v>Geral</x:v>
      </x:c>
      <x:c r="C289" s="10" t="str">
        <x:v>I202</x:v>
      </x:c>
      <x:c r="D289" s="10" t="str">
        <x:v>Espaço externo ou caractere invisível</x:v>
      </x:c>
      <x:c r="E289" s="10" t="str">
        <x:v>Cia dxs Terroristas, 1ª Frente de Sobreviventes do Cárcere, Memórias Carandiru, Secretaria Municipal de Direitos Humanos e Instituto Resgata Cidadão </x:v>
      </x:c>
      <x:c r="F289" s="10" t="str">
        <x:v>Removido apenas na cópia tabular de análise; original preservado.</x:v>
      </x:c>
    </x:row>
    <x:row r="290" ht="15" hidden="0" customHeight="1">
      <x:c r="A290" s="10" t="str">
        <x:v>BR-SPCARANDIRU_MAPEAMENTOS-REMEMORA-CARANDIRU.xlsx</x:v>
      </x:c>
      <x:c r="B290" s="10" t="str">
        <x:v>Geral</x:v>
      </x:c>
      <x:c r="C290" s="10" t="str">
        <x:v>J202</x:v>
      </x:c>
      <x:c r="D290" s="10" t="str">
        <x:v>Espaço externo ou caractere invisível</x:v>
      </x:c>
      <x:c r="E290" s="10" t="str">
        <x:v>Das ruínas do Carandiru à resistência negra: memórias de lluta </x:v>
      </x:c>
      <x:c r="F290" s="10" t="str">
        <x:v>Removido apenas na cópia tabular de análise; original preservado.</x:v>
      </x:c>
    </x:row>
    <x:row r="291" ht="64.80000305175781" hidden="0" customHeight="1">
      <x:c r="A291" s="10" t="str">
        <x:v>BR-SPCARANDIRU_MAPEAMENTOS-REMEMORA-CARANDIRU.xlsx</x:v>
      </x:c>
      <x:c r="B291" s="10" t="str">
        <x:v>Geral</x:v>
      </x:c>
      <x:c r="C291" s="10" t="str">
        <x:v>S202</x:v>
      </x:c>
      <x:c r="D291" s="10" t="str">
        <x:v>Espaço externo ou caractere invisível</x:v>
      </x:c>
      <x:c r="E291" s="10" t="str">
        <x:v>MEMÓRIAS CARANDIRU. Das ruínas do Carandiru à resistência negra: memórias de luta. Instagram, 9 nov. 2024. Disponível em: https://www.instagram.com/p/DCB9EapuuWV/?utm_source=ig_web_copy_link&amp;igsh=MzRlODBiNWFlZA==. Acesso em: 19 jul. 2025.
</x:v>
      </x:c>
      <x:c r="F291" s="10" t="str">
        <x:v>Removido apenas na cópia tabular de análise; original preservado.</x:v>
      </x:c>
    </x:row>
    <x:row r="292" ht="24" hidden="0" customHeight="1">
      <x:c r="A292" s="10" t="str">
        <x:v>BR-SPCARANDIRU_MAPEAMENTOS-REMEMORA-CARANDIRU.xlsx</x:v>
      </x:c>
      <x:c r="B292" s="10" t="str">
        <x:v>Geral</x:v>
      </x:c>
      <x:c r="C292" s="10" t="str">
        <x:v>I203</x:v>
      </x:c>
      <x:c r="D292" s="10" t="str">
        <x:v>Espaço externo ou caractere invisível</x:v>
      </x:c>
      <x:c r="E292" s="10" t="str">
        <x:v>1ª Frente de Sobreviventes do Cárcere, Memórias Carandiru, Secretaria Municipal de Direitos Humanos e Instituto Resgata Cidadão </x:v>
      </x:c>
      <x:c r="F292" s="10" t="str">
        <x:v>Removido apenas na cópia tabular de análise; original preservado.</x:v>
      </x:c>
    </x:row>
    <x:row r="293" ht="64.80000305175781" hidden="0" customHeight="1">
      <x:c r="A293" s="10" t="str">
        <x:v>BR-SPCARANDIRU_MAPEAMENTOS-REMEMORA-CARANDIRU.xlsx</x:v>
      </x:c>
      <x:c r="B293" s="10" t="str">
        <x:v>Geral</x:v>
      </x:c>
      <x:c r="C293" s="10" t="str">
        <x:v>S203</x:v>
      </x:c>
      <x:c r="D293" s="10" t="str">
        <x:v>Espaço externo ou caractere invisível</x:v>
      </x:c>
      <x:c r="E293" s="10" t="str">
        <x:v>MEMÓRIAS CARANDIRU. Carandiru: memórias da impunidade. Instagram, 14 dez. 2024. Disponível em: https://www.instagram.com/p/DDSi6pUS3sE/?utm_source=ig_web_copy_link&amp;igsh=MzRlODBiNWFlZA==. Acesso em: 19 jul. 2025.
</x:v>
      </x:c>
      <x:c r="F293" s="10" t="str">
        <x:v>Removido apenas na cópia tabular de análise; original preservado.</x:v>
      </x:c>
    </x:row>
    <x:row r="294" ht="15" hidden="0" customHeight="1">
      <x:c r="A294" s="10" t="str">
        <x:v>BR-SPCARANDIRU_MAPEAMENTOS-REMEMORA-CARANDIRU.xlsx</x:v>
      </x:c>
      <x:c r="B294" s="10" t="str">
        <x:v>Geral</x:v>
      </x:c>
      <x:c r="C294" s="10" t="str">
        <x:v>C204</x:v>
      </x:c>
      <x:c r="D294" s="10" t="str">
        <x:v>Espaço externo ou caractere invisível</x:v>
      </x:c>
      <x:c r="E294" s="10" t="str">
        <x:v> NA</x:v>
      </x:c>
      <x:c r="F294" s="10" t="str">
        <x:v>Removido apenas na cópia tabular de análise; original preservado.</x:v>
      </x:c>
    </x:row>
    <x:row r="295" ht="36" hidden="0" customHeight="1">
      <x:c r="A295" s="10" t="str">
        <x:v>BR-SPCARANDIRU_MAPEAMENTOS-REMEMORA-CARANDIRU.xlsx</x:v>
      </x:c>
      <x:c r="B295" s="10" t="str">
        <x:v>Geral</x:v>
      </x:c>
      <x:c r="C295" s="10" t="str">
        <x:v>I204</x:v>
      </x:c>
      <x:c r="D295" s="10" t="str">
        <x:v>Espaço externo ou caractere invisível</x:v>
      </x:c>
      <x:c r="E295" s="10" t="str">
        <x:v>Associação Nacional de Direitos Humanos, Pesquisa e Pós-Graduação (ANDHEP), Ana Luiza Bandeira, Guilherme de Almeida, Marta Machado, Maíra Machado e Ana Luiza Bandeira. </x:v>
      </x:c>
      <x:c r="F295" s="10" t="str">
        <x:v>Removido apenas na cópia tabular de análise; original preservado.</x:v>
      </x:c>
    </x:row>
    <x:row r="296" ht="64.80000305175781" hidden="0" customHeight="1">
      <x:c r="A296" s="10" t="str">
        <x:v>BR-SPCARANDIRU_MAPEAMENTOS-REMEMORA-CARANDIRU.xlsx</x:v>
      </x:c>
      <x:c r="B296" s="10" t="str">
        <x:v>Geral</x:v>
      </x:c>
      <x:c r="C296" s="10" t="str">
        <x:v>S204</x:v>
      </x:c>
      <x:c r="D296" s="10" t="str">
        <x:v>Espaço externo ou caractere invisível</x:v>
      </x:c>
      <x:c r="E296" s="10" t="str">
        <x:v>MEMÓRIAS CARANDIRU. Entre grades e grilhões: cárcere como herança da escravidão. Instagram, 28 jan. 2025. Disponível em: https://www.instagram.com/p/DFGarOZAHJm/?utm_source=ig_web_copy_link&amp;igsh=MzRlODBiNWFlZA==. Acesso em: 19 jul. 2025.
</x:v>
      </x:c>
      <x:c r="F296" s="10" t="str">
        <x:v>Removido apenas na cópia tabular de análise; original preservado.</x:v>
      </x:c>
    </x:row>
    <x:row r="297" ht="24" hidden="0" customHeight="1">
      <x:c r="A297" s="10" t="str">
        <x:v>BR-SPCARANDIRU_MAPEAMENTOS-REMEMORA-CARANDIRU.xlsx</x:v>
      </x:c>
      <x:c r="B297" s="10" t="str">
        <x:v>Geral</x:v>
      </x:c>
      <x:c r="C297" s="10" t="str">
        <x:v>I234</x:v>
      </x:c>
      <x:c r="D297" s="10" t="str">
        <x:v>Espaço externo ou caractere invisível</x:v>
      </x:c>
      <x:c r="E297" s="10" t="str">
        <x:v>1ª Frente de Sobreviventes do Cárcere, Memórias Carandiru, Secretaria Municipal de Direitos Humanos e Instituto Resgata Cidadão </x:v>
      </x:c>
      <x:c r="F297" s="10" t="str">
        <x:v>Removido apenas na cópia tabular de análise; original preservado.</x:v>
      </x:c>
    </x:row>
    <x:row r="298" ht="15" hidden="0" customHeight="1">
      <x:c r="A298" s="10" t="str">
        <x:v>BR-SPCARANDIRU_MAPEAMENTOS-REMEMORA-CARANDIRU.xlsx</x:v>
      </x:c>
      <x:c r="B298" s="10" t="str">
        <x:v>Geral</x:v>
      </x:c>
      <x:c r="C298" s="10" t="str">
        <x:v>J234</x:v>
      </x:c>
      <x:c r="D298" s="10" t="str">
        <x:v>Espaço externo ou caractere invisível</x:v>
      </x:c>
      <x:c r="E298" s="10" t="str">
        <x:v> O direito à cidade e a ocupação dos espaços de memória</x:v>
      </x:c>
      <x:c r="F298" s="10" t="str">
        <x:v>Removido apenas na cópia tabular de análise; original preservado.</x:v>
      </x:c>
    </x:row>
    <x:row r="299" ht="64.80000305175781" hidden="0" customHeight="1">
      <x:c r="A299" s="10" t="str">
        <x:v>BR-SPCARANDIRU_MAPEAMENTOS-REMEMORA-CARANDIRU.xlsx</x:v>
      </x:c>
      <x:c r="B299" s="10" t="str">
        <x:v>Geral</x:v>
      </x:c>
      <x:c r="C299" s="10" t="str">
        <x:v>S234</x:v>
      </x:c>
      <x:c r="D299" s="10" t="str">
        <x:v>Espaço externo ou caractere invisível</x:v>
      </x:c>
      <x:c r="E299" s="10" t="str">
        <x:v>MEMÓRIAS CARANDIRU. O direito à cidade e a ocupação dos espaços de memória. Instagram, 11 fev. 2025. Disponível em: https://www.instagram.com/reel/DF5Lv14AQxo/?utm_source=ig_web_copy_link&amp;igsh=MzRlODBiNWFlZA==. Acesso em: 19 jul. 2025.
</x:v>
      </x:c>
      <x:c r="F299" s="10" t="str">
        <x:v>Removido apenas na cópia tabular de análise; original preservado.</x:v>
      </x:c>
    </x:row>
    <x:row r="300" ht="24" hidden="0" customHeight="1">
      <x:c r="A300" s="10" t="str">
        <x:v>BR-SPCARANDIRU_MAPEAMENTOS-REMEMORA-CARANDIRU.xlsx</x:v>
      </x:c>
      <x:c r="B300" s="10" t="str">
        <x:v>Geral</x:v>
      </x:c>
      <x:c r="C300" s="10" t="str">
        <x:v>I235</x:v>
      </x:c>
      <x:c r="D300" s="10" t="str">
        <x:v>Espaço externo ou caractere invisível</x:v>
      </x:c>
      <x:c r="E300" s="10" t="str">
        <x:v>Cia dxs Terroristas, 1ª Frente de Sobreviventes do Cárcere, Memórias Carandiru, Secretaria Municipal de Direitos Humanos e Instituto Resgata Cidadão </x:v>
      </x:c>
      <x:c r="F300" s="10" t="str">
        <x:v>Removido apenas na cópia tabular de análise; original preservado.</x:v>
      </x:c>
    </x:row>
    <x:row r="301" ht="24" hidden="0" customHeight="1">
      <x:c r="A301" s="10" t="str">
        <x:v>BR-SPCARANDIRU_MAPEAMENTOS-REMEMORA-CARANDIRU.xlsx</x:v>
      </x:c>
      <x:c r="B301" s="10" t="str">
        <x:v>Geral</x:v>
      </x:c>
      <x:c r="C301" s="10" t="str">
        <x:v>I236</x:v>
      </x:c>
      <x:c r="D301" s="10" t="str">
        <x:v>Espaço externo ou caractere invisível</x:v>
      </x:c>
      <x:c r="E301" s="10" t="str">
        <x:v>1ª Frente de Sobreviventes do Cárcere, Memórias Carandiru, Secretaria Municipal de Direitos Humanos e Instituto Resgata Cidadão </x:v>
      </x:c>
      <x:c r="F301" s="10" t="str">
        <x:v>Removido apenas na cópia tabular de análise; original preservado.</x:v>
      </x:c>
    </x:row>
    <x:row r="302" ht="64.80000305175781" hidden="0" customHeight="1">
      <x:c r="A302" s="10" t="str">
        <x:v>BR-SPCARANDIRU_MAPEAMENTOS-REMEMORA-CARANDIRU.xlsx</x:v>
      </x:c>
      <x:c r="B302" s="10" t="str">
        <x:v>Geral</x:v>
      </x:c>
      <x:c r="C302" s="10" t="str">
        <x:v>S236</x:v>
      </x:c>
      <x:c r="D302" s="10" t="str">
        <x:v>Espaço externo ou caractere invisível</x:v>
      </x:c>
      <x:c r="E302" s="10" t="str">
        <x:v>MEMÓRIAS CARANDIRU. Afrodescendência e encarceramento: das senzalas às prisões contemporâneas. Instagram, 15 mar. 2025. Disponível em: https://www.instagram.com/p/DHBxA0my9Lm/?utm_source=ig_web_copy_link&amp;igsh=MzRlODBiNWFlZA==. Acesso em: 19 jul. 2025.
</x:v>
      </x:c>
      <x:c r="F302" s="10" t="str">
        <x:v>Removido apenas na cópia tabular de análise; original preservado.</x:v>
      </x:c>
    </x:row>
    <x:row r="303" ht="24" hidden="0" customHeight="1">
      <x:c r="A303" s="10" t="str">
        <x:v>BR-SPCARANDIRU_MAPEAMENTOS-REMEMORA-CARANDIRU.xlsx</x:v>
      </x:c>
      <x:c r="B303" s="10" t="str">
        <x:v>Geral</x:v>
      </x:c>
      <x:c r="C303" s="10" t="str">
        <x:v>I237</x:v>
      </x:c>
      <x:c r="D303" s="10" t="str">
        <x:v>Espaço externo ou caractere invisível</x:v>
      </x:c>
      <x:c r="E303" s="10" t="str">
        <x:v>1ª Frente de Sobreviventes do Cárcere, Memórias Carandiru, Secretaria Municipal de Direitos Humanos e Instituto Resgata Cidadão </x:v>
      </x:c>
      <x:c r="F303" s="10" t="str">
        <x:v>Removido apenas na cópia tabular de análise; original preservado.</x:v>
      </x:c>
    </x:row>
    <x:row r="304" ht="64.80000305175781" hidden="0" customHeight="1">
      <x:c r="A304" s="10" t="str">
        <x:v>BR-SPCARANDIRU_MAPEAMENTOS-REMEMORA-CARANDIRU.xlsx</x:v>
      </x:c>
      <x:c r="B304" s="10" t="str">
        <x:v>Geral</x:v>
      </x:c>
      <x:c r="C304" s="10" t="str">
        <x:v>S237</x:v>
      </x:c>
      <x:c r="D304" s="10" t="str">
        <x:v>Espaço externo ou caractere invisível</x:v>
      </x:c>
      <x:c r="E304" s="10" t="str">
        <x:v>MEMÓRIAS CARANDIRU. Corpos encarcerados, vidas negadas: classe, raça e gênero no sistema prisional. Instagram, 29 mar. 2025. Disponível em: https://www.instagram.com/p/DHtHRxRgxT7/?utm_source=ig_web_copy_link&amp;igsh=MzRlODBiNWFlZA==. Acesso em: 19 jul. 2025.
</x:v>
      </x:c>
      <x:c r="F304" s="10" t="str">
        <x:v>Removido apenas na cópia tabular de análise; original preservado.</x:v>
      </x:c>
    </x:row>
    <x:row r="305" ht="24" hidden="0" customHeight="1">
      <x:c r="A305" s="10" t="str">
        <x:v>BR-SPCARANDIRU_MAPEAMENTOS-REMEMORA-CARANDIRU.xlsx</x:v>
      </x:c>
      <x:c r="B305" s="10" t="str">
        <x:v>Geral</x:v>
      </x:c>
      <x:c r="C305" s="10" t="str">
        <x:v>I238</x:v>
      </x:c>
      <x:c r="D305" s="10" t="str">
        <x:v>Espaço externo ou caractere invisível</x:v>
      </x:c>
      <x:c r="E305" s="10" t="str">
        <x:v>1ª Frente de Sobreviventes do Cárcere, Memórias Carandiru, Secretaria Municipal de Direitos Humanos e Instituto Resgata Cidadão </x:v>
      </x:c>
      <x:c r="F305" s="10" t="str">
        <x:v>Removido apenas na cópia tabular de análise; original preservado.</x:v>
      </x:c>
    </x:row>
    <x:row r="306" ht="15" hidden="0" customHeight="1">
      <x:c r="A306" s="10" t="str">
        <x:v>BR-SPCARANDIRU_MAPEAMENTOS-REMEMORA-CARANDIRU.xlsx</x:v>
      </x:c>
      <x:c r="B306" s="10" t="str">
        <x:v>Geral</x:v>
      </x:c>
      <x:c r="C306" s="10" t="str">
        <x:v>J238</x:v>
      </x:c>
      <x:c r="D306" s="10" t="str">
        <x:v>Espaço externo ou caractere invisível</x:v>
      </x:c>
      <x:c r="E306" s="10" t="str">
        <x:v>Corpos encarcerados, vidas negadas: classe, raça e gênero no sistema prisional </x:v>
      </x:c>
      <x:c r="F306" s="10" t="str">
        <x:v>Removido apenas na cópia tabular de análise; original preservado.</x:v>
      </x:c>
    </x:row>
    <x:row r="307" ht="52.79999923706055" hidden="0" customHeight="1">
      <x:c r="A307" s="10" t="str">
        <x:v>BR-SPCARANDIRU_MAPEAMENTOS-REMEMORA-CARANDIRU.xlsx</x:v>
      </x:c>
      <x:c r="B307" s="10" t="str">
        <x:v>Geral</x:v>
      </x:c>
      <x:c r="C307" s="10" t="str">
        <x:v>S238</x:v>
      </x:c>
      <x:c r="D307" s="10" t="str">
        <x:v>Espaço externo ou caractere invisível</x:v>
      </x:c>
      <x:c r="E307" s="10" t="str">
        <x:v>MEMÓRIAS CARANDIRU. Manifestação. Instagram, 1 abr. 2025. Disponível em: https://www.instagram.com/reel/DI4yeI2ybZI/?utm_source=ig_web_copy_link&amp;igsh=MzRlODBiNWFlZA==. Acesso em: 19 jul. 2025.
</x:v>
      </x:c>
      <x:c r="F307" s="10" t="str">
        <x:v>Removido apenas na cópia tabular de análise; original preservado.</x:v>
      </x:c>
    </x:row>
    <x:row r="308" ht="64.80000305175781" hidden="0" customHeight="1">
      <x:c r="A308" s="10" t="str">
        <x:v>BR-SPCARANDIRU_MAPEAMENTOS-REMEMORA-CARANDIRU.xlsx</x:v>
      </x:c>
      <x:c r="B308" s="10" t="str">
        <x:v>Geral</x:v>
      </x:c>
      <x:c r="C308" s="10" t="str">
        <x:v>S239</x:v>
      </x:c>
      <x:c r="D308" s="10" t="str">
        <x:v>Espaço externo ou caractere invisível</x:v>
      </x:c>
      <x:c r="E308" s="10" t="str">
        <x:v>MEMÓRIAS CARANDIRU. Escrevivências do cárcere: vozes e resistências dos sobreviventes. Instagram, 12 abr. 2025. Disponível em: https://www.instagram.com/p/DHtHRxRgxT7/?utm_source=ig_web_copy_link&amp;igsh=MzRlODBiNWFlZA==. Acesso em: 19 jul. 2025.
</x:v>
      </x:c>
      <x:c r="F308" s="10" t="str">
        <x:v>Removido apenas na cópia tabular de análise; original preservado.</x:v>
      </x:c>
    </x:row>
    <x:row r="309" ht="24" hidden="0" customHeight="1">
      <x:c r="A309" s="10" t="str">
        <x:v>BR-SPCARANDIRU_MAPEAMENTOS-REMEMORA-CARANDIRU.xlsx</x:v>
      </x:c>
      <x:c r="B309" s="10" t="str">
        <x:v>Geral</x:v>
      </x:c>
      <x:c r="C309" s="10" t="str">
        <x:v>I240</x:v>
      </x:c>
      <x:c r="D309" s="10" t="str">
        <x:v>Espaço externo ou caractere invisível</x:v>
      </x:c>
      <x:c r="E309" s="10" t="str">
        <x:v>1ª Frente de Sobreviventes do Cárcere, Memórias Carandiru, Secretaria Municipal de Direitos Humanos e Instituto Resgata Cidadão </x:v>
      </x:c>
      <x:c r="F309" s="10" t="str">
        <x:v>Removido apenas na cópia tabular de análise; original preservado.</x:v>
      </x:c>
    </x:row>
    <x:row r="310" ht="64.80000305175781" hidden="0" customHeight="1">
      <x:c r="A310" s="10" t="str">
        <x:v>BR-SPCARANDIRU_MAPEAMENTOS-REMEMORA-CARANDIRU.xlsx</x:v>
      </x:c>
      <x:c r="B310" s="10" t="str">
        <x:v>Geral</x:v>
      </x:c>
      <x:c r="C310" s="10" t="str">
        <x:v>S240</x:v>
      </x:c>
      <x:c r="D310" s="10" t="str">
        <x:v>Espaço externo ou caractere invisível</x:v>
      </x:c>
      <x:c r="E310" s="10" t="str">
        <x:v>MEMÓRIAS CARANDIRU. Política de memória: qual a importância de lembrar o passado?. Instagram, 25 abr. 2025. Disponível em: https://www.instagram.com/p/DJpIJKnSkRr/?utm_source=ig_web_copy_link&amp;igsh=MzRlODBiNWFlZA==. Acesso em: 19 jul. 2025.
</x:v>
      </x:c>
      <x:c r="F310" s="10" t="str">
        <x:v>Removido apenas na cópia tabular de análise; original preservado.</x:v>
      </x:c>
    </x:row>
    <x:row r="311" ht="24" hidden="0" customHeight="1">
      <x:c r="A311" s="10" t="str">
        <x:v>BR-SPCARANDIRU_MAPEAMENTOS-REMEMORA-CARANDIRU.xlsx</x:v>
      </x:c>
      <x:c r="B311" s="10" t="str">
        <x:v>Geral</x:v>
      </x:c>
      <x:c r="C311" s="10" t="str">
        <x:v>I241</x:v>
      </x:c>
      <x:c r="D311" s="10" t="str">
        <x:v>Espaço externo ou caractere invisível</x:v>
      </x:c>
      <x:c r="E311" s="10" t="str">
        <x:v>1ª Frente de Sobreviventes do Cárcere, Memórias Carandiru, Secretaria Municipal de Direitos Humanos e Instituto Resgata Cidadão </x:v>
      </x:c>
      <x:c r="F311" s="10" t="str">
        <x:v>Removido apenas na cópia tabular de análise; original preservado.</x:v>
      </x:c>
    </x:row>
    <x:row r="312" ht="64.80000305175781" hidden="0" customHeight="1">
      <x:c r="A312" s="10" t="str">
        <x:v>BR-SPCARANDIRU_MAPEAMENTOS-REMEMORA-CARANDIRU.xlsx</x:v>
      </x:c>
      <x:c r="B312" s="10" t="str">
        <x:v>Geral</x:v>
      </x:c>
      <x:c r="C312" s="10" t="str">
        <x:v>S241</x:v>
      </x:c>
      <x:c r="D312" s="10" t="str">
        <x:v>Espaço externo ou caractere invisível</x:v>
      </x:c>
      <x:c r="E312" s="10" t="str">
        <x:v>MEMÓRIAS CARANDIRU. Encarceramento em massa e racismo: um legado da escravidão?. Instagram, 26 abr. 2025. Disponível em: https://www.instagram.com/p/DIgth9JgI4r/?utm_source=ig_web_copy_link&amp;igsh=MzRlODBiNWFlZA==. Acesso em: 19 jul. 2025.
</x:v>
      </x:c>
      <x:c r="F312" s="10" t="str">
        <x:v>Removido apenas na cópia tabular de análise; original preservado.</x:v>
      </x:c>
    </x:row>
    <x:row r="313" ht="24" hidden="0" customHeight="1">
      <x:c r="A313" s="10" t="str">
        <x:v>BR-SPCARANDIRU_MAPEAMENTOS-REMEMORA-CARANDIRU.xlsx</x:v>
      </x:c>
      <x:c r="B313" s="10" t="str">
        <x:v>Geral</x:v>
      </x:c>
      <x:c r="C313" s="10" t="str">
        <x:v>I242</x:v>
      </x:c>
      <x:c r="D313" s="10" t="str">
        <x:v>Espaço externo ou caractere invisível</x:v>
      </x:c>
      <x:c r="E313" s="10" t="str">
        <x:v>1ª Frente de Sobreviventes do Cárcere, Memórias Carandiru, Secretaria Municipal de Direitos Humanos e Instituto Resgata Cidadão </x:v>
      </x:c>
      <x:c r="F313" s="10" t="str">
        <x:v>Removido apenas na cópia tabular de análise; original preservado.</x:v>
      </x:c>
    </x:row>
    <x:row r="314" ht="15" hidden="0" customHeight="1">
      <x:c r="A314" s="10" t="str">
        <x:v>BR-SPCARANDIRU_MAPEAMENTOS-REMEMORA-CARANDIRU.xlsx</x:v>
      </x:c>
      <x:c r="B314" s="10" t="str">
        <x:v>Geral</x:v>
      </x:c>
      <x:c r="C314" s="10" t="str">
        <x:v>B243</x:v>
      </x:c>
      <x:c r="D314" s="10" t="str">
        <x:v>Espaço externo ou caractere invisível</x:v>
      </x:c>
      <x:c r="E314" s="10" t="str">
        <x:v>Palestra </x:v>
      </x:c>
      <x:c r="F314" s="10" t="str">
        <x:v>Removido apenas na cópia tabular de análise; original preservado.</x:v>
      </x:c>
    </x:row>
    <x:row r="315" ht="48" hidden="0" customHeight="1">
      <x:c r="A315" s="10" t="str">
        <x:v>BR-SPCARANDIRU_MAPEAMENTOS-REMEMORA-CARANDIRU.xlsx</x:v>
      </x:c>
      <x:c r="B315" s="10" t="str">
        <x:v>Geral</x:v>
      </x:c>
      <x:c r="C315" s="10" t="str">
        <x:v>I243</x:v>
      </x:c>
      <x:c r="D315" s="10" t="str">
        <x:v>Espaço externo ou caractere invisível</x:v>
      </x:c>
      <x:c r="E315" s="10" t="str">
        <x:v>Centro Acadêmico de História Márcia D'Alessio Universidade Federal de São Paulo (UNIFESP), com Mauricio Monteiro (Memórias do Carandiru, 1ª Frente de Sobreviventes do Cárcere e Instituto Resgata Cidadão) e Nádia Lima (Memórias do Carandiru). </x:v>
      </x:c>
      <x:c r="F315" s="10" t="str">
        <x:v>Removido apenas na cópia tabular de análise; original preservado.</x:v>
      </x:c>
    </x:row>
    <x:row r="316" ht="24" hidden="0" customHeight="1">
      <x:c r="A316" s="10" t="str">
        <x:v>BR-SPCARANDIRU_MAPEAMENTOS-REMEMORA-CARANDIRU.xlsx</x:v>
      </x:c>
      <x:c r="B316" s="10" t="str">
        <x:v>Geral</x:v>
      </x:c>
      <x:c r="C316" s="10" t="str">
        <x:v>J243</x:v>
      </x:c>
      <x:c r="D316" s="10" t="str">
        <x:v>Espaço externo ou caractere invisível</x:v>
      </x:c>
      <x:c r="E316" s="10" t="str">
        <x:v>A falsa guerra às drogas: A cruzada antidrogas como política de encarceramento da população negra periférica. </x:v>
      </x:c>
      <x:c r="F316" s="10" t="str">
        <x:v>Removido apenas na cópia tabular de análise; original preservado.</x:v>
      </x:c>
    </x:row>
    <x:row r="317" ht="15" hidden="0" customHeight="1">
      <x:c r="A317" s="10" t="str">
        <x:v>BR-SPCARANDIRU_MAPEAMENTOS-REMEMORA-CARANDIRU.xlsx</x:v>
      </x:c>
      <x:c r="B317" s="10" t="str">
        <x:v>Geral</x:v>
      </x:c>
      <x:c r="C317" s="10" t="str">
        <x:v>B244</x:v>
      </x:c>
      <x:c r="D317" s="10" t="str">
        <x:v>Espaço externo ou caractere invisível</x:v>
      </x:c>
      <x:c r="E317" s="10" t="str">
        <x:v>Aula </x:v>
      </x:c>
      <x:c r="F317" s="10" t="str">
        <x:v>Removido apenas na cópia tabular de análise; original preservado.</x:v>
      </x:c>
    </x:row>
    <x:row r="318" ht="64.80000305175781" hidden="0" customHeight="1">
      <x:c r="A318" s="10" t="str">
        <x:v>BR-SPCARANDIRU_MAPEAMENTOS-REMEMORA-CARANDIRU.xlsx</x:v>
      </x:c>
      <x:c r="B318" s="10" t="str">
        <x:v>Geral</x:v>
      </x:c>
      <x:c r="C318" s="10" t="str">
        <x:v>S244</x:v>
      </x:c>
      <x:c r="D318" s="10" t="str">
        <x:v>Espaço externo ou caractere invisível</x:v>
      </x:c>
      <x:c r="E318" s="10" t="str">
        <x:v>MEMÓRIAS CARANDIRU. Entrevista a Maurício Monteiro (Instituto Resgata Cidadão). Instagram, 24 mai. 2025. Disponível em: https://www.instagram.com/p/DKBCge6NWhR/?utm_source=ig_web_copy_link&amp;igsh=MzRlODBiNWFlZA==. Acesso em: 19 jul. 2025.
</x:v>
      </x:c>
      <x:c r="F318" s="10" t="str">
        <x:v>Removido apenas na cópia tabular de análise; original preservado.</x:v>
      </x:c>
    </x:row>
    <x:row r="319" ht="64.80000305175781" hidden="0" customHeight="1">
      <x:c r="A319" s="10" t="str">
        <x:v>BR-SPCARANDIRU_MAPEAMENTOS-REMEMORA-CARANDIRU.xlsx</x:v>
      </x:c>
      <x:c r="B319" s="10" t="str">
        <x:v>Geral</x:v>
      </x:c>
      <x:c r="C319" s="10" t="str">
        <x:v>S245</x:v>
      </x:c>
      <x:c r="D319" s="10" t="str">
        <x:v>Espaço externo ou caractere invisível</x:v>
      </x:c>
      <x:c r="E319" s="10" t="str">
        <x:v>MEMÓRIAS CARANDIRU. Carandiru: memórias silenciadas e a luta pelo direito à verdade. Instagram, 14 jun. 2025. Disponível em: https://www.instagram.com/p/DKuLkPTgsup/?utm_source=ig_web_copy_link&amp;igsh=MzRlODBiNWFlZA==. Acesso em: 19 jul. 2025.
</x:v>
      </x:c>
      <x:c r="F319" s="10" t="str">
        <x:v>Removido apenas na cópia tabular de análise; original preservado.</x:v>
      </x:c>
    </x:row>
    <x:row r="320" ht="24" hidden="0" customHeight="1">
      <x:c r="A320" s="10" t="str">
        <x:v>BR-SPCARANDIRU_MAPEAMENTOS-REMEMORA-CARANDIRU.xlsx</x:v>
      </x:c>
      <x:c r="B320" s="10" t="str">
        <x:v>Geral</x:v>
      </x:c>
      <x:c r="C320" s="10" t="str">
        <x:v>I246</x:v>
      </x:c>
      <x:c r="D320" s="10" t="str">
        <x:v>Espaço externo ou caractere invisível</x:v>
      </x:c>
      <x:c r="E320" s="10" t="str">
        <x:v>1ª Frente de Sobreviventes do Cárcere, Memórias Carandiru, Secretaria Municipal de Direitos Humanos e Instituto Resgata Cidadão </x:v>
      </x:c>
      <x:c r="F320" s="10" t="str">
        <x:v>Removido apenas na cópia tabular de análise; original preservado.</x:v>
      </x:c>
    </x:row>
    <x:row r="321" ht="24" hidden="0" customHeight="1">
      <x:c r="A321" s="10" t="str">
        <x:v>BR-SPCARANDIRU_MAPEAMENTOS-REMEMORA-CARANDIRU.xlsx</x:v>
      </x:c>
      <x:c r="B321" s="10" t="str">
        <x:v>Geral</x:v>
      </x:c>
      <x:c r="C321" s="10" t="str">
        <x:v>I247</x:v>
      </x:c>
      <x:c r="D321" s="10" t="str">
        <x:v>Espaço externo ou caractere invisível</x:v>
      </x:c>
      <x:c r="E321" s="10" t="str">
        <x:v>1ª Frente de Sobreviventes do Cárcere, Memórias Carandiru, Secretaria Municipal de Direitos Humanos e Instituto Resgata Cidadão </x:v>
      </x:c>
      <x:c r="F321" s="10" t="str">
        <x:v>Removido apenas na cópia tabular de análise; original preservado.</x:v>
      </x:c>
    </x:row>
    <x:row r="322" ht="64.80000305175781" hidden="0" customHeight="1">
      <x:c r="A322" s="10" t="str">
        <x:v>BR-SPCARANDIRU_MAPEAMENTOS-REMEMORA-CARANDIRU.xlsx</x:v>
      </x:c>
      <x:c r="B322" s="10" t="str">
        <x:v>Geral</x:v>
      </x:c>
      <x:c r="C322" s="10" t="str">
        <x:v>S247</x:v>
      </x:c>
      <x:c r="D322" s="10" t="str">
        <x:v>Espaço externo ou caractere invisível</x:v>
      </x:c>
      <x:c r="E322" s="10" t="str">
        <x:v>MEMÓRIAS CARANDIRU. Como combater o apagamento e contribuir para uma cultura de reparação. Instagram, 27 jun. 2025 Disponível em: https://www.instagram.com/p/DLV1JHcPiYb/?utm_source=ig_web_copy_link&amp;igsh=MzRlODBiNWFlZA==. Acesso em: 19 jul. 2025.
</x:v>
      </x:c>
      <x:c r="F322" s="10" t="str">
        <x:v>Removido apenas na cópia tabular de análise; original preservado.</x:v>
      </x:c>
    </x:row>
    <x:row r="323" ht="15" hidden="0" customHeight="1">
      <x:c r="A323" s="10" t="str">
        <x:v>BR-SPCARANDIRU_MAPEAMENTOS-REMEMORA-CARANDIRU.xlsx</x:v>
      </x:c>
      <x:c r="B323" s="10" t="str">
        <x:v>Geral</x:v>
      </x:c>
      <x:c r="C323" s="10" t="str">
        <x:v>I248</x:v>
      </x:c>
      <x:c r="D323" s="10" t="str">
        <x:v>Espaço externo ou caractere invisível</x:v>
      </x:c>
      <x:c r="E323" s="10" t="str">
        <x:v>Manas e Manhã Especial. Convidada: Helen Baum (Memórias Carandiru) </x:v>
      </x:c>
      <x:c r="F323" s="10" t="str">
        <x:v>Removido apenas na cópia tabular de análise; original preservado.</x:v>
      </x:c>
    </x:row>
    <x:row r="324" ht="24" hidden="0" customHeight="1">
      <x:c r="A324" s="10" t="str">
        <x:v>BR-SPCARANDIRU_MAPEAMENTOS-REMEMORA-CARANDIRU.xlsx</x:v>
      </x:c>
      <x:c r="B324" s="10" t="str">
        <x:v>Geral</x:v>
      </x:c>
      <x:c r="C324" s="10" t="str">
        <x:v>I249</x:v>
      </x:c>
      <x:c r="D324" s="10" t="str">
        <x:v>Espaço externo ou caractere invisível</x:v>
      </x:c>
      <x:c r="E324" s="10" t="str">
        <x:v>1ª Frente de Sobreviventes do Cárcere, Memórias Carandiru, Secretaria Municipal de Direitos Humanos e Instituto Resgata Cidadão </x:v>
      </x:c>
      <x:c r="F324" s="10" t="str">
        <x:v>Removido apenas na cópia tabular de análise; original preservado.</x:v>
      </x:c>
    </x:row>
    <x:row r="325" ht="15" hidden="0" customHeight="1">
      <x:c r="A325" s="10" t="str">
        <x:v>BR-SPCARANDIRU_MAPEAMENTOS-REMEMORA-CARANDIRU.xlsx</x:v>
      </x:c>
      <x:c r="B325" s="10" t="str">
        <x:v>Geral</x:v>
      </x:c>
      <x:c r="C325" s="10" t="str">
        <x:v>J249</x:v>
      </x:c>
      <x:c r="D325" s="10" t="str">
        <x:v>Espaço externo ou caractere invisível</x:v>
      </x:c>
      <x:c r="E325" s="10" t="str">
        <x:v>Carandiru não se esquece: das senzalas as penitenciárias. </x:v>
      </x:c>
      <x:c r="F325" s="10" t="str">
        <x:v>Removido apenas na cópia tabular de análise; original preservado.</x:v>
      </x:c>
    </x:row>
    <x:row r="326" ht="64.80000305175781" hidden="0" customHeight="1">
      <x:c r="A326" s="10" t="str">
        <x:v>BR-SPCARANDIRU_MAPEAMENTOS-REMEMORA-CARANDIRU.xlsx</x:v>
      </x:c>
      <x:c r="B326" s="10" t="str">
        <x:v>Geral</x:v>
      </x:c>
      <x:c r="C326" s="10" t="str">
        <x:v>S249</x:v>
      </x:c>
      <x:c r="D326" s="10" t="str">
        <x:v>Espaço externo ou caractere invisível</x:v>
      </x:c>
      <x:c r="E326" s="10" t="str">
        <x:v>MEMÓRIAS CARANDIRU. Carandiru: memórias silenciadas e a luta pelo direito à verdade. Instagram, 5 jul. 2025. Disponível em: https://www.instagram.com/p/DLoB6_hst9F/?utm_source=ig_web_copy_link&amp;igsh=MzRlODBiNWFlZA==. Acesso em: 19 jul. 2025.
</x:v>
      </x:c>
      <x:c r="F326" s="10" t="str">
        <x:v>Removido apenas na cópia tabular de análise; original preservado.</x:v>
      </x:c>
    </x:row>
    <x:row r="327" ht="64.80000305175781" hidden="0" customHeight="1">
      <x:c r="A327" s="10" t="str">
        <x:v>BR-SPCARANDIRU_MAPEAMENTOS-REMEMORA-CARANDIRU.xlsx</x:v>
      </x:c>
      <x:c r="B327" s="10" t="str">
        <x:v>Geral</x:v>
      </x:c>
      <x:c r="C327" s="10" t="str">
        <x:v>S251</x:v>
      </x:c>
      <x:c r="D327" s="10" t="str">
        <x:v>Espaço externo ou caractere invisível</x:v>
      </x:c>
      <x:c r="E327" s="10" t="str">
        <x:v>GOOGLE ARTS &amp; CULTURE. Memória Massacre Carandiru. Google Arts &amp; Culture, [21 jun. 2024?]. Disponível em: https://artsandculture.google.com/story/-QUR6ep1-mKqIg?hl=pt-BR. Acesso em: 19 jul. 2025.
</x:v>
      </x:c>
      <x:c r="F327" s="10" t="str">
        <x:v>Removido apenas na cópia tabular de análise; original preservado.</x:v>
      </x:c>
    </x:row>
    <x:row r="328" ht="24" hidden="0" customHeight="1">
      <x:c r="A328" s="10" t="str">
        <x:v>BR-SPCARANDIRU_MAPEAMENTOS-REMEMORA-CARANDIRU.xlsx</x:v>
      </x:c>
      <x:c r="B328" s="10" t="str">
        <x:v>Geral</x:v>
      </x:c>
      <x:c r="C328" s="10" t="str">
        <x:v>I252</x:v>
      </x:c>
      <x:c r="D328" s="10" t="str">
        <x:v>Espaço externo ou caractere invisível</x:v>
      </x:c>
      <x:c r="E328" s="10" t="str">
        <x:v>1ª Frente de Sobreviventes do Cárcere, Memórias Carandiru, Secretaria Municipal de Direitos Humanos e Instituto Resgata Cidadão </x:v>
      </x:c>
      <x:c r="F328" s="10" t="str">
        <x:v>Removido apenas na cópia tabular de análise; original preservado.</x:v>
      </x:c>
    </x:row>
    <x:row r="329" ht="24" hidden="0" customHeight="1">
      <x:c r="A329" s="10" t="str">
        <x:v>BR-SPCARANDIRU_MAPEAMENTOS-REMEMORA-CARANDIRU.xlsx</x:v>
      </x:c>
      <x:c r="B329" s="10" t="str">
        <x:v>Geral</x:v>
      </x:c>
      <x:c r="C329" s="10" t="str">
        <x:v>I253</x:v>
      </x:c>
      <x:c r="D329" s="10" t="str">
        <x:v>Espaço externo ou caractere invisível</x:v>
      </x:c>
      <x:c r="E329" s="10" t="str">
        <x:v>1ª Frente de Sobreviventes do Cárcere, Memórias Carandiru, Secretaria Municipal de Direitos Humanos e Instituto Resgata Cidadão </x:v>
      </x:c>
      <x:c r="F329" s="10" t="str">
        <x:v>Removido apenas na cópia tabular de análise; original preservado.</x:v>
      </x:c>
    </x:row>
    <x:row r="330" ht="24" hidden="0" customHeight="1">
      <x:c r="A330" s="10" t="str">
        <x:v>BR-SPCARANDIRU_MAPEAMENTOS-REMEMORA-CARANDIRU.xlsx</x:v>
      </x:c>
      <x:c r="B330" s="10" t="str">
        <x:v>Geral</x:v>
      </x:c>
      <x:c r="C330" s="10" t="str">
        <x:v>I254</x:v>
      </x:c>
      <x:c r="D330" s="10" t="str">
        <x:v>Espaço externo ou caractere invisível</x:v>
      </x:c>
      <x:c r="E330" s="10" t="str">
        <x:v>1ª Frente de Sobreviventes do Cárcere, Memórias Carandiru, Secretaria Municipal de Direitos Humanos e Instituto Resgata Cidadão </x:v>
      </x:c>
      <x:c r="F330" s="10" t="str">
        <x:v>Removido apenas na cópia tabular de análise; original preservado.</x:v>
      </x:c>
    </x:row>
    <x:row r="331" ht="24" hidden="0" customHeight="1">
      <x:c r="A331" s="10" t="str">
        <x:v>BR-SPCARANDIRU_MAPEAMENTOS-REMEMORA-CARANDIRU.xlsx</x:v>
      </x:c>
      <x:c r="B331" s="10" t="str">
        <x:v>Geral</x:v>
      </x:c>
      <x:c r="C331" s="10" t="str">
        <x:v>I255</x:v>
      </x:c>
      <x:c r="D331" s="10" t="str">
        <x:v>Espaço externo ou caractere invisível</x:v>
      </x:c>
      <x:c r="E331" s="10" t="str">
        <x:v>1ª Frente de Sobreviventes do Cárcere, Memórias Carandiru, Secretaria Municipal de Direitos Humanos e Instituto Resgata Cidadão </x:v>
      </x:c>
      <x:c r="F331" s="10" t="str">
        <x:v>Removido apenas na cópia tabular de análise; original preservado.</x:v>
      </x:c>
    </x:row>
    <x:row r="332" ht="15" hidden="0" customHeight="1">
      <x:c r="A332" s="10" t="str">
        <x:v>BR-SPCARANDIRU_MAPEAMENTOS-REMEMORA-CARANDIRU.xlsx</x:v>
      </x:c>
      <x:c r="B332" s="10" t="str">
        <x:v>Geral</x:v>
      </x:c>
      <x:c r="C332" s="10" t="str">
        <x:v>H259</x:v>
      </x:c>
      <x:c r="D332" s="10" t="str">
        <x:v>Espaço externo ou caractere invisível</x:v>
      </x:c>
      <x:c r="E332" s="10" t="str">
        <x:v>Rio de Janeiro </x:v>
      </x:c>
      <x:c r="F332" s="10" t="str">
        <x:v>Removido apenas na cópia tabular de análise; original preservado.</x:v>
      </x:c>
    </x:row>
    <x:row r="333" ht="15" hidden="0" customHeight="1">
      <x:c r="A333" s="10" t="str">
        <x:v>BR-SPCARANDIRU_MAPEAMENTOS-REMEMORA-CARANDIRU.xlsx</x:v>
      </x:c>
      <x:c r="B333" s="10" t="str">
        <x:v>Geral</x:v>
      </x:c>
      <x:c r="C333" s="10" t="str">
        <x:v>J262</x:v>
      </x:c>
      <x:c r="D333" s="10" t="str">
        <x:v>Espaço externo ou caractere invisível</x:v>
      </x:c>
      <x:c r="E333" s="10" t="str">
        <x:v>Performance faz homenagem aos 111 mortos no Massacre do Carandiru. </x:v>
      </x:c>
      <x:c r="F333" s="10" t="str">
        <x:v>Removido apenas na cópia tabular de análise; original preservado.</x:v>
      </x:c>
    </x:row>
    <x:row r="334" ht="15" hidden="0" customHeight="1">
      <x:c r="A334" s="10" t="str">
        <x:v>BR-SPCARANDIRU_MAPEAMENTOS-REMEMORA-CARANDIRU.xlsx</x:v>
      </x:c>
      <x:c r="B334" s="10" t="str">
        <x:v>Geral</x:v>
      </x:c>
      <x:c r="C334" s="10" t="str">
        <x:v>B23</x:v>
      </x:c>
      <x:c r="D334" s="10" t="str">
        <x:v>Linha sem iniciativa</x:v>
      </x:c>
      <x:c r="E334" s="10" t="str"/>
      <x:c r="F334" s="10" t="str">
        <x:v>Excluída da cópia de análise. Preservada no original como linha incompleta ou modelo.</x:v>
      </x:c>
    </x:row>
    <x:row r="335" ht="15" hidden="0" customHeight="1">
      <x:c r="A335" s="10" t="str">
        <x:v>BR-SPCARANDIRU_MAPEAMENTOS-REMEMORA-CARANDIRU.xlsx</x:v>
      </x:c>
      <x:c r="B335" s="10" t="str">
        <x:v>Geral</x:v>
      </x:c>
      <x:c r="C335" s="10" t="str">
        <x:v>B49</x:v>
      </x:c>
      <x:c r="D335" s="10" t="str">
        <x:v>Linha sem iniciativa</x:v>
      </x:c>
      <x:c r="E335" s="10" t="str"/>
      <x:c r="F335" s="10" t="str">
        <x:v>Excluída da cópia de análise. Preservada no original como linha incompleta ou modelo.</x:v>
      </x:c>
    </x:row>
    <x:row r="336" ht="15" hidden="0" customHeight="1">
      <x:c r="A336" s="10" t="str">
        <x:v>BR-SPCARANDIRU_MAPEAMENTOS-REMEMORA-CARANDIRU.xlsx</x:v>
      </x:c>
      <x:c r="B336" s="10" t="str">
        <x:v>Geral</x:v>
      </x:c>
      <x:c r="C336" s="10" t="str">
        <x:v>B59</x:v>
      </x:c>
      <x:c r="D336" s="10" t="str">
        <x:v>Linha sem iniciativa</x:v>
      </x:c>
      <x:c r="E336" s="10" t="str"/>
      <x:c r="F336" s="10" t="str">
        <x:v>Excluída da cópia de análise. Preservada no original como linha incompleta ou modelo.</x:v>
      </x:c>
    </x:row>
    <x:row r="337" ht="15" hidden="0" customHeight="1">
      <x:c r="A337" s="10" t="str">
        <x:v>BR-SPCARANDIRU_MAPEAMENTOS-REMEMORA-CARANDIRU.xlsx</x:v>
      </x:c>
      <x:c r="B337" s="10" t="str">
        <x:v>Geral</x:v>
      </x:c>
      <x:c r="C337" s="10" t="str">
        <x:v>B68</x:v>
      </x:c>
      <x:c r="D337" s="10" t="str">
        <x:v>Linha sem iniciativa</x:v>
      </x:c>
      <x:c r="E337" s="10" t="str"/>
      <x:c r="F337" s="10" t="str">
        <x:v>Excluída da cópia de análise. Preservada no original como linha incompleta ou modelo.</x:v>
      </x:c>
    </x:row>
    <x:row r="338" ht="15" hidden="0" customHeight="1">
      <x:c r="A338" s="10" t="str">
        <x:v>BR-SPCARANDIRU_MAPEAMENTOS-REMEMORA-CARANDIRU.xlsx</x:v>
      </x:c>
      <x:c r="B338" s="10" t="str">
        <x:v>Geral</x:v>
      </x:c>
      <x:c r="C338" s="10" t="str">
        <x:v>B263</x:v>
      </x:c>
      <x:c r="D338" s="10" t="str">
        <x:v>Linha sem iniciativa</x:v>
      </x:c>
      <x:c r="E338" s="10" t="str"/>
      <x:c r="F338" s="10" t="str">
        <x:v>Excluída da cópia de análise. Preservada no original como linha incompleta ou modelo.</x:v>
      </x:c>
    </x:row>
    <x:row r="339" ht="15" hidden="0" customHeight="1">
      <x:c r="A339" s="10" t="str">
        <x:v>BR-SPCARANDIRU_MAPEAMENTOS-REMEMORA-CARANDIRU.xlsx</x:v>
      </x:c>
      <x:c r="B339" s="10" t="str">
        <x:v>Geral</x:v>
      </x:c>
      <x:c r="C339" s="10" t="str">
        <x:v>B264</x:v>
      </x:c>
      <x:c r="D339" s="10" t="str">
        <x:v>Linha sem iniciativa</x:v>
      </x:c>
      <x:c r="E339" s="10" t="str"/>
      <x:c r="F339" s="10" t="str">
        <x:v>Excluída da cópia de análise. Preservada no original como linha incompleta ou modelo.</x:v>
      </x:c>
    </x:row>
    <x:row r="340" ht="15" hidden="0" customHeight="1">
      <x:c r="A340" s="10" t="str">
        <x:v>BR-SPCARANDIRU_MAPEAMENTOS-REMEMORA-CARANDIRU.xlsx</x:v>
      </x:c>
      <x:c r="B340" s="10" t="str">
        <x:v>Geral</x:v>
      </x:c>
      <x:c r="C340" s="10" t="str">
        <x:v>B265</x:v>
      </x:c>
      <x:c r="D340" s="10" t="str">
        <x:v>Linha sem iniciativa</x:v>
      </x:c>
      <x:c r="E340" s="10" t="str"/>
      <x:c r="F340" s="10" t="str">
        <x:v>Excluída da cópia de análise. Preservada no original como linha incompleta ou modelo.</x:v>
      </x:c>
    </x:row>
    <x:row r="341" ht="15" hidden="0" customHeight="1">
      <x:c r="A341" s="10" t="str">
        <x:v>BR-SPCARANDIRU_MAPEAMENTOS-REMEMORA-CARANDIRU.xlsx</x:v>
      </x:c>
      <x:c r="B341" s="10" t="str">
        <x:v>Geral</x:v>
      </x:c>
      <x:c r="C341" s="10" t="str">
        <x:v>B266</x:v>
      </x:c>
      <x:c r="D341" s="10" t="str">
        <x:v>Linha sem iniciativa</x:v>
      </x:c>
      <x:c r="E341" s="10" t="str"/>
      <x:c r="F341" s="10" t="str">
        <x:v>Excluída da cópia de análise. Preservada no original como linha incompleta ou modelo.</x:v>
      </x:c>
    </x:row>
    <x:row r="342" ht="15" hidden="0" customHeight="1">
      <x:c r="A342" s="10" t="str">
        <x:v>BR-SPCARANDIRU_MAPEAMENTOS-REMEMORA-CARANDIRU.xlsx</x:v>
      </x:c>
      <x:c r="B342" s="10" t="str">
        <x:v>Geral</x:v>
      </x:c>
      <x:c r="C342" s="10" t="str">
        <x:v>B267</x:v>
      </x:c>
      <x:c r="D342" s="10" t="str">
        <x:v>Linha sem iniciativa</x:v>
      </x:c>
      <x:c r="E342" s="10" t="str"/>
      <x:c r="F342" s="10" t="str">
        <x:v>Excluída da cópia de análise. Preservada no original como linha incompleta ou modelo.</x:v>
      </x:c>
    </x:row>
    <x:row r="343" ht="15" hidden="0" customHeight="1">
      <x:c r="A343" s="10" t="str">
        <x:v>BR-SPCARANDIRU_MAPEAMENTOS-REMEMORA-CARANDIRU.xlsx</x:v>
      </x:c>
      <x:c r="B343" s="10" t="str">
        <x:v>Geral</x:v>
      </x:c>
      <x:c r="C343" s="10" t="str">
        <x:v>B268</x:v>
      </x:c>
      <x:c r="D343" s="10" t="str">
        <x:v>Linha sem iniciativa</x:v>
      </x:c>
      <x:c r="E343" s="10" t="str"/>
      <x:c r="F343" s="10" t="str">
        <x:v>Excluída da cópia de análise. Preservada no original como linha incompleta ou modelo.</x:v>
      </x:c>
    </x:row>
    <x:row r="344" ht="15" hidden="0" customHeight="1">
      <x:c r="A344" s="10" t="str">
        <x:v>BR-SPCARANDIRU_MAPEAMENTOS-REMEMORA-CARANDIRU.xlsx</x:v>
      </x:c>
      <x:c r="B344" s="10" t="str">
        <x:v>Geral</x:v>
      </x:c>
      <x:c r="C344" s="10" t="str">
        <x:v>B269</x:v>
      </x:c>
      <x:c r="D344" s="10" t="str">
        <x:v>Linha sem iniciativa</x:v>
      </x:c>
      <x:c r="E344" s="10" t="str"/>
      <x:c r="F344" s="10" t="str">
        <x:v>Excluída da cópia de análise. Preservada no original como linha incompleta ou modelo.</x:v>
      </x:c>
    </x:row>
    <x:row r="345" ht="15" hidden="0" customHeight="1">
      <x:c r="A345" s="10" t="str">
        <x:v>BR-SPCARANDIRU_MAPEAMENTOS-REMEMORA-CARANDIRU.xlsx</x:v>
      </x:c>
      <x:c r="B345" s="10" t="str">
        <x:v>Geral</x:v>
      </x:c>
      <x:c r="C345" s="10" t="str">
        <x:v>B270</x:v>
      </x:c>
      <x:c r="D345" s="10" t="str">
        <x:v>Linha sem iniciativa</x:v>
      </x:c>
      <x:c r="E345" s="10" t="str"/>
      <x:c r="F345" s="10" t="str">
        <x:v>Excluída da cópia de análise. Preservada no original como linha incompleta ou modelo.</x:v>
      </x:c>
    </x:row>
    <x:row r="346" ht="15" hidden="0" customHeight="1">
      <x:c r="A346" s="10" t="str">
        <x:v>BR-SPCARANDIRU_MAPEAMENTOS-REMEMORA-CARANDIRU.xlsx</x:v>
      </x:c>
      <x:c r="B346" s="10" t="str">
        <x:v>Geral</x:v>
      </x:c>
      <x:c r="C346" s="10" t="str">
        <x:v>B271</x:v>
      </x:c>
      <x:c r="D346" s="10" t="str">
        <x:v>Linha sem iniciativa</x:v>
      </x:c>
      <x:c r="E346" s="10" t="str"/>
      <x:c r="F346" s="10" t="str">
        <x:v>Excluída da cópia de análise. Preservada no original como linha incompleta ou modelo.</x:v>
      </x:c>
    </x:row>
    <x:row r="347" ht="15" hidden="0" customHeight="1">
      <x:c r="A347" s="10" t="str">
        <x:v>BR-SPCARANDIRU_MAPEAMENTOS-REMEMORA-CARANDIRU.xlsx</x:v>
      </x:c>
      <x:c r="B347" s="10" t="str">
        <x:v>Geral</x:v>
      </x:c>
      <x:c r="C347" s="10" t="str">
        <x:v>B272</x:v>
      </x:c>
      <x:c r="D347" s="10" t="str">
        <x:v>Linha sem iniciativa</x:v>
      </x:c>
      <x:c r="E347" s="10" t="str"/>
      <x:c r="F347" s="10" t="str">
        <x:v>Excluída da cópia de análise. Preservada no original como linha incompleta ou modelo.</x:v>
      </x:c>
    </x:row>
    <x:row r="348" ht="15" hidden="0" customHeight="1">
      <x:c r="A348" s="10" t="str">
        <x:v>BR-SPCARANDIRU_MAPEAMENTOS-REMEMORA-CARANDIRU.xlsx</x:v>
      </x:c>
      <x:c r="B348" s="10" t="str">
        <x:v>Geral</x:v>
      </x:c>
      <x:c r="C348" s="10" t="str">
        <x:v>B273</x:v>
      </x:c>
      <x:c r="D348" s="10" t="str">
        <x:v>Linha sem iniciativa</x:v>
      </x:c>
      <x:c r="E348" s="10" t="str"/>
      <x:c r="F348" s="10" t="str">
        <x:v>Excluída da cópia de análise. Preservada no original como linha incompleta ou modelo.</x:v>
      </x:c>
    </x:row>
    <x:row r="349" ht="15" hidden="0" customHeight="1">
      <x:c r="A349" s="10" t="str">
        <x:v>BR-SPCARANDIRU_MAPEAMENTOS-REMEMORA-CARANDIRU.xlsx</x:v>
      </x:c>
      <x:c r="B349" s="10" t="str">
        <x:v>Geral</x:v>
      </x:c>
      <x:c r="C349" s="10" t="str">
        <x:v>B274</x:v>
      </x:c>
      <x:c r="D349" s="10" t="str">
        <x:v>Linha sem iniciativa</x:v>
      </x:c>
      <x:c r="E349" s="10" t="str"/>
      <x:c r="F349" s="10" t="str">
        <x:v>Excluída da cópia de análise. Preservada no original como linha incompleta ou modelo.</x:v>
      </x:c>
    </x:row>
    <x:row r="350" ht="15" hidden="0" customHeight="1">
      <x:c r="A350" s="10" t="str">
        <x:v>BR-SPCARANDIRU_MAPEAMENTOS-REMEMORA-CARANDIRU.xlsx</x:v>
      </x:c>
      <x:c r="B350" s="10" t="str">
        <x:v>Organização</x:v>
      </x:c>
      <x:c r="C350" s="10" t="str">
        <x:v>F2</x:v>
      </x:c>
      <x:c r="D350" s="10" t="str">
        <x:v>Espaço externo ou caractere invisível</x:v>
      </x:c>
      <x:c r="E350" s="10" t="str">
        <x:v>CSV (text/csv) </x:v>
      </x:c>
      <x:c r="F350" s="10" t="str">
        <x:v>Removido apenas na cópia tabular de análise; original preservado.</x:v>
      </x:c>
    </x:row>
    <x:row r="351" ht="15" hidden="0" customHeight="1">
      <x:c r="A351" s="10" t="str">
        <x:v>BR-SPCARANDIRU_MAPEAMENTOS-REMEMORA-CARANDIRU.xlsx</x:v>
      </x:c>
      <x:c r="B351" s="10" t="str">
        <x:v>Organização</x:v>
      </x:c>
      <x:c r="C351" s="10" t="str">
        <x:v>C3</x:v>
      </x:c>
      <x:c r="D351" s="10" t="str">
        <x:v>Espaço externo ou caractere invisível</x:v>
      </x:c>
      <x:c r="E351" s="10" t="str">
        <x:v>Folheto </x:v>
      </x:c>
      <x:c r="F351" s="10" t="str">
        <x:v>Removido apenas na cópia tabular de análise; original preservado.</x:v>
      </x:c>
    </x:row>
    <x:row r="352" ht="15" hidden="0" customHeight="1">
      <x:c r="A352" s="10" t="str">
        <x:v>BR-SPCARANDIRU_MAPEAMENTOS-REMEMORA-CARANDIRU.xlsx</x:v>
      </x:c>
      <x:c r="B352" s="10" t="str">
        <x:v>Organização</x:v>
      </x:c>
      <x:c r="C352" s="10" t="str">
        <x:v>D3</x:v>
      </x:c>
      <x:c r="D352" s="10" t="str">
        <x:v>Espaço externo ou caractere invisível</x:v>
      </x:c>
      <x:c r="E352" s="10" t="str">
        <x:v>Apresentação (digital) </x:v>
      </x:c>
      <x:c r="F352" s="10" t="str">
        <x:v>Removido apenas na cópia tabular de análise; original preservado.</x:v>
      </x:c>
    </x:row>
    <x:row r="353" ht="15" hidden="0" customHeight="1">
      <x:c r="A353" s="10" t="str">
        <x:v>BR-SPCARANDIRU_MAPEAMENTOS-REMEMORA-CARANDIRU.xlsx</x:v>
      </x:c>
      <x:c r="B353" s="10" t="str">
        <x:v>Organização</x:v>
      </x:c>
      <x:c r="C353" s="10" t="str">
        <x:v>F3</x:v>
      </x:c>
      <x:c r="D353" s="10" t="str">
        <x:v>Espaço externo ou caractere invisível</x:v>
      </x:c>
      <x:c r="E353" s="10" t="str">
        <x:v>DOC (application/msword) </x:v>
      </x:c>
      <x:c r="F353" s="10" t="str">
        <x:v>Removido apenas na cópia tabular de análise; original preservado.</x:v>
      </x:c>
    </x:row>
    <x:row r="354" ht="15" hidden="0" customHeight="1">
      <x:c r="A354" s="10" t="str">
        <x:v>BR-SPCARANDIRU_MAPEAMENTOS-REMEMORA-CARANDIRU.xlsx</x:v>
      </x:c>
      <x:c r="B354" s="10" t="str">
        <x:v>Organização</x:v>
      </x:c>
      <x:c r="C354" s="10" t="str">
        <x:v>A5</x:v>
      </x:c>
      <x:c r="D354" s="10" t="str">
        <x:v>Espaço externo ou caractere invisível</x:v>
      </x:c>
      <x:c r="E354" s="10" t="str">
        <x:v>Atividade de </x:v>
      </x:c>
      <x:c r="F354" s="10" t="str">
        <x:v>Removido apenas na cópia tabular de análise; original preservado.</x:v>
      </x:c>
    </x:row>
    <x:row r="355" ht="15" hidden="0" customHeight="1">
      <x:c r="A355" s="10" t="str">
        <x:v>BR-SPCARANDIRU_MAPEAMENTOS-REMEMORA-CARANDIRU.xlsx</x:v>
      </x:c>
      <x:c r="B355" s="10" t="str">
        <x:v>Organização</x:v>
      </x:c>
      <x:c r="C355" s="10" t="str">
        <x:v>C5</x:v>
      </x:c>
      <x:c r="D355" s="10" t="str">
        <x:v>Espaço externo ou caractere invisível</x:v>
      </x:c>
      <x:c r="E355" s="10" t="str">
        <x:v>Exposição (instalação) </x:v>
      </x:c>
      <x:c r="F355" s="10" t="str">
        <x:v>Removido apenas na cópia tabular de análise; original preservado.</x:v>
      </x:c>
    </x:row>
    <x:row r="356" ht="15" hidden="0" customHeight="1">
      <x:c r="A356" s="10" t="str">
        <x:v>BR-SPCARANDIRU_MAPEAMENTOS-REMEMORA-CARANDIRU.xlsx</x:v>
      </x:c>
      <x:c r="B356" s="10" t="str">
        <x:v>Organização</x:v>
      </x:c>
      <x:c r="C356" s="10" t="str">
        <x:v>D6</x:v>
      </x:c>
      <x:c r="D356" s="10" t="str">
        <x:v>Espaço externo ou caractere invisível</x:v>
      </x:c>
      <x:c r="E356" s="10" t="str">
        <x:v>Dados (digital) </x:v>
      </x:c>
      <x:c r="F356" s="10" t="str">
        <x:v>Removido apenas na cópia tabular de análise; original preservado.</x:v>
      </x:c>
    </x:row>
    <x:row r="357" ht="15" hidden="0" customHeight="1">
      <x:c r="A357" s="10" t="str">
        <x:v>BR-SPCARANDIRU_MAPEAMENTOS-REMEMORA-CARANDIRU.xlsx</x:v>
      </x:c>
      <x:c r="B357" s="10" t="str">
        <x:v>Organização</x:v>
      </x:c>
      <x:c r="C357" s="10" t="str">
        <x:v>C7</x:v>
      </x:c>
      <x:c r="D357" s="10" t="str">
        <x:v>Espaço externo ou caractere invisível</x:v>
      </x:c>
      <x:c r="E357" s="10" t="str">
        <x:v>Jornal </x:v>
      </x:c>
      <x:c r="F357" s="10" t="str">
        <x:v>Removido apenas na cópia tabular de análise; original preservado.</x:v>
      </x:c>
    </x:row>
    <x:row r="358" ht="15" hidden="0" customHeight="1">
      <x:c r="A358" s="10" t="str">
        <x:v>BR-SPCARANDIRU_MAPEAMENTOS-REMEMORA-CARANDIRU.xlsx</x:v>
      </x:c>
      <x:c r="B358" s="10" t="str">
        <x:v>Organização</x:v>
      </x:c>
      <x:c r="C358" s="10" t="str">
        <x:v>E9</x:v>
      </x:c>
      <x:c r="D358" s="10" t="str">
        <x:v>Espaço externo ou caractere invisível</x:v>
      </x:c>
      <x:c r="E358" s="10" t="str">
        <x:v>Matriz tratada (tratamento desconhecido) </x:v>
      </x:c>
      <x:c r="F358" s="10" t="str">
        <x:v>Removido apenas na cópia tabular de análise; original preservado.</x:v>
      </x:c>
    </x:row>
    <x:row r="359" ht="15" hidden="0" customHeight="1">
      <x:c r="A359" s="10" t="str">
        <x:v>BR-SPCARANDIRU_MAPEAMENTOS-REMEMORA-CARANDIRU.xlsx</x:v>
      </x:c>
      <x:c r="B359" s="10" t="str">
        <x:v>Organização</x:v>
      </x:c>
      <x:c r="C359" s="10" t="str">
        <x:v>D13</x:v>
      </x:c>
      <x:c r="D359" s="10" t="str">
        <x:v>Espaço externo ou caractere invisível</x:v>
      </x:c>
      <x:c r="E359" s="10" t="str">
        <x:v>Filmagem (convencional) </x:v>
      </x:c>
      <x:c r="F359" s="10" t="str">
        <x:v>Removido apenas na cópia tabular de análise; original preservado.</x:v>
      </x:c>
    </x:row>
    <x:row r="360" ht="15" hidden="0" customHeight="1">
      <x:c r="A360" s="10" t="str">
        <x:v>BR-SPCARANDIRU_MAPEAMENTOS-REMEMORA-CARANDIRU.xlsx</x:v>
      </x:c>
      <x:c r="B360" s="10" t="str">
        <x:v>Organização</x:v>
      </x:c>
      <x:c r="C360" s="10" t="str">
        <x:v>D14</x:v>
      </x:c>
      <x:c r="D360" s="10" t="str">
        <x:v>Espaço externo ou caractere invisível</x:v>
      </x:c>
      <x:c r="E360" s="10" t="str">
        <x:v>Filmagem (geral) </x:v>
      </x:c>
      <x:c r="F360" s="10" t="str">
        <x:v>Removido apenas na cópia tabular de análise; original preservado.</x:v>
      </x:c>
    </x:row>
    <x:row r="361" ht="15" hidden="0" customHeight="1">
      <x:c r="A361" s="10" t="str">
        <x:v>BR-SPCARANDIRU_MAPEAMENTOS-REMEMORA-CARANDIRU.xlsx</x:v>
      </x:c>
      <x:c r="B361" s="10" t="str">
        <x:v>Organização</x:v>
      </x:c>
      <x:c r="C361" s="10" t="str">
        <x:v>F14</x:v>
      </x:c>
      <x:c r="D361" s="10" t="str">
        <x:v>Espaço externo ou caractere invisível</x:v>
      </x:c>
      <x:c r="E361" s="10" t="str">
        <x:v>(completar...) </x:v>
      </x:c>
      <x:c r="F361" s="10" t="str">
        <x:v>Removido apenas na cópia tabular de análise; original preservado.</x:v>
      </x:c>
    </x:row>
    <x:row r="362" ht="15" hidden="0" customHeight="1">
      <x:c r="A362" s="10" t="str">
        <x:v>BR-SPCARANDIRU_MAPEAMENTOS-REMEMORA-CARANDIRU.xlsx</x:v>
      </x:c>
      <x:c r="B362" s="10" t="str">
        <x:v>Organização</x:v>
      </x:c>
      <x:c r="C362" s="10" t="str">
        <x:v>B15</x:v>
      </x:c>
      <x:c r="D362" s="10" t="str">
        <x:v>Espaço externo ou caractere invisível</x:v>
      </x:c>
      <x:c r="E362" s="10" t="str">
        <x:v>Tridimensional </x:v>
      </x:c>
      <x:c r="F362" s="10" t="str">
        <x:v>Removido apenas na cópia tabular de análise; original preservado.</x:v>
      </x:c>
    </x:row>
    <x:row r="363" ht="15" hidden="0" customHeight="1">
      <x:c r="A363" s="10" t="str">
        <x:v>BR-SPCARANDIRU_MAPEAMENTOS-REMEMORA-CARANDIRU.xlsx</x:v>
      </x:c>
      <x:c r="B363" s="10" t="str">
        <x:v>Organização</x:v>
      </x:c>
      <x:c r="C363" s="10" t="str">
        <x:v>C15</x:v>
      </x:c>
      <x:c r="D363" s="10" t="str">
        <x:v>Espaço externo ou caractere invisível</x:v>
      </x:c>
      <x:c r="E363" s="10" t="str">
        <x:v>Programa (rádio e TV) </x:v>
      </x:c>
      <x:c r="F363" s="10" t="str">
        <x:v>Removido apenas na cópia tabular de análise; original preservado.</x:v>
      </x:c>
    </x:row>
    <x:row r="364" ht="15" hidden="0" customHeight="1">
      <x:c r="A364" s="10" t="str">
        <x:v>BR-SPCARANDIRU_MAPEAMENTOS-REMEMORA-CARANDIRU.xlsx</x:v>
      </x:c>
      <x:c r="B364" s="10" t="str">
        <x:v>Organização</x:v>
      </x:c>
      <x:c r="C364" s="10" t="str">
        <x:v>D15</x:v>
      </x:c>
      <x:c r="D364" s="10" t="str">
        <x:v>Espaço externo ou caractere invisível</x:v>
      </x:c>
      <x:c r="E364" s="10" t="str">
        <x:v>Fotografia (exposição fotográfica) </x:v>
      </x:c>
      <x:c r="F364" s="10" t="str">
        <x:v>Removido apenas na cópia tabular de análise; original preservado.</x:v>
      </x:c>
    </x:row>
    <x:row r="365" ht="15" hidden="0" customHeight="1">
      <x:c r="A365" s="10" t="str">
        <x:v>BR-SPCARANDIRU_MAPEAMENTOS-REMEMORA-CARANDIRU.xlsx</x:v>
      </x:c>
      <x:c r="B365" s="10" t="str">
        <x:v>Organização</x:v>
      </x:c>
      <x:c r="C365" s="10" t="str">
        <x:v>D17</x:v>
      </x:c>
      <x:c r="D365" s="10" t="str">
        <x:v>Espaço externo ou caractere invisível</x:v>
      </x:c>
      <x:c r="E365" s="10" t="str">
        <x:v>Gravação (convencional) </x:v>
      </x:c>
      <x:c r="F365" s="10" t="str">
        <x:v>Removido apenas na cópia tabular de análise; original preservado.</x:v>
      </x:c>
    </x:row>
    <x:row r="366" ht="15" hidden="0" customHeight="1">
      <x:c r="A366" s="10" t="str">
        <x:v>BR-SPCARANDIRU_MAPEAMENTOS-REMEMORA-CARANDIRU.xlsx</x:v>
      </x:c>
      <x:c r="B366" s="10" t="str">
        <x:v>Organização</x:v>
      </x:c>
      <x:c r="C366" s="10" t="str">
        <x:v>D18</x:v>
      </x:c>
      <x:c r="D366" s="10" t="str">
        <x:v>Espaço externo ou caractere invisível</x:v>
      </x:c>
      <x:c r="E366" s="10" t="str">
        <x:v>Gravação (geral) </x:v>
      </x:c>
      <x:c r="F366" s="10" t="str">
        <x:v>Removido apenas na cópia tabular de análise; original preservado.</x:v>
      </x:c>
    </x:row>
    <x:row r="367" ht="15" hidden="0" customHeight="1">
      <x:c r="A367" s="10" t="str">
        <x:v>BR-SPCARANDIRU_MAPEAMENTOS-REMEMORA-CARANDIRU.xlsx</x:v>
      </x:c>
      <x:c r="B367" s="10" t="str">
        <x:v>Organização</x:v>
      </x:c>
      <x:c r="C367" s="10" t="str">
        <x:v>D19</x:v>
      </x:c>
      <x:c r="D367" s="10" t="str">
        <x:v>Espaço externo ou caractere invisível</x:v>
      </x:c>
      <x:c r="E367" s="10" t="str">
        <x:v>Imagem (digital) </x:v>
      </x:c>
      <x:c r="F367" s="10" t="str">
        <x:v>Removido apenas na cópia tabular de análise; original preservado.</x:v>
      </x:c>
    </x:row>
    <x:row r="368" ht="15" hidden="0" customHeight="1">
      <x:c r="A368" s="10" t="str">
        <x:v>BR-SPCARANDIRU_MAPEAMENTOS-REMEMORA-CARANDIRU.xlsx</x:v>
      </x:c>
      <x:c r="B368" s="10" t="str">
        <x:v>Organização</x:v>
      </x:c>
      <x:c r="C368" s="10" t="str">
        <x:v>D20</x:v>
      </x:c>
      <x:c r="D368" s="10" t="str">
        <x:v>Espaço externo ou caractere invisível</x:v>
      </x:c>
      <x:c r="E368" s="10" t="str">
        <x:v>Imagem matricial (digital) </x:v>
      </x:c>
      <x:c r="F368" s="10" t="str">
        <x:v>Removido apenas na cópia tabular de análise; original preservado.</x:v>
      </x:c>
    </x:row>
    <x:row r="369" ht="15" hidden="0" customHeight="1">
      <x:c r="A369" s="10" t="str">
        <x:v>BR-SPCARANDIRU_MAPEAMENTOS-REMEMORA-CARANDIRU.xlsx</x:v>
      </x:c>
      <x:c r="B369" s="10" t="str">
        <x:v>Organização</x:v>
      </x:c>
      <x:c r="C369" s="10" t="str">
        <x:v>D22</x:v>
      </x:c>
      <x:c r="D369" s="10" t="str">
        <x:v>Espaço externo ou caractere invisível</x:v>
      </x:c>
      <x:c r="E369" s="10" t="str">
        <x:v>Impresso </x:v>
      </x:c>
      <x:c r="F369" s="10" t="str">
        <x:v>Removido apenas na cópia tabular de análise; original preservado.</x:v>
      </x:c>
    </x:row>
    <x:row r="370" ht="15" hidden="0" customHeight="1">
      <x:c r="A370" s="10" t="str">
        <x:v>BR-SPCARANDIRU_MAPEAMENTOS-REMEMORA-CARANDIRU.xlsx</x:v>
      </x:c>
      <x:c r="B370" s="10" t="str">
        <x:v>Organização</x:v>
      </x:c>
      <x:c r="C370" s="10" t="str">
        <x:v>D23</x:v>
      </x:c>
      <x:c r="D370" s="10" t="str">
        <x:v>Espaço externo ou caractere invisível</x:v>
      </x:c>
      <x:c r="E370" s="10" t="str">
        <x:v>Manuscrito </x:v>
      </x:c>
      <x:c r="F370" s="10" t="str">
        <x:v>Removido apenas na cópia tabular de análise; original preservado.</x:v>
      </x:c>
    </x:row>
    <x:row r="371" ht="15" hidden="0" customHeight="1">
      <x:c r="A371" s="10" t="str">
        <x:v>BR-SPCARANDIRU_MAPEAMENTOS-REMEMORA-CARANDIRU.xlsx</x:v>
      </x:c>
      <x:c r="B371" s="10" t="str">
        <x:v>Organização</x:v>
      </x:c>
      <x:c r="C371" s="10" t="str">
        <x:v>D24</x:v>
      </x:c>
      <x:c r="D371" s="10" t="str">
        <x:v>Espaço externo ou caractere invisível</x:v>
      </x:c>
      <x:c r="E371" s="10" t="str">
        <x:v>Microfilmagem </x:v>
      </x:c>
      <x:c r="F371" s="10" t="str">
        <x:v>Removido apenas na cópia tabular de análise; original preservado.</x:v>
      </x:c>
    </x:row>
    <x:row r="372" ht="15" hidden="0" customHeight="1">
      <x:c r="A372" s="10" t="str">
        <x:v>BR-SPCARANDIRU_MAPEAMENTOS-REMEMORA-CARANDIRU.xlsx</x:v>
      </x:c>
      <x:c r="B372" s="10" t="str">
        <x:v>Organização</x:v>
      </x:c>
      <x:c r="C372" s="10" t="str">
        <x:v>D27</x:v>
      </x:c>
      <x:c r="D372" s="10" t="str">
        <x:v>Espaço externo ou caractere invisível</x:v>
      </x:c>
      <x:c r="E372" s="10" t="str">
        <x:v>Negativo (fotográfico) </x:v>
      </x:c>
      <x:c r="F372" s="10" t="str">
        <x:v>Removido apenas na cópia tabular de análise; original preservado.</x:v>
      </x:c>
    </x:row>
    <x:row r="373" ht="15" hidden="0" customHeight="1">
      <x:c r="A373" s="10" t="str">
        <x:v>BR-SPCARANDIRU_MAPEAMENTOS-REMEMORA-CARANDIRU.xlsx</x:v>
      </x:c>
      <x:c r="B373" s="10" t="str">
        <x:v>Lista de movimentos</x:v>
      </x:c>
      <x:c r="C373" s="10" t="str">
        <x:v>A4</x:v>
      </x:c>
      <x:c r="D373" s="10" t="str">
        <x:v>Espaço externo ou caractere invisível</x:v>
      </x:c>
      <x:c r="E373" s="10" t="str">
        <x:v>Agência Pavio </x:v>
      </x:c>
      <x:c r="F373" s="10" t="str">
        <x:v>Removido apenas na cópia tabular de análise; original preservado.</x:v>
      </x:c>
    </x:row>
    <x:row r="374" ht="15" hidden="0" customHeight="1">
      <x:c r="A374" s="10" t="str">
        <x:v>BR-SPCARANDIRU_MAPEAMENTOS-REMEMORA-CARANDIRU.xlsx</x:v>
      </x:c>
      <x:c r="B374" s="10" t="str">
        <x:v>Lista de movimentos</x:v>
      </x:c>
      <x:c r="C374" s="10" t="str">
        <x:v>B8</x:v>
      </x:c>
      <x:c r="D374" s="10" t="str">
        <x:v>Espaço externo ou caractere invisível</x:v>
      </x:c>
      <x:c r="E374" s="10" t="str">
        <x:v>Associação </x:v>
      </x:c>
      <x:c r="F374" s="10" t="str">
        <x:v>Removido apenas na cópia tabular de análise; original preservado.</x:v>
      </x:c>
    </x:row>
    <x:row r="375" ht="15" hidden="0" customHeight="1">
      <x:c r="A375" s="10" t="str">
        <x:v>BR-SPCARANDIRU_MAPEAMENTOS-REMEMORA-CARANDIRU.xlsx</x:v>
      </x:c>
      <x:c r="B375" s="10" t="str">
        <x:v>Lista de movimentos</x:v>
      </x:c>
      <x:c r="C375" s="10" t="str">
        <x:v>B18</x:v>
      </x:c>
      <x:c r="D375" s="10" t="str">
        <x:v>Espaço externo ou caractere invisível</x:v>
      </x:c>
      <x:c r="E375" s="10" t="str">
        <x:v>Organização </x:v>
      </x:c>
      <x:c r="F375" s="10" t="str">
        <x:v>Removido apenas na cópia tabular de análise; original preservado.</x:v>
      </x:c>
    </x:row>
    <x:row r="376" ht="15" hidden="0" customHeight="1">
      <x:c r="A376" s="10" t="str">
        <x:v>BR-SPCARANDIRU_MAPEAMENTOS-REMEMORA-CARANDIRU.xlsx</x:v>
      </x:c>
      <x:c r="B376" s="10" t="str">
        <x:v>Lista de movimentos</x:v>
      </x:c>
      <x:c r="C376" s="10" t="str">
        <x:v>A25</x:v>
      </x:c>
      <x:c r="D376" s="10" t="str">
        <x:v>Espaço externo ou caractere invisível</x:v>
      </x:c>
      <x:c r="E376" s="10" t="str">
        <x:v>Coletivo Por Nós </x:v>
      </x:c>
      <x:c r="F376" s="10" t="str">
        <x:v>Removido apenas na cópia tabular de análise; original preservado.</x:v>
      </x:c>
    </x:row>
    <x:row r="377" ht="15" hidden="0" customHeight="1">
      <x:c r="A377" s="10" t="str">
        <x:v>BR-SPCARANDIRU_MAPEAMENTOS-REMEMORA-CARANDIRU.xlsx</x:v>
      </x:c>
      <x:c r="B377" s="10" t="str">
        <x:v>Lista de movimentos</x:v>
      </x:c>
      <x:c r="C377" s="10" t="str">
        <x:v>A49</x:v>
      </x:c>
      <x:c r="D377" s="10" t="str">
        <x:v>Espaço externo ou caractere invisível</x:v>
      </x:c>
      <x:c r="E377" s="10" t="str">
        <x:v>Instituto Çarê </x:v>
      </x:c>
      <x:c r="F377" s="10" t="str">
        <x:v>Removido apenas na cópia tabular de análise; original preservado.</x:v>
      </x:c>
    </x:row>
    <x:row r="378" ht="15" hidden="0" customHeight="1">
      <x:c r="A378" s="10" t="str">
        <x:v>BR-SPCARANDIRU_MAPEAMENTOS-REMEMORA-CARANDIRU.xlsx</x:v>
      </x:c>
      <x:c r="B378" s="10" t="str">
        <x:v>Lista de movimentos</x:v>
      </x:c>
      <x:c r="C378" s="10" t="str">
        <x:v>A51</x:v>
      </x:c>
      <x:c r="D378" s="10" t="str">
        <x:v>Espaço externo ou caractere invisível</x:v>
      </x:c>
      <x:c r="E378" s="10" t="str">
        <x:v>Kilombagem </x:v>
      </x:c>
      <x:c r="F378" s="10" t="str">
        <x:v>Removido apenas na cópia tabular de análise; original preservado.</x:v>
      </x:c>
    </x:row>
    <x:row r="379" ht="15" hidden="0" customHeight="1">
      <x:c r="A379" s="10" t="str">
        <x:v>BR-SPCARANDIRU_MAPEAMENTOS-REMEMORA-CARANDIRU.xlsx</x:v>
      </x:c>
      <x:c r="B379" s="10" t="str">
        <x:v>Lista de movimentos</x:v>
      </x:c>
      <x:c r="C379" s="10" t="str">
        <x:v>H55</x:v>
      </x:c>
      <x:c r="D379" s="10" t="str">
        <x:v>Espaço externo ou caractere invisível</x:v>
      </x:c>
      <x:c r="E379" s="10" t="str">
        <x:v>Instituto de Filosofia e Ciências Humanas da Universidade Estadual de Campinas </x:v>
      </x:c>
      <x:c r="F379" s="10" t="str">
        <x:v>Removido apenas na cópia tabular de análise; original preservado.</x:v>
      </x:c>
    </x:row>
    <x:row r="380" ht="15" hidden="0" customHeight="1">
      <x:c r="A380" s="10" t="str">
        <x:v>BR-SPCARANDIRU_MAPEAMENTOS-REMEMORA-CARANDIRU.xlsx</x:v>
      </x:c>
      <x:c r="B380" s="10" t="str">
        <x:v>Lista de movimentos</x:v>
      </x:c>
      <x:c r="C380" s="10" t="str">
        <x:v>H56</x:v>
      </x:c>
      <x:c r="D380" s="10" t="str">
        <x:v>Espaço externo ou caractere invisível</x:v>
      </x:c>
      <x:c r="E380" s="10" t="str">
        <x:v>Edson Souza (Professor da UFRGS) </x:v>
      </x:c>
      <x:c r="F380" s="10" t="str">
        <x:v>Removido apenas na cópia tabular de análise; original preservado.</x:v>
      </x:c>
    </x:row>
    <x:row r="381" ht="15" hidden="0" customHeight="1">
      <x:c r="A381" s="10" t="str">
        <x:v>BR-SPCARANDIRU_MAPEAMENTOS-REMEMORA-CARANDIRU.xlsx</x:v>
      </x:c>
      <x:c r="B381" s="10" t="str">
        <x:v>Lista de movimentos</x:v>
      </x:c>
      <x:c r="C381" s="10" t="str">
        <x:v>A64</x:v>
      </x:c>
      <x:c r="D381" s="10" t="str">
        <x:v>Espaço externo ou caractere invisível</x:v>
      </x:c>
      <x:c r="E381" s="10" t="str">
        <x:v>Rede 02 de Outubro </x:v>
      </x:c>
      <x:c r="F381" s="10" t="str">
        <x:v>Removido apenas na cópia tabular de análise; original preservado.</x:v>
      </x:c>
    </x:row>
    <x:row r="382" ht="15" hidden="0" customHeight="1">
      <x:c r="A382" s="10" t="str">
        <x:v>BR-SPCARANDIRU_MAPEAMENTOS-REMEMORA-CARANDIRU.xlsx</x:v>
      </x:c>
      <x:c r="B382" s="10" t="str">
        <x:v>Lista de movimentos</x:v>
      </x:c>
      <x:c r="C382" s="10" t="str">
        <x:v>A67</x:v>
      </x:c>
      <x:c r="D382" s="10" t="str">
        <x:v>Espaço externo ou caractere invisível</x:v>
      </x:c>
      <x:c r="E382" s="10" t="str">
        <x:v>Rede Nacional de Feministas Antiproibicionistas </x:v>
      </x:c>
      <x:c r="F382" s="10" t="str">
        <x:v>Removido apenas na cópia tabular de análise; original preservado.</x:v>
      </x:c>
    </x:row>
    <x:row r="383" ht="15" hidden="0" customHeight="1">
      <x:c r="A383" s="10" t="str">
        <x:v>BR-SPCARANDIRU_MAPEAMENTOS-REMEMORA-CARANDIRU.xlsx</x:v>
      </x:c>
      <x:c r="B383" s="10" t="str">
        <x:v>Lista de movimentos</x:v>
      </x:c>
      <x:c r="C383" s="10" t="str">
        <x:v>A70</x:v>
      </x:c>
      <x:c r="D383" s="10" t="str">
        <x:v>Espaço externo ou caractere invisível</x:v>
      </x:c>
      <x:c r="E383" s="10" t="str">
        <x:v>Secretaria Municipal de Direitos Humanos </x:v>
      </x:c>
      <x:c r="F383" s="10" t="str">
        <x:v>Removido apenas na cópia tabular de análise; original preservado.</x:v>
      </x:c>
    </x:row>
    <x:row r="384" ht="15" hidden="0" customHeight="1">
      <x:c r="A384" s="10" t="str">
        <x:v>BR-SPCARANDIRU_MAPEAMENTOS-REMEMORA-CARANDIRU.xlsx</x:v>
      </x:c>
      <x:c r="B384" s="10" t="str">
        <x:v>Lista de movimentos</x:v>
      </x:c>
      <x:c r="C384" s="10" t="str">
        <x:v>E117</x:v>
      </x:c>
      <x:c r="D384" s="10" t="str">
        <x:v>Espaço externo ou caractere invisível</x:v>
      </x:c>
      <x:c r="E384" s="10" t="str">
        <x:v>Pessoas engajadas no tema da segurança pública </x:v>
      </x:c>
      <x:c r="F384" s="10" t="str">
        <x:v>Removido apenas na cópia tabular de análise; original preservado.</x:v>
      </x:c>
    </x:row>
    <x:row r="385" ht="24" hidden="0" customHeight="1">
      <x:c r="A385" s="10" t="str">
        <x:v>BR-SPCARANDIRU_MAPEAMENTOS-REMEMORA-CARANDIRU.xlsx</x:v>
      </x:c>
      <x:c r="B385" s="10" t="str">
        <x:v>Definições</x:v>
      </x:c>
      <x:c r="C385" s="10" t="str">
        <x:v>B2</x:v>
      </x:c>
      <x:c r="D385" s="10" t="str">
        <x:v>Espaço externo ou caractere invisível</x:v>
      </x:c>
      <x:c r="E385" s="10" t="str">
        <x:v>Cada um dos conjuntos documentais de interesse da instituição, de acordo com sua política de aquisição. </x:v>
      </x:c>
      <x:c r="F385" s="10" t="str">
        <x:v>Removido apenas na cópia tabular de análise; original preservado.</x:v>
      </x:c>
    </x:row>
    <x:row r="386" ht="15" hidden="0" customHeight="1">
      <x:c r="A386" s="10" t="str">
        <x:v>BR-SPCARANDIRU_MAPEAMENTOS-REMEMORA-CARANDIRU.xlsx</x:v>
      </x:c>
      <x:c r="B386" s="10" t="str">
        <x:v>Definições</x:v>
      </x:c>
      <x:c r="C386" s="10" t="str">
        <x:v>B9</x:v>
      </x:c>
      <x:c r="D386" s="10" t="str">
        <x:v>Espaço externo ou caractere invisível</x:v>
      </x:c>
      <x:c r="E386" s="10" t="str">
        <x:v>Termo pelo qual se dá acesso a uma unidade de descrição. Verbete. </x:v>
      </x:c>
      <x:c r="F386" s="10" t="str">
        <x:v>Removido apenas na cópia tabular de análise; original preservado.</x:v>
      </x:c>
    </x:row>
    <x:row r="387" ht="24" hidden="0" customHeight="1">
      <x:c r="A387" s="10" t="str">
        <x:v>BR-SPCARANDIRU_MAPEAMENTOS-REMEMORA-CARANDIRU.xlsx</x:v>
      </x:c>
      <x:c r="B387" s="10" t="str">
        <x:v>Definições</x:v>
      </x:c>
      <x:c r="C387" s="10" t="str">
        <x:v>B13</x:v>
      </x:c>
      <x:c r="D387" s="10" t="str">
        <x:v>Espaço externo ou caractere invisível</x:v>
      </x:c>
      <x:c r="E387" s="10" t="str">
        <x:v>Unidade constituída pelo conjunto de documentos acumulados por uma entidade que, no arquivo permanente, passa a conviver com arquivos de outras. </x:v>
      </x:c>
      <x:c r="F387" s="10" t="str">
        <x:v>Removido apenas na cópia tabular de análise; original preservado.</x:v>
      </x:c>
    </x:row>
    <x:row r="388" ht="15" hidden="0" customHeight="1">
      <x:c r="A388" s="10" t="str">
        <x:v>BR-SPCARANDIRU_MAPEAMENTOS-REMEMORA-CARANDIRU.xlsx</x:v>
      </x:c>
      <x:c r="B388" s="10" t="str">
        <x:v>Definições</x:v>
      </x:c>
      <x:c r="C388" s="10" t="str">
        <x:v>B15</x:v>
      </x:c>
      <x:c r="D388" s="10" t="str">
        <x:v>Espaço externo ou caractere invisível</x:v>
      </x:c>
      <x:c r="E388" s="10" t="str">
        <x:v>Todo e qualquer elemento referencial contido num documento. </x:v>
      </x:c>
      <x:c r="F388" s="10" t="str">
        <x:v>Removido apenas na cópia tabular de análise; original preservado.</x:v>
      </x:c>
    </x:row>
    <x:row r="389" ht="36" hidden="0" customHeight="1">
      <x:c r="A389" s="10" t="str">
        <x:v>BR-SPCARANDIRU_MAPEAMENTOS-REMEMORA-CARANDIRU.xlsx</x:v>
      </x:c>
      <x:c r="B389" s="10" t="str">
        <x:v>Definições</x:v>
      </x:c>
      <x:c r="C389" s="10" t="str">
        <x:v>B17</x:v>
      </x:c>
      <x:c r="D389" s="10" t="str">
        <x:v>Espaço externo ou caractere invisível</x:v>
      </x:c>
      <x:c r="E389" s="10" t="str">
        <x:v>Palavra ou grupo de palavras retiradas diretamente de um ou mais documentos, para indicar seu conteúdo e facilitar sua recuperação. Descritor, tesauro e vocabulário controlado. </x:v>
      </x:c>
      <x:c r="F389" s="10" t="str">
        <x:v>Removido apenas na cópia tabular de análise; original preservado.</x:v>
      </x:c>
    </x:row>
    <x:row r="390" ht="24" hidden="0" customHeight="1">
      <x:c r="A390" s="10" t="str">
        <x:v>BR-SPCARANDIRU_MAPEAMENTOS-REMEMORA-CARANDIRU.xlsx</x:v>
      </x:c>
      <x:c r="B390" s="10" t="str">
        <x:v>Definições</x:v>
      </x:c>
      <x:c r="C390" s="10" t="str">
        <x:v>B19</x:v>
      </x:c>
      <x:c r="D390" s="10" t="str">
        <x:v>Espaço externo ou caractere invisível</x:v>
      </x:c>
      <x:c r="E390" s="10" t="str">
        <x:v>Cópia exata do documento no conteúdo e no aspecto formal, mas não necessariamente em suas domensões. </x:v>
      </x:c>
      <x:c r="F390" s="10" t="str">
        <x:v>Removido apenas na cópia tabular de análise; original preservado.</x:v>
      </x:c>
    </x:row>
    <x:row r="391" ht="15" hidden="0" customHeight="1">
      <x:c r="A391" s="10" t="str">
        <x:v>BR-SPCARANDIRU_MAPEAMENTOS-REMEMORA-CARANDIRU.xlsx</x:v>
      </x:c>
      <x:c r="B391" s="10" t="str">
        <x:v>Definições</x:v>
      </x:c>
      <x:c r="C391" s="10" t="str">
        <x:v>B20</x:v>
      </x:c>
      <x:c r="D391" s="10" t="str">
        <x:v>Espaço externo ou caractere invisível</x:v>
      </x:c>
      <x:c r="E391" s="10" t="str">
        <x:v>Conjunto de procedimentos de cópia ou microcópia feitos por energia radiante. </x:v>
      </x:c>
      <x:c r="F391" s="10" t="str">
        <x:v>Removido apenas na cópia tabular de análise; original preservado.</x:v>
      </x:c>
    </x:row>
    <x:row r="392" ht="24" hidden="0" customHeight="1">
      <x:c r="A392" s="10" t="str">
        <x:v>BR-SPCARANDIRU_MAPEAMENTOS-REMEMORA-CARANDIRU.xlsx</x:v>
      </x:c>
      <x:c r="B392" s="10" t="str">
        <x:v>Definições</x:v>
      </x:c>
      <x:c r="C392" s="10" t="str">
        <x:v>B23</x:v>
      </x:c>
      <x:c r="D392" s="10" t="str">
        <x:v>Espaço externo ou caractere invisível</x:v>
      </x:c>
      <x:c r="E392" s="10" t="str">
        <x:v>Configuração que assume uma espécie documental, de acordo com a atividade que a gerou. </x:v>
      </x:c>
      <x:c r="F392" s="10" t="str">
        <x:v>Removido apenas na cópia tabular de análise; original preservado.</x:v>
      </x:c>
    </x:row>
    <x:row r="393" ht="15" hidden="0" customHeight="1">
      <x:c r="A393" s="10" t="str">
        <x:v>BR-SPCARANDIRU_MAPEAMENTOS-REMEMORA-CARANDIRU.xlsx</x:v>
      </x:c>
      <x:c r="B393" s="10" t="str">
        <x:v>Acervo</x:v>
      </x:c>
      <x:c r="C393" s="10" t="str">
        <x:v>C9</x:v>
      </x:c>
      <x:c r="D393" s="10" t="str">
        <x:v>Espaço externo ou caractere invisível</x:v>
      </x:c>
      <x:c r="E393" s="10" t="str">
        <x:v>Textual </x:v>
      </x:c>
      <x:c r="F393" s="10" t="str">
        <x:v>Removido apenas na cópia tabular de análise; original preservado.</x:v>
      </x:c>
    </x:row>
    <x:row r="394" ht="15" hidden="0" customHeight="1">
      <x:c r="A394" s="10" t="str">
        <x:v>BR-SPCARANDIRU_MAPEAMENTOS-REMEMORA-CARANDIRU.xlsx</x:v>
      </x:c>
      <x:c r="B394" s="10" t="str">
        <x:v>Acervo</x:v>
      </x:c>
      <x:c r="C394" s="10" t="str">
        <x:v>A27</x:v>
      </x:c>
      <x:c r="D394" s="10" t="str">
        <x:v>Espaço externo ou caractere invisível</x:v>
      </x:c>
      <x:c r="E394" s="10" t="str">
        <x:v>Fundo </x:v>
      </x:c>
      <x:c r="F394" s="10" t="str">
        <x:v>Removido apenas na cópia tabular de análise; original preservado.</x:v>
      </x:c>
    </x:row>
    <x:row r="395" ht="15" hidden="0" customHeight="1">
      <x:c r="A395" s="10" t="str">
        <x:v>BR-SPCARANDIRU_MAPEAMENTOS-REMEMORA-CARANDIRU.xlsx</x:v>
      </x:c>
      <x:c r="B395" s="10" t="str">
        <x:v>Acervo</x:v>
      </x:c>
      <x:c r="C395" s="10" t="str">
        <x:v>B37</x:v>
      </x:c>
      <x:c r="D395" s="10" t="str">
        <x:v>Espaço externo ou caractere invisível</x:v>
      </x:c>
      <x:c r="E395" s="10" t="str">
        <x:v>Grupo </x:v>
      </x:c>
      <x:c r="F395" s="10" t="str">
        <x:v>Removido apenas na cópia tabular de análise; original preservado.</x:v>
      </x:c>
    </x:row>
    <x:row r="396" ht="15" hidden="0" customHeight="1">
      <x:c r="A396" s="10" t="str">
        <x:v>BR-SPCARANDIRU_MAPEAMENTOS-REMEMORA-CARANDIRU.xlsx</x:v>
      </x:c>
      <x:c r="B396" s="10" t="str">
        <x:v>Acervo</x:v>
      </x:c>
      <x:c r="C396" s="10" t="str">
        <x:v>B42</x:v>
      </x:c>
      <x:c r="D396" s="10" t="str">
        <x:v>Espaço externo ou caractere invisível</x:v>
      </x:c>
      <x:c r="E396" s="10" t="str">
        <x:v>Unidade documental </x:v>
      </x:c>
      <x:c r="F396" s="10" t="str">
        <x:v>Removido apenas na cópia tabular de análise; original preservado.</x:v>
      </x:c>
    </x:row>
    <x:row r="397" ht="15" hidden="0" customHeight="1">
      <x:c r="A397" s="10" t="str">
        <x:v>BR-SPCARANDIRU_MAPEAMENTOS-REMEMORA-CARANDIRU.xlsx</x:v>
      </x:c>
      <x:c r="B397" s="10" t="str">
        <x:v>Acervo</x:v>
      </x:c>
      <x:c r="C397" s="10" t="str">
        <x:v>B44</x:v>
      </x:c>
      <x:c r="D397" s="10" t="str">
        <x:v>Espaço externo ou caractere invisível</x:v>
      </x:c>
      <x:c r="E397" s="10" t="str">
        <x:v>Parte, pg </x:v>
      </x:c>
      <x:c r="F397" s="10" t="str">
        <x:v>Removido apenas na cópia tabular de análise; original preservado.</x:v>
      </x:c>
    </x:row>
    <x:row r="398" ht="24" hidden="0" customHeight="1">
      <x:c r="A398" s="10" t="str">
        <x:v>BR-SPDIREITOVIOLESTADO_MAPEAMENTOS-NOTICIAS-MSSCPENHA.xlsx</x:v>
      </x:c>
      <x:c r="B398" s="10" t="str">
        <x:v>Geral</x:v>
      </x:c>
      <x:c r="C398" s="10" t="str">
        <x:v>M2</x:v>
      </x:c>
      <x:c r="D398" s="10" t="str">
        <x:v>Espaço externo ou caractere invisível</x:v>
      </x:c>
      <x:c r="E398" s="10" t="str">
        <x:v>Reprodução
Técnica de registro </x:v>
      </x:c>
      <x:c r="F398" s="10" t="str">
        <x:v>Removido apenas na cópia tabular de análise; original preservado.</x:v>
      </x:c>
    </x:row>
    <x:row r="399" ht="64.80000305175781" hidden="0" customHeight="1">
      <x:c r="A399" s="10" t="str">
        <x:v>BR-SPDIREITOVIOLESTADO_MAPEAMENTOS-NOTICIAS-MSSCPENHA.xlsx</x:v>
      </x:c>
      <x:c r="B399" s="10" t="str">
        <x:v>Geral</x:v>
      </x:c>
      <x:c r="C399" s="10" t="str">
        <x:v>T4</x:v>
      </x:c>
      <x:c r="D399" s="10" t="str">
        <x:v>Espaço externo ou caractere invisível</x:v>
      </x:c>
      <x:c r="E399" s="10" t="str">
        <x:v>PIMENTA, Thiago. Mães de mortos questionam operação no Rio: “Arrancaram o braço dele”. Agência Brasil, Brasília, 29 out. 2025. Disponível em: https://agenciabrasil.ebc.com.br/geral/noticia/2025-10/maes-de-mortos-questionam-operacao-no-rio-arrancaram-o-braco-dele. Acesso em: 31 out. 2025.
</x:v>
      </x:c>
      <x:c r="F399" s="10" t="str">
        <x:v>Removido apenas na cópia tabular de análise; original preservado.</x:v>
      </x:c>
    </x:row>
    <x:row r="400" ht="64.80000305175781" hidden="0" customHeight="1">
      <x:c r="A400" s="10" t="str">
        <x:v>BR-SPDIREITOVIOLESTADO_MAPEAMENTOS-NOTICIAS-MSSCPENHA.xlsx</x:v>
      </x:c>
      <x:c r="B400" s="10" t="str">
        <x:v>Geral</x:v>
      </x:c>
      <x:c r="C400" s="10" t="str">
        <x:v>T5</x:v>
      </x:c>
      <x:c r="D400" s="10" t="str">
        <x:v>Espaço externo ou caractere invisível</x:v>
      </x:c>
      <x:c r="E400" s="10" t="str">
        <x:v>COSTA, Amarílis. O massacre na Penha obriga o País a escolher. CartaCapital, São Paulo, 29 out. 2025. Disponível em: https://www.cartacapital.com.br/opiniao/o-massacre-na-penha-obriga-o-pais-a-escolher/. Acesso em: 31 out. 2025.
</x:v>
      </x:c>
      <x:c r="F400" s="10" t="str">
        <x:v>Removido apenas na cópia tabular de análise; original preservado.</x:v>
      </x:c>
    </x:row>
    <x:row r="401" ht="64.80000305175781" hidden="0" customHeight="1">
      <x:c r="A401" s="10" t="str">
        <x:v>BR-SPDIREITOVIOLESTADO_MAPEAMENTOS-NOTICIAS-MSSCPENHA.xlsx</x:v>
      </x:c>
      <x:c r="B401" s="10" t="str">
        <x:v>Geral</x:v>
      </x:c>
      <x:c r="C401" s="10" t="str">
        <x:v>T10</x:v>
      </x:c>
      <x:c r="D401" s="10" t="str">
        <x:v>Espaço externo ou caractere invisível</x:v>
      </x:c>
      <x:c r="E401" s="10" t="str">
        <x:v>FREIRE, Tâmara. Ativistas denunciam "massacre" em ação policial no Rio. Agência Brasil, Rio de Janeiro, 29 out. 2025. Disponível em: https://agenciabrasil.ebc.com.br/geral/noticia/2025-10/ativistas-denunciam-massacre-no-rio-0. Acesso em: 31 out. 2025.
</x:v>
      </x:c>
      <x:c r="F401" s="10" t="str">
        <x:v>Removido apenas na cópia tabular de análise; original preservado.</x:v>
      </x:c>
    </x:row>
    <x:row r="402" ht="64.80000305175781" hidden="0" customHeight="1">
      <x:c r="A402" s="10" t="str">
        <x:v>BR-SPDIREITOVIOLESTADO_MAPEAMENTOS-NOTICIAS-MSSCPENHA.xlsx</x:v>
      </x:c>
      <x:c r="B402" s="10" t="str">
        <x:v>Geral</x:v>
      </x:c>
      <x:c r="C402" s="10" t="str">
        <x:v>T13</x:v>
      </x:c>
      <x:c r="D402" s="10" t="str">
        <x:v>Espaço externo ou caractere invisível</x:v>
      </x:c>
      <x:c r="E402" s="10" t="str">
        <x:v>GANDRA, Alana. Operação supera massacre do Carandiru em violações, diz deputada. Agência Brasil, Rio de Janeiro, 29 out. 2025. Disponível em: https://agenciabrasil.ebc.com.br/direitoshumanos/noticia/2025-10/operacao-supera-massacre-do-carandiru-em-violacoes-diz-deputada. Acesso em: 31 out. 2025.
</x:v>
      </x:c>
      <x:c r="F402" s="10" t="str">
        <x:v>Removido apenas na cópia tabular de análise; original preservado.</x:v>
      </x:c>
    </x:row>
    <x:row r="403" ht="76.80000305175781" hidden="0" customHeight="1">
      <x:c r="A403" s="10" t="str">
        <x:v>BR-SPDIREITOVIOLESTADO_MAPEAMENTOS-NOTICIAS-MSSCPENHA.xlsx</x:v>
      </x:c>
      <x:c r="B403" s="10" t="str">
        <x:v>Geral</x:v>
      </x:c>
      <x:c r="C403" s="10" t="str">
        <x:v>T15</x:v>
      </x:c>
      <x:c r="D403" s="10" t="str">
        <x:v>Espaço externo ou caractere invisível</x:v>
      </x:c>
      <x:c r="E403" s="10" t="str">
        <x:v>CAMPELLO, Chantal. Governo do RJ proíbe Defensoria Pública de acompanhar perícias do Massacre da Penha. A Verdade, Rio de Janeiro, 30 out. 2025. Disponível em: https://averdade.org.br/2025/10/governo-do-rj-proibe-defensoria-publica-de-acompanhar-pericias-do-massacre-da-penha/. Acesso em: 31 out. 2025.
</x:v>
      </x:c>
      <x:c r="F403" s="10" t="str">
        <x:v>Removido apenas na cópia tabular de análise; original preservado.</x:v>
      </x:c>
    </x:row>
    <x:row r="404" ht="64.80000305175781" hidden="0" customHeight="1">
      <x:c r="A404" s="10" t="str">
        <x:v>BR-SPDIREITOVIOLESTADO_MAPEAMENTOS-NOTICIAS-MSSCPENHA.xlsx</x:v>
      </x:c>
      <x:c r="B404" s="10" t="str">
        <x:v>Geral</x:v>
      </x:c>
      <x:c r="C404" s="10" t="str">
        <x:v>T17</x:v>
      </x:c>
      <x:c r="D404" s="10" t="str">
        <x:v>Espaço externo ou caractere invisível</x:v>
      </x:c>
      <x:c r="E404" s="10" t="str">
        <x:v>FRANCO, Tasso. Massacre no Rio: mais 64 corpos são empilhados numa praça da Penha. Bahia Já, Salvador, 29 out. 2025. Disponível em: https://www.bahiaja.com.br/politica/noticia/2025/10/29/massacre-no-rio-mais-64-corpos-sao-empilhados-numa-praca-da-penha,158512,0.html. Acesso em: 31 out. 2025.
</x:v>
      </x:c>
      <x:c r="F404" s="10" t="str">
        <x:v>Removido apenas na cópia tabular de análise; original preservado.</x:v>
      </x:c>
    </x:row>
    <x:row r="405" ht="64.80000305175781" hidden="0" customHeight="1">
      <x:c r="A405" s="10" t="str">
        <x:v>BR-SPDIREITOVIOLESTADO_MAPEAMENTOS-NOTICIAS-MSSCPENHA.xlsx</x:v>
      </x:c>
      <x:c r="B405" s="10" t="str">
        <x:v>Geral</x:v>
      </x:c>
      <x:c r="C405" s="10" t="str">
        <x:v>T18</x:v>
      </x:c>
      <x:c r="D405" s="10" t="str">
        <x:v>Espaço externo ou caractere invisível</x:v>
      </x:c>
      <x:c r="E405" s="10" t="str">
        <x:v>DUARTE, Catarina. Protesto reúne familiares de jovens mortos pela polícia em São Paulo. Ponte Jornalismo, São Paulo, 29 out. 2025. Disponível em: https://ponte.org/protesto-reune-familiares-de-jovens-mortos-pela-policia-em-sp/. Acesso em: 31 out. 2025.
</x:v>
      </x:c>
      <x:c r="F405" s="10" t="str">
        <x:v>Removido apenas na cópia tabular de análise; original preservado.</x:v>
      </x:c>
    </x:row>
    <x:row r="406" ht="132" hidden="0" customHeight="1">
      <x:c r="A406" s="10" t="str">
        <x:v>BR-SPDIREITOVIOLESTADO_MAPEAMENTOS-NOTICIAS-MSSCPENHA.xlsx</x:v>
      </x:c>
      <x:c r="B406" s="10" t="str">
        <x:v>Geral</x:v>
      </x:c>
      <x:c r="C406" s="10" t="str">
        <x:v>D19</x:v>
      </x:c>
      <x:c r="D406" s="10" t="str">
        <x:v>Fórmula sem resultado salvo em registro preenchido</x:v>
      </x:c>
      <x:c r="E406" s="10" t="str">
        <x:v>=IFERROR(__xludf.DUMMYFUNCTION("IF(B19="""","""",IF(OR(
  REGEXMATCH(B19,""Performance|Instalação|Álbum|Música|Poema|Livro|Filme|Documentário|Recitação|Espetáculo|Peça|Intervenção|Desfile|Fotografia|Exposição|Charge|Grafite|Leitura pública|Fabricação de cachaça artesanal""),
  REGEXMATC"&amp;"H(B19,""dança|teatral|artístico|musical|artística"")
),""Manifestação artístico-cultural"",
IF(OR(
  REGEXMATCH(B19,""Crônica|Série|Reportagem|Podcast|Audiotour|Entrevista|Vídeo|Rádio|Notícia|Artigo de opinião|</x:v>
      </x:c>
      <x:c r="F406" s="10" t="str">
        <x:v>Conferir se o campo é opcional ou se precisa recalcular na origem.</x:v>
      </x:c>
    </x:row>
    <x:row r="407" ht="132" hidden="0" customHeight="1">
      <x:c r="A407" s="10" t="str">
        <x:v>BR-SPDIREITOVIOLESTADO_MAPEAMENTOS-NOTICIAS-MSSCPENHA.xlsx</x:v>
      </x:c>
      <x:c r="B407" s="10" t="str">
        <x:v>Geral</x:v>
      </x:c>
      <x:c r="C407" s="10" t="str">
        <x:v>D20</x:v>
      </x:c>
      <x:c r="D407" s="10" t="str">
        <x:v>Fórmula sem resultado salvo em registro preenchido</x:v>
      </x:c>
      <x:c r="E407" s="10" t="str">
        <x:v>=IFERROR(__xludf.DUMMYFUNCTION("IF(B20="""","""",IF(OR(
  REGEXMATCH(B20,""Performance|Instalação|Álbum|Música|Poema|Livro|Filme|Documentário|Recitação|Espetáculo|Peça|Intervenção|Desfile|Fotografia|Exposição|Charge|Grafite|Leitura pública|Fabricação de cachaça artesanal""),
  REGEXMATC"&amp;"H(B20,""dança|teatral|artístico|musical|artística"")
),""Manifestação artístico-cultural"",
IF(OR(
  REGEXMATCH(B20,""Crônica|Série|Reportagem|Podcast|Audiotour|Entrevista|Vídeo|Rádio|Notícia|Artigo de opinião|</x:v>
      </x:c>
      <x:c r="F407" s="10" t="str">
        <x:v>Conferir se o campo é opcional ou se precisa recalcular na origem.</x:v>
      </x:c>
    </x:row>
    <x:row r="408" ht="28.799999237060547" hidden="0" customHeight="1">
      <x:c r="A408" s="10" t="str">
        <x:v>BR-SPDIREITOVIOLESTADO_MAPEAMENTOS-NOTICIAS-MSSCPENHA.xlsx</x:v>
      </x:c>
      <x:c r="B408" s="10" t="str">
        <x:v>Geral</x:v>
      </x:c>
      <x:c r="C408" s="10" t="str">
        <x:v>K26</x:v>
      </x:c>
      <x:c r="D408" s="10" t="str">
        <x:v>Espaço externo ou caractere invisível</x:v>
      </x:c>
      <x:c r="E408" s="10" t="str">
        <x:v>ONU diz estar “horrorizada” com operação policial no Rio de Janeir
</x:v>
      </x:c>
      <x:c r="F408" s="10" t="str">
        <x:v>Removido apenas na cópia tabular de análise; original preservado.</x:v>
      </x:c>
    </x:row>
    <x:row r="409" ht="132" hidden="0" customHeight="1">
      <x:c r="A409" s="10" t="str">
        <x:v>BR-SPDIREITOVIOLESTADO_MAPEAMENTOS-NOTICIAS-MSSCPENHA.xlsx</x:v>
      </x:c>
      <x:c r="B409" s="10" t="str">
        <x:v>Geral</x:v>
      </x:c>
      <x:c r="C409" s="10" t="str">
        <x:v>D31</x:v>
      </x:c>
      <x:c r="D409" s="10" t="str">
        <x:v>Fórmula sem resultado salvo em registro preenchido</x:v>
      </x:c>
      <x:c r="E409" s="10" t="str">
        <x:v>=IFERROR(__xludf.DUMMYFUNCTION("IF(B31="""","""",IF(OR(
  REGEXMATCH(B31,""Performance|Instalação|Álbum|Música|Poema|Livro|Filme|Documentário|Recitação|Espetáculo|Peça|Intervenção|Desfile|Fotografia|Exposição|Charge|Grafite|Leitura pública|Fabricação de cachaça artesanal""),
  REGEXMATC"&amp;"H(B31,""dança|teatral|artístico|musical|artística"")
),""Manifestação artístico-cultural"",
IF(OR(
  REGEXMATCH(B31,""Crônica|Série|Reportagem|Podcast|Audiotour|Entrevista|Vídeo|Rádio|Notícia|Artigo de opinião|</x:v>
      </x:c>
      <x:c r="F409" s="10" t="str">
        <x:v>Conferir se o campo é opcional ou se precisa recalcular na origem.</x:v>
      </x:c>
    </x:row>
    <x:row r="410" ht="132" hidden="0" customHeight="1">
      <x:c r="A410" s="10" t="str">
        <x:v>BR-SPDIREITOVIOLESTADO_MAPEAMENTOS-NOTICIAS-MSSCPENHA.xlsx</x:v>
      </x:c>
      <x:c r="B410" s="10" t="str">
        <x:v>Geral</x:v>
      </x:c>
      <x:c r="C410" s="10" t="str">
        <x:v>F31</x:v>
      </x:c>
      <x:c r="D410" s="10" t="str">
        <x:v>Fórmula sem resultado salvo em registro preenchido</x:v>
      </x:c>
      <x:c r="E410" s="10" t="str">
        <x:v>=IFERROR(__xludf.DUMMYFUNCTION("IF(B31="""","""",IF(OR(
  REGEXMATCH(B31,""Live|Webinário|Virtual|Verbete""),
  REGEXMATCH(B31,""online"")
),""Virtual"",
IF(REGEXMATCH(B31,""Música|Álbum|Filme|Documentário|Série|Podcast|Rádio|Audiotour|Episódio|Reportagem|Curta|Charge|Vídeo|Entrevista|N"&amp;"otícia|Artigo de opinião""),
""Midiático"",
IF(REGEXMATCH(B31,""Performance|Instalação|Protesto|Manifestação|Ato|Paralisação|Marcha|Exposição|Mobilização|Recitação|Espetáculo|Coletiva|Visita|Roda|Debate|Seminár</x:v>
      </x:c>
      <x:c r="F410" s="10" t="str">
        <x:v>Conferir se o campo é opcional ou se precisa recalcular na origem.</x:v>
      </x:c>
    </x:row>
    <x:row r="411" ht="28.799999237060547" hidden="0" customHeight="1">
      <x:c r="A411" s="10" t="str">
        <x:v>BR-SPDIREITOVIOLESTADO_MAPEAMENTOS-NOTICIAS-MSSCPENHA.xlsx</x:v>
      </x:c>
      <x:c r="B411" s="10" t="str">
        <x:v>Geral</x:v>
      </x:c>
      <x:c r="C411" s="10" t="str">
        <x:v>K31</x:v>
      </x:c>
      <x:c r="D411" s="10" t="str">
        <x:v>Espaço externo ou caractere invisível</x:v>
      </x:c>
      <x:c r="E411" s="10" t="str">
        <x:v>Segurança pública não se faz com sangue 
</x:v>
      </x:c>
      <x:c r="F411" s="10" t="str">
        <x:v>Removido apenas na cópia tabular de análise; original preservado.</x:v>
      </x:c>
    </x:row>
    <x:row r="412" ht="132" hidden="0" customHeight="1">
      <x:c r="A412" s="10" t="str">
        <x:v>BR-SPDIREITOVIOLESTADO_MAPEAMENTOS-NOTICIAS-MSSCPENHA.xlsx</x:v>
      </x:c>
      <x:c r="B412" s="10" t="str">
        <x:v>Geral</x:v>
      </x:c>
      <x:c r="C412" s="10" t="str">
        <x:v>D33</x:v>
      </x:c>
      <x:c r="D412" s="10" t="str">
        <x:v>Fórmula sem resultado salvo em registro preenchido</x:v>
      </x:c>
      <x:c r="E412" s="10" t="str">
        <x:v>=IFERROR(__xludf.DUMMYFUNCTION("IF(B33="""","""",IF(OR(
  REGEXMATCH(B33,""Performance|Instalação|Álbum|Música|Poema|Livro|Filme|Documentário|Recitação|Espetáculo|Peça|Intervenção|Desfile|Fotografia|Exposição|Charge|Grafite|Leitura pública|Fabricação de cachaça artesanal""),
  REGEXMATC"&amp;"H(B33,""dança|teatral|artístico|musical|artística"")
),""Manifestação artístico-cultural"",
IF(OR(
  REGEXMATCH(B33,""Crônica|Série|Reportagem|Podcast|Audiotour|Entrevista|Vídeo|Rádio|Notícia|Artigo de opinião|</x:v>
      </x:c>
      <x:c r="F412" s="10" t="str">
        <x:v>Conferir se o campo é opcional ou se precisa recalcular na origem.</x:v>
      </x:c>
    </x:row>
    <x:row r="413" ht="132" hidden="0" customHeight="1">
      <x:c r="A413" s="10" t="str">
        <x:v>BR-SPDIREITOVIOLESTADO_MAPEAMENTOS-NOTICIAS-MSSCPENHA.xlsx</x:v>
      </x:c>
      <x:c r="B413" s="10" t="str">
        <x:v>Geral</x:v>
      </x:c>
      <x:c r="C413" s="10" t="str">
        <x:v>F33</x:v>
      </x:c>
      <x:c r="D413" s="10" t="str">
        <x:v>Fórmula sem resultado salvo em registro preenchido</x:v>
      </x:c>
      <x:c r="E413" s="10" t="str">
        <x:v>=IFERROR(__xludf.DUMMYFUNCTION("IF(B33="""","""",IF(OR(
  REGEXMATCH(B33,""Live|Webinário|Virtual|Verbete""),
  REGEXMATCH(B33,""online"")
),""Virtual"",
IF(REGEXMATCH(B33,""Música|Álbum|Filme|Documentário|Série|Podcast|Rádio|Audiotour|Episódio|Reportagem|Curta|Charge|Vídeo|Entrevista|N"&amp;"otícia|Artigo de opinião""),
""Midiático"",
IF(REGEXMATCH(B33,""Performance|Instalação|Protesto|Manifestação|Ato|Paralisação|Marcha|Exposição|Mobilização|Recitação|Espetáculo|Coletiva|Visita|Roda|Debate|Seminár</x:v>
      </x:c>
      <x:c r="F413" s="10" t="str">
        <x:v>Conferir se o campo é opcional ou se precisa recalcular na origem.</x:v>
      </x:c>
    </x:row>
    <x:row r="414" ht="132" hidden="0" customHeight="1">
      <x:c r="A414" s="10" t="str">
        <x:v>BR-SPDIREITOVIOLESTADO_MAPEAMENTOS-NOTICIAS-MSSCPENHA.xlsx</x:v>
      </x:c>
      <x:c r="B414" s="10" t="str">
        <x:v>Geral</x:v>
      </x:c>
      <x:c r="C414" s="10" t="str">
        <x:v>D35</x:v>
      </x:c>
      <x:c r="D414" s="10" t="str">
        <x:v>Fórmula sem resultado salvo em registro preenchido</x:v>
      </x:c>
      <x:c r="E414" s="10" t="str">
        <x:v>=IFERROR(__xludf.DUMMYFUNCTION("IF(B35="""","""",IF(OR(
  REGEXMATCH(B35,""Performance|Instalação|Álbum|Música|Poema|Livro|Filme|Documentário|Recitação|Espetáculo|Peça|Intervenção|Desfile|Fotografia|Exposição|Charge|Grafite|Leitura pública|Fabricação de cachaça artesanal""),
  REGEXMATC"&amp;"H(B35,""dança|teatral|artístico|musical|artística"")
),""Manifestação artístico-cultural"",
IF(OR(
  REGEXMATCH(B35,""Crônica|Série|Reportagem|Podcast|Audiotour|Entrevista|Vídeo|Rádio|Notícia|Artigo de opinião|</x:v>
      </x:c>
      <x:c r="F414" s="10" t="str">
        <x:v>Conferir se o campo é opcional ou se precisa recalcular na origem.</x:v>
      </x:c>
    </x:row>
    <x:row r="415" ht="76.80000305175781" hidden="0" customHeight="1">
      <x:c r="A415" s="10" t="str">
        <x:v>BR-SPDIREITOVIOLESTADO_MAPEAMENTOS-NOTICIAS-MSSCPENHA.xlsx</x:v>
      </x:c>
      <x:c r="B415" s="10" t="str">
        <x:v>Geral</x:v>
      </x:c>
      <x:c r="C415" s="10" t="str">
        <x:v>T36</x:v>
      </x:c>
      <x:c r="D415" s="10" t="str">
        <x:v>Espaço externo ou caractere invisível</x:v>
      </x:c>
      <x:c r="E415" s="10" t="str">
        <x:v>BRITO, Marco Paulo Valeriano de. Lula não cometeu ato falho na Malásia – os favelados são vítimas do capitalismo. Viomundo, São Paulo, 29 out. 2025. Disponível em: https://www.viomundo.com.br/politica/marco-brito-lula-nao-cometeu-ato-falho-na-malasia-os-favelados-sao-vitimas-do-capitalismo.html. Acesso em: 31 out. 2025.
</x:v>
      </x:c>
      <x:c r="F415" s="10" t="str">
        <x:v>Removido apenas na cópia tabular de análise; original preservado.</x:v>
      </x:c>
    </x:row>
    <x:row r="416" ht="132" hidden="0" customHeight="1">
      <x:c r="A416" s="10" t="str">
        <x:v>BR-SPDIREITOVIOLESTADO_MAPEAMENTOS-NOTICIAS-MSSCPENHA.xlsx</x:v>
      </x:c>
      <x:c r="B416" s="10" t="str">
        <x:v>Geral</x:v>
      </x:c>
      <x:c r="C416" s="10" t="str">
        <x:v>D39</x:v>
      </x:c>
      <x:c r="D416" s="10" t="str">
        <x:v>Fórmula sem resultado salvo em registro preenchido</x:v>
      </x:c>
      <x:c r="E416" s="10" t="str">
        <x:v>=IFERROR(__xludf.DUMMYFUNCTION("IF(B39="""","""",IF(OR(
  REGEXMATCH(B39,""Performance|Instalação|Álbum|Música|Poema|Livro|Filme|Documentário|Recitação|Espetáculo|Peça|Intervenção|Desfile|Fotografia|Exposição|Charge|Grafite|Leitura pública|Fabricação de cachaça artesanal""),
  REGEXMATC"&amp;"H(B39,""dança|teatral|artístico|musical|artística"")
),""Manifestação artístico-cultural"",
IF(OR(
  REGEXMATCH(B39,""Crônica|Série|Reportagem|Podcast|Audiotour|Entrevista|Vídeo|Rádio|Notícia|Artigo de opinião|</x:v>
      </x:c>
      <x:c r="F416" s="10" t="str">
        <x:v>Conferir se o campo é opcional ou se precisa recalcular na origem.</x:v>
      </x:c>
    </x:row>
    <x:row r="417" ht="76.80000305175781" hidden="0" customHeight="1">
      <x:c r="A417" s="10" t="str">
        <x:v>BR-SPDIREITOVIOLESTADO_MAPEAMENTOS-NOTICIAS-MSSCPENHA.xlsx</x:v>
      </x:c>
      <x:c r="B417" s="10" t="str">
        <x:v>Geral</x:v>
      </x:c>
      <x:c r="C417" s="10" t="str">
        <x:v>T39</x:v>
      </x:c>
      <x:c r="D417" s="10" t="str">
        <x:v>Espaço externo ou caractere invisível</x:v>
      </x:c>
      <x:c r="E417" s="10" t="str">
        <x:v>VOZ DAS COMUNIDADES. Durante o confronto nos complexos da Penha e do Alemão, moradores saíram às ruas e becos pedindo paz. O ato ocorreu em meio à troca de tiros que marcou a operação policial na região. Instagram: @vozdascomunidades, 28 out. 2025. Disponível em: https://www.instagram.com/p/DQW76w7Ef-H/. Acesso em: 31 out. 2025.
</x:v>
      </x:c>
      <x:c r="F417" s="10" t="str">
        <x:v>Removido apenas na cópia tabular de análise; original preservado.</x:v>
      </x:c>
    </x:row>
    <x:row r="418" ht="64.80000305175781" hidden="0" customHeight="1">
      <x:c r="A418" s="10" t="str">
        <x:v>BR-SPDIREITOVIOLESTADO_MAPEAMENTOS-NOTICIAS-MSSCPENHA.xlsx</x:v>
      </x:c>
      <x:c r="B418" s="10" t="str">
        <x:v>Geral</x:v>
      </x:c>
      <x:c r="C418" s="10" t="str">
        <x:v>T43</x:v>
      </x:c>
      <x:c r="D418" s="10" t="str">
        <x:v>Espaço externo ou caractere invisível</x:v>
      </x:c>
      <x:c r="E418" s="10" t="str">
        <x:v>VOZ DAS COMUNIDADES. A Estrada do Itararé, principal via do Complexo do Alemão, segue com comércios fechados nesta tarde. Instagram: @vozdascomunidades, 28 out. 2025. Disponível em: https://www.instagram.com/p/DQXLbXEEdQA/. Acesso em: 31 out. 2025.
</x:v>
      </x:c>
      <x:c r="F418" s="10" t="str">
        <x:v>Removido apenas na cópia tabular de análise; original preservado.</x:v>
      </x:c>
    </x:row>
    <x:row r="419" ht="52.79999923706055" hidden="0" customHeight="1">
      <x:c r="A419" s="10" t="str">
        <x:v>BR-SPDIREITOVIOLESTADO_MAPEAMENTOS-NOTICIAS-MSSCPENHA.xlsx</x:v>
      </x:c>
      <x:c r="B419" s="10" t="str">
        <x:v>Geral</x:v>
      </x:c>
      <x:c r="C419" s="10" t="str">
        <x:v>T49</x:v>
      </x:c>
      <x:c r="D419" s="10" t="str">
        <x:v>Espaço externo ou caractere invisível</x:v>
      </x:c>
      <x:c r="E419" s="10" t="str">
        <x:v>VOZ DAS COMUNIDADES. Os corpos estão sendo retirados da praça Inter no Complexo da Penha. Vídeo. Instagram: @vozdascomunidades, 29 out. 2025. Disponível em: https://www.instagram.com/p/DQZFfo4EUz7/. Acesso em: 31 out. 2025.
</x:v>
      </x:c>
      <x:c r="F419" s="10" t="str">
        <x:v>Removido apenas na cópia tabular de análise; original preservado.</x:v>
      </x:c>
    </x:row>
    <x:row r="420" ht="132" hidden="0" customHeight="1">
      <x:c r="A420" s="10" t="str">
        <x:v>BR-SPDIREITOVIOLESTADO_MAPEAMENTOS-NOTICIAS-MSSCPENHA.xlsx</x:v>
      </x:c>
      <x:c r="B420" s="10" t="str">
        <x:v>Geral</x:v>
      </x:c>
      <x:c r="C420" s="10" t="str">
        <x:v>D52</x:v>
      </x:c>
      <x:c r="D420" s="10" t="str">
        <x:v>Fórmula sem resultado salvo em registro preenchido</x:v>
      </x:c>
      <x:c r="E420" s="10" t="str">
        <x:v>=IFERROR(__xludf.DUMMYFUNCTION("IF(B52="""","""",IF(OR(
  REGEXMATCH(B52,""Performance|Instalação|Álbum|Música|Poema|Livro|Filme|Documentário|Recitação|Espetáculo|Peça|Intervenção|Desfile|Fotografia|Exposição|Charge|Grafite|Leitura pública|Fabricação de cachaça artesanal""),
  REGEXMATC"&amp;"H(B52,""dança|teatral|artístico|musical|artística"")
),""Manifestação artístico-cultural"",
IF(OR(
  REGEXMATCH(B52,""Crônica|Série|Reportagem|Podcast|Audiotour|Entrevista|Vídeo|Rádio|Notícia|Artigo de opinião|</x:v>
      </x:c>
      <x:c r="F420" s="10" t="str">
        <x:v>Conferir se o campo é opcional ou se precisa recalcular na origem.</x:v>
      </x:c>
    </x:row>
    <x:row r="421" ht="52.79999923706055" hidden="0" customHeight="1">
      <x:c r="A421" s="10" t="str">
        <x:v>BR-SPDIREITOVIOLESTADO_MAPEAMENTOS-NOTICIAS-MSSCPENHA.xlsx</x:v>
      </x:c>
      <x:c r="B421" s="10" t="str">
        <x:v>Geral</x:v>
      </x:c>
      <x:c r="C421" s="10" t="str">
        <x:v>T52</x:v>
      </x:c>
      <x:c r="D421" s="10" t="str">
        <x:v>Espaço externo ou caractere invisível</x:v>
      </x:c>
      <x:c r="E421" s="10" t="str">
        <x:v>VOZ DAS COMUNIDADES. A FAVELA QUER VIVER!. Vídeo. Instagram: @vozdascomunidades, Rio de Janeiro, 29 out. 2025. Disponível em: https://www.instagram.com/p/DQZPFLtDYq2/. Acesso em: 31 out. 2025.
</x:v>
      </x:c>
      <x:c r="F421" s="10" t="str">
        <x:v>Removido apenas na cópia tabular de análise; original preservado.</x:v>
      </x:c>
    </x:row>
    <x:row r="422" ht="132" hidden="0" customHeight="1">
      <x:c r="A422" s="10" t="str">
        <x:v>BR-SPDIREITOVIOLESTADO_MAPEAMENTOS-NOTICIAS-MSSCPENHA.xlsx</x:v>
      </x:c>
      <x:c r="B422" s="10" t="str">
        <x:v>Geral</x:v>
      </x:c>
      <x:c r="C422" s="10" t="str">
        <x:v>D54</x:v>
      </x:c>
      <x:c r="D422" s="10" t="str">
        <x:v>Fórmula sem resultado salvo em registro preenchido</x:v>
      </x:c>
      <x:c r="E422" s="10" t="str">
        <x:v>=IFERROR(__xludf.DUMMYFUNCTION("IF(B54="""","""",IF(OR(
  REGEXMATCH(B54,""Performance|Instalação|Álbum|Música|Poema|Livro|Filme|Documentário|Recitação|Espetáculo|Peça|Intervenção|Desfile|Fotografia|Exposição|Charge|Grafite|Leitura pública|Fabricação de cachaça artesanal""),
  REGEXMATC"&amp;"H(B54,""dança|teatral|artístico|musical|artística"")
),""Manifestação artístico-cultural"",
IF(OR(
  REGEXMATCH(B54,""Crônica|Série|Reportagem|Podcast|Audiotour|Entrevista|Vídeo|Rádio|Notícia|Artigo de opinião|</x:v>
      </x:c>
      <x:c r="F422" s="10" t="str">
        <x:v>Conferir se o campo é opcional ou se precisa recalcular na origem.</x:v>
      </x:c>
    </x:row>
    <x:row r="423" ht="52.79999923706055" hidden="0" customHeight="1">
      <x:c r="A423" s="10" t="str">
        <x:v>BR-SPDIREITOVIOLESTADO_MAPEAMENTOS-NOTICIAS-MSSCPENHA.xlsx</x:v>
      </x:c>
      <x:c r="B423" s="10" t="str">
        <x:v>Geral</x:v>
      </x:c>
      <x:c r="C423" s="10" t="str">
        <x:v>T60</x:v>
      </x:c>
      <x:c r="D423" s="10" t="str">
        <x:v>Espaço externo ou caractere invisível</x:v>
      </x:c>
      <x:c r="E423" s="10" t="str">
        <x:v>VOZ DAS COMUNIDADES. [Sem título]. Vídeo. Instagram: @vozdascomunidades, Rio de Janeiro, 29 out. 2025. Disponível em: https://www.instagram.com/p/DQZ42YsEUvY/. Acesso em: 31 out. 2025.
</x:v>
      </x:c>
      <x:c r="F423" s="10" t="str">
        <x:v>Removido apenas na cópia tabular de análise; original preservado.</x:v>
      </x:c>
    </x:row>
    <x:row r="424" ht="15" hidden="0" customHeight="1">
      <x:c r="A424" s="10" t="str">
        <x:v>BR-SPDIREITOVIOLESTADO_MAPEAMENTOS-NOTICIAS-MSSCPENHA.xlsx</x:v>
      </x:c>
      <x:c r="B424" s="10" t="str">
        <x:v>Geral</x:v>
      </x:c>
      <x:c r="C424" s="10" t="str">
        <x:v>M62</x:v>
      </x:c>
      <x:c r="D424" s="10" t="str">
        <x:v>Espaço externo ou caractere invisível</x:v>
      </x:c>
      <x:c r="E424" s="10" t="str">
        <x:v>Imagem (digital) </x:v>
      </x:c>
      <x:c r="F424" s="10" t="str">
        <x:v>Removido apenas na cópia tabular de análise; original preservado.</x:v>
      </x:c>
    </x:row>
    <x:row r="425" ht="15" hidden="0" customHeight="1">
      <x:c r="A425" s="10" t="str">
        <x:v>BR-SPDIREITOVIOLESTADO_MAPEAMENTOS-NOTICIAS-MSSCPENHA.xlsx</x:v>
      </x:c>
      <x:c r="B425" s="10" t="str">
        <x:v>Geral</x:v>
      </x:c>
      <x:c r="C425" s="10" t="str">
        <x:v>M64</x:v>
      </x:c>
      <x:c r="D425" s="10" t="str">
        <x:v>Espaço externo ou caractere invisível</x:v>
      </x:c>
      <x:c r="E425" s="10" t="str">
        <x:v>Imagem (digital) </x:v>
      </x:c>
      <x:c r="F425" s="10" t="str">
        <x:v>Removido apenas na cópia tabular de análise; original preservado.</x:v>
      </x:c>
    </x:row>
    <x:row r="426" ht="76.80000305175781" hidden="0" customHeight="1">
      <x:c r="A426" s="10" t="str">
        <x:v>BR-SPDIREITOVIOLESTADO_MAPEAMENTOS-NOTICIAS-MSSCPENHA.xlsx</x:v>
      </x:c>
      <x:c r="B426" s="10" t="str">
        <x:v>Geral</x:v>
      </x:c>
      <x:c r="C426" s="10" t="str">
        <x:v>T66</x:v>
      </x:c>
      <x:c r="D426" s="10" t="str">
        <x:v>Espaço externo ou caractere invisível</x:v>
      </x:c>
      <x:c r="E426" s="10" t="str">
        <x:v>VOZ DAS COMUNIDADES. Depois do CPX do Alemão e da Penha viverem um dia de puro caos, que marcou profundamente esses territórios, ainda é impossível medir o tamanho dos danos que ficaram. Instagram: @vozdascomunidades, Rio de Janeiro, 30 out. 2025. Disponível em: https://www.instagram.com/p/DQb48d3jpb5/. Acesso em: 31 out. 2025.
</x:v>
      </x:c>
      <x:c r="F426" s="10" t="str">
        <x:v>Removido apenas na cópia tabular de análise; original preservado.</x:v>
      </x:c>
    </x:row>
    <x:row r="427" ht="132" hidden="0" customHeight="1">
      <x:c r="A427" s="10" t="str">
        <x:v>BR-SPDIREITOVIOLESTADO_MAPEAMENTOS-NOTICIAS-MSSCPENHA.xlsx</x:v>
      </x:c>
      <x:c r="B427" s="10" t="str">
        <x:v>Geral</x:v>
      </x:c>
      <x:c r="C427" s="10" t="str">
        <x:v>D68</x:v>
      </x:c>
      <x:c r="D427" s="10" t="str">
        <x:v>Fórmula sem resultado salvo em registro preenchido</x:v>
      </x:c>
      <x:c r="E427" s="10" t="str">
        <x:v>=IFERROR(__xludf.DUMMYFUNCTION("IF(B68="""","""",IF(OR(
  REGEXMATCH(B68,""Performance|Instalação|Álbum|Música|Poema|Livro|Filme|Documentário|Recitação|Espetáculo|Peça|Intervenção|Desfile|Fotografia|Exposição|Charge|Grafite|Leitura pública|Fabricação de cachaça artesanal""),
  REGEXMATC"&amp;"H(B68,""dança|teatral|artístico|musical|artística"")
),""Manifestação artístico-cultural"",
IF(OR(
  REGEXMATCH(B68,""Crônica|Série|Reportagem|Podcast|Audiotour|Entrevista|Vídeo|Rádio|Notícia|Artigo de opinião|</x:v>
      </x:c>
      <x:c r="F427" s="10" t="str">
        <x:v>Conferir se o campo é opcional ou se precisa recalcular na origem.</x:v>
      </x:c>
    </x:row>
    <x:row r="428" ht="64.80000305175781" hidden="0" customHeight="1">
      <x:c r="A428" s="10" t="str">
        <x:v>BR-SPDIREITOVIOLESTADO_MAPEAMENTOS-NOTICIAS-MSSCPENHA.xlsx</x:v>
      </x:c>
      <x:c r="B428" s="10" t="str">
        <x:v>Geral</x:v>
      </x:c>
      <x:c r="C428" s="10" t="str">
        <x:v>T71</x:v>
      </x:c>
      <x:c r="D428" s="10" t="str">
        <x:v>Espaço externo ou caractere invisível</x:v>
      </x:c>
      <x:c r="E428" s="10" t="str">
        <x:v>MARTINS, Ana Paula; INSTITUTO MARIELLE FRANCO. O povo pede por dignidade! Chega de extermínio. Vídeo. Publicado por Voz das Comunidades. Instagram: @vozdascomunidades, Rio de Janeiro, 31 out. 2025. Disponível em: https://www.instagram.com/p/DQfMi2uksI5/. Acesso em: 31 out. 2025.
</x:v>
      </x:c>
      <x:c r="F428" s="10" t="str">
        <x:v>Removido apenas na cópia tabular de análise; original preservado.</x:v>
      </x:c>
    </x:row>
    <x:row r="429" ht="15" hidden="0" customHeight="1">
      <x:c r="A429" s="10" t="str">
        <x:v>BR-SPDIREITOVIOLESTADO_MAPEAMENTOS-NOTICIAS-MSSCPENHA.xlsx</x:v>
      </x:c>
      <x:c r="B429" s="10" t="str">
        <x:v>Geral</x:v>
      </x:c>
      <x:c r="C429" s="10" t="str">
        <x:v>M72</x:v>
      </x:c>
      <x:c r="D429" s="10" t="str">
        <x:v>Espaço externo ou caractere invisível</x:v>
      </x:c>
      <x:c r="E429" s="10" t="str">
        <x:v>Imagem (digital) </x:v>
      </x:c>
      <x:c r="F429" s="10" t="str">
        <x:v>Removido apenas na cópia tabular de análise; original preservado.</x:v>
      </x:c>
    </x:row>
    <x:row r="430" ht="52.79999923706055" hidden="0" customHeight="1">
      <x:c r="A430" s="10" t="str">
        <x:v>BR-SPDIREITOVIOLESTADO_MAPEAMENTOS-NOTICIAS-MSSCPENHA.xlsx</x:v>
      </x:c>
      <x:c r="B430" s="10" t="str">
        <x:v>Geral</x:v>
      </x:c>
      <x:c r="C430" s="10" t="str">
        <x:v>T72</x:v>
      </x:c>
      <x:c r="D430" s="10" t="str">
        <x:v>Espaço externo ou caractere invisível</x:v>
      </x:c>
      <x:c r="E430" s="10" t="str">
        <x:v>VINÍCIUS, Uendell. [Fotografia]. Publicado por Voz das Comunidades. Instagram: @vozdascomunidades, Rio de Janeiro, 31 out. 2025. Disponível em: https://www.instagram.com/p/DQfKUPGD073/. Acesso em: 31 out. 2025.
</x:v>
      </x:c>
      <x:c r="F430" s="10" t="str">
        <x:v>Removido apenas na cópia tabular de análise; original preservado.</x:v>
      </x:c>
    </x:row>
    <x:row r="431" ht="15" hidden="0" customHeight="1">
      <x:c r="A431" s="10" t="str">
        <x:v>BR-SPDIREITOVIOLESTADO_MAPEAMENTOS-NOTICIAS-MSSCPENHA.xlsx</x:v>
      </x:c>
      <x:c r="B431" s="10" t="str">
        <x:v>Geral</x:v>
      </x:c>
      <x:c r="C431" s="10" t="str">
        <x:v>M73</x:v>
      </x:c>
      <x:c r="D431" s="10" t="str">
        <x:v>Espaço externo ou caractere invisível</x:v>
      </x:c>
      <x:c r="E431" s="10" t="str">
        <x:v>Imagem (digital) </x:v>
      </x:c>
      <x:c r="F431" s="10" t="str">
        <x:v>Removido apenas na cópia tabular de análise; original preservado.</x:v>
      </x:c>
    </x:row>
    <x:row r="432" ht="15" hidden="0" customHeight="1">
      <x:c r="A432" s="10" t="str">
        <x:v>BR-SPDIREITOVIOLESTADO_MAPEAMENTOS-NOTICIAS-MSSCPENHA.xlsx</x:v>
      </x:c>
      <x:c r="B432" s="10" t="str">
        <x:v>Geral</x:v>
      </x:c>
      <x:c r="C432" s="10" t="str">
        <x:v>M74</x:v>
      </x:c>
      <x:c r="D432" s="10" t="str">
        <x:v>Espaço externo ou caractere invisível</x:v>
      </x:c>
      <x:c r="E432" s="10" t="str">
        <x:v>Imagem (digital) </x:v>
      </x:c>
      <x:c r="F432" s="10" t="str">
        <x:v>Removido apenas na cópia tabular de análise; original preservado.</x:v>
      </x:c>
    </x:row>
    <x:row r="433" ht="132" hidden="0" customHeight="1">
      <x:c r="A433" s="10" t="str">
        <x:v>BR-SPDIREITOVIOLESTADO_MAPEAMENTOS-NOTICIAS-MSSCPENHA.xlsx</x:v>
      </x:c>
      <x:c r="B433" s="10" t="str">
        <x:v>Geral</x:v>
      </x:c>
      <x:c r="C433" s="10" t="str">
        <x:v>D75</x:v>
      </x:c>
      <x:c r="D433" s="10" t="str">
        <x:v>Fórmula sem resultado salvo em registro preenchido</x:v>
      </x:c>
      <x:c r="E433" s="10" t="str">
        <x:v>=IFERROR(__xludf.DUMMYFUNCTION("IF(B75="""","""",IF(OR(
  REGEXMATCH(B75,""Performance|Instalação|Álbum|Música|Poema|Livro|Filme|Documentário|Recitação|Espetáculo|Peça|Intervenção|Desfile|Fotografia|Exposição|Charge|Grafite|Leitura pública|Fabricação de cachaça artesanal""),
  REGEXMATC"&amp;"H(B75,""dança|teatral|artístico|musical|artística"")
),""Manifestação artístico-cultural"",
IF(OR(
  REGEXMATCH(B75,""Crônica|Série|Reportagem|Podcast|Audiotour|Entrevista|Vídeo|Rádio|Notícia|Artigo de opinião|</x:v>
      </x:c>
      <x:c r="F433" s="10" t="str">
        <x:v>Conferir se o campo é opcional ou se precisa recalcular na origem.</x:v>
      </x:c>
    </x:row>
    <x:row r="434" ht="15" hidden="0" customHeight="1">
      <x:c r="A434" s="10" t="str">
        <x:v>BR-SPDIREITOVIOLESTADO_MAPEAMENTOS-NOTICIAS-MSSCPENHA.xlsx</x:v>
      </x:c>
      <x:c r="B434" s="10" t="str">
        <x:v>Geral</x:v>
      </x:c>
      <x:c r="C434" s="10" t="str">
        <x:v>M75</x:v>
      </x:c>
      <x:c r="D434" s="10" t="str">
        <x:v>Espaço externo ou caractere invisível</x:v>
      </x:c>
      <x:c r="E434" s="10" t="str">
        <x:v>Manuscrito </x:v>
      </x:c>
      <x:c r="F434" s="10" t="str">
        <x:v>Removido apenas na cópia tabular de análise; original preservado.</x:v>
      </x:c>
    </x:row>
    <x:row r="435" ht="76.80000305175781" hidden="0" customHeight="1">
      <x:c r="A435" s="10" t="str">
        <x:v>BR-SPDIREITOVIOLESTADO_MAPEAMENTOS-NOTICIAS-MSSCPENHA.xlsx</x:v>
      </x:c>
      <x:c r="B435" s="10" t="str">
        <x:v>Geral</x:v>
      </x:c>
      <x:c r="C435" s="10" t="str">
        <x:v>T75</x:v>
      </x:c>
      <x:c r="D435" s="10" t="str">
        <x:v>Espaço externo ou caractere invisível</x:v>
      </x:c>
      <x:c r="E435" s="10" t="str">
        <x:v>SILVA, Renato. No mesmo ponto onde corpos foram deixados na quarta-feira (29), moradores estenderam uma faixa com os dizeres: “Fora Cláudio Castro. Chega de matança nas favelas”. Fotografia. Publicado por Voz das Comunidades. Instagram: @vozdascomunidades, Rio de Janeiro, 31 out. 2025. Disponível em: https://www.instagram.com/p/DQfFyC4EdPO/?img_index=4. Acesso em: 31 out. 2025.
</x:v>
      </x:c>
      <x:c r="F435" s="10" t="str">
        <x:v>Removido apenas na cópia tabular de análise; original preservado.</x:v>
      </x:c>
    </x:row>
    <x:row r="436" ht="15" hidden="0" customHeight="1">
      <x:c r="A436" s="10" t="str">
        <x:v>BR-SPDIREITOVIOLESTADO_MAPEAMENTOS-NOTICIAS-MSSCPENHA.xlsx</x:v>
      </x:c>
      <x:c r="B436" s="10" t="str">
        <x:v>Geral</x:v>
      </x:c>
      <x:c r="C436" s="10" t="str">
        <x:v>M76</x:v>
      </x:c>
      <x:c r="D436" s="10" t="str">
        <x:v>Espaço externo ou caractere invisível</x:v>
      </x:c>
      <x:c r="E436" s="10" t="str">
        <x:v>Imagem (digital) </x:v>
      </x:c>
      <x:c r="F436" s="10" t="str">
        <x:v>Removido apenas na cópia tabular de análise; original preservado.</x:v>
      </x:c>
    </x:row>
    <x:row r="437" ht="64.80000305175781" hidden="0" customHeight="1">
      <x:c r="A437" s="10" t="str">
        <x:v>BR-SPDIREITOVIOLESTADO_MAPEAMENTOS-NOTICIAS-MSSCPENHA.xlsx</x:v>
      </x:c>
      <x:c r="B437" s="10" t="str">
        <x:v>Geral</x:v>
      </x:c>
      <x:c r="C437" s="10" t="str">
        <x:v>T76</x:v>
      </x:c>
      <x:c r="D437" s="10" t="str">
        <x:v>Espaço externo ou caractere invisível</x:v>
      </x:c>
      <x:c r="E437" s="10" t="str">
        <x:v>ARRUDA, Luiza. Chega de Massacre. Fotografia. Publicado por Voz das Comunidades. Instagram: @vozdascomunidades, Rio de Janeiro, 31 out. 2025. Disponível em: https://www.instagram.com/p/DQfDE3zjxSK/?img_index=4. Acesso em: 31 out. 2025.
</x:v>
      </x:c>
      <x:c r="F437" s="10" t="str">
        <x:v>Removido apenas na cópia tabular de análise; original preservado.</x:v>
      </x:c>
    </x:row>
    <x:row r="438" ht="15" hidden="0" customHeight="1">
      <x:c r="A438" s="10" t="str">
        <x:v>BR-SPDIREITOVIOLESTADO_MAPEAMENTOS-NOTICIAS-MSSCPENHA.xlsx</x:v>
      </x:c>
      <x:c r="B438" s="10" t="str">
        <x:v>Geral</x:v>
      </x:c>
      <x:c r="C438" s="10" t="str">
        <x:v>M78</x:v>
      </x:c>
      <x:c r="D438" s="10" t="str">
        <x:v>Espaço externo ou caractere invisível</x:v>
      </x:c>
      <x:c r="E438" s="10" t="str">
        <x:v>Imagem (digital) </x:v>
      </x:c>
      <x:c r="F438" s="10" t="str">
        <x:v>Removido apenas na cópia tabular de análise; original preservado.</x:v>
      </x:c>
    </x:row>
    <x:row r="439" ht="132" hidden="0" customHeight="1">
      <x:c r="A439" s="10" t="str">
        <x:v>BR-SPDIREITOVIOLESTADO_MAPEAMENTOS-NOTICIAS-MSSCPENHA.xlsx</x:v>
      </x:c>
      <x:c r="B439" s="10" t="str">
        <x:v>Geral</x:v>
      </x:c>
      <x:c r="C439" s="10" t="str">
        <x:v>D80</x:v>
      </x:c>
      <x:c r="D439" s="10" t="str">
        <x:v>Fórmula sem resultado salvo em registro preenchido</x:v>
      </x:c>
      <x:c r="E439" s="10" t="str">
        <x:v>=IFERROR(__xludf.DUMMYFUNCTION("IF(B80="""","""",IF(OR(
  REGEXMATCH(B80,""Performance|Instalação|Álbum|Música|Poema|Livro|Filme|Documentário|Recitação|Espetáculo|Peça|Intervenção|Desfile|Fotografia|Exposição|Charge|Grafite|Leitura pública|Fabricação de cachaça artesanal""),
  REGEXMATC"&amp;"H(B80,""dança|teatral|artístico|musical|artística"")
),""Manifestação artístico-cultural"",
IF(OR(
  REGEXMATCH(B80,""Crônica|Série|Reportagem|Podcast|Audiotour|Entrevista|Vídeo|Rádio|Notícia|Artigo de opinião|</x:v>
      </x:c>
      <x:c r="F439" s="10" t="str">
        <x:v>Conferir se o campo é opcional ou se precisa recalcular na origem.</x:v>
      </x:c>
    </x:row>
    <x:row r="440" ht="132" hidden="0" customHeight="1">
      <x:c r="A440" s="10" t="str">
        <x:v>BR-SPDIREITOVIOLESTADO_MAPEAMENTOS-NOTICIAS-MSSCPENHA.xlsx</x:v>
      </x:c>
      <x:c r="B440" s="10" t="str">
        <x:v>Geral</x:v>
      </x:c>
      <x:c r="C440" s="10" t="str">
        <x:v>F80</x:v>
      </x:c>
      <x:c r="D440" s="10" t="str">
        <x:v>Fórmula sem resultado salvo em registro preenchido</x:v>
      </x:c>
      <x:c r="E440" s="10" t="str">
        <x:v>=IFERROR(__xludf.DUMMYFUNCTION("IF(B80="""","""",IF(OR(
  REGEXMATCH(B80,""Live|Webinário|Virtual|Verbete""),
  REGEXMATCH(B80,""online"")
),""Virtual"",
IF(REGEXMATCH(B80,""Música|Álbum|Filme|Documentário|Série|Podcast|Rádio|Audiotour|Episódio|Reportagem|Curta|Charge|Vídeo|Entrevista|N"&amp;"otícia|Artigo de opinião""),
""Midiático"",
IF(REGEXMATCH(B80,""Performance|Instalação|Protesto|Manifestação|Ato|Paralisação|Marcha|Exposição|Mobilização|Recitação|Espetáculo|Coletiva|Visita|Roda|Debate|Seminár</x:v>
      </x:c>
      <x:c r="F440" s="10" t="str">
        <x:v>Conferir se o campo é opcional ou se precisa recalcular na origem.</x:v>
      </x:c>
    </x:row>
    <x:row r="441" ht="28.799999237060547" hidden="0" customHeight="1">
      <x:c r="A441" s="10" t="str">
        <x:v>BR-SPDIREITOVIOLESTADO_MAPEAMENTOS-NOTICIAS-MSSCPENHA.xlsx</x:v>
      </x:c>
      <x:c r="B441" s="10" t="str">
        <x:v>Geral</x:v>
      </x:c>
      <x:c r="C441" s="10" t="str">
        <x:v>J80</x:v>
      </x:c>
      <x:c r="D441" s="10" t="str">
        <x:v>Espaço externo ou caractere invisível</x:v>
      </x:c>
      <x:c r="E441" s="10" t="str">
        <x:v>Associação dos Docentes da Universidade Federal de Uberlândia - ADUFU
</x:v>
      </x:c>
      <x:c r="F441" s="10" t="str">
        <x:v>Removido apenas na cópia tabular de análise; original preservado.</x:v>
      </x:c>
    </x:row>
    <x:row r="442" ht="132" hidden="0" customHeight="1">
      <x:c r="A442" s="10" t="str">
        <x:v>BR-SPDIREITOVIOLESTADO_MAPEAMENTOS-NOTICIAS-MSSCPENHA.xlsx</x:v>
      </x:c>
      <x:c r="B442" s="10" t="str">
        <x:v>Geral</x:v>
      </x:c>
      <x:c r="C442" s="10" t="str">
        <x:v>D81</x:v>
      </x:c>
      <x:c r="D442" s="10" t="str">
        <x:v>Fórmula sem resultado salvo em registro preenchido</x:v>
      </x:c>
      <x:c r="E442" s="10" t="str">
        <x:v>=IFERROR(__xludf.DUMMYFUNCTION("IF(B81="""","""",IF(OR(
  REGEXMATCH(B81,""Performance|Instalação|Álbum|Música|Poema|Livro|Filme|Documentário|Recitação|Espetáculo|Peça|Intervenção|Desfile|Fotografia|Exposição|Charge|Grafite|Leitura pública|Fabricação de cachaça artesanal""),
  REGEXMATC"&amp;"H(B81,""dança|teatral|artístico|musical|artística"")
),""Manifestação artístico-cultural"",
IF(OR(
  REGEXMATCH(B81,""Crônica|Série|Reportagem|Podcast|Audiotour|Entrevista|Vídeo|Rádio|Notícia|Artigo de opinião|</x:v>
      </x:c>
      <x:c r="F442" s="10" t="str">
        <x:v>Conferir se o campo é opcional ou se precisa recalcular na origem.</x:v>
      </x:c>
    </x:row>
    <x:row r="443" ht="15" hidden="0" customHeight="1">
      <x:c r="A443" s="10" t="str">
        <x:v>BR-SPDIREITOVIOLESTADO_MAPEAMENTOS-NOTICIAS-MSSCPENHA.xlsx</x:v>
      </x:c>
      <x:c r="B443" s="10" t="str">
        <x:v>Geral</x:v>
      </x:c>
      <x:c r="C443" s="10" t="str">
        <x:v>J82</x:v>
      </x:c>
      <x:c r="D443" s="10" t="str">
        <x:v>Espaço externo ou caractere invisível</x:v>
      </x:c>
      <x:c r="E443" s="10" t="str">
        <x:v> Portal do Governo do Estado do Rio de Janeiro</x:v>
      </x:c>
      <x:c r="F443" s="10" t="str">
        <x:v>Removido apenas na cópia tabular de análise; original preservado.</x:v>
      </x:c>
    </x:row>
    <x:row r="444" ht="15" hidden="0" customHeight="1">
      <x:c r="A444" s="10" t="str">
        <x:v>BR-SPDIREITOVIOLESTADO_MAPEAMENTOS-NOTICIAS-MSSCPENHA.xlsx</x:v>
      </x:c>
      <x:c r="B444" s="10" t="str">
        <x:v>Geral</x:v>
      </x:c>
      <x:c r="C444" s="10" t="str">
        <x:v>J88</x:v>
      </x:c>
      <x:c r="D444" s="10" t="str">
        <x:v>Espaço externo ou caractere invisível</x:v>
      </x:c>
      <x:c r="E444" s="10" t="str">
        <x:v> Portal do Governo do Estado do Rio de Janeiro</x:v>
      </x:c>
      <x:c r="F444" s="10" t="str">
        <x:v>Removido apenas na cópia tabular de análise; original preservado.</x:v>
      </x:c>
    </x:row>
    <x:row r="445" ht="28.799999237060547" hidden="0" customHeight="1">
      <x:c r="A445" s="10" t="str">
        <x:v>BR-SPDIREITOVIOLESTADO_MAPEAMENTOS-NOTICIAS-MSSCPENHA.xlsx</x:v>
      </x:c>
      <x:c r="B445" s="10" t="str">
        <x:v>Geral</x:v>
      </x:c>
      <x:c r="C445" s="10" t="str">
        <x:v>K89</x:v>
      </x:c>
      <x:c r="D445" s="10" t="str">
        <x:v>Espaço externo ou caractere invisível</x:v>
      </x:c>
      <x:c r="E445" s="10" t="str">
        <x:v>DPU pede para acompanhar perícia de mortos após operação no Rio
</x:v>
      </x:c>
      <x:c r="F445" s="10" t="str">
        <x:v>Removido apenas na cópia tabular de análise; original preservado.</x:v>
      </x:c>
    </x:row>
    <x:row r="446" ht="15" hidden="0" customHeight="1">
      <x:c r="A446" s="10" t="str">
        <x:v>BR-SPDIREITOVIOLESTADO_MAPEAMENTOS-NOTICIAS-MSSCPENHA.xlsx</x:v>
      </x:c>
      <x:c r="B446" s="10" t="str">
        <x:v>Geral</x:v>
      </x:c>
      <x:c r="C446" s="10" t="str">
        <x:v>K92</x:v>
      </x:c>
      <x:c r="D446" s="10" t="str">
        <x:v>Espaço externo ou caractere invisível</x:v>
      </x:c>
      <x:c r="E446" s="10" t="str">
        <x:v> Megaoperação no Rio cumpriu 20 dos 100 mandados de prisão pretendidos</x:v>
      </x:c>
      <x:c r="F446" s="10" t="str">
        <x:v>Removido apenas na cópia tabular de análise; original preservado.</x:v>
      </x:c>
    </x:row>
    <x:row r="447" ht="15" hidden="0" customHeight="1">
      <x:c r="A447" s="10" t="str">
        <x:v>BR-SPDIREITOVIOLESTADO_MAPEAMENTOS-NOTICIAS-MSSCPENHA.xlsx</x:v>
      </x:c>
      <x:c r="B447" s="10" t="str">
        <x:v>Geral</x:v>
      </x:c>
      <x:c r="C447" s="10" t="str">
        <x:v>I99</x:v>
      </x:c>
      <x:c r="D447" s="10" t="str">
        <x:v>Espaço externo ou caractere invisível</x:v>
      </x:c>
      <x:c r="E447" s="10" t="str">
        <x:v>Pará, Brasil </x:v>
      </x:c>
      <x:c r="F447" s="10" t="str">
        <x:v>Removido apenas na cópia tabular de análise; original preservado.</x:v>
      </x:c>
    </x:row>
    <x:row r="448" ht="28.799999237060547" hidden="0" customHeight="1">
      <x:c r="A448" s="10" t="str">
        <x:v>BR-SPDIREITOVIOLESTADO_MAPEAMENTOS-NOTICIAS-MSSCPENHA.xlsx</x:v>
      </x:c>
      <x:c r="B448" s="10" t="str">
        <x:v>Geral</x:v>
      </x:c>
      <x:c r="C448" s="10" t="str">
        <x:v>K101</x:v>
      </x:c>
      <x:c r="D448" s="10" t="str">
        <x:v>Espaço externo ou caractere invisível</x:v>
      </x:c>
      <x:c r="E448" s="10" t="str">
        <x:v>Força-tarefa deve identificar mortos na operação até o fim de semana
</x:v>
      </x:c>
      <x:c r="F448" s="10" t="str">
        <x:v>Removido apenas na cópia tabular de análise; original preservado.</x:v>
      </x:c>
    </x:row>
    <x:row r="449" ht="15" hidden="0" customHeight="1">
      <x:c r="A449" s="10" t="str">
        <x:v>BR-SPDIREITOVIOLESTADO_MAPEAMENTOS-NOTICIAS-MSSCPENHA.xlsx</x:v>
      </x:c>
      <x:c r="B449" s="10" t="str">
        <x:v>Geral</x:v>
      </x:c>
      <x:c r="C449" s="10" t="str">
        <x:v>J104</x:v>
      </x:c>
      <x:c r="D449" s="10" t="str">
        <x:v>Espaço externo ou caractere invisível</x:v>
      </x:c>
      <x:c r="E449" s="10" t="str">
        <x:v> Portal do Governo do Estado do Rio de Janeiro</x:v>
      </x:c>
      <x:c r="F449" s="10" t="str">
        <x:v>Removido apenas na cópia tabular de análise; original preservado.</x:v>
      </x:c>
    </x:row>
    <x:row r="450" ht="64.80000305175781" hidden="0" customHeight="1">
      <x:c r="A450" s="10" t="str">
        <x:v>BR-SPDIREITOVIOLESTADO_MAPEAMENTOS-NOTICIAS-MSSCPENHA.xlsx</x:v>
      </x:c>
      <x:c r="B450" s="10" t="str">
        <x:v>Geral</x:v>
      </x:c>
      <x:c r="C450" s="10" t="str">
        <x:v>T108</x:v>
      </x:c>
      <x:c r="D450" s="10" t="str">
        <x:v>Espaço externo ou caractere invisível</x:v>
      </x:c>
      <x:c r="E450" s="10" t="str">
        <x:v>MOTTA, Rayssa. Operação Contenção: Defensoria questiona perícia oficial e pede ao STF laudos paralelos em corpos. Estadão, São Paulo, 30 out. 2025. Disponível em: https://www.estadao.com.br/politica/blog-do-fausto-macedo/defensoria-publica-rio-stf-imparcialidade-pericia-oficial-corpos-operacao/. Acesso em: 3 nov. 2025.
</x:v>
      </x:c>
      <x:c r="F450" s="10" t="str">
        <x:v>Removido apenas na cópia tabular de análise; original preservado.</x:v>
      </x:c>
    </x:row>
    <x:row r="451" ht="132" hidden="0" customHeight="1">
      <x:c r="A451" s="10" t="str">
        <x:v>BR-SPDIREITOVIOLESTADO_MAPEAMENTOS-NOTICIAS-MSSCPENHA.xlsx</x:v>
      </x:c>
      <x:c r="B451" s="10" t="str">
        <x:v>Geral</x:v>
      </x:c>
      <x:c r="C451" s="10" t="str">
        <x:v>D117</x:v>
      </x:c>
      <x:c r="D451" s="10" t="str">
        <x:v>Fórmula sem resultado salvo em registro preenchido</x:v>
      </x:c>
      <x:c r="E451" s="10" t="str">
        <x:v>=IFERROR(__xludf.DUMMYFUNCTION("IF(B117="""","""",IF(OR(
  REGEXMATCH(B117,""Performance|Instalação|Álbum|Música|Poema|Livro|Filme|Documentário|Recitação|Espetáculo|Peça|Intervenção|Desfile|Fotografia|Exposição|Charge|Grafite|Leitura pública|Fabricação de cachaça artesanal""),
  REGEXMA"&amp;"TCH(B117,""dança|teatral|artístico|musical|artística"")
),""Manifestação artístico-cultural"",
IF(OR(
  REGEXMATCH(B117,""Crônica|Série|Reportagem|Podcast|Audiotour|Entrevista|Vídeo|Rádio|Notícia|Artigo de opin</x:v>
      </x:c>
      <x:c r="F451" s="10" t="str">
        <x:v>Conferir se o campo é opcional ou se precisa recalcular na origem.</x:v>
      </x:c>
    </x:row>
    <x:row r="452" ht="132" hidden="0" customHeight="1">
      <x:c r="A452" s="10" t="str">
        <x:v>BR-SPDIREITOVIOLESTADO_MAPEAMENTOS-NOTICIAS-MSSCPENHA.xlsx</x:v>
      </x:c>
      <x:c r="B452" s="10" t="str">
        <x:v>Geral</x:v>
      </x:c>
      <x:c r="C452" s="10" t="str">
        <x:v>F117</x:v>
      </x:c>
      <x:c r="D452" s="10" t="str">
        <x:v>Fórmula sem resultado salvo em registro preenchido</x:v>
      </x:c>
      <x:c r="E452" s="10" t="str">
        <x:v>=IFERROR(__xludf.DUMMYFUNCTION("IF(B117="""","""",IF(OR(
  REGEXMATCH(B117,""Live|Webinário|Virtual|Verbete""),
  REGEXMATCH(B117,""online"")
),""Virtual"",
IF(REGEXMATCH(B117,""Música|Álbum|Filme|Documentário|Série|Podcast|Rádio|Audiotour|Episódio|Reportagem|Curta|Charge|Vídeo|Entrevis"&amp;"ta|Notícia|Artigo de opinião""),
""Midiático"",
IF(REGEXMATCH(B117,""Performance|Instalação|Protesto|Manifestação|Ato|Paralisação|Marcha|Exposição|Mobilização|Recitação|Espetáculo|Coletiva|Visita|Roda|Debate|Se</x:v>
      </x:c>
      <x:c r="F452" s="10" t="str">
        <x:v>Conferir se o campo é opcional ou se precisa recalcular na origem.</x:v>
      </x:c>
    </x:row>
    <x:row r="453" ht="64.80000305175781" hidden="0" customHeight="1">
      <x:c r="A453" s="10" t="str">
        <x:v>BR-SPDIREITOVIOLESTADO_MAPEAMENTOS-NOTICIAS-MSSCPENHA.xlsx</x:v>
      </x:c>
      <x:c r="B453" s="10" t="str">
        <x:v>Geral</x:v>
      </x:c>
      <x:c r="C453" s="10" t="str">
        <x:v>T118</x:v>
      </x:c>
      <x:c r="D453" s="10" t="str">
        <x:v>Espaço externo ou caractere invisível</x:v>
      </x:c>
      <x:c r="E453" s="10" t="str">
        <x:v>CAMPANATO, Valter. Faixa em manifestação contra a operação policial Contenção no Rio de Janeiro. Agência Brasil, fotografia, Brasília, 31 out. 2025. Disponível em: http://agenciabrasil.ebc.com.br/foto/2025-10/manifestacao-conta-operacao-contencao-1761948860-2. Acesso em: 3 nov. 2025.
</x:v>
      </x:c>
      <x:c r="F453" s="10" t="str">
        <x:v>Removido apenas na cópia tabular de análise; original preservado.</x:v>
      </x:c>
    </x:row>
    <x:row r="454" ht="64.80000305175781" hidden="0" customHeight="1">
      <x:c r="A454" s="10" t="str">
        <x:v>BR-SPDIREITOVIOLESTADO_MAPEAMENTOS-NOTICIAS-MSSCPENHA.xlsx</x:v>
      </x:c>
      <x:c r="B454" s="10" t="str">
        <x:v>Geral</x:v>
      </x:c>
      <x:c r="C454" s="10" t="str">
        <x:v>T125</x:v>
      </x:c>
      <x:c r="D454" s="10" t="str">
        <x:v>Espaço externo ou caractere invisível</x:v>
      </x:c>
      <x:c r="E454" s="10" t="str">
        <x:v>MACIA, Vinicius. Bope se manifesta após operação no Rio: “Ninguém vai parar a gente”. Gazeta do Povo, 30 out. 2025. Disponível em: https://www.gazetadopovo.com.br/brasil/bope-ninguem-vai-parar-a-gente-operacao-contencao/. Acesso em: 3 nov. 2025.
</x:v>
      </x:c>
      <x:c r="F454" s="10" t="str">
        <x:v>Removido apenas na cópia tabular de análise; original preservado.</x:v>
      </x:c>
    </x:row>
    <x:row r="455" ht="76.80000305175781" hidden="0" customHeight="1">
      <x:c r="A455" s="10" t="str">
        <x:v>BR-SPDIREITOVIOLESTADO_MAPEAMENTOS-NOTICIAS-MSSCPENHA.xlsx</x:v>
      </x:c>
      <x:c r="B455" s="10" t="str">
        <x:v>Geral</x:v>
      </x:c>
      <x:c r="C455" s="10" t="str">
        <x:v>T126</x:v>
      </x:c>
      <x:c r="D455" s="10" t="str">
        <x:v>Espaço externo ou caractere invisível</x:v>
      </x:c>
      <x:c r="E455" s="10" t="str">
        <x:v>FANTTI, Bruna; ZYLBERKAN, Mariana. Rotina do CV tem tortura com banheira de gelo, treino com fuzil e ostentação. Folha de S. Paulo, São Paulo, 30 out. 2025. Disponível em: https://www1.folha.uol.com.br/cotidiano/2025/10/rotina-do-cv-tem-tortura-com-banheira-de-gelo-treino-com-fuzil-e-ostentacao.shtml. Acesso em: 3 nov. 2025.
</x:v>
      </x:c>
      <x:c r="F455" s="10" t="str">
        <x:v>Removido apenas na cópia tabular de análise; original preservado.</x:v>
      </x:c>
    </x:row>
    <x:row r="456" ht="52.79999923706055" hidden="0" customHeight="1">
      <x:c r="A456" s="10" t="str">
        <x:v>BR-SPDIREITOVIOLESTADO_MAPEAMENTOS-NOTICIAS-MSSCPENHA.xlsx</x:v>
      </x:c>
      <x:c r="B456" s="10" t="str">
        <x:v>Geral</x:v>
      </x:c>
      <x:c r="C456" s="10" t="str">
        <x:v>T127</x:v>
      </x:c>
      <x:c r="D456" s="10" t="str">
        <x:v>Espaço externo ou caractere invisível</x:v>
      </x:c>
      <x:c r="E456" s="10" t="str">
        <x:v>EIRAS, Yuri; BRANDINO, Géssica. Polícia do Rio cumpriu 20 dos 100 mandados de prisão da Operação Contenção. Folha de S. Paulo, São Paulo/Rio de Janeiro, 31 out. 2025. Acesso em: 3 nov. 2025.
</x:v>
      </x:c>
      <x:c r="F456" s="10" t="str">
        <x:v>Removido apenas na cópia tabular de análise; original preservado.</x:v>
      </x:c>
    </x:row>
    <x:row r="457" ht="76.80000305175781" hidden="0" customHeight="1">
      <x:c r="A457" s="10" t="str">
        <x:v>BR-SPDIREITOVIOLESTADO_MAPEAMENTOS-NOTICIAS-MSSCPENHA.xlsx</x:v>
      </x:c>
      <x:c r="B457" s="10" t="str">
        <x:v>Geral</x:v>
      </x:c>
      <x:c r="C457" s="10" t="str">
        <x:v>T133</x:v>
      </x:c>
      <x:c r="D457" s="10" t="str">
        <x:v>Espaço externo ou caractere invisível</x:v>
      </x:c>
      <x:c r="E457" s="10" t="str">
        <x:v>RICHTER, André; CARDOSO, Rafael. Defensoria do Rio quer fazer laudos paralelos dos corpos: entidade alega que faltaram ambulâncias e postos estavam fechados. Agência Brasil, Brasília/Rio de Janeiro, 30 out. 2025. Disponível em: https://agenciabrasil.ebc.com.br/justica/noticia/2025-10/operacao-defensoria-do-rio-quer-fazer-laudos-paralelos-dos-corpos. Acesso em: 3 nov. 2025.
</x:v>
      </x:c>
      <x:c r="F457" s="10" t="str">
        <x:v>Removido apenas na cópia tabular de análise; original preservado.</x:v>
      </x:c>
    </x:row>
    <x:row r="458" ht="64.80000305175781" hidden="0" customHeight="1">
      <x:c r="A458" s="10" t="str">
        <x:v>BR-SPDIREITOVIOLESTADO_MAPEAMENTOS-NOTICIAS-MSSCPENHA.xlsx</x:v>
      </x:c>
      <x:c r="B458" s="10" t="str">
        <x:v>Geral</x:v>
      </x:c>
      <x:c r="C458" s="10" t="str">
        <x:v>T135</x:v>
      </x:c>
      <x:c r="D458" s="10" t="str">
        <x:v>Espaço externo ou caractere invisível</x:v>
      </x:c>
      <x:c r="E458" s="10" t="str">
        <x:v>REPÓRTER BRASIL. Moraes cumpre agenda de audiências no Rio sobre a Operação Contenção. TV Brasil, Rio de Janeiro, 1 nov. 2025. Disponível em: https://tvbrasil.ebc.com.br/reporter-brasil/2025/11/moraes-cumpre-agenda-de-audiencias-no-rio-sobre-operacao-contencao. Acesso em: 3 nov. 2025.
</x:v>
      </x:c>
      <x:c r="F458" s="10" t="str">
        <x:v>Removido apenas na cópia tabular de análise; original preservado.</x:v>
      </x:c>
    </x:row>
    <x:row r="459" ht="64.80000305175781" hidden="0" customHeight="1">
      <x:c r="A459" s="10" t="str">
        <x:v>BR-SPDIREITOVIOLESTADO_MAPEAMENTOS-NOTICIAS-MSSCPENHA.xlsx</x:v>
      </x:c>
      <x:c r="B459" s="10" t="str">
        <x:v>Geral</x:v>
      </x:c>
      <x:c r="C459" s="10" t="str">
        <x:v>T139</x:v>
      </x:c>
      <x:c r="D459" s="10" t="str">
        <x:v>Espaço externo ou caractere invisível</x:v>
      </x:c>
      <x:c r="E459" s="10" t="str">
        <x:v>REPÓRTER BRASIL. Lewandowski e Castro se reúnem no Rio e falam sobre Operação Contenção. TV Brasil, Rio de Janeiro, 29 out. 2025. Disponível em: https://tvbrasil.ebc.com.br/reporter-brasil/2025/10/lewandowski-e-castro-se-reunem-no-rio-e-falam-sobre-operacao-contencao. Acesso em: 3 nov. 2025.
</x:v>
      </x:c>
      <x:c r="F459" s="10" t="str">
        <x:v>Removido apenas na cópia tabular de análise; original preservado.</x:v>
      </x:c>
    </x:row>
    <x:row r="460" ht="24" hidden="0" customHeight="1">
      <x:c r="A460" s="10" t="str">
        <x:v>BR-SPDIREITOVIOLESTADO_MAPEAMENTOS-NOTICIAS-MSSCPENHA.xlsx</x:v>
      </x:c>
      <x:c r="B460" s="10" t="str">
        <x:v>Geral</x:v>
      </x:c>
      <x:c r="C460" s="10" t="str">
        <x:v>K140</x:v>
      </x:c>
      <x:c r="D460" s="10" t="str">
        <x:v>Espaço externo ou caractere invisível</x:v>
      </x:c>
      <x:c r="E460" s="10" t="str">
        <x:v> PT, PSOL e PCdoB pedem ao STF acesso de familiares à perícia de corpos: partidos afirmam que a operação policial "matou mais do que prendeu"</x:v>
      </x:c>
      <x:c r="F460" s="10" t="str">
        <x:v>Removido apenas na cópia tabular de análise; original preservado.</x:v>
      </x:c>
    </x:row>
    <x:row r="461" ht="76.80000305175781" hidden="0" customHeight="1">
      <x:c r="A461" s="10" t="str">
        <x:v>BR-SPDIREITOVIOLESTADO_MAPEAMENTOS-NOTICIAS-MSSCPENHA.xlsx</x:v>
      </x:c>
      <x:c r="B461" s="10" t="str">
        <x:v>Geral</x:v>
      </x:c>
      <x:c r="C461" s="10" t="str">
        <x:v>T140</x:v>
      </x:c>
      <x:c r="D461" s="10" t="str">
        <x:v>Espaço externo ou caractere invisível</x:v>
      </x:c>
      <x:c r="E461" s="10" t="str">
        <x:v>RICHTER, André. PT, PSOL e PCdoB pedem ao STF acesso de familiares à perícia de corpos: partidos afirmam que a operação policial "matou mais do que prendeu". Agência Brasil, Brasília, 31 out. 2025. Disponível em: https://agenciabrasil.ebc.com.br/justica/noticia/2025-10/pt-psol-e-pcdob-pedem-ao-stf-acesso-de-familiares-pericia-de-corpos. Acesso em: 3 nov. 2025.
</x:v>
      </x:c>
      <x:c r="F461" s="10" t="str">
        <x:v>Removido apenas na cópia tabular de análise; original preservado.</x:v>
      </x:c>
    </x:row>
    <x:row r="462" ht="64.80000305175781" hidden="0" customHeight="1">
      <x:c r="A462" s="10" t="str">
        <x:v>BR-SPDIREITOVIOLESTADO_MAPEAMENTOS-NOTICIAS-MSSCPENHA.xlsx</x:v>
      </x:c>
      <x:c r="B462" s="10" t="str">
        <x:v>Geral</x:v>
      </x:c>
      <x:c r="C462" s="10" t="str">
        <x:v>T141</x:v>
      </x:c>
      <x:c r="D462" s="10" t="str">
        <x:v>Espaço externo ou caractere invisível</x:v>
      </x:c>
      <x:c r="E462" s="10" t="str">
        <x:v>REPÓRTER BRASIL TARDE. Denúncia que baseou a Operação Contenção apontava 69 criminosos. TV Brasil, Rio de Janeiro, 31 out. 2025. Disponível em: https://tvbrasil.ebc.com.br/reporter-brasil-tarde/2025/10/denuncia-que-baseou-operacao-contencao-apontava-69-criminosos. Acesso em: 3 nov. 2025.
</x:v>
      </x:c>
      <x:c r="F462" s="10" t="str">
        <x:v>Removido apenas na cópia tabular de análise; original preservado.</x:v>
      </x:c>
    </x:row>
    <x:row r="463" ht="64.80000305175781" hidden="0" customHeight="1">
      <x:c r="A463" s="10" t="str">
        <x:v>BR-SPDIREITOVIOLESTADO_MAPEAMENTOS-NOTICIAS-MSSCPENHA.xlsx</x:v>
      </x:c>
      <x:c r="B463" s="10" t="str">
        <x:v>Geral</x:v>
      </x:c>
      <x:c r="C463" s="10" t="str">
        <x:v>T142</x:v>
      </x:c>
      <x:c r="D463" s="10" t="str">
        <x:v>Espaço externo ou caractere invisível</x:v>
      </x:c>
      <x:c r="E463" s="10" t="str">
        <x:v>LOPES, Bruna. Quem eram os policiais civis mortos em megaoperação no RJ. CNN Brasil, 29 out. 2025. Disponível em: https://www.cnnbrasil.com.br/nacional/sudeste/rj/quem-eram-os-policiais-civis-mortos-em-megaoperacao-no-rj/. Acesso em: 3 nov. 2025.
</x:v>
      </x:c>
      <x:c r="F463" s="10" t="str">
        <x:v>Removido apenas na cópia tabular de análise; original preservado.</x:v>
      </x:c>
    </x:row>
    <x:row r="464" ht="64.80000305175781" hidden="0" customHeight="1">
      <x:c r="A464" s="10" t="str">
        <x:v>BR-SPDIREITOVIOLESTADO_MAPEAMENTOS-NOTICIAS-MSSCPENHA.xlsx</x:v>
      </x:c>
      <x:c r="B464" s="10" t="str">
        <x:v>Geral</x:v>
      </x:c>
      <x:c r="C464" s="10" t="str">
        <x:v>T143</x:v>
      </x:c>
      <x:c r="D464" s="10" t="str">
        <x:v>Espaço externo ou caractere invisível</x:v>
      </x:c>
      <x:c r="E464" s="10" t="str">
        <x:v>LOPES, Bruna. Megaoperação deixou 119 mortos, diz governo do RJ. CNN Brasil, 29 out. 2025. Disponível em: https://www.cnnbrasil.com.br/nacional/sudeste/rj/megaoperacao-deixou-119-mortos-diz-governo-do-rj/. Acesso em: 3 nov. 2025.
</x:v>
      </x:c>
      <x:c r="F464" s="10" t="str">
        <x:v>Removido apenas na cópia tabular de análise; original preservado.</x:v>
      </x:c>
    </x:row>
    <x:row r="465" ht="64.80000305175781" hidden="0" customHeight="1">
      <x:c r="A465" s="10" t="str">
        <x:v>BR-SPDIREITOVIOLESTADO_MAPEAMENTOS-NOTICIAS-MSSCPENHA.xlsx</x:v>
      </x:c>
      <x:c r="B465" s="10" t="str">
        <x:v>Geral</x:v>
      </x:c>
      <x:c r="C465" s="10" t="str">
        <x:v>T145</x:v>
      </x:c>
      <x:c r="D465" s="10" t="str">
        <x:v>Espaço externo ou caractere invisível</x:v>
      </x:c>
      <x:c r="E465" s="10" t="str">
        <x:v>HORA, Geovanna. Rio de Janeiro após operação mais letal da história do Estado: O que acontece agora? Estadão, 29 out. 2025. Disponível em: https://www.estadao.com.br/brasil/o-que-acontece-agora-rj-apos-operacao-mais-letal-npr/. Acesso em: 3 nov. 2025.
</x:v>
      </x:c>
      <x:c r="F465" s="10" t="str">
        <x:v>Removido apenas na cópia tabular de análise; original preservado.</x:v>
      </x:c>
    </x:row>
    <x:row r="466" ht="64.80000305175781" hidden="0" customHeight="1">
      <x:c r="A466" s="10" t="str">
        <x:v>BR-SPDIREITOVIOLESTADO_MAPEAMENTOS-NOTICIAS-MSSCPENHA.xlsx</x:v>
      </x:c>
      <x:c r="B466" s="10" t="str">
        <x:v>Geral</x:v>
      </x:c>
      <x:c r="C466" s="10" t="str">
        <x:v>T146</x:v>
      </x:c>
      <x:c r="D466" s="10" t="str">
        <x:v>Espaço externo ou caractere invisível</x:v>
      </x:c>
      <x:c r="E466" s="10" t="str">
        <x:v>REPÓRTER BRASIL TARDE. Operação Contenção: PGR deve se manifestar em 24 horas. TV Brasil, 29 out. 2025. Disponível em: https://tvbrasil.ebc.com.br/reporter-brasil-tarde/2025/10/operacao-contencao-pgr-deve-se-manifestar-em-24-horas. Acesso em: 3 nov. 2025.
</x:v>
      </x:c>
      <x:c r="F466" s="10" t="str">
        <x:v>Removido apenas na cópia tabular de análise; original preservado.</x:v>
      </x:c>
    </x:row>
    <x:row r="467" ht="76.80000305175781" hidden="0" customHeight="1">
      <x:c r="A467" s="10" t="str">
        <x:v>BR-SPDIREITOVIOLESTADO_MAPEAMENTOS-NOTICIAS-MSSCPENHA.xlsx</x:v>
      </x:c>
      <x:c r="B467" s="10" t="str">
        <x:v>Geral</x:v>
      </x:c>
      <x:c r="C467" s="10" t="str">
        <x:v>T147</x:v>
      </x:c>
      <x:c r="D467" s="10" t="str">
        <x:v>Espaço externo ou caractere invisível</x:v>
      </x:c>
      <x:c r="E467" s="10" t="str">
        <x:v>BOCCHINI, Bruno; NASCIMENTO, Luciano. Em atos, movimento negro pede investigação independente de ação no Rio. Agência Brasil, 31 out. 2025. Disponível em: https://agenciabrasil.ebc.com.br/direitos-humanos/noticia/2025-10/em-atos-movimento-negro-pede-investigacao-independente-de-acao-no-rio. Acesso em: 3 nov. 2025.
</x:v>
      </x:c>
      <x:c r="F467" s="10" t="str">
        <x:v>Removido apenas na cópia tabular de análise; original preservado.</x:v>
      </x:c>
    </x:row>
    <x:row r="468" ht="64.80000305175781" hidden="0" customHeight="1">
      <x:c r="A468" s="10" t="str">
        <x:v>BR-SPDIREITOVIOLESTADO_MAPEAMENTOS-NOTICIAS-MSSCPENHA.xlsx</x:v>
      </x:c>
      <x:c r="B468" s="10" t="str">
        <x:v>Geral</x:v>
      </x:c>
      <x:c r="C468" s="10" t="str">
        <x:v>T148</x:v>
      </x:c>
      <x:c r="D468" s="10" t="str">
        <x:v>Espaço externo ou caractere invisível</x:v>
      </x:c>
      <x:c r="E468" s="10" t="str">
        <x:v>REPÓRTER BRASIL TARDE. Corpos de dois policiais mortos na Operação Contenção são sepultados. TV Brasil, 30 out. 2025. Disponível em: https://tvbrasil.ebc.com.br/reporter-brasil-tarde/2025/10/corpos-de-dois-policiais-mortos-na-operacao-contencao-sao-sepultados. Acesso em: 3 nov. 2025.
</x:v>
      </x:c>
      <x:c r="F468" s="10" t="str">
        <x:v>Removido apenas na cópia tabular de análise; original preservado.</x:v>
      </x:c>
    </x:row>
    <x:row r="469" ht="88.80000305175781" hidden="0" customHeight="1">
      <x:c r="A469" s="10" t="str">
        <x:v>BR-SPDIREITOVIOLESTADO_MAPEAMENTOS-NOTICIAS-MSSCPENHA.xlsx</x:v>
      </x:c>
      <x:c r="B469" s="10" t="str">
        <x:v>Geral</x:v>
      </x:c>
      <x:c r="C469" s="10" t="str">
        <x:v>T149</x:v>
      </x:c>
      <x:c r="D469" s="10" t="str">
        <x:v>Espaço externo ou caractere invisível</x:v>
      </x:c>
      <x:c r="E469" s="10" t="str">
        <x:v>NAÇÕES UNIDAS BRASIL. Especialistas da ONU cobram investigação célere sobre operação policial mortal no Rio de Janeiro. Brasília: Nações Unidas Brasil, 31 out. 2025. Disponível em: https://brasil.un.org/pt-br/304423-especialistas-da-onu-cobram-investiga%C3%A7%C3%A3o-c%C3%A9lere-sobre-opera%C3%A7%C3%A3o-policial-mortal-no-rio-de. Acesso em: 3 nov. 2025.
</x:v>
      </x:c>
      <x:c r="F469" s="10" t="str">
        <x:v>Removido apenas na cópia tabular de análise; original preservado.</x:v>
      </x:c>
    </x:row>
    <x:row r="470" ht="76.80000305175781" hidden="0" customHeight="1">
      <x:c r="A470" s="10" t="str">
        <x:v>BR-SPDIREITOVIOLESTADO_MAPEAMENTOS-NOTICIAS-MSSCPENHA.xlsx</x:v>
      </x:c>
      <x:c r="B470" s="10" t="str">
        <x:v>Geral</x:v>
      </x:c>
      <x:c r="C470" s="10" t="str">
        <x:v>T150</x:v>
      </x:c>
      <x:c r="D470" s="10" t="str">
        <x:v>Espaço externo ou caractere invisível</x:v>
      </x:c>
      <x:c r="E470" s="10" t="str">
        <x:v>FREITAS, Hermano; GRANDI, Guilherme. Operação no Alemão e na Penha se torna a mais letal da história do Rio; veja ranking. Gazeta do Povo, 28 out. 2025. Disponível em: https://www.gazetadopovo.com.br/brasil/operacao-policial-no-complexo-do-alemao-e-na-penha-se-torna-a-mais-letal-da-historia-do-rio/. Acesso em: 3 nov. 2025.
</x:v>
      </x:c>
      <x:c r="F470" s="10" t="str">
        <x:v>Removido apenas na cópia tabular de análise; original preservado.</x:v>
      </x:c>
    </x:row>
    <x:row r="471" ht="88.80000305175781" hidden="0" customHeight="1">
      <x:c r="A471" s="10" t="str">
        <x:v>BR-SPDIREITOVIOLESTADO_MAPEAMENTOS-NOTICIAS-MSSCPENHA.xlsx</x:v>
      </x:c>
      <x:c r="B471" s="10" t="str">
        <x:v>Geral</x:v>
      </x:c>
      <x:c r="C471" s="10" t="str">
        <x:v>T151</x:v>
      </x:c>
      <x:c r="D471" s="10" t="str">
        <x:v>Espaço externo ou caractere invisível</x:v>
      </x:c>
      <x:c r="E471" s="10" t="str">
        <x:v>ROBICHEZ, Adele; CARVALHO, Igor; BERNARDES, José Eduardo; BOHRER, Larissa. Uso político da violência em operação no Rio transforma massacre em ‘triunfo eleitoral’ para a extrema direita. Brasil de Fato, 30 out. 2025. Disponível em: https://www.brasildefato.com.br/2025/10/30/uso-politico-da-violencia-em-operacao-no-rio-transforma-massacre-em-triunfo-eleitoral-para-a-extrema-direita/. Acesso em: 3 nov. 2025.
</x:v>
      </x:c>
      <x:c r="F471" s="10" t="str">
        <x:v>Removido apenas na cópia tabular de análise; original preservado.</x:v>
      </x:c>
    </x:row>
    <x:row r="472" ht="48" hidden="0" customHeight="1">
      <x:c r="A472" s="10" t="str">
        <x:v>BR-SPDIREITOVIOLESTADO_MAPEAMENTOS-NOTICIAS-MSSCPENHA.xlsx</x:v>
      </x:c>
      <x:c r="B472" s="10" t="str">
        <x:v>Geral</x:v>
      </x:c>
      <x:c r="C472" s="10" t="str">
        <x:v>T153</x:v>
      </x:c>
      <x:c r="D472" s="10" t="str">
        <x:v>Espaço externo ou caractere invisível</x:v>
      </x:c>
      <x:c r="E472" s="10" t="str">
        <x:v>JOVEM PAN. DPU pede para acompanhar perícia de mortos na Operação Contenção. Jovem Pan, 30 out. 2025. Disponível em: https://jovempan.com.br/noticias/brasil/dpu-pede-para-acompanhar-pericia-de-mortos-na-operacao-contencao.html. Acesso em: 3 nov. 2025. </x:v>
      </x:c>
      <x:c r="F472" s="10" t="str">
        <x:v>Removido apenas na cópia tabular de análise; original preservado.</x:v>
      </x:c>
    </x:row>
    <x:row r="473" ht="48" hidden="0" customHeight="1">
      <x:c r="A473" s="10" t="str">
        <x:v>BR-SPDIREITOVIOLESTADO_MAPEAMENTOS-NOTICIAS-MSSCPENHA.xlsx</x:v>
      </x:c>
      <x:c r="B473" s="10" t="str">
        <x:v>Geral</x:v>
      </x:c>
      <x:c r="C473" s="10" t="str">
        <x:v>T154</x:v>
      </x:c>
      <x:c r="D473" s="10" t="str">
        <x:v>Espaço externo ou caractere invisível</x:v>
      </x:c>
      <x:c r="E473" s="10" t="str">
        <x:v>JOVEM PAN. MP do RJ pede câmeras usadas por policiais em Operação Contenção. Jovem Pan, 30 out. 2025. Disponível em: https://jovempan.com.br/seguranca/mp-do-rj-pede-cameras-usadas-por-policiais-em-operacao-contencao.html. Acesso em: 3 nov. 2025. </x:v>
      </x:c>
      <x:c r="F473" s="10" t="str">
        <x:v>Removido apenas na cópia tabular de análise; original preservado.</x:v>
      </x:c>
    </x:row>
    <x:row r="474" ht="48" hidden="0" customHeight="1">
      <x:c r="A474" s="10" t="str">
        <x:v>BR-SPDIREITOVIOLESTADO_MAPEAMENTOS-NOTICIAS-MSSCPENHA.xlsx</x:v>
      </x:c>
      <x:c r="B474" s="10" t="str">
        <x:v>Geral</x:v>
      </x:c>
      <x:c r="C474" s="10" t="str">
        <x:v>T155</x:v>
      </x:c>
      <x:c r="D474" s="10" t="str">
        <x:v>Espaço externo ou caractere invisível</x:v>
      </x:c>
      <x:c r="E474" s="10" t="str">
        <x:v>JOVEM PAN. Manifestantes protestam em frente à sede do governo do RJ, onde Castro se reúne com Lewandowski. Jovem Pan, 29 out. 2025. Disponível em: https://jovempan.com.br/noticias/brasil/manifestantes-protestam-em-frente-a-sede-do-governo-do-rj-onde-castro-se-reune-com-lewandowski.html. Acesso em: 3 nov. 2025. </x:v>
      </x:c>
      <x:c r="F474" s="10" t="str">
        <x:v>Removido apenas na cópia tabular de análise; original preservado.</x:v>
      </x:c>
    </x:row>
    <x:row r="475" ht="48" hidden="0" customHeight="1">
      <x:c r="A475" s="10" t="str">
        <x:v>BR-SPDIREITOVIOLESTADO_MAPEAMENTOS-NOTICIAS-MSSCPENHA.xlsx</x:v>
      </x:c>
      <x:c r="B475" s="10" t="str">
        <x:v>Geral</x:v>
      </x:c>
      <x:c r="C475" s="10" t="str">
        <x:v>T157</x:v>
      </x:c>
      <x:c r="D475" s="10" t="str">
        <x:v>Espaço externo ou caractere invisível</x:v>
      </x:c>
      <x:c r="E475" s="10" t="str">
        <x:v>CAMPOS, Ana Cristina. Escolas e universidades voltam ao expediente regular no Rio. Agência Brasil, 30 out. 2025. Disponível em: https://agenciabrasil.ebc.com.br/educacao/noticia/2025-10/escolas-e-universidades-voltam-ao-expediente-regular-no-rio. Acesso em: 3 nov. 2025. </x:v>
      </x:c>
      <x:c r="F475" s="10" t="str">
        <x:v>Removido apenas na cópia tabular de análise; original preservado.</x:v>
      </x:c>
    </x:row>
    <x:row r="476" ht="48" hidden="0" customHeight="1">
      <x:c r="A476" s="10" t="str">
        <x:v>BR-SPDIREITOVIOLESTADO_MAPEAMENTOS-NOTICIAS-MSSCPENHA.xlsx</x:v>
      </x:c>
      <x:c r="B476" s="10" t="str">
        <x:v>Geral</x:v>
      </x:c>
      <x:c r="C476" s="10" t="str">
        <x:v>T158</x:v>
      </x:c>
      <x:c r="D476" s="10" t="str">
        <x:v>Espaço externo ou caractere invisível</x:v>
      </x:c>
      <x:c r="E476" s="10" t="str">
        <x:v>RIBEIRO, Cristiane. Após operação letal, Rio tem manhã de ruas vazias e tensão. Rádio Nacional, 29 out. 2025. Disponível em: https://agenciabrasil.ebc.com.br/radioagencia-nacional/seguranca/audio/2025-10/apos-operacao-letal-rio-tem-manha-de-ruas-vazias-e-tensão. Acesso em: 3 nov. 2025. </x:v>
      </x:c>
      <x:c r="F476" s="10" t="str">
        <x:v>Removido apenas na cópia tabular de análise; original preservado.</x:v>
      </x:c>
    </x:row>
    <x:row r="477" ht="48" hidden="0" customHeight="1">
      <x:c r="A477" s="10" t="str">
        <x:v>BR-SPDIREITOVIOLESTADO_MAPEAMENTOS-NOTICIAS-MSSCPENHA.xlsx</x:v>
      </x:c>
      <x:c r="B477" s="10" t="str">
        <x:v>Geral</x:v>
      </x:c>
      <x:c r="C477" s="10" t="str">
        <x:v>T160</x:v>
      </x:c>
      <x:c r="D477" s="10" t="str">
        <x:v>Espaço externo ou caractere invisível</x:v>
      </x:c>
      <x:c r="E477" s="10" t="str">
        <x:v>REPÓRTER BRASIL. Operação contenção: famílias ainda aguardam liberação de corpos. TV Brasil, 1 nov. 2025. Disponível em: https://tvbrasil.ebc.com.br/reporter-brasil/2025/11/operacao-contencao-familias-ainda-aguardam-liberacao-de-corpos. Acesso em: 3 nov. 2025. </x:v>
      </x:c>
      <x:c r="F477" s="10" t="str">
        <x:v>Removido apenas na cópia tabular de análise; original preservado.</x:v>
      </x:c>
    </x:row>
    <x:row r="478" ht="48" hidden="0" customHeight="1">
      <x:c r="A478" s="10" t="str">
        <x:v>BR-SPDIREITOVIOLESTADO_MAPEAMENTOS-NOTICIAS-MSSCPENHA.xlsx</x:v>
      </x:c>
      <x:c r="B478" s="10" t="str">
        <x:v>Geral</x:v>
      </x:c>
      <x:c r="C478" s="10" t="str">
        <x:v>T161</x:v>
      </x:c>
      <x:c r="D478" s="10" t="str">
        <x:v>Espaço externo ou caractere invisível</x:v>
      </x:c>
      <x:c r="E478" s="10" t="str">
        <x:v>VILELA, Pedro Rafael. Moraes determina preservação integral de provas sobre megaoperação. Agência Brasil, 2 nov. 2025. Disponível em: https://agenciabrasil.ebc.com.br/justica/noticia/2025-11/moraes-determina-preservacao-integral-de-provas-sobre-megaoperacao. Acesso em: 3 nov. 2025. </x:v>
      </x:c>
      <x:c r="F478" s="10" t="str">
        <x:v>Removido apenas na cópia tabular de análise; original preservado.</x:v>
      </x:c>
    </x:row>
    <x:row r="479" ht="48" hidden="0" customHeight="1">
      <x:c r="A479" s="10" t="str">
        <x:v>BR-SPDIREITOVIOLESTADO_MAPEAMENTOS-NOTICIAS-MSSCPENHA.xlsx</x:v>
      </x:c>
      <x:c r="B479" s="10" t="str">
        <x:v>Geral</x:v>
      </x:c>
      <x:c r="C479" s="10" t="str">
        <x:v>T162</x:v>
      </x:c>
      <x:c r="D479" s="10" t="str">
        <x:v>Espaço externo ou caractere invisível</x:v>
      </x:c>
      <x:c r="E479" s="10" t="str">
        <x:v>RÊGO, Tânia. Manifestação contra operação policial Contenção. Agência Brasil, 31 out. 2025. Disponível em: https://agenciabrasil.ebc.com.br/foto/2025-10/manifestacao-contra-operacao-policial-contencao-1761951232. Acesso em: 3 nov. 2025. </x:v>
      </x:c>
      <x:c r="F479" s="10" t="str">
        <x:v>Removido apenas na cópia tabular de análise; original preservado.</x:v>
      </x:c>
    </x:row>
    <x:row r="480" ht="48" hidden="0" customHeight="1">
      <x:c r="A480" s="10" t="str">
        <x:v>BR-SPDIREITOVIOLESTADO_MAPEAMENTOS-NOTICIAS-MSSCPENHA.xlsx</x:v>
      </x:c>
      <x:c r="B480" s="10" t="str">
        <x:v>Geral</x:v>
      </x:c>
      <x:c r="C480" s="10" t="str">
        <x:v>T163</x:v>
      </x:c>
      <x:c r="D480" s="10" t="str">
        <x:v>Espaço externo ou caractere invisível</x:v>
      </x:c>
      <x:c r="E480" s="10" t="str">
        <x:v>REPÓRTER BRASIL TARDE. Operação Contenção: defensoria diz é impedida de acompanhar necrópsias. TV Brasil, 30 out. 2025. Disponível em: https://tvbrasil.ebc.com.br/reporter-brasil-tarde/2025/10/operacao-contencao-defensoria-diz-e-impedida-de-acompanhar-necropsias. Acesso em: 3 nov. 2025. </x:v>
      </x:c>
      <x:c r="F480" s="10" t="str">
        <x:v>Removido apenas na cópia tabular de análise; original preservado.</x:v>
      </x:c>
    </x:row>
    <x:row r="481" ht="48" hidden="0" customHeight="1">
      <x:c r="A481" s="10" t="str">
        <x:v>BR-SPDIREITOVIOLESTADO_MAPEAMENTOS-NOTICIAS-MSSCPENHA.xlsx</x:v>
      </x:c>
      <x:c r="B481" s="10" t="str">
        <x:v>Geral</x:v>
      </x:c>
      <x:c r="C481" s="10" t="str">
        <x:v>T164</x:v>
      </x:c>
      <x:c r="D481" s="10" t="str">
        <x:v>Espaço externo ou caractere invisível</x:v>
      </x:c>
      <x:c r="E481" s="10" t="str">
        <x:v>ANDES-SN. ANDES-SN repudia massacre nos Complexos do Alemão e da Penha no Rio de Janeiro. 30 out. 2025. Disponível em: https://www.andes.org.br/conteudos/noticia/aNDES-sN-repudia-massacre-nos-complexos-do-alemao-e-da-penha-no-rio-de-janeiro1. Acesso em: 3 nov. 2025. </x:v>
      </x:c>
      <x:c r="F481" s="10" t="str">
        <x:v>Removido apenas na cópia tabular de análise; original preservado.</x:v>
      </x:c>
    </x:row>
    <x:row r="482" ht="48" hidden="0" customHeight="1">
      <x:c r="A482" s="10" t="str">
        <x:v>BR-SPDIREITOVIOLESTADO_MAPEAMENTOS-NOTICIAS-MSSCPENHA.xlsx</x:v>
      </x:c>
      <x:c r="B482" s="10" t="str">
        <x:v>Geral</x:v>
      </x:c>
      <x:c r="C482" s="10" t="str">
        <x:v>T166</x:v>
      </x:c>
      <x:c r="D482" s="10" t="str">
        <x:v>Espaço externo ou caractere invisível</x:v>
      </x:c>
      <x:c r="E482" s="10" t="str">
        <x:v>BRASIL DE FATO. Chefe da ONU pede investigações sobre chacina no RJ e STF fará audiência sobre o caso. Brasil de Fato, 29 out. 2025. Disponível em: https://www.brasildefato.com.br/2025/10/29/chefe-da-onu-pede-investigacoes-sobre-chacina-no-rj-e-stf-fara-audiencia-sobre-o-caso/. Acesso em: 3 nov. 2025. </x:v>
      </x:c>
      <x:c r="F482" s="10" t="str">
        <x:v>Removido apenas na cópia tabular de análise; original preservado.</x:v>
      </x:c>
    </x:row>
    <x:row r="483" ht="48" hidden="0" customHeight="1">
      <x:c r="A483" s="10" t="str">
        <x:v>BR-SPDIREITOVIOLESTADO_MAPEAMENTOS-NOTICIAS-MSSCPENHA.xlsx</x:v>
      </x:c>
      <x:c r="B483" s="10" t="str">
        <x:v>Geral</x:v>
      </x:c>
      <x:c r="C483" s="10" t="str">
        <x:v>T167</x:v>
      </x:c>
      <x:c r="D483" s="10" t="str">
        <x:v>Espaço externo ou caractere invisível</x:v>
      </x:c>
      <x:c r="E483" s="10" t="str">
        <x:v>RODRIGUES, Gabriel. Operação Contenção: 280 mil pessoas vivem em áreas que foram alvo da polícia no Rio. O Tempo, 28 out. 2025. Disponível em: https://www.otempo.com.br/brasil/2025/10/28/operacao-contencao-280-mil-pessoas-vivem-em-areas-que-foram-alvo-da-policia-no-rio. Acesso em: 3 nov. 2025. </x:v>
      </x:c>
      <x:c r="F483" s="10" t="str">
        <x:v>Removido apenas na cópia tabular de análise; original preservado.</x:v>
      </x:c>
    </x:row>
    <x:row r="484" ht="64.80000305175781" hidden="0" customHeight="1">
      <x:c r="A484" s="10" t="str">
        <x:v>BR-SPDIREITOVIOLESTADO_MAPEAMENTOS-NOTICIAS-MSSCPENHA.xlsx</x:v>
      </x:c>
      <x:c r="B484" s="10" t="str">
        <x:v>Geral</x:v>
      </x:c>
      <x:c r="C484" s="10" t="str">
        <x:v>T187</x:v>
      </x:c>
      <x:c r="D484" s="10" t="str">
        <x:v>Espaço externo ou caractere invisível</x:v>
      </x:c>
      <x:c r="E484" s="10" t="str">
        <x:v>MORAES, Vicklin. Operação Contenção: Quem são os alvos, presos e foragidos em ação no Rio. SBT News, 29 out. 2025. Disponível em: https://sbtnews.sbt.com.br/noticia/brasil/operacao-contencao-quem-sao-os-alvos-presos-e-foragidos-em-acao-no-rio. Acesso em: 3 nov. 2025.
</x:v>
      </x:c>
      <x:c r="F484" s="10" t="str">
        <x:v>Removido apenas na cópia tabular de análise; original preservado.</x:v>
      </x:c>
    </x:row>
    <x:row r="485" ht="88.80000305175781" hidden="0" customHeight="1">
      <x:c r="A485" s="10" t="str">
        <x:v>BR-SPDIREITOVIOLESTADO_MAPEAMENTOS-NOTICIAS-MSSCPENHA.xlsx</x:v>
      </x:c>
      <x:c r="B485" s="10" t="str">
        <x:v>Geral</x:v>
      </x:c>
      <x:c r="C485" s="10" t="str">
        <x:v>T188</x:v>
      </x:c>
      <x:c r="D485" s="10" t="str">
        <x:v>Espaço externo ou caractere invisível</x:v>
      </x:c>
      <x:c r="E485" s="10" t="str">
        <x:v>ROBICHEZ, Adele; KRUPACZ, Lucas. Impedimento à Defensoria em perícias de massacre no Rio ‘atenta contra democracia’, diz defensor público. Brasil de Fato, 31 out. 2025. Disponível em: https://www.brasildefato.com.br/2025/10/31/impedimento-a-defensoria-em-pericias-de-massacre-no-rio-atenta-contra-democracia-diz-defensor-publico/. Acesso em: 3 nov. 2025.
</x:v>
      </x:c>
      <x:c r="F485" s="10" t="str">
        <x:v>Removido apenas na cópia tabular de análise; original preservado.</x:v>
      </x:c>
    </x:row>
    <x:row r="486" ht="76.80000305175781" hidden="0" customHeight="1">
      <x:c r="A486" s="10" t="str">
        <x:v>BR-SPDIREITOVIOLESTADO_MAPEAMENTOS-NOTICIAS-MSSCPENHA.xlsx</x:v>
      </x:c>
      <x:c r="B486" s="10" t="str">
        <x:v>Geral</x:v>
      </x:c>
      <x:c r="C486" s="10" t="str">
        <x:v>T189</x:v>
      </x:c>
      <x:c r="D486" s="10" t="str">
        <x:v>Espaço externo ou caractere invisível</x:v>
      </x:c>
      <x:c r="E486" s="10" t="str">
        <x:v>ROBICHEZ, Adele; BERNARDES, José Eduardo; BOHRER, Larissa. ‘É uma violência injustificável’, diz pesquisadora sobre operação mais letal do Rio. Brasil de Fato, 28 out. 2025. Disponível em: https://www.brasildefato.com.br/2025/10/28/e-uma-violencia-injustificavel-diz-pesquisadora-sobre-operacao-mais-letal-do-rio/. Acesso em: 3 nov. 2025.
</x:v>
      </x:c>
      <x:c r="F486" s="10" t="str">
        <x:v>Removido apenas na cópia tabular de análise; original preservado.</x:v>
      </x:c>
    </x:row>
    <x:row r="487" ht="64.80000305175781" hidden="0" customHeight="1">
      <x:c r="A487" s="10" t="str">
        <x:v>BR-SPDIREITOVIOLESTADO_MAPEAMENTOS-NOTICIAS-MSSCPENHA.xlsx</x:v>
      </x:c>
      <x:c r="B487" s="10" t="str">
        <x:v>Geral</x:v>
      </x:c>
      <x:c r="C487" s="10" t="str">
        <x:v>T190</x:v>
      </x:c>
      <x:c r="D487" s="10" t="str">
        <x:v>Espaço externo ou caractere invisível</x:v>
      </x:c>
      <x:c r="E487" s="10" t="str">
        <x:v>FREITAS, Hermano. Partidos da base de Lula pedem no STF acesso de familiares de mortos ao IML. Gazeta do Povo, 31 out. 2025. Disponível em: https://www.gazetadopovo.com.br/brasil/partidos-da-base-de-lula-pedem-no-stf-acesso-de-familiares-de-mortos-ao-iml/. Acesso em: 3 nov. 2025.
</x:v>
      </x:c>
      <x:c r="F487" s="10" t="str">
        <x:v>Removido apenas na cópia tabular de análise; original preservado.</x:v>
      </x:c>
    </x:row>
    <x:row r="488" ht="76.80000305175781" hidden="0" customHeight="1">
      <x:c r="A488" s="10" t="str">
        <x:v>BR-SPDIREITOVIOLESTADO_MAPEAMENTOS-NOTICIAS-MSSCPENHA.xlsx</x:v>
      </x:c>
      <x:c r="B488" s="10" t="str">
        <x:v>Geral</x:v>
      </x:c>
      <x:c r="C488" s="10" t="str">
        <x:v>T191</x:v>
      </x:c>
      <x:c r="D488" s="10" t="str">
        <x:v>Espaço externo ou caractere invisível</x:v>
      </x:c>
      <x:c r="E488" s="10" t="str">
        <x:v>SESTREM, Gabriel. Como funcionam as torturas do Comando Vermelho, que motivaram a operação no Rio de Janeiro. Gazeta do Povo, 31 out. 2025. Disponível em: https://www.gazetadopovo.com.br/vida-e-cidadania/comando-vermelho-como-funcionam-torturas-que-motivaram-operacao-rio-de-janeiro/. Acesso em: 3 nov. 2025.
</x:v>
      </x:c>
      <x:c r="F488" s="10" t="str">
        <x:v>Removido apenas na cópia tabular de análise; original preservado.</x:v>
      </x:c>
    </x:row>
    <x:row r="489" ht="76.80000305175781" hidden="0" customHeight="1">
      <x:c r="A489" s="10" t="str">
        <x:v>BR-SPDIREITOVIOLESTADO_MAPEAMENTOS-NOTICIAS-MSSCPENHA.xlsx</x:v>
      </x:c>
      <x:c r="B489" s="10" t="str">
        <x:v>Geral</x:v>
      </x:c>
      <x:c r="C489" s="10" t="str">
        <x:v>T195</x:v>
      </x:c>
      <x:c r="D489" s="10" t="str">
        <x:v>Espaço externo ou caractere invisível</x:v>
      </x:c>
      <x:c r="E489" s="10" t="str">
        <x:v>G1. Secretário cita ‘9 milhões de m² de desordem’ na Penha e no Alemão e diz que é preciso que 'estado, União e município se sentem à mesa'. G1, Rio de Janeiro, 28 out. 2025. Disponível em: https://g1.globo.com/rj/rio-de-janeiro/noticia/2025/10/28/victor-santos-seguranca-publica-rj.ghtml. Acesso em: 11 nov. 2025.
</x:v>
      </x:c>
      <x:c r="F489" s="10" t="str">
        <x:v>Removido apenas na cópia tabular de análise; original preservado.</x:v>
      </x:c>
    </x:row>
    <x:row r="490" ht="64.80000305175781" hidden="0" customHeight="1">
      <x:c r="A490" s="10" t="str">
        <x:v>BR-SPDIREITOVIOLESTADO_MAPEAMENTOS-NOTICIAS-MSSCPENHA.xlsx</x:v>
      </x:c>
      <x:c r="B490" s="10" t="str">
        <x:v>Geral</x:v>
      </x:c>
      <x:c r="C490" s="10" t="str">
        <x:v>T196</x:v>
      </x:c>
      <x:c r="D490" s="10" t="str">
        <x:v>Espaço externo ou caractere invisível</x:v>
      </x:c>
      <x:c r="E490" s="10" t="str">
        <x:v>RICHTER, André. ADPF das Favelas: entenda as medidas que foram determinadas pelo STF. Agência Brasil, Brasília, 30 out. 2025. Disponível em: https://agenciabrasil.ebc.com.br/justica/noticia/2025-10/adpf-das-favelas-entenda-medidas-que-foram-determinadas-pelo-stf. Acesso em: 11 nov. 2025.
</x:v>
      </x:c>
      <x:c r="F490" s="10" t="str">
        <x:v>Removido apenas na cópia tabular de análise; original preservado.</x:v>
      </x:c>
    </x:row>
    <x:row r="491" ht="64.80000305175781" hidden="0" customHeight="1">
      <x:c r="A491" s="10" t="str">
        <x:v>BR-SPDIREITOVIOLESTADO_MAPEAMENTOS-NOTICIAS-MSSCPENHA.xlsx</x:v>
      </x:c>
      <x:c r="B491" s="10" t="str">
        <x:v>Geral</x:v>
      </x:c>
      <x:c r="C491" s="10" t="str">
        <x:v>T198</x:v>
      </x:c>
      <x:c r="D491" s="10" t="str">
        <x:v>Espaço externo ou caractere invisível</x:v>
      </x:c>
      <x:c r="E491" s="10" t="str">
        <x:v>CORRÊA, Douglas. Nenhuma mulher morreu durante operação no Rio, diz Polícia Civil. Agência Brasil, Rio de Janeiro, 4 nov. 2025. Disponível em: https://agenciabrasil.ebc.com.br/geral/noticia/2025-11/nenhuma-mulher-morreu-durante-operacao-no-rio-diz-policia-civil. Acesso em: 11 nov. 2025.
</x:v>
      </x:c>
      <x:c r="F491" s="10" t="str">
        <x:v>Removido apenas na cópia tabular de análise; original preservado.</x:v>
      </x:c>
    </x:row>
    <x:row r="492" ht="76.80000305175781" hidden="0" customHeight="1">
      <x:c r="A492" s="10" t="str">
        <x:v>BR-SPDIREITOVIOLESTADO_MAPEAMENTOS-NOTICIAS-MSSCPENHA.xlsx</x:v>
      </x:c>
      <x:c r="B492" s="10" t="str">
        <x:v>Geral</x:v>
      </x:c>
      <x:c r="C492" s="10" t="str">
        <x:v>T199</x:v>
      </x:c>
      <x:c r="D492" s="10" t="str">
        <x:v>Espaço externo ou caractere invisível</x:v>
      </x:c>
      <x:c r="E492" s="10" t="str">
        <x:v>GOIS, Ancelmo. Doca, alvo da Operação Contenção e réu no caso dos médicos mortos na Barra: audiência é marcada. O Globo, 6 nov. 2025. Disponível em: https://oglobo.globo.com/blogs/ancelmo-gois/post/2025/11/doca-alvo-da-operacao-contencao-e-reu-no-caso-dos-medicos-mortos-na-barra-audiencia-e-marcada.ghtml. Acesso em: 11 nov. 2025.
</x:v>
      </x:c>
      <x:c r="F492" s="10" t="str">
        <x:v>Removido apenas na cópia tabular de análise; original preservado.</x:v>
      </x:c>
    </x:row>
    <x:row r="493" ht="64.80000305175781" hidden="0" customHeight="1">
      <x:c r="A493" s="10" t="str">
        <x:v>BR-SPDIREITOVIOLESTADO_MAPEAMENTOS-NOTICIAS-MSSCPENHA.xlsx</x:v>
      </x:c>
      <x:c r="B493" s="10" t="str">
        <x:v>Geral</x:v>
      </x:c>
      <x:c r="C493" s="10" t="str">
        <x:v>T200</x:v>
      </x:c>
      <x:c r="D493" s="10" t="str">
        <x:v>Espaço externo ou caractere invisível</x:v>
      </x:c>
      <x:c r="E493" s="10" t="str">
        <x:v>TV BRASIL. STF cobra explicações do governo do Rio sobre a Operação Contenção. TV Brasil, Rio de Janeiro, 30 out. 2025. Disponível em: https://tvbrasil.ebc.com.br/reporter-brasil-tarde/2025/10/stf-cobra-explicacoes-do-governo-do-rio-sobre-operacao-contencao. Acesso em: 11 nov. 2025.
</x:v>
      </x:c>
      <x:c r="F493" s="10" t="str">
        <x:v>Removido apenas na cópia tabular de análise; original preservado.</x:v>
      </x:c>
    </x:row>
    <x:row r="494" ht="64.80000305175781" hidden="0" customHeight="1">
      <x:c r="A494" s="10" t="str">
        <x:v>BR-SPDIREITOVIOLESTADO_MAPEAMENTOS-NOTICIAS-MSSCPENHA.xlsx</x:v>
      </x:c>
      <x:c r="B494" s="10" t="str">
        <x:v>Geral</x:v>
      </x:c>
      <x:c r="C494" s="10" t="str">
        <x:v>T201</x:v>
      </x:c>
      <x:c r="D494" s="10" t="str">
        <x:v>Espaço externo ou caractere invisível</x:v>
      </x:c>
      <x:c r="E494" s="10" t="str">
        <x:v>TOKARNIA, Mariana. Relatos à ouvidoria da Defensoria do RJ citam violações em operação. Agência Brasil, Rio de Janeiro, 3 nov. 2025. Disponível em: https://agenciabrasil.ebc.com.br/direitos-humanos/noticia/2025-11/relatos-ouvidoria-da-defensoria-do-rj-citam-violacoes-em-operacao. Acesso em: 11 nov. 2025.
</x:v>
      </x:c>
      <x:c r="F494" s="10" t="str">
        <x:v>Removido apenas na cópia tabular de análise; original preservado.</x:v>
      </x:c>
    </x:row>
    <x:row r="495" ht="64.80000305175781" hidden="0" customHeight="1">
      <x:c r="A495" s="10" t="str">
        <x:v>BR-SPDIREITOVIOLESTADO_MAPEAMENTOS-NOTICIAS-MSSCPENHA.xlsx</x:v>
      </x:c>
      <x:c r="B495" s="10" t="str">
        <x:v>Geral</x:v>
      </x:c>
      <x:c r="C495" s="10" t="str">
        <x:v>T202</x:v>
      </x:c>
      <x:c r="D495" s="10" t="str">
        <x:v>Espaço externo ou caractere invisível</x:v>
      </x:c>
      <x:c r="E495" s="10" t="str">
        <x:v>TV BRASIL. Líder do tráfico na região Norte morreu na Operação Contenção. TV Brasil, Rio de Janeiro, 4 nov. 2025. Disponível em: https://tvbrasil.ebc.com.br/reporter-brasil-tarde/2025/11/lider-do-trafico-na-regiao-norte-morreu-na-operacao-contencao. Acesso em: 11 nov. 2025.
</x:v>
      </x:c>
      <x:c r="F495" s="10" t="str">
        <x:v>Removido apenas na cópia tabular de análise; original preservado.</x:v>
      </x:c>
    </x:row>
    <x:row r="496" ht="64.80000305175781" hidden="0" customHeight="1">
      <x:c r="A496" s="10" t="str">
        <x:v>BR-SPDIREITOVIOLESTADO_MAPEAMENTOS-NOTICIAS-MSSCPENHA.xlsx</x:v>
      </x:c>
      <x:c r="B496" s="10" t="str">
        <x:v>Geral</x:v>
      </x:c>
      <x:c r="C496" s="10" t="str">
        <x:v>T204</x:v>
      </x:c>
      <x:c r="D496" s="10" t="str">
        <x:v>Espaço externo ou caractere invisível</x:v>
      </x:c>
      <x:c r="E496" s="10" t="str">
        <x:v>TV BRASIL. Vinte peritos da Polícia Federal vão ao Rio após a Operação Contenção. TV Brasil, Rio de Janeiro, 31 out. 2025. Disponível em: https://tvbrasil.ebc.com.br/reporter-brasil-tarde/2025/10/vinte-peritos-da-policia-federal-vao-ao-rio-apos-operacao-contencao. Acesso em: 11 nov. 2025.
</x:v>
      </x:c>
      <x:c r="F496" s="10" t="str">
        <x:v>Removido apenas na cópia tabular de análise; original preservado.</x:v>
      </x:c>
    </x:row>
    <x:row r="497" ht="88.80000305175781" hidden="0" customHeight="1">
      <x:c r="A497" s="10" t="str">
        <x:v>BR-SPDIREITOVIOLESTADO_MAPEAMENTOS-NOTICIAS-MSSCPENHA.xlsx</x:v>
      </x:c>
      <x:c r="B497" s="10" t="str">
        <x:v>Geral</x:v>
      </x:c>
      <x:c r="C497" s="10" t="str">
        <x:v>T205</x:v>
      </x:c>
      <x:c r="D497" s="10" t="str">
        <x:v>Espaço externo ou caractere invisível</x:v>
      </x:c>
      <x:c r="E497" s="10" t="str">
        <x:v>G1. Moradora obrigada a filmar rendição, 'monte' de fuzis, bombas em drones, cariocas a pé: veja imagens da megaoperação no Rio. G1, Rio de Janeiro, 29 out. 2025. Disponível em: https://g1.globo.com/rj/rio-de-janeiro/noticia/2025/10/29/moradora-obrigada-a-filmar-rendicao-monte-de-fuzis-bombas-em-drones-cariocas-a-pe-veja-imagens-da-megaoperacao-no-rio.ghtml. Acesso em: 11 nov. 2025.
</x:v>
      </x:c>
      <x:c r="F497" s="10" t="str">
        <x:v>Removido apenas na cópia tabular de análise; original preservado.</x:v>
      </x:c>
    </x:row>
    <x:row r="498" ht="64.80000305175781" hidden="0" customHeight="1">
      <x:c r="A498" s="10" t="str">
        <x:v>BR-SPDIREITOVIOLESTADO_MAPEAMENTOS-NOTICIAS-MSSCPENHA.xlsx</x:v>
      </x:c>
      <x:c r="B498" s="10" t="str">
        <x:v>Geral</x:v>
      </x:c>
      <x:c r="C498" s="10" t="str">
        <x:v>T207</x:v>
      </x:c>
      <x:c r="D498" s="10" t="str">
        <x:v>Espaço externo ou caractere invisível</x:v>
      </x:c>
      <x:c r="E498" s="10" t="str">
        <x:v>FARIAS, Julia. Ministério desmente proposta de auxílio a famílias de mortos em ação no Rio. CNN Brasil, São Paulo, 6 nov. 2025. Disponível em: https://www.cnnbrasil.com.br/nacional/sudeste/rj/ministerio-desmente-proposta-de-auxilio-a-familias-de-mortos-em-acao-no-rio/. Acesso em: 11 nov. 2025.
</x:v>
      </x:c>
      <x:c r="F498" s="10" t="str">
        <x:v>Removido apenas na cópia tabular de análise; original preservado.</x:v>
      </x:c>
    </x:row>
    <x:row r="499" ht="88.80000305175781" hidden="0" customHeight="1">
      <x:c r="A499" s="10" t="str">
        <x:v>BR-SPDIREITOVIOLESTADO_MAPEAMENTOS-NOTICIAS-MSSCPENHA.xlsx</x:v>
      </x:c>
      <x:c r="B499" s="10" t="str">
        <x:v>Geral</x:v>
      </x:c>
      <x:c r="C499" s="10" t="str">
        <x:v>T208</x:v>
      </x:c>
      <x:c r="D499" s="10" t="str">
        <x:v>Espaço externo ou caractere invisível</x:v>
      </x:c>
      <x:c r="E499" s="10" t="str">
        <x:v>ESCARDOVELLI, Maira. MPF pede informações ao governo do RJ e à União sobre uso de recursos federais na Operação Contenção. Valor, Brasília, 4 nov. 2025. Disponível em: https://valor.globo.com/politica/noticia/2025/11/04/mpf-pede-informacoes-ao-governo-do-rj-e-a-uniao-sobre-uso-de-recursos-federais-na-operacao-contencao.ghtml. Acesso em: 11 nov. 2025.
</x:v>
      </x:c>
      <x:c r="F499" s="10" t="str">
        <x:v>Removido apenas na cópia tabular de análise; original preservado.</x:v>
      </x:c>
    </x:row>
    <x:row r="500" ht="64.80000305175781" hidden="0" customHeight="1">
      <x:c r="A500" s="10" t="str">
        <x:v>BR-SPDIREITOVIOLESTADO_MAPEAMENTOS-NOTICIAS-MSSCPENHA.xlsx</x:v>
      </x:c>
      <x:c r="B500" s="10" t="str">
        <x:v>Geral</x:v>
      </x:c>
      <x:c r="C500" s="10" t="str">
        <x:v>T209</x:v>
      </x:c>
      <x:c r="D500" s="10" t="str">
        <x:v>Espaço externo ou caractere invisível</x:v>
      </x:c>
      <x:c r="E500" s="10" t="str">
        <x:v>SOUZA, Beto. Pesquisa: 8 em cada 10 moradores de favelas no Rio aprovam megaoperação. CNN Brasil, São Paulo, 31 out. 2025. Disponível em: https://www.cnnbrasil.com.br/nacional/sudeste/rj/pesquisa-8-em-cada-10-moradores-de-favelas-no-rio-aprovam-megaoperacao/. Acesso em: 11 nov. 2025.
</x:v>
      </x:c>
      <x:c r="F500" s="10" t="str">
        <x:v>Removido apenas na cópia tabular de análise; original preservado.</x:v>
      </x:c>
    </x:row>
    <x:row r="501" ht="15" hidden="0" customHeight="1">
      <x:c r="A501" s="10" t="str">
        <x:v>BR-SPDIREITOVIOLESTADO_MAPEAMENTOS-NOTICIAS-MSSCPENHA.xlsx</x:v>
      </x:c>
      <x:c r="B501" s="10" t="str">
        <x:v>Geral</x:v>
      </x:c>
      <x:c r="C501" s="10" t="str">
        <x:v>I210</x:v>
      </x:c>
      <x:c r="D501" s="10" t="str">
        <x:v>Espaço externo ou caractere invisível</x:v>
      </x:c>
      <x:c r="E501" s="10" t="str">
        <x:v>Pará, Brasil </x:v>
      </x:c>
      <x:c r="F501" s="10" t="str">
        <x:v>Removido apenas na cópia tabular de análise; original preservado.</x:v>
      </x:c>
    </x:row>
    <x:row r="502" ht="76.80000305175781" hidden="0" customHeight="1">
      <x:c r="A502" s="10" t="str">
        <x:v>BR-SPDIREITOVIOLESTADO_MAPEAMENTOS-NOTICIAS-MSSCPENHA.xlsx</x:v>
      </x:c>
      <x:c r="B502" s="10" t="str">
        <x:v>Geral</x:v>
      </x:c>
      <x:c r="C502" s="10" t="str">
        <x:v>T210</x:v>
      </x:c>
      <x:c r="D502" s="10" t="str">
        <x:v>Espaço externo ou caractere invisível</x:v>
      </x:c>
      <x:c r="E502" s="10" t="str">
        <x:v>G1. Megaoperação no RJ tinha como alvo 32 paraenses que comandavam crimes à distância, diz polícia do PA. G1, Belém, 28 out. 2025. Disponível em: https://g1.globo.com/pa/para/noticia/2025/10/28/megaoperacao-no-rj-tinha-como-alvo-32-paraenses-que-comandavam-crimes-a-distancia-diz-policia-do-pa.ghtml. Acesso em: 11 nov. 2025.
</x:v>
      </x:c>
      <x:c r="F502" s="10" t="str">
        <x:v>Removido apenas na cópia tabular de análise; original preservado.</x:v>
      </x:c>
    </x:row>
    <x:row r="503" ht="64.80000305175781" hidden="0" customHeight="1">
      <x:c r="A503" s="10" t="str">
        <x:v>BR-SPDIREITOVIOLESTADO_MAPEAMENTOS-NOTICIAS-MSSCPENHA.xlsx</x:v>
      </x:c>
      <x:c r="B503" s="10" t="str">
        <x:v>Geral</x:v>
      </x:c>
      <x:c r="C503" s="10" t="str">
        <x:v>T211</x:v>
      </x:c>
      <x:c r="D503" s="10" t="str">
        <x:v>Espaço externo ou caractere invisível</x:v>
      </x:c>
      <x:c r="E503" s="10" t="str">
        <x:v>CNN BRASIL. Câmara do Rio suspende sessão devido à megaoperação no Alemão e na Penha. CNN Brasil, São Paulo, 28 out. 2025. Disponível em: https://www.cnnbrasil.com.br/politica/camara-do-rio-suspende-sessao-devido-a-megaoperacao-no-alemao-e-na-penha/. Acesso em: 11 nov. 2025.
</x:v>
      </x:c>
      <x:c r="F503" s="10" t="str">
        <x:v>Removido apenas na cópia tabular de análise; original preservado.</x:v>
      </x:c>
    </x:row>
    <x:row r="504" ht="76.80000305175781" hidden="0" customHeight="1">
      <x:c r="A504" s="10" t="str">
        <x:v>BR-SPDIREITOVIOLESTADO_MAPEAMENTOS-NOTICIAS-MSSCPENHA.xlsx</x:v>
      </x:c>
      <x:c r="B504" s="10" t="str">
        <x:v>Geral</x:v>
      </x:c>
      <x:c r="C504" s="10" t="str">
        <x:v>T212</x:v>
      </x:c>
      <x:c r="D504" s="10" t="str">
        <x:v>Espaço externo ou caractere invisível</x:v>
      </x:c>
      <x:c r="E504" s="10" t="str">
        <x:v>RIBEIRO, Cristiane. Moradores do Rio protestam contra mortes na operação Contenção. Rádio Nacional, Rio de Janeiro, 30 out. 2025. Disponível em: https://agenciabrasil.ebc.com.br/radioagencia-nacional/seguranca/audio/2025-10/moradores-do-rio-protestam-contra-mortes-na-operacao-contencao. Acesso em: 11 nov. 2025.
</x:v>
      </x:c>
      <x:c r="F504" s="10" t="str">
        <x:v>Removido apenas na cópia tabular de análise; original preservado.</x:v>
      </x:c>
    </x:row>
    <x:row r="505" ht="64.80000305175781" hidden="0" customHeight="1">
      <x:c r="A505" s="10" t="str">
        <x:v>BR-SPDIREITOVIOLESTADO_MAPEAMENTOS-NOTICIAS-MSSCPENHA.xlsx</x:v>
      </x:c>
      <x:c r="B505" s="10" t="str">
        <x:v>Geral</x:v>
      </x:c>
      <x:c r="C505" s="10" t="str">
        <x:v>T213</x:v>
      </x:c>
      <x:c r="D505" s="10" t="str">
        <x:v>Espaço externo ou caractere invisível</x:v>
      </x:c>
      <x:c r="E505" s="10" t="str">
        <x:v>NASPOLINI, Julia. 50 fuzis entram na Penha e no Alemão por mês, afirma Polícia Civil do Rio. CNN Brasil, São Paulo, 31 out. 2025. Disponível em: https://www.cnnbrasil.com.br/nacional/sudeste/rj/50-fuzis-entram-na-penha-e-no-alemao-por-mes-afirma-policia-civil-do-rio/. Acesso em: 11 nov. 2025.
</x:v>
      </x:c>
      <x:c r="F505" s="10" t="str">
        <x:v>Removido apenas na cópia tabular de análise; original preservado.</x:v>
      </x:c>
    </x:row>
    <x:row r="506" ht="64.80000305175781" hidden="0" customHeight="1">
      <x:c r="A506" s="10" t="str">
        <x:v>BR-SPDIREITOVIOLESTADO_MAPEAMENTOS-NOTICIAS-MSSCPENHA.xlsx</x:v>
      </x:c>
      <x:c r="B506" s="10" t="str">
        <x:v>Geral</x:v>
      </x:c>
      <x:c r="C506" s="10" t="str">
        <x:v>T214</x:v>
      </x:c>
      <x:c r="D506" s="10" t="str">
        <x:v>Espaço externo ou caractere invisível</x:v>
      </x:c>
      <x:c r="E506" s="10" t="str">
        <x:v>VERDÉLIO, Andreia. "Não era razoável", diz PF sobre planejamento da operação no Rio. Agência Brasil, Brasília, 29 out. 2025. Disponível em: https://agenciabrasil.ebc.com.br/geral/noticia/2025-10/nao-era-razoavel-diz-PF-sobre-planejamento-da-operacao%20no-rio. Acesso em: 11 nov. 2025.
</x:v>
      </x:c>
      <x:c r="F506" s="10" t="str">
        <x:v>Removido apenas na cópia tabular de análise; original preservado.</x:v>
      </x:c>
    </x:row>
    <x:row r="507" ht="64.80000305175781" hidden="0" customHeight="1">
      <x:c r="A507" s="10" t="str">
        <x:v>BR-SPDIREITOVIOLESTADO_MAPEAMENTOS-NOTICIAS-MSSCPENHA.xlsx</x:v>
      </x:c>
      <x:c r="B507" s="10" t="str">
        <x:v>Geral</x:v>
      </x:c>
      <x:c r="C507" s="10" t="str">
        <x:v>T215</x:v>
      </x:c>
      <x:c r="D507" s="10" t="str">
        <x:v>Espaço externo ou caractere invisível</x:v>
      </x:c>
      <x:c r="E507" s="10" t="str">
        <x:v>PINOTTI, Fernanda. Após 12 horas de confronto, o que se sabe sobre megaoperação com 64 mortes. CNN Brasil, São Paulo, 28 out. 2025. Disponível em: https://www.cnnbrasil.com.br/nacional/sudeste/rj/apos-12-horas-de-confronto-o-que-se-sabe-sobre-megaoperacao-com-64-mortes/. Acesso em: 11 nov. 2025.
</x:v>
      </x:c>
      <x:c r="F507" s="10" t="str">
        <x:v>Removido apenas na cópia tabular de análise; original preservado.</x:v>
      </x:c>
    </x:row>
    <x:row r="508" ht="64.80000305175781" hidden="0" customHeight="1">
      <x:c r="A508" s="10" t="str">
        <x:v>BR-SPDIREITOVIOLESTADO_MAPEAMENTOS-NOTICIAS-MSSCPENHA.xlsx</x:v>
      </x:c>
      <x:c r="B508" s="10" t="str">
        <x:v>Geral</x:v>
      </x:c>
      <x:c r="C508" s="10" t="str">
        <x:v>T216</x:v>
      </x:c>
      <x:c r="D508" s="10" t="str">
        <x:v>Espaço externo ou caractere invisível</x:v>
      </x:c>
      <x:c r="E508" s="10" t="str">
        <x:v>ROSA, Victoria Nogueira. Imprensa internacional repercute megaoperação contra facção no Rio. Valor, São Paulo, 28 out. 2025. Disponível em: https://valor.globo.com/mundo/noticia/2025/10/28/imprensa-internacional-repercute-megaoperao-contra-faco-no-rio.ghtml. Acesso em: 11 nov. 2025.
</x:v>
      </x:c>
      <x:c r="F508" s="10" t="str">
        <x:v>Removido apenas na cópia tabular de análise; original preservado.</x:v>
      </x:c>
    </x:row>
    <x:row r="509" ht="64.80000305175781" hidden="0" customHeight="1">
      <x:c r="A509" s="10" t="str">
        <x:v>BR-SPDIREITOVIOLESTADO_MAPEAMENTOS-NOTICIAS-MSSCPENHA.xlsx</x:v>
      </x:c>
      <x:c r="B509" s="10" t="str">
        <x:v>Geral</x:v>
      </x:c>
      <x:c r="C509" s="10" t="str">
        <x:v>T217</x:v>
      </x:c>
      <x:c r="D509" s="10" t="str">
        <x:v>Espaço externo ou caractere invisível</x:v>
      </x:c>
      <x:c r="E509" s="10" t="str">
        <x:v>AGÊNCIA BRASIL. Rio: operação prende 23 pessoas nos Complexos da Penha e do Alemão. Agência Brasil, Rio de Janeiro, 28 out. 2025. Disponível em: https://agenciabrasil.ebc.com.br/geral/noticia/2025-10/operacao-prende-23-pessoas-nos-complexos-da-penha-e-do-alemao-no-rio. Acesso em: 11 nov. 2025.
</x:v>
      </x:c>
      <x:c r="F509" s="10" t="str">
        <x:v>Removido apenas na cópia tabular de análise; original preservado.</x:v>
      </x:c>
    </x:row>
    <x:row r="510" ht="76.80000305175781" hidden="0" customHeight="1">
      <x:c r="A510" s="10" t="str">
        <x:v>BR-SPDIREITOVIOLESTADO_MAPEAMENTOS-NOTICIAS-MSSCPENHA.xlsx</x:v>
      </x:c>
      <x:c r="B510" s="10" t="str">
        <x:v>Geral</x:v>
      </x:c>
      <x:c r="C510" s="10" t="str">
        <x:v>T218</x:v>
      </x:c>
      <x:c r="D510" s="10" t="str">
        <x:v>Espaço externo ou caractere invisível</x:v>
      </x:c>
      <x:c r="E510" s="10" t="str">
        <x:v>CORREA, Gabriel. Defensoria recebe denúncias de abusos na Operação Contenção. Rádio Nacional, São Luís, 4 nov. 2025. Disponível em: https://agenciabrasil.ebc.com.br/radioagencia-nacional/direitos-humanos/audio/2025-11/defensoria-recebe-denuncias-de-abusos-na-operacao-contencao. Acesso em: 11 nov. 2025.
</x:v>
      </x:c>
      <x:c r="F510" s="10" t="str">
        <x:v>Removido apenas na cópia tabular de análise; original preservado.</x:v>
      </x:c>
    </x:row>
    <x:row r="511" ht="64.80000305175781" hidden="0" customHeight="1">
      <x:c r="A511" s="10" t="str">
        <x:v>BR-SPDIREITOVIOLESTADO_MAPEAMENTOS-NOTICIAS-MSSCPENHA.xlsx</x:v>
      </x:c>
      <x:c r="B511" s="10" t="str">
        <x:v>Geral</x:v>
      </x:c>
      <x:c r="C511" s="10" t="str">
        <x:v>T219</x:v>
      </x:c>
      <x:c r="D511" s="10" t="str">
        <x:v>Espaço externo ou caractere invisível</x:v>
      </x:c>
      <x:c r="E511" s="10" t="str">
        <x:v>CAMPOS, Ana Cristina. Operação no Rio deixa dezenas de mortos e 56 presos. Agência Brasil, Rio de Janeiro, 28 out. 2025. Disponível em: https://agenciabrasil.ebc.com.br/geral/noticia/2025-10/operacao-no-rio-deixa-18-suspeitos-mortos-e-56-presos. Acesso em: 11 nov. 2025.
</x:v>
      </x:c>
      <x:c r="F511" s="10" t="str">
        <x:v>Removido apenas na cópia tabular de análise; original preservado.</x:v>
      </x:c>
    </x:row>
    <x:row r="512" ht="76.80000305175781" hidden="0" customHeight="1">
      <x:c r="A512" s="10" t="str">
        <x:v>BR-SPDIREITOVIOLESTADO_MAPEAMENTOS-NOTICIAS-MSSCPENHA.xlsx</x:v>
      </x:c>
      <x:c r="B512" s="10" t="str">
        <x:v>Geral</x:v>
      </x:c>
      <x:c r="C512" s="10" t="str">
        <x:v>T222</x:v>
      </x:c>
      <x:c r="D512" s="10" t="str">
        <x:v>Espaço externo ou caractere invisível</x:v>
      </x:c>
      <x:c r="E512" s="10" t="str">
        <x:v>NASCIMENTO, Rafael; COELHO, Henrique. Operação no Alemão e na Penha tem 121 mortos e se torna a mais letal da história do Rio de Janeiro. G1, Rio de Janeiro, 28 out. 2025. Disponível em: https://g1.globo.com/rj/rio-de-janeiro/noticia/2025/10/28/operacao-historico-da-cidade-do-rio.ghtml. Acesso em: 11 nov. 2025.
</x:v>
      </x:c>
      <x:c r="F512" s="10" t="str">
        <x:v>Removido apenas na cópia tabular de análise; original preservado.</x:v>
      </x:c>
    </x:row>
    <x:row r="513" ht="76.80000305175781" hidden="0" customHeight="1">
      <x:c r="A513" s="10" t="str">
        <x:v>BR-SPDIREITOVIOLESTADO_MAPEAMENTOS-NOTICIAS-MSSCPENHA.xlsx</x:v>
      </x:c>
      <x:c r="B513" s="10" t="str">
        <x:v>Geral</x:v>
      </x:c>
      <x:c r="C513" s="10" t="str">
        <x:v>T223</x:v>
      </x:c>
      <x:c r="D513" s="10" t="str">
        <x:v>Espaço externo ou caractere invisível</x:v>
      </x:c>
      <x:c r="E513" s="10" t="str">
        <x:v>NASPOLINI, Julia; SILVESTRE, Yasmin. Megaoperação: quem são os criminosos mais procurados do Comando Vermelho. CNN Brasil, São Paulo, 31 out. 2025. Disponível em: https://www.cnnbrasil.com.br/nacional/sudeste/rj/megaoperacao-quem-sao-os-criminosos-mais-procurados-do-comando-vermelho/. Acesso em: 11 nov. 2025.
</x:v>
      </x:c>
      <x:c r="F513" s="10" t="str">
        <x:v>Removido apenas na cópia tabular de análise; original preservado.</x:v>
      </x:c>
    </x:row>
    <x:row r="514" ht="100.80000305175781" hidden="0" customHeight="1">
      <x:c r="A514" s="10" t="str">
        <x:v>BR-SPDIREITOVIOLESTADO_MAPEAMENTOS-NOTICIAS-MSSCPENHA.xlsx</x:v>
      </x:c>
      <x:c r="B514" s="10" t="str">
        <x:v>Geral</x:v>
      </x:c>
      <x:c r="C514" s="10" t="str">
        <x:v>T228</x:v>
      </x:c>
      <x:c r="D514" s="10" t="str">
        <x:v>Espaço externo ou caractere invisível</x:v>
      </x:c>
      <x:c r="E514" s="10" t="str">
        <x:v>BUSTAMANTE, Anna; TORRES, Ana Carolina; PAIVA, Gabriel de; ROCHA, Fabiano; SOUZA, Roberta de; NUNES, Marcos. Megaoperação para conter avanço do CV no Alemão e na Penha tem 64 mortos, entre eles quatro policiais; ação é a mais letal da história do Rio. O Globo, Rio de Janeiro, 28 out. 2025. Disponível em: https://oglobo.globo.com/rio/noticia/2025/10/28/complexos-do-alemao-e-da-penha-sao-alvos-de-megaoperacao-acao-tem-dois-mortos-e-homem-em-situacao-de-rua-baleado.ghtml. Acesso em: 11 nov. 2025.
</x:v>
      </x:c>
      <x:c r="F514" s="10" t="str">
        <x:v>Removido apenas na cópia tabular de análise; original preservado.</x:v>
      </x:c>
    </x:row>
    <x:row r="515" ht="64.80000305175781" hidden="0" customHeight="1">
      <x:c r="A515" s="10" t="str">
        <x:v>BR-SPDIREITOVIOLESTADO_MAPEAMENTOS-NOTICIAS-MSSCPENHA.xlsx</x:v>
      </x:c>
      <x:c r="B515" s="10" t="str">
        <x:v>Geral</x:v>
      </x:c>
      <x:c r="C515" s="10" t="str">
        <x:v>T229</x:v>
      </x:c>
      <x:c r="D515" s="10" t="str">
        <x:v>Espaço externo ou caractere invisível</x:v>
      </x:c>
      <x:c r="E515" s="10" t="str">
        <x:v>MACIA, Vinicius. ONG de advogada de Marcinho VP associa Operação Contenção a ações do suposto golpe. Gazeta do Povo, 31 out. 2025. Disponível em: https://www.gazetadopovo.com.br/vida-e-cidadania/ong-de-advogada-marcinho-vp-associa-operacao-no-rio-a-golpe/. Acesso em: 11 nov. 2025.
</x:v>
      </x:c>
      <x:c r="F515" s="10" t="str">
        <x:v>Removido apenas na cópia tabular de análise; original preservado.</x:v>
      </x:c>
    </x:row>
    <x:row r="516" ht="76.80000305175781" hidden="0" customHeight="1">
      <x:c r="A516" s="10" t="str">
        <x:v>BR-SPDIREITOVIOLESTADO_MAPEAMENTOS-NOTICIAS-MSSCPENHA.xlsx</x:v>
      </x:c>
      <x:c r="B516" s="10" t="str">
        <x:v>Geral</x:v>
      </x:c>
      <x:c r="C516" s="10" t="str">
        <x:v>T231</x:v>
      </x:c>
      <x:c r="D516" s="10" t="str">
        <x:v>Espaço externo ou caractere invisível</x:v>
      </x:c>
      <x:c r="E516" s="10" t="str">
        <x:v>SOUZA, Beto; COUTO, Camille; FIGUEIREDO, Carolina; RODRIGUES, Cleber. Cenas de guerra e 64 mortos: o que se sabe sobre megaoperação no Alemão. CNN Brasil, Rio de Janeiro, 28 out. 2025. Disponível em: https://www.cnnbrasil.com.br/nacional/sudeste/rj/cenas-de-guerra-e-mortos-o-que-se-sabe-sobre-operacao-no-alemao/. Acesso em: 11 nov. 2025.
</x:v>
      </x:c>
      <x:c r="F516" s="10" t="str">
        <x:v>Removido apenas na cópia tabular de análise; original preservado.</x:v>
      </x:c>
    </x:row>
    <x:row r="517" ht="64.80000305175781" hidden="0" customHeight="1">
      <x:c r="A517" s="10" t="str">
        <x:v>BR-SPDIREITOVIOLESTADO_MAPEAMENTOS-NOTICIAS-MSSCPENHA.xlsx</x:v>
      </x:c>
      <x:c r="B517" s="10" t="str">
        <x:v>Geral</x:v>
      </x:c>
      <x:c r="C517" s="10" t="str">
        <x:v>T232</x:v>
      </x:c>
      <x:c r="D517" s="10" t="str">
        <x:v>Espaço externo ou caractere invisível</x:v>
      </x:c>
      <x:c r="E517" s="10" t="str">
        <x:v>MACIA, Vinicius. Operação Contenção matou responsável por tráfico na fronteira com a Colômbia. Gazeta do Povo, 4 nov. 2025. Disponível em: https://www.gazetadopovo.com.br/brasil/operacao-contencao-matou-responsavel-por-trafico-na-fronteira-com-colombia/. Acesso em: 11 nov. 2025.
</x:v>
      </x:c>
      <x:c r="F517" s="10" t="str">
        <x:v>Removido apenas na cópia tabular de análise; original preservado.</x:v>
      </x:c>
    </x:row>
    <x:row r="518" ht="76.80000305175781" hidden="0" customHeight="1">
      <x:c r="A518" s="10" t="str">
        <x:v>BR-SPDIREITOVIOLESTADO_MAPEAMENTOS-NOTICIAS-MSSCPENHA.xlsx</x:v>
      </x:c>
      <x:c r="B518" s="10" t="str">
        <x:v>Geral</x:v>
      </x:c>
      <x:c r="C518" s="10" t="str">
        <x:v>T233</x:v>
      </x:c>
      <x:c r="D518" s="10" t="str">
        <x:v>Espaço externo ou caractere invisível</x:v>
      </x:c>
      <x:c r="E518" s="10" t="str">
        <x:v>FREIRE, Tâmara. Moradores retiram cerca de 60 corpos em área de mata após operação: comunidade diz que eles não fazem parte da contagem oficial. Agência Brasil, Rio de Janeiro, 29 out. 2025. Disponível em: https://agenciabrasil.ebc.com.br/geral/noticia/2025-10/moradores-retiram-cerca-de-60-corpos-em-area-de-mata-apos-operacao. Acesso em: 11 nov. 2025.
</x:v>
      </x:c>
      <x:c r="F518" s="10" t="str">
        <x:v>Removido apenas na cópia tabular de análise; original preservado.</x:v>
      </x:c>
    </x:row>
    <x:row r="519" ht="52.79999923706055" hidden="0" customHeight="1">
      <x:c r="A519" s="10" t="str">
        <x:v>BR-SPDIREITOVIOLESTADO_MAPEAMENTOS-NOTICIAS-MSSCPENHA.xlsx</x:v>
      </x:c>
      <x:c r="B519" s="10" t="str">
        <x:v>Geral</x:v>
      </x:c>
      <x:c r="C519" s="10" t="str">
        <x:v>T239</x:v>
      </x:c>
      <x:c r="D519" s="10" t="str">
        <x:v>Espaço externo ou caractere invisível</x:v>
      </x:c>
      <x:c r="E519" s="10" t="str">
        <x:v>CASTRO, Carol. Como Comando Vermelho surgiu e se espalhou pelo Brasil. BBC News Brasil, Rio de Janeiro, 29 out. 2025. Atualizado em 30 out. 2025. Disponível em: https://www.bbc.com/portuguese/articles/cx2p9re07p9oa. Acesso em: 11 nov. 2025.
</x:v>
      </x:c>
      <x:c r="F519" s="10" t="str">
        <x:v>Removido apenas na cópia tabular de análise; original preservado.</x:v>
      </x:c>
    </x:row>
    <x:row r="520" ht="88.80000305175781" hidden="0" customHeight="1">
      <x:c r="A520" s="10" t="str">
        <x:v>BR-SPDIREITOVIOLESTADO_MAPEAMENTOS-NOTICIAS-MSSCPENHA.xlsx</x:v>
      </x:c>
      <x:c r="B520" s="10" t="str">
        <x:v>Geral</x:v>
      </x:c>
      <x:c r="C520" s="10" t="str">
        <x:v>T240</x:v>
      </x:c>
      <x:c r="D520" s="10" t="str">
        <x:v>Espaço externo ou caractere invisível</x:v>
      </x:c>
      <x:c r="E520" s="10" t="str">
        <x:v>COSTA, João Vitor; NUNES, Marcos; ARAUJO, Camila. Megaoperação no Rio: número de presos no Alemão e na Penha enviado ao STF não bate com o que foi divulgado pelo governo. O Globo, Rio de Janeiro, 5 nov. 2025. Disponível em: https://oglobo.globo.com/rio/noticia/2025/11/05/megaoperacao-no-rio-numero-de-presos-no-alemao-e-na-penha-enviado-ao-stf-nao-bate-com-o-que-foi-divulgado-pelo-governo.ghtml. Acesso em: 11 nov. 2025.
</x:v>
      </x:c>
      <x:c r="F520" s="10" t="str">
        <x:v>Removido apenas na cópia tabular de análise; original preservado.</x:v>
      </x:c>
    </x:row>
    <x:row r="521" ht="64.80000305175781" hidden="0" customHeight="1">
      <x:c r="A521" s="10" t="str">
        <x:v>BR-SPDIREITOVIOLESTADO_MAPEAMENTOS-NOTICIAS-MSSCPENHA.xlsx</x:v>
      </x:c>
      <x:c r="B521" s="10" t="str">
        <x:v>Geral</x:v>
      </x:c>
      <x:c r="C521" s="10" t="str">
        <x:v>T241</x:v>
      </x:c>
      <x:c r="D521" s="10" t="str">
        <x:v>Espaço externo ou caractere invisível</x:v>
      </x:c>
      <x:c r="E521" s="10" t="str">
        <x:v>FREITAS, Hermano. Lula chama operação policial no Rio de “matança” e quer investigação federal. Gazeta do Povo, Paraná, Brasil, 4 nov. 2025. Disponível em: https://www.gazetadopovo.com.br/republica/lula-chama-operacao-policial-no-rio-de-matanca-e-quer-investigacao-federal/. Acesso em: 11 nov. 2025.
</x:v>
      </x:c>
      <x:c r="F521" s="10" t="str">
        <x:v>Removido apenas na cópia tabular de análise; original preservado.</x:v>
      </x:c>
    </x:row>
    <x:row r="522" ht="64.80000305175781" hidden="0" customHeight="1">
      <x:c r="A522" s="10" t="str">
        <x:v>BR-SPDIREITOVIOLESTADO_MAPEAMENTOS-NOTICIAS-MSSCPENHA.xlsx</x:v>
      </x:c>
      <x:c r="B522" s="10" t="str">
        <x:v>Geral</x:v>
      </x:c>
      <x:c r="C522" s="10" t="str">
        <x:v>T242</x:v>
      </x:c>
      <x:c r="D522" s="10" t="str">
        <x:v>Espaço externo ou caractere invisível</x:v>
      </x:c>
      <x:c r="E522" s="10" t="str">
        <x:v>MACIA, Vinicius. Moradores sofrem tortura do Comando Vermelho, diz decisão que autorizou operação. Gazeta do Povo, 30 out. 2025. Disponível em: https://www.gazetadopovo.com.br/brasil/moradores-sofrem-tortura-do-comando-vermelho-diz-decisao-que-autorizou-operacao/. Acesso em: 11 nov. 2025.
</x:v>
      </x:c>
      <x:c r="F522" s="10" t="str">
        <x:v>Removido apenas na cópia tabular de análise; original preservado.</x:v>
      </x:c>
    </x:row>
    <x:row r="523" ht="64.80000305175781" hidden="0" customHeight="1">
      <x:c r="A523" s="10" t="str">
        <x:v>BR-SPDIREITOVIOLESTADO_MAPEAMENTOS-NOTICIAS-MSSCPENHA.xlsx</x:v>
      </x:c>
      <x:c r="B523" s="10" t="str">
        <x:v>Geral</x:v>
      </x:c>
      <x:c r="C523" s="10" t="str">
        <x:v>T243</x:v>
      </x:c>
      <x:c r="D523" s="10" t="str">
        <x:v>Espaço externo ou caractere invisível</x:v>
      </x:c>
      <x:c r="E523" s="10" t="str">
        <x:v>CASTRO, Carol. Doca, o número 2 do CV que driblou a maior e mais letal operação policial da história do Brasil. BBC News Brasil, Rio de Janeiro, 30 out. 2025. Atualizado em 31 out. 2025. Disponível em: http://bbc.com/portuguese/articles/cgr4qy9zpjdo. Acesso em: 11 nov. 2025.
</x:v>
      </x:c>
      <x:c r="F523" s="10" t="str">
        <x:v>Removido apenas na cópia tabular de análise; original preservado.</x:v>
      </x:c>
    </x:row>
    <x:row r="524" ht="76.80000305175781" hidden="0" customHeight="1">
      <x:c r="A524" s="10" t="str">
        <x:v>BR-SPDIREITOVIOLESTADO_MAPEAMENTOS-NOTICIAS-MSSCPENHA.xlsx</x:v>
      </x:c>
      <x:c r="B524" s="10" t="str">
        <x:v>Geral</x:v>
      </x:c>
      <x:c r="C524" s="10" t="str">
        <x:v>T244</x:v>
      </x:c>
      <x:c r="D524" s="10" t="str">
        <x:v>Espaço externo ou caractere invisível</x:v>
      </x:c>
      <x:c r="E524" s="10" t="str">
        <x:v>BARRA, Helena; LEÃO, Luan; COUTO, Camille. "Zona de guerra": entenda como fica o Rio de Janeiro após megaoperação. CNN Brasil, São Paulo e Rio de Janeiro, 28 out. 2025. Atualizado em 29 out. 2025. Disponível em: https://cnnbrasil.com.br/nacional/sudeste/rj/zona-de-guerra-entenda-como-fica-o-rio-de-janeiro-apos-megaoperacao/. Acesso em: 11 nov. 2025.
</x:v>
      </x:c>
      <x:c r="F524" s="10" t="str">
        <x:v>Removido apenas na cópia tabular de análise; original preservado.</x:v>
      </x:c>
    </x:row>
    <x:row r="525" ht="64.80000305175781" hidden="0" customHeight="1">
      <x:c r="A525" s="10" t="str">
        <x:v>BR-SPDIREITOVIOLESTADO_MAPEAMENTOS-NOTICIAS-MSSCPENHA.xlsx</x:v>
      </x:c>
      <x:c r="B525" s="10" t="str">
        <x:v>Geral</x:v>
      </x:c>
      <x:c r="C525" s="10" t="str">
        <x:v>T245</x:v>
      </x:c>
      <x:c r="D525" s="10" t="str">
        <x:v>Espaço externo ou caractere invisível</x:v>
      </x:c>
      <x:c r="E525" s="10" t="str">
        <x:v>GUIMARÃES, Nino. Moraes suspende inquérito contra pessoas que retiraram corpos no RJ. Poder360, Brasília, 10 nov. 2025. Disponível em: https://www.poder360.com.br/poder-justica/moraes-suspende-inquerito-contra-pessoas-que-retiraram-corpos-no-rj/. Acesso em: 11 nov. 2025.
</x:v>
      </x:c>
      <x:c r="F525" s="10" t="str">
        <x:v>Removido apenas na cópia tabular de análise; original preservado.</x:v>
      </x:c>
    </x:row>
    <x:row r="526" ht="88.80000305175781" hidden="0" customHeight="1">
      <x:c r="A526" s="10" t="str">
        <x:v>BR-SPDIREITOVIOLESTADO_MAPEAMENTOS-NOTICIAS-MSSCPENHA.xlsx</x:v>
      </x:c>
      <x:c r="B526" s="10" t="str">
        <x:v>Geral</x:v>
      </x:c>
      <x:c r="C526" s="10" t="str">
        <x:v>T246</x:v>
      </x:c>
      <x:c r="D526" s="10" t="str">
        <x:v>Espaço externo ou caractere invisível</x:v>
      </x:c>
      <x:c r="E526" s="10" t="str">
        <x:v>O GLOBO. Em gráficos, o que você precisa saber sobre a megaoperação para conter avanço do CV no Alemão e na Penha. O Globo, Rio de Janeiro, 28 out. 2025. Disponível em: https://oglobo.globo.com/rio/especial/em-graficos-o-que-voce-precisa-saber-sobre-a-megaoperacao-para-conter-avanco-do-cv-no-alemao-e-na-penha.ghtml. Acesso em: 11 nov. 2025.
</x:v>
      </x:c>
      <x:c r="F526" s="10" t="str">
        <x:v>Removido apenas na cópia tabular de análise; original preservado.</x:v>
      </x:c>
    </x:row>
    <x:row r="527" ht="64.80000305175781" hidden="0" customHeight="1">
      <x:c r="A527" s="10" t="str">
        <x:v>BR-SPDIREITOVIOLESTADO_MAPEAMENTOS-NOTICIAS-MSSCPENHA.xlsx</x:v>
      </x:c>
      <x:c r="B527" s="10" t="str">
        <x:v>Geral</x:v>
      </x:c>
      <x:c r="C527" s="10" t="str">
        <x:v>T247</x:v>
      </x:c>
      <x:c r="D527" s="10" t="str">
        <x:v>Espaço externo ou caractere invisível</x:v>
      </x:c>
      <x:c r="E527" s="10" t="str">
        <x:v>GAZETA DO POVO. Megaoperação: 100 traficantes do CV no Rio de Janeiro. Gazeta do Povo, 28 out. 2025. Disponível em: https://www.gazetadopovo.com.br/brasil/mega-operacao-100-traficantes-cv-rio-de-janeiro/. Acesso em: 11 nov. 2025.
</x:v>
      </x:c>
      <x:c r="F527" s="10" t="str">
        <x:v>Removido apenas na cópia tabular de análise; original preservado.</x:v>
      </x:c>
    </x:row>
    <x:row r="528" ht="64.80000305175781" hidden="0" customHeight="1">
      <x:c r="A528" s="10" t="str">
        <x:v>BR-SPDIREITOVIOLESTADO_MAPEAMENTOS-NOTICIAS-MSSCPENHA.xlsx</x:v>
      </x:c>
      <x:c r="B528" s="10" t="str">
        <x:v>Geral</x:v>
      </x:c>
      <x:c r="C528" s="10" t="str">
        <x:v>T248</x:v>
      </x:c>
      <x:c r="D528" s="10" t="str">
        <x:v>Espaço externo ou caractere invisível</x:v>
      </x:c>
      <x:c r="E528" s="10" t="str">
        <x:v>VIEIRA, Isabela. Lista de mortos em operação no RJ evidencia letalidade de jovens. Agência Brasil, Rio de Janeiro, 7 nov. 2025. Disponível em: https://agenciabrasil.ebc.com.br/direitos-humanos/noticia/2025-11/lista-de-mortos-em-operacao-no-rj-evidencia-letalidade-de-jovens. Acesso em: 11 nov. 2025.
</x:v>
      </x:c>
      <x:c r="F528" s="10" t="str">
        <x:v>Removido apenas na cópia tabular de análise; original preservado.</x:v>
      </x:c>
    </x:row>
    <x:row r="529" ht="64.80000305175781" hidden="0" customHeight="1">
      <x:c r="A529" s="10" t="str">
        <x:v>BR-SPDIREITOVIOLESTADO_MAPEAMENTOS-NOTICIAS-MSSCPENHA.xlsx</x:v>
      </x:c>
      <x:c r="B529" s="10" t="str">
        <x:v>Geral</x:v>
      </x:c>
      <x:c r="C529" s="10" t="str">
        <x:v>T249</x:v>
      </x:c>
      <x:c r="D529" s="10" t="str">
        <x:v>Espaço externo ou caractere invisível</x:v>
      </x:c>
      <x:c r="E529" s="10" t="str">
        <x:v>FONSECA, Fernanda. Moraes manda Castro enviar laudos da operação que deixou 121 mortos. Poder360, Brasília, 10 nov. 2025. Disponível em: https://www.poder360.com.br/poder-seguranca-publica/moraes-manda-castro-enviar-laudos-da-operacao-que-deixou-121-mortos/. Acesso em: 11 nov. 2025.
</x:v>
      </x:c>
      <x:c r="F529" s="10" t="str">
        <x:v>Removido apenas na cópia tabular de análise; original preservado.</x:v>
      </x:c>
    </x:row>
    <x:row r="530" ht="64.80000305175781" hidden="0" customHeight="1">
      <x:c r="A530" s="10" t="str">
        <x:v>BR-SPDIREITOVIOLESTADO_MAPEAMENTOS-NOTICIAS-MSSCPENHA.xlsx</x:v>
      </x:c>
      <x:c r="B530" s="10" t="str">
        <x:v>Geral</x:v>
      </x:c>
      <x:c r="C530" s="10" t="str">
        <x:v>T250</x:v>
      </x:c>
      <x:c r="D530" s="10" t="str">
        <x:v>Espaço externo ou caractere invisível</x:v>
      </x:c>
      <x:c r="E530" s="10" t="str">
        <x:v>ROSSI, Marina; ALVIM, Mariana. 'Rio virou um abrigo para chefe do tráfico do Brasil inteiro', diz autor de livro sobre crime organizado. BBC News Brasil, São Paulo, 29 out. 2025. Atualizado em 30 out. 2025. Disponível em: https://www.bbc.com/portuguese/articles/cvgknnjgmrxo. Acesso em: 11 nov. 2025.
</x:v>
      </x:c>
      <x:c r="F530" s="10" t="str">
        <x:v>Removido apenas na cópia tabular de análise; original preservado.</x:v>
      </x:c>
    </x:row>
    <x:row r="531" ht="64.80000305175781" hidden="0" customHeight="1">
      <x:c r="A531" s="10" t="str">
        <x:v>BR-SPDIREITOVIOLESTADO_MAPEAMENTOS-NOTICIAS-MSSCPENHA.xlsx</x:v>
      </x:c>
      <x:c r="B531" s="10" t="str">
        <x:v>Geral</x:v>
      </x:c>
      <x:c r="C531" s="10" t="str">
        <x:v>T252</x:v>
      </x:c>
      <x:c r="D531" s="10" t="str">
        <x:v>Espaço externo ou caractere invisível</x:v>
      </x:c>
      <x:c r="E531" s="10" t="str">
        <x:v>MAZZOCO, Heitor. Moraes manda governo do Rio preservar imagens policiais de operação contra o CV. Veja, São Paulo, 10 nov. 2025. Disponível em: https://veja.abril.com.br/brasil/moraes-manda-governo-do-rio-preservar-imagens-policiais-de-operacao-contra-o-cv/. Acesso em: 11 nov. 2025.
</x:v>
      </x:c>
      <x:c r="F531" s="10" t="str">
        <x:v>Removido apenas na cópia tabular de análise; original preservado.</x:v>
      </x:c>
    </x:row>
    <x:row r="532" ht="76.80000305175781" hidden="0" customHeight="1">
      <x:c r="A532" s="10" t="str">
        <x:v>BR-SPDIREITOVIOLESTADO_MAPEAMENTOS-NOTICIAS-MSSCPENHA.xlsx</x:v>
      </x:c>
      <x:c r="B532" s="10" t="str">
        <x:v>Geral</x:v>
      </x:c>
      <x:c r="C532" s="10" t="str">
        <x:v>T253</x:v>
      </x:c>
      <x:c r="D532" s="10" t="str">
        <x:v>Espaço externo ou caractere invisível</x:v>
      </x:c>
      <x:c r="E532" s="10" t="str">
        <x:v>UOL. Operação mais letal do RJ gera pânico em moradores e tensão entre governos. UOL, São Paulo e Rio de Janeiro, 28 out. 2025. Atualizado em 29 out. 2025. Disponível em: https://noticias.uol.com.br/cotidiano/ultimas-noticias/2025/10/28/megaoperacao-rj.htm?cmpid=copiaecola. Acesso em: 11 nov. 2025.
</x:v>
      </x:c>
      <x:c r="F532" s="10" t="str">
        <x:v>Removido apenas na cópia tabular de análise; original preservado.</x:v>
      </x:c>
    </x:row>
    <x:row r="533" ht="64.80000305175781" hidden="0" customHeight="1">
      <x:c r="A533" s="10" t="str">
        <x:v>BR-SPDIREITOVIOLESTADO_MAPEAMENTOS-NOTICIAS-MSSCPENHA.xlsx</x:v>
      </x:c>
      <x:c r="B533" s="10" t="str">
        <x:v>Geral</x:v>
      </x:c>
      <x:c r="C533" s="10" t="str">
        <x:v>T255</x:v>
      </x:c>
      <x:c r="D533" s="10" t="str">
        <x:v>Espaço externo ou caractere invisível</x:v>
      </x:c>
      <x:c r="E533" s="10" t="str">
        <x:v>HORA, Geovanna. Estado: O que acontece agora? Estadão, São Paulo, 29 out. 2025. Atualizado em 29 out. 2025. Disponível em: https://www.estadao.com.br/brasil/o-que-acontece-agora-rj-apos-operacao-mais-letal-npr/. Acesso em: 11 nov. 2025.
</x:v>
      </x:c>
      <x:c r="F533" s="10" t="str">
        <x:v>Removido apenas na cópia tabular de análise; original preservado.</x:v>
      </x:c>
    </x:row>
    <x:row r="534" ht="64.80000305175781" hidden="0" customHeight="1">
      <x:c r="A534" s="10" t="str">
        <x:v>BR-SPDIREITOVIOLESTADO_MAPEAMENTOS-NOTICIAS-MSSCPENHA.xlsx</x:v>
      </x:c>
      <x:c r="B534" s="10" t="str">
        <x:v>Geral</x:v>
      </x:c>
      <x:c r="C534" s="10" t="str">
        <x:v>T256</x:v>
      </x:c>
      <x:c r="D534" s="10" t="str">
        <x:v>Espaço externo ou caractere invisível</x:v>
      </x:c>
      <x:c r="E534" s="10" t="str">
        <x:v>VERENICZ, Marina. Moraes suspende inquérito contra pessoas que retiraram corpos após operação no Rio. InfoMoney, São Paulo, 11 nov. 2025. Disponível em: https://www.infomoney.com.br/politica/moraes-suspende-inquerito-contra-pessoas-que-retiraram-corpos-apos-operacao-no-rio/. Acesso em: 11 nov. 2025.
</x:v>
      </x:c>
      <x:c r="F534" s="10" t="str">
        <x:v>Removido apenas na cópia tabular de análise; original preservado.</x:v>
      </x:c>
    </x:row>
    <x:row r="535" ht="64.80000305175781" hidden="0" customHeight="1">
      <x:c r="A535" s="10" t="str">
        <x:v>BR-SPDIREITOVIOLESTADO_MAPEAMENTOS-NOTICIAS-MSSCPENHA.xlsx</x:v>
      </x:c>
      <x:c r="B535" s="10" t="str">
        <x:v>Geral</x:v>
      </x:c>
      <x:c r="C535" s="10" t="str">
        <x:v>T257</x:v>
      </x:c>
      <x:c r="D535" s="10" t="str">
        <x:v>Espaço externo ou caractere invisível</x:v>
      </x:c>
      <x:c r="E535" s="10" t="str">
        <x:v>AGÊNCIA BRASIL. Lula classifica Operação Contenção, no RJ, como "desastrosa". Agência Brasil, Brasília, 4 nov. 2025. Disponível em: https://agenciabrasil.ebc.com.br/politica/noticia/2025-11/lula-classifica-operacao-contencao-no-rj-como-desastrosa. Acesso em: 11 nov. 2025.
</x:v>
      </x:c>
      <x:c r="F535" s="10" t="str">
        <x:v>Removido apenas na cópia tabular de análise; original preservado.</x:v>
      </x:c>
    </x:row>
    <x:row r="536" ht="64.80000305175781" hidden="0" customHeight="1">
      <x:c r="A536" s="10" t="str">
        <x:v>BR-SPDIREITOVIOLESTADO_MAPEAMENTOS-NOTICIAS-MSSCPENHA.xlsx</x:v>
      </x:c>
      <x:c r="B536" s="10" t="str">
        <x:v>Geral</x:v>
      </x:c>
      <x:c r="C536" s="10" t="str">
        <x:v>T258</x:v>
      </x:c>
      <x:c r="D536" s="10" t="str">
        <x:v>Espaço externo ou caractere invisível</x:v>
      </x:c>
      <x:c r="E536" s="10" t="str">
        <x:v>ND+. Moraes suspende inquérito contra famílias que retiraram corpos após megaoperação no Rio. ND+, Rio de Janeiro, 10 nov. 2025. Disponível em: https://ndmais.com.br/justica/megaoperacao-no-rio-stf-suspende-familiares/#google_vignette. Acesso em: 11 nov. 2025.
</x:v>
      </x:c>
      <x:c r="F536" s="10" t="str">
        <x:v>Removido apenas na cópia tabular de análise; original preservado.</x:v>
      </x:c>
    </x:row>
    <x:row r="537" ht="64.80000305175781" hidden="0" customHeight="1">
      <x:c r="A537" s="10" t="str">
        <x:v>BR-SPDIREITOVIOLESTADO_MAPEAMENTOS-NOTICIAS-MSSCPENHA.xlsx</x:v>
      </x:c>
      <x:c r="B537" s="10" t="str">
        <x:v>Geral</x:v>
      </x:c>
      <x:c r="C537" s="10" t="str">
        <x:v>T259</x:v>
      </x:c>
      <x:c r="D537" s="10" t="str">
        <x:v>Espaço externo ou caractere invisível</x:v>
      </x:c>
      <x:c r="E537" s="10" t="str">
        <x:v>AMOÊDO, Julia. Saiba quem são os mortos em megaoperação no Rio. Poder360, Brasília, 3 nov. 2025. Disponível em: https://www.poder360.com.br/poder-seguranca-publica/saiba-quem-sao-os-mortos-em-megaoperacao-no-rio/. Acesso em: 11 nov. 2025.
</x:v>
      </x:c>
      <x:c r="F537" s="10" t="str">
        <x:v>Removido apenas na cópia tabular de análise; original preservado.</x:v>
      </x:c>
    </x:row>
    <x:row r="538" ht="76.80000305175781" hidden="0" customHeight="1">
      <x:c r="A538" s="10" t="str">
        <x:v>BR-SPDIREITOVIOLESTADO_MAPEAMENTOS-NOTICIAS-MSSCPENHA.xlsx</x:v>
      </x:c>
      <x:c r="B538" s="10" t="str">
        <x:v>Geral</x:v>
      </x:c>
      <x:c r="C538" s="10" t="str">
        <x:v>T260</x:v>
      </x:c>
      <x:c r="D538" s="10" t="str">
        <x:v>Espaço externo ou caractere invisível</x:v>
      </x:c>
      <x:c r="E538" s="10" t="str">
        <x:v>DURÃES, Uesley; ADORNO, Luís. 'CV fechou tudo': moradores vivem pânico após toque de recolher de facção. UOL, São Paulo e Rio de Janeiro, 28 out. 2025. Disponível em: https://noticias.uol.com.br/cotidiano/ultimas-noticias/2025/10/28/cv-toque-de-recolher-comercios-operacao.htm?cmpid=copiaecola. Acesso em: 11 nov. 2025.
</x:v>
      </x:c>
      <x:c r="F538" s="10" t="str">
        <x:v>Removido apenas na cópia tabular de análise; original preservado.</x:v>
      </x:c>
    </x:row>
    <x:row r="539" ht="52.79999923706055" hidden="0" customHeight="1">
      <x:c r="A539" s="10" t="str">
        <x:v>BR-SPDIREITOVIOLESTADO_MAPEAMENTOS-NOTICIAS-MSSCPENHA.xlsx</x:v>
      </x:c>
      <x:c r="B539" s="10" t="str">
        <x:v>Geral</x:v>
      </x:c>
      <x:c r="C539" s="10" t="str">
        <x:v>T261</x:v>
      </x:c>
      <x:c r="D539" s="10" t="str">
        <x:v>Espaço externo ou caractere invisível</x:v>
      </x:c>
      <x:c r="E539" s="10" t="str">
        <x:v>BBC NEWS BRASIL. Mensagens contra operação predominam no WhatsApp no Rio, mas apoio nacional foi maior. Londres, Reino Unido, 30 out. 2025. Disponível em: https://www.bbc.com/portuguese/articles/c3ep7v2xyl0o. Acesso em: 11 nov. 2025.
</x:v>
      </x:c>
      <x:c r="F539" s="10" t="str">
        <x:v>Removido apenas na cópia tabular de análise; original preservado.</x:v>
      </x:c>
    </x:row>
    <x:row r="540" ht="64.80000305175781" hidden="0" customHeight="1">
      <x:c r="A540" s="10" t="str">
        <x:v>BR-SPDIREITOVIOLESTADO_MAPEAMENTOS-NOTICIAS-MSSCPENHA.xlsx</x:v>
      </x:c>
      <x:c r="B540" s="10" t="str">
        <x:v>Geral</x:v>
      </x:c>
      <x:c r="C540" s="10" t="str">
        <x:v>T262</x:v>
      </x:c>
      <x:c r="D540" s="10" t="str">
        <x:v>Espaço externo ou caractere invisível</x:v>
      </x:c>
      <x:c r="E540" s="10" t="str">
        <x:v>CUSTÓDIO, Rafael. Secretário de Segurança do Brasil minimiza carta dos EUA sobre Operação Contenção. Agência Pública, São Paulo, 6 nov. 2025. Disponível em: https://apublica.org/2025/11/secretario-ve-risco-a-soberania-em-pedido-de-castro/. Acesso em: 11 nov. 2025.
</x:v>
      </x:c>
      <x:c r="F540" s="10" t="str">
        <x:v>Removido apenas na cópia tabular de análise; original preservado.</x:v>
      </x:c>
    </x:row>
    <x:row r="541" ht="76.80000305175781" hidden="0" customHeight="1">
      <x:c r="A541" s="10" t="str">
        <x:v>BR-SPDIREITOVIOLESTADO_MAPEAMENTOS-NOTICIAS-MSSCPENHA.xlsx</x:v>
      </x:c>
      <x:c r="B541" s="10" t="str">
        <x:v>Geral</x:v>
      </x:c>
      <x:c r="C541" s="10" t="str">
        <x:v>T263</x:v>
      </x:c>
      <x:c r="D541" s="10" t="str">
        <x:v>Espaço externo ou caractere invisível</x:v>
      </x:c>
      <x:c r="E541" s="10" t="str">
        <x:v>GUERRA, Rayanderson. Investigação da PF, explicações de Castro e perícias: o que Moraes já decidiu sobre operação no Rio? Estadão, São Paulo, 10 nov. 2025. Disponível em: https://www.estadao.com.br/brasil/investigacao-da-pf-explicacoes-de-castro-e-pericias-o-que-moraes-ja-decidiu-sobre-operacao-no-rio-npr/. Acesso em: 11 nov. 2025.
</x:v>
      </x:c>
      <x:c r="F541" s="10" t="str">
        <x:v>Removido apenas na cópia tabular de análise; original preservado.</x:v>
      </x:c>
    </x:row>
    <x:row r="542" ht="64.80000305175781" hidden="0" customHeight="1">
      <x:c r="A542" s="10" t="str">
        <x:v>BR-SPDIREITOVIOLESTADO_MAPEAMENTOS-NOTICIAS-MSSCPENHA.xlsx</x:v>
      </x:c>
      <x:c r="B542" s="10" t="str">
        <x:v>Geral</x:v>
      </x:c>
      <x:c r="C542" s="10" t="str">
        <x:v>T264</x:v>
      </x:c>
      <x:c r="D542" s="10" t="str">
        <x:v>Espaço externo ou caractere invisível</x:v>
      </x:c>
      <x:c r="E542" s="10" t="str">
        <x:v>CARTA CAPITAL. As alegações de Castro a Moraes sobre a operação mais letal do Brasil. São Paulo, 3 nov. 2025. Disponível em: https://www.cartacapital.com.br/politica/as-alegacoes-de-castro-a-moraes-sobre-a-operacao-mais-letal-do-brasil/. Acesso em: 11 nov. 2025.
</x:v>
      </x:c>
      <x:c r="F542" s="10" t="str">
        <x:v>Removido apenas na cópia tabular de análise; original preservado.</x:v>
      </x:c>
    </x:row>
    <x:row r="543" ht="64.80000305175781" hidden="0" customHeight="1">
      <x:c r="A543" s="10" t="str">
        <x:v>BR-SPDIREITOVIOLESTADO_MAPEAMENTOS-NOTICIAS-MSSCPENHA.xlsx</x:v>
      </x:c>
      <x:c r="B543" s="10" t="str">
        <x:v>Geral</x:v>
      </x:c>
      <x:c r="C543" s="10" t="str">
        <x:v>T265</x:v>
      </x:c>
      <x:c r="D543" s="10" t="str">
        <x:v>Espaço externo ou caractere invisível</x:v>
      </x:c>
      <x:c r="E543" s="10" t="str">
        <x:v>PRADO, Anita. Quem são os chefões do Comando Vermelho mortos na megaoperação do Rio. Veja, São Paulo, 3 nov. 2025. Disponível em: https://veja.abril.com.br/brasil/saiba-quem-sao-os-chefoes-do-comando-vermelho-mortos-na-megaoperacao/. Acesso em: 11 nov. 2025.
</x:v>
      </x:c>
      <x:c r="F543" s="10" t="str">
        <x:v>Removido apenas na cópia tabular de análise; original preservado.</x:v>
      </x:c>
    </x:row>
    <x:row r="544" ht="76.80000305175781" hidden="0" customHeight="1">
      <x:c r="A544" s="10" t="str">
        <x:v>BR-SPDIREITOVIOLESTADO_MAPEAMENTOS-NOTICIAS-MSSCPENHA.xlsx</x:v>
      </x:c>
      <x:c r="B544" s="10" t="str">
        <x:v>Geral</x:v>
      </x:c>
      <x:c r="C544" s="10" t="str">
        <x:v>T266</x:v>
      </x:c>
      <x:c r="D544" s="10" t="str">
        <x:v>Espaço externo ou caractere invisível</x:v>
      </x:c>
      <x:c r="E544" s="10" t="str">
        <x:v>GRANDI, Guilherme. Moraes aponta contradições em informações sobre operação no RJ e pede laudos e dados de prisões. Gazeta do Povo, Paraná, 10 nov. 2025. Disponível em: https://www.gazetadopovo.com.br/republica/moraes-aponta-contradicoes-informacoes-operacao-rj/. Acesso em: 11 nov. 2025.
</x:v>
      </x:c>
      <x:c r="F544" s="10" t="str">
        <x:v>Removido apenas na cópia tabular de análise; original preservado.</x:v>
      </x:c>
    </x:row>
    <x:row r="545" ht="88.80000305175781" hidden="0" customHeight="1">
      <x:c r="A545" s="10" t="str">
        <x:v>BR-SPDIREITOVIOLESTADO_MAPEAMENTOS-NOTICIAS-MSSCPENHA.xlsx</x:v>
      </x:c>
      <x:c r="B545" s="10" t="str">
        <x:v>Geral</x:v>
      </x:c>
      <x:c r="C545" s="10" t="str">
        <x:v>T267</x:v>
      </x:c>
      <x:c r="D545" s="10" t="str">
        <x:v>Espaço externo ou caractere invisível</x:v>
      </x:c>
      <x:c r="E545" s="10" t="str">
        <x:v>REDAÇÃO RÁDIO PAMPA. Câmara de Porto Alegre aprova moção em apoio à Operação Contenção e às forças de segurança do Rio de Janeiro. Rádio Pampa, Porto Alegre, 10 nov. 2025. Disponível em: https://www.radiopampa.com.br/camara-de-porto-alegre-aprova-mocao-em-apoio-a-operacao-contencao-e-as-forcas-de-seguranca-do-rio-de-janeiro/. Acesso em: 11 nov. 2025.
</x:v>
      </x:c>
      <x:c r="F545" s="10" t="str">
        <x:v>Removido apenas na cópia tabular de análise; original preservado.</x:v>
      </x:c>
    </x:row>
    <x:row r="546" ht="64.80000305175781" hidden="0" customHeight="1">
      <x:c r="A546" s="10" t="str">
        <x:v>BR-SPDIREITOVIOLESTADO_MAPEAMENTOS-NOTICIAS-MSSCPENHA.xlsx</x:v>
      </x:c>
      <x:c r="B546" s="10" t="str">
        <x:v>Geral</x:v>
      </x:c>
      <x:c r="C546" s="10" t="str">
        <x:v>T268</x:v>
      </x:c>
      <x:c r="D546" s="10" t="str">
        <x:v>Espaço externo ou caractere invisível</x:v>
      </x:c>
      <x:c r="E546" s="10" t="str">
        <x:v>PODER360. Assista a vídeos da megaoperação no Rio contra o CV. Brasília, 3 nov. 2025. Disponível em: https://www.poder360.com.br/poder-seguranca-publica/assista-a-videos-da-megaoperacao-no-rio-contra-o-cv/. Acesso em: 11 nov. 2025.
</x:v>
      </x:c>
      <x:c r="F546" s="10" t="str">
        <x:v>Removido apenas na cópia tabular de análise; original preservado.</x:v>
      </x:c>
    </x:row>
    <x:row r="547" ht="64.80000305175781" hidden="0" customHeight="1">
      <x:c r="A547" s="10" t="str">
        <x:v>BR-SPDIREITOVIOLESTADO_MAPEAMENTOS-NOTICIAS-MSSCPENHA.xlsx</x:v>
      </x:c>
      <x:c r="B547" s="10" t="str">
        <x:v>Geral</x:v>
      </x:c>
      <x:c r="C547" s="10" t="str">
        <x:v>T269</x:v>
      </x:c>
      <x:c r="D547" s="10" t="str">
        <x:v>Espaço externo ou caractere invisível</x:v>
      </x:c>
      <x:c r="E547" s="10" t="str">
        <x:v>OLIVEIRA, Paulo César de. Comunicação do presidente assume tom sóbrio para lidar com Operação Contenção. Blog do PCO, Belo Horizonte, 31 out. 2025. Disponível em: https://blogdopco.com.br/politica/comunicacao-do-presidente-assume-tom-sobrio-para-lidar-com-operacao-contencao/. Acesso em: 11 nov. 2025.
</x:v>
      </x:c>
      <x:c r="F547" s="10" t="str">
        <x:v>Removido apenas na cópia tabular de análise; original preservado.</x:v>
      </x:c>
    </x:row>
    <x:row r="548" ht="52.79999923706055" hidden="0" customHeight="1">
      <x:c r="A548" s="10" t="str">
        <x:v>BR-SPDIREITOVIOLESTADO_MAPEAMENTOS-NOTICIAS-MSSCPENHA.xlsx</x:v>
      </x:c>
      <x:c r="B548" s="10" t="str">
        <x:v>Geral</x:v>
      </x:c>
      <x:c r="C548" s="10" t="str">
        <x:v>T271</x:v>
      </x:c>
      <x:c r="D548" s="10" t="str">
        <x:v>Espaço externo ou caractere invisível</x:v>
      </x:c>
      <x:c r="E548" s="10" t="str">
        <x:v>SANTIAGO, Daniel. Identificação dos mortos na Operação Contenção avança no IML. Rádio Roquette Pinto, Rio de Janeiro, 11 nov. 2025. Disponível em: https://www.rj.gov.br/radioroquettepinto/node/12542. Acesso em: 11 nov. 2025.
</x:v>
      </x:c>
      <x:c r="F548" s="10" t="str">
        <x:v>Removido apenas na cópia tabular de análise; original preservado.</x:v>
      </x:c>
    </x:row>
    <x:row r="549" ht="64.80000305175781" hidden="0" customHeight="1">
      <x:c r="A549" s="10" t="str">
        <x:v>BR-SPDIREITOVIOLESTADO_MAPEAMENTOS-NOTICIAS-MSSCPENHA.xlsx</x:v>
      </x:c>
      <x:c r="B549" s="10" t="str">
        <x:v>Geral</x:v>
      </x:c>
      <x:c r="C549" s="10" t="str">
        <x:v>T272</x:v>
      </x:c>
      <x:c r="D549" s="10" t="str">
        <x:v>Espaço externo ou caractere invisível</x:v>
      </x:c>
      <x:c r="E549" s="10" t="str">
        <x:v>PEREIRA, Catiane. STF determina preservação das provas da Operação Contenção. Revista Afirmativa, Salvador, 5 nov. 2025. Disponível em: https://revistaafirmativa.com.br/stf-determina-preservacao-das-provas-da-operacao-contencao/. Acesso em: 11 nov. 2025.
</x:v>
      </x:c>
      <x:c r="F549" s="10" t="str">
        <x:v>Removido apenas na cópia tabular de análise; original preservado.</x:v>
      </x:c>
    </x:row>
    <x:row r="550" ht="64.80000305175781" hidden="0" customHeight="1">
      <x:c r="A550" s="10" t="str">
        <x:v>BR-SPDIREITOVIOLESTADO_MAPEAMENTOS-NOTICIAS-MSSCPENHA.xlsx</x:v>
      </x:c>
      <x:c r="B550" s="10" t="str">
        <x:v>Geral</x:v>
      </x:c>
      <x:c r="C550" s="10" t="str">
        <x:v>T274</x:v>
      </x:c>
      <x:c r="D550" s="10" t="str">
        <x:v>Espaço externo ou caractere invisível</x:v>
      </x:c>
      <x:c r="E550" s="10" t="str">
        <x:v>CAMPOS, Ana Maria. Cláudio Castro vira ídolo entre políticos no GP de Fórmula 1. Correio Braziliense, Brasília, 11 nov. 2025. Disponível em: https://blogs.correiobraziliense.com.br/cbpoder/tag/operacao-contencao/. Acesso em: 12 nov. 2025.
</x:v>
      </x:c>
      <x:c r="F550" s="10" t="str">
        <x:v>Removido apenas na cópia tabular de análise; original preservado.</x:v>
      </x:c>
    </x:row>
    <x:row r="551" ht="64.80000305175781" hidden="0" customHeight="1">
      <x:c r="A551" s="10" t="str">
        <x:v>BR-SPDIREITOVIOLESTADO_MAPEAMENTOS-NOTICIAS-MSSCPENHA.xlsx</x:v>
      </x:c>
      <x:c r="B551" s="10" t="str">
        <x:v>Geral</x:v>
      </x:c>
      <x:c r="C551" s="10" t="str">
        <x:v>T276</x:v>
      </x:c>
      <x:c r="D551" s="10" t="str">
        <x:v>Espaço externo ou caractere invisível</x:v>
      </x:c>
      <x:c r="E551" s="10" t="str">
        <x:v>VERENICZ, Marina. Secretário do Rio promete entregar documentos exigidos por Moraes sobre operação. InfoMoney, São Paulo, 11 nov. 2025. Disponível em: https://www.infomoney.com.br/politica/secretario-do-rio-promete-entregar-documentos-exigidos-por-moraes-sobre-operacao/. Acesso em: 12 nov. 2025.
</x:v>
      </x:c>
      <x:c r="F551" s="10" t="str">
        <x:v>Removido apenas na cópia tabular de análise; original preservado.</x:v>
      </x:c>
    </x:row>
    <x:row r="552" ht="64.80000305175781" hidden="0" customHeight="1">
      <x:c r="A552" s="10" t="str">
        <x:v>BR-SPDIREITOVIOLESTADO_MAPEAMENTOS-NOTICIAS-MSSCPENHA.xlsx</x:v>
      </x:c>
      <x:c r="B552" s="10" t="str">
        <x:v>Geral</x:v>
      </x:c>
      <x:c r="C552" s="10" t="str">
        <x:v>T278</x:v>
      </x:c>
      <x:c r="D552" s="10" t="str">
        <x:v>Espaço externo ou caractere invisível</x:v>
      </x:c>
      <x:c r="E552" s="10" t="str">
        <x:v>MONITOR MERCANTIL. Ainda a Operação Contenção: reflexões sobre a cidadania. Rio de Janeiro, 10 nov. 2025. Disponível em: https://monitormercantil.com.br/ainda-a-operacao-contencao-reflexoes-sobre-a-cidadania/. Acesso em: 12 nov. 2025.
</x:v>
      </x:c>
      <x:c r="F552" s="10" t="str">
        <x:v>Removido apenas na cópia tabular de análise; original preservado.</x:v>
      </x:c>
    </x:row>
    <x:row r="553" ht="64.80000305175781" hidden="0" customHeight="1">
      <x:c r="A553" s="10" t="str">
        <x:v>BR-SPDIREITOVIOLESTADO_MAPEAMENTOS-NOTICIAS-MSSCPENHA.xlsx</x:v>
      </x:c>
      <x:c r="B553" s="10" t="str">
        <x:v>Geral</x:v>
      </x:c>
      <x:c r="C553" s="10" t="str">
        <x:v>T279</x:v>
      </x:c>
      <x:c r="D553" s="10" t="str">
        <x:v>Espaço externo ou caractere invisível</x:v>
      </x:c>
      <x:c r="E553" s="10" t="str">
        <x:v>MONTEIRO, Flávio. Polícia revela o perfil dos 117 civis mortos em megaoperação no Rio. Veja, São Paulo, 3 nov. 2025. Disponível em: https://veja.abril.com.br/brasil/policia-revela-o-perfil-dos-117-civis-mortos-em-megaoperacao-no-rio/. Acesso em: 12 nov. 2025.
</x:v>
      </x:c>
      <x:c r="F553" s="10" t="str">
        <x:v>Removido apenas na cópia tabular de análise; original preservado.</x:v>
      </x:c>
    </x:row>
    <x:row r="554" ht="76.80000305175781" hidden="0" customHeight="1">
      <x:c r="A554" s="10" t="str">
        <x:v>BR-SPDIREITOVIOLESTADO_MAPEAMENTOS-NOTICIAS-MSSCPENHA.xlsx</x:v>
      </x:c>
      <x:c r="B554" s="10" t="str">
        <x:v>Geral</x:v>
      </x:c>
      <x:c r="C554" s="10" t="str">
        <x:v>T280</x:v>
      </x:c>
      <x:c r="D554" s="10" t="str">
        <x:v>Espaço externo ou caractere invisível</x:v>
      </x:c>
      <x:c r="E554" s="10" t="str">
        <x:v>VARSORI, Andrea. Análise: 'Operação Contenção' não vai ajudar na luta contra o narcotráfico. Terra / The Conversation, 6 nov. 2025. Disponível em: https://www.terra.com.br/noticias/analise-operacao-contencao-nao-vai-ajudar-na-luta-contra-o-narcotrafico,71e799e036b5f8cd9a1aa43604774350x0b94qfe.html. Acesso em: 12 nov. 2025.
</x:v>
      </x:c>
      <x:c r="F554" s="10" t="str">
        <x:v>Removido apenas na cópia tabular de análise; original preservado.</x:v>
      </x:c>
    </x:row>
    <x:row r="555" ht="76.80000305175781" hidden="0" customHeight="1">
      <x:c r="A555" s="10" t="str">
        <x:v>BR-SPDIREITOVIOLESTADO_MAPEAMENTOS-NOTICIAS-MSSCPENHA.xlsx</x:v>
      </x:c>
      <x:c r="B555" s="10" t="str">
        <x:v>Geral</x:v>
      </x:c>
      <x:c r="C555" s="10" t="str">
        <x:v>T281</x:v>
      </x:c>
      <x:c r="D555" s="10" t="str">
        <x:v>Espaço externo ou caractere invisível</x:v>
      </x:c>
      <x:c r="E555" s="10" t="str">
        <x:v>ROSSI, Marina; DINIZ, Iara. Corpos dos 117 mortos na operação no Rio são liberados do IML; apoio à ação da polícia é majoritário no Brasil, no Rio e em favelas cariocas, diz pesquisa. BBC News Brasil, São Paulo, 31 out. 2025. Atualizado em 3 nov. 2025. Disponível em: https://www.bbc.com/portuguese/articles/c625z2n88pxo. Acesso em: 12 nov. 2025.
</x:v>
      </x:c>
      <x:c r="F555" s="10" t="str">
        <x:v>Removido apenas na cópia tabular de análise; original preservado.</x:v>
      </x:c>
    </x:row>
    <x:row r="556" ht="64.80000305175781" hidden="0" customHeight="1">
      <x:c r="A556" s="10" t="str">
        <x:v>BR-SPDIREITOVIOLESTADO_MAPEAMENTOS-NOTICIAS-MSSCPENHA.xlsx</x:v>
      </x:c>
      <x:c r="B556" s="10" t="str">
        <x:v>Geral</x:v>
      </x:c>
      <x:c r="C556" s="10" t="str">
        <x:v>T282</x:v>
      </x:c>
      <x:c r="D556" s="10" t="str">
        <x:v>Espaço externo ou caractere invisível</x:v>
      </x:c>
      <x:c r="E556" s="10" t="str">
        <x:v>PODER360. IML do Rio identifica 99 dos 121 mortos na operação Contenção. Brasília, 31 out. 2025. Disponível em: https://www.poder360.com.br/poder-seguranca-publica/iml-do-rio-identifica-100-dos-121-mortos-na-operacao-contencao/. Acesso em: 12 nov. 2025.
</x:v>
      </x:c>
      <x:c r="F556" s="10" t="str">
        <x:v>Removido apenas na cópia tabular de análise; original preservado.</x:v>
      </x:c>
    </x:row>
    <x:row r="557" ht="64.80000305175781" hidden="0" customHeight="1">
      <x:c r="A557" s="10" t="str">
        <x:v>BR-SPDIREITOVIOLESTADO_MAPEAMENTOS-NOTICIAS-MSSCPENHA.xlsx</x:v>
      </x:c>
      <x:c r="B557" s="10" t="str">
        <x:v>Geral</x:v>
      </x:c>
      <x:c r="C557" s="10" t="str">
        <x:v>T285</x:v>
      </x:c>
      <x:c r="D557" s="10" t="str">
        <x:v>Espaço externo ou caractere invisível</x:v>
      </x:c>
      <x:c r="E557" s="10" t="str">
        <x:v>CASTRO, Carol. Como é viver sob a lei de ferro do Comando Vermelho (que continua exatamente como antes da megaoperação policial no Rio). BBC News Brasil, Rio de Janeiro, 9 nov. 2025. Disponível em: https://www.bbc.com/portuguese/articles/c1k0ger47geo. Acesso em: 12 nov. 2025.
</x:v>
      </x:c>
      <x:c r="F557" s="10" t="str">
        <x:v>Removido apenas na cópia tabular de análise; original preservado.</x:v>
      </x:c>
    </x:row>
    <x:row r="558" ht="76.80000305175781" hidden="0" customHeight="1">
      <x:c r="A558" s="10" t="str">
        <x:v>BR-SPDIREITOVIOLESTADO_MAPEAMENTOS-NOTICIAS-MSSCPENHA.xlsx</x:v>
      </x:c>
      <x:c r="B558" s="10" t="str">
        <x:v>Geral</x:v>
      </x:c>
      <x:c r="C558" s="10" t="str">
        <x:v>T286</x:v>
      </x:c>
      <x:c r="D558" s="10" t="str">
        <x:v>Espaço externo ou caractere invisível</x:v>
      </x:c>
      <x:c r="E558" s="10" t="str">
        <x:v>DINIZ, Marcela. Operação policial no Rio será investigada pela Comissão de Direitos Humanos. Rádio Senado, Brasília, 29 out. 2025. Disponível em: https://www12.senado.leg.br/radio/1/noticia/2025/10/29/operacao-policial-no-rio-com-132-mortos-sera-investigada-pela-comissao-de-direitos-humanos. Acesso em: 12 nov. 2025.
</x:v>
      </x:c>
      <x:c r="F558" s="10" t="str">
        <x:v>Removido apenas na cópia tabular de análise; original preservado.</x:v>
      </x:c>
    </x:row>
    <x:row r="559" ht="64.80000305175781" hidden="0" customHeight="1">
      <x:c r="A559" s="10" t="str">
        <x:v>BR-SPDIREITOVIOLESTADO_MAPEAMENTOS-NOTICIAS-MSSCPENHA.xlsx</x:v>
      </x:c>
      <x:c r="B559" s="10" t="str">
        <x:v>Geral</x:v>
      </x:c>
      <x:c r="C559" s="10" t="str">
        <x:v>T287</x:v>
      </x:c>
      <x:c r="D559" s="10" t="str">
        <x:v>Espaço externo ou caractere invisível</x:v>
      </x:c>
      <x:c r="E559" s="10" t="str">
        <x:v>PONTES, Felipe. Moraes manda RJ preservar vídeos e enviar laudos e fotos de operação. Agência Brasil, Brasília, 10 nov. 2025. Disponível em: https://agenciabrasil.ebc.com.br/justica/noticia/2025-11/moraes-manda-rj-preservar-videos-e-enviar-laudos-e-fotos-de-operacao. Acesso em: 12 nov. 2025.
</x:v>
      </x:c>
      <x:c r="F559" s="10" t="str">
        <x:v>Removido apenas na cópia tabular de análise; original preservado.</x:v>
      </x:c>
    </x:row>
    <x:row r="560" ht="64.80000305175781" hidden="0" customHeight="1">
      <x:c r="A560" s="10" t="str">
        <x:v>BR-SPDIREITOVIOLESTADO_MAPEAMENTOS-NOTICIAS-MSSCPENHA.xlsx</x:v>
      </x:c>
      <x:c r="B560" s="10" t="str">
        <x:v>Geral</x:v>
      </x:c>
      <x:c r="C560" s="10" t="str">
        <x:v>T288</x:v>
      </x:c>
      <x:c r="D560" s="10" t="str">
        <x:v>Espaço externo ou caractere invisível</x:v>
      </x:c>
      <x:c r="E560" s="10" t="str">
        <x:v>MACIA, Vinicius. Polícia Civil: 95% dos mortos em operação do Rio tinham ligação com o CV. Gazeta do Povo, Curitiba, 3 nov. 2025. Disponível em: https://www.gazetadopovo.com.br/brasil/policia-civil-identifica-115-mortos-na-operacao-contencao/. Acesso em: 12 nov. 2025.
</x:v>
      </x:c>
      <x:c r="F560" s="10" t="str">
        <x:v>Removido apenas na cópia tabular de análise; original preservado.</x:v>
      </x:c>
    </x:row>
    <x:row r="561" ht="64.80000305175781" hidden="0" customHeight="1">
      <x:c r="A561" s="10" t="str">
        <x:v>BR-SPDIREITOVIOLESTADO_MAPEAMENTOS-NOTICIAS-MSSCPENHA.xlsx</x:v>
      </x:c>
      <x:c r="B561" s="10" t="str">
        <x:v>Geral</x:v>
      </x:c>
      <x:c r="C561" s="10" t="str">
        <x:v>T289</x:v>
      </x:c>
      <x:c r="D561" s="10" t="str">
        <x:v>Espaço externo ou caractere invisível</x:v>
      </x:c>
      <x:c r="E561" s="10" t="str">
        <x:v>JULIÃO, Luciana. Análise: ‘Operação Contenção’ não vai ajudar na luta contra o narcotráfico. The Conversation, 6 nov. 2025. Disponível em: https://theconversation.com/analise-operacao-contencao-nao-vai-ajudar-na-luta-contra-o-narcotrafico-269235. Acesso em: 12 nov. 2025.
</x:v>
      </x:c>
      <x:c r="F561" s="10" t="str">
        <x:v>Removido apenas na cópia tabular de análise; original preservado.</x:v>
      </x:c>
    </x:row>
    <x:row r="562" ht="64.80000305175781" hidden="0" customHeight="1">
      <x:c r="A562" s="10" t="str">
        <x:v>BR-SPDIREITOVIOLESTADO_MAPEAMENTOS-NOTICIAS-MSSCPENHA.xlsx</x:v>
      </x:c>
      <x:c r="B562" s="10" t="str">
        <x:v>Geral</x:v>
      </x:c>
      <x:c r="C562" s="10" t="str">
        <x:v>T290</x:v>
      </x:c>
      <x:c r="D562" s="10" t="str">
        <x:v>Espaço externo ou caractere invisível</x:v>
      </x:c>
      <x:c r="E562" s="10" t="str">
        <x:v>PINHEIRO, Mirelle. Operação Contenção apreende arsenal ligado ao Comando Vermelho. Metrópoles, Brasília, 12 nov. 2025. Disponível em: https://www.metropoles.com/colunas/mirelle-pinheiro/operacao-contencao-apreende-arsenal-ligado-ao-comando-vermelho. Acesso em: 12 nov. 2025.
</x:v>
      </x:c>
      <x:c r="F562" s="10" t="str">
        <x:v>Removido apenas na cópia tabular de análise; original preservado.</x:v>
      </x:c>
    </x:row>
    <x:row r="563" ht="64.80000305175781" hidden="0" customHeight="1">
      <x:c r="A563" s="10" t="str">
        <x:v>BR-SPDIREITOVIOLESTADO_MAPEAMENTOS-NOTICIAS-MSSCPENHA.xlsx</x:v>
      </x:c>
      <x:c r="B563" s="10" t="str">
        <x:v>Geral</x:v>
      </x:c>
      <x:c r="C563" s="10" t="str">
        <x:v>T291</x:v>
      </x:c>
      <x:c r="D563" s="10" t="str">
        <x:v>Espaço externo ou caractere invisível</x:v>
      </x:c>
      <x:c r="E563" s="10" t="str">
        <x:v>PODER360. Leia o balanço sobre a operação contra o Comando Vermelho no Rio. Brasília, 1 nov. 2025. Disponível em: https://www.poder360.com.br/poder-seguranca-publica/leia-o-balanco-sobre-a-operacao-contra-o-comando-vermelho-no-rio/. Acesso em: 12 nov. 2025.
</x:v>
      </x:c>
      <x:c r="F563" s="10" t="str">
        <x:v>Removido apenas na cópia tabular de análise; original preservado.</x:v>
      </x:c>
    </x:row>
    <x:row r="564" ht="52.79999923706055" hidden="0" customHeight="1">
      <x:c r="A564" s="10" t="str">
        <x:v>BR-SPDIREITOVIOLESTADO_MAPEAMENTOS-NOTICIAS-MSSCPENHA.xlsx</x:v>
      </x:c>
      <x:c r="B564" s="10" t="str">
        <x:v>Geral</x:v>
      </x:c>
      <x:c r="C564" s="10" t="str">
        <x:v>T292</x:v>
      </x:c>
      <x:c r="D564" s="10" t="str">
        <x:v>Espaço externo ou caractere invisível</x:v>
      </x:c>
      <x:c r="E564" s="10" t="str">
        <x:v>GALLAS, Daniel. Os detalhes da lista que polícia fez para divulgar suspeitos mortos em megaoperação no Rio. BBC News Brasil, Londres, 6 nov. 2025. Disponível em: https://www.bbc.com/portuguese/articles/c7v80pll5mno. Acesso em: 12 nov. 2025.
</x:v>
      </x:c>
      <x:c r="F564" s="10" t="str">
        <x:v>Removido apenas na cópia tabular de análise; original preservado.</x:v>
      </x:c>
    </x:row>
    <x:row r="565" ht="64.80000305175781" hidden="0" customHeight="1">
      <x:c r="A565" s="10" t="str">
        <x:v>BR-SPDIREITOVIOLESTADO_MAPEAMENTOS-NOTICIAS-MSSCPENHA.xlsx</x:v>
      </x:c>
      <x:c r="B565" s="10" t="str">
        <x:v>Geral</x:v>
      </x:c>
      <x:c r="C565" s="10" t="str">
        <x:v>T293</x:v>
      </x:c>
      <x:c r="D565" s="10" t="str">
        <x:v>Espaço externo ou caractere invisível</x:v>
      </x:c>
      <x:c r="E565" s="10" t="str">
        <x:v>RODRIGUES, Alex. Congresso homenageia policiais mortos durante a Operação Contenção. Agência Brasil, Brasília, 12 nov. 2025. Disponível em: https://agenciabrasil.ebc.com.br/politica/noticia/2025-11/congresso-homenageia-policiais-mortos-durante-operacao-contencao. Acesso em: 12 nov. 2025.
</x:v>
      </x:c>
      <x:c r="F565" s="10" t="str">
        <x:v>Removido apenas na cópia tabular de análise; original preservado.</x:v>
      </x:c>
    </x:row>
    <x:row r="566" ht="64.80000305175781" hidden="0" customHeight="1">
      <x:c r="A566" s="10" t="str">
        <x:v>BR-SPDIREITOVIOLESTADO_MAPEAMENTOS-NOTICIAS-MSSCPENHA.xlsx</x:v>
      </x:c>
      <x:c r="B566" s="10" t="str">
        <x:v>Geral</x:v>
      </x:c>
      <x:c r="C566" s="10" t="str">
        <x:v>T294</x:v>
      </x:c>
      <x:c r="D566" s="10" t="str">
        <x:v>Espaço externo ou caractere invisível</x:v>
      </x:c>
      <x:c r="E566" s="10" t="str">
        <x:v>BRITO, Felipe. “Operação Contenção”: a chacina como combustível para a extrema direita. Blog da Boitempo, 29 out. 2025. Disponível em: https://blogdaboitempo.com.br/2025/10/29/operacao-contencao-a-chacina-como-combustivel-para-a-extrema-direita/. Acesso em: 12 nov. 2025.
</x:v>
      </x:c>
      <x:c r="F566" s="10" t="str">
        <x:v>Removido apenas na cópia tabular de análise; original preservado.</x:v>
      </x:c>
    </x:row>
    <x:row r="567" ht="64.80000305175781" hidden="0" customHeight="1">
      <x:c r="A567" s="10" t="str">
        <x:v>BR-SPDIREITOVIOLESTADO_MAPEAMENTOS-NOTICIAS-MSSCPENHA.xlsx</x:v>
      </x:c>
      <x:c r="B567" s="10" t="str">
        <x:v>Geral</x:v>
      </x:c>
      <x:c r="C567" s="10" t="str">
        <x:v>T295</x:v>
      </x:c>
      <x:c r="D567" s="10" t="str">
        <x:v>Espaço externo ou caractere invisível</x:v>
      </x:c>
      <x:c r="E567" s="10" t="str">
        <x:v>MACIA, Vinicius. Operação Contenção intercepta arsenal do Comando Vermelho. Gazeta do Povo, Curitiba, 12 nov. 2025. Disponível em: https://www.gazetadopovo.com.br/brasil/operacao-contencao-intercepta-arsenal-do-comando-vermelho/. Acesso em: 12 nov. 2025.
</x:v>
      </x:c>
      <x:c r="F567" s="10" t="str">
        <x:v>Removido apenas na cópia tabular de análise; original preservado.</x:v>
      </x:c>
    </x:row>
    <x:row r="568" ht="64.80000305175781" hidden="0" customHeight="1">
      <x:c r="A568" s="10" t="str">
        <x:v>BR-SPDIREITOVIOLESTADO_MAPEAMENTOS-NOTICIAS-MSSCPENHA.xlsx</x:v>
      </x:c>
      <x:c r="B568" s="10" t="str">
        <x:v>Geral</x:v>
      </x:c>
      <x:c r="C568" s="10" t="str">
        <x:v>T296</x:v>
      </x:c>
      <x:c r="D568" s="10" t="str">
        <x:v>Espaço externo ou caractere invisível</x:v>
      </x:c>
      <x:c r="E568" s="10" t="str">
        <x:v>MACIA, Vinicius. Operação Contenção foi desastrosa? 74% do RJ discorda de Lula, segundo Real Time. Gazeta do Povo, Curitiba, 6 nov. 2025. Disponível em: https://www.gazetadopovo.com.br/brasil/operacao-contencao-74-discordam-que-foi-desastrosa/. Acesso em: 12 nov. 2025.
</x:v>
      </x:c>
      <x:c r="F568" s="10" t="str">
        <x:v>Removido apenas na cópia tabular de análise; original preservado.</x:v>
      </x:c>
    </x:row>
    <x:row r="569" ht="52.79999923706055" hidden="0" customHeight="1">
      <x:c r="A569" s="10" t="str">
        <x:v>BR-SPDIREITOVIOLESTADO_MAPEAMENTOS-NOTICIAS-MSSCPENHA.xlsx</x:v>
      </x:c>
      <x:c r="B569" s="10" t="str">
        <x:v>Geral</x:v>
      </x:c>
      <x:c r="C569" s="10" t="str">
        <x:v>T297</x:v>
      </x:c>
      <x:c r="D569" s="10" t="str">
        <x:v>Espaço externo ou caractere invisível</x:v>
      </x:c>
      <x:c r="E569" s="10" t="str">
        <x:v>ISTOÉ. Moraes suspende inquérito contra famílias de mortos na Operação Contenção. São Paulo, 11 nov. 2025. Disponível em: https://istoe.com.br/moraes-suspende-familias-mortos. Acesso em: 12 nov. 2025.
</x:v>
      </x:c>
      <x:c r="F569" s="10" t="str">
        <x:v>Removido apenas na cópia tabular de análise; original preservado.</x:v>
      </x:c>
    </x:row>
    <x:row r="570" ht="15" hidden="0" customHeight="1">
      <x:c r="A570" s="10" t="str">
        <x:v>BR-SPDIREITOVIOLESTADO_MAPEAMENTOS-NOTICIAS-MSSCPENHA.xlsx</x:v>
      </x:c>
      <x:c r="B570" s="10" t="str">
        <x:v>Geral</x:v>
      </x:c>
      <x:c r="C570" s="10" t="str">
        <x:v>K48</x:v>
      </x:c>
      <x:c r="D570" s="10" t="str">
        <x:v>Registro sem título do documento</x:v>
      </x:c>
      <x:c r="E570" s="10" t="str"/>
      <x:c r="F570" s="10" t="str">
        <x:v>Preservado por possuir iniciativa preenchida; completar o título na origem.</x:v>
      </x:c>
    </x:row>
    <x:row r="571" ht="15" hidden="0" customHeight="1">
      <x:c r="A571" s="10" t="str">
        <x:v>BR-SPDIREITOVIOLESTADO_MAPEAMENTOS-NOTICIAS-MSSCPENHA.xlsx</x:v>
      </x:c>
      <x:c r="B571" s="10" t="str">
        <x:v>Geral</x:v>
      </x:c>
      <x:c r="C571" s="10" t="str">
        <x:v>K60</x:v>
      </x:c>
      <x:c r="D571" s="10" t="str">
        <x:v>Registro sem título do documento</x:v>
      </x:c>
      <x:c r="E571" s="10" t="str"/>
      <x:c r="F571" s="10" t="str">
        <x:v>Preservado por possuir iniciativa preenchida; completar o título na origem.</x:v>
      </x:c>
    </x:row>
    <x:row r="572" ht="15" hidden="0" customHeight="1">
      <x:c r="A572" s="10" t="str">
        <x:v>BR-SPDIREITOVIOLESTADO_MAPEAMENTOS-NOTICIAS-MSSCPENHA.xlsx</x:v>
      </x:c>
      <x:c r="B572" s="10" t="str">
        <x:v>Geral</x:v>
      </x:c>
      <x:c r="C572" s="10" t="str">
        <x:v>K72</x:v>
      </x:c>
      <x:c r="D572" s="10" t="str">
        <x:v>Registro sem título do documento</x:v>
      </x:c>
      <x:c r="E572" s="10" t="str"/>
      <x:c r="F572" s="10" t="str">
        <x:v>Preservado por possuir iniciativa preenchida; completar o título na origem.</x:v>
      </x:c>
    </x:row>
    <x:row r="573" ht="15" hidden="0" customHeight="1">
      <x:c r="A573" s="10" t="str">
        <x:v>BR-SPDIREITOVIOLESTADO_MAPEAMENTOS-NOTICIAS-MSSCPENHA.xlsx</x:v>
      </x:c>
      <x:c r="B573" s="10" t="str">
        <x:v>Geral</x:v>
      </x:c>
      <x:c r="C573" s="10" t="str">
        <x:v>K77</x:v>
      </x:c>
      <x:c r="D573" s="10" t="str">
        <x:v>Registro sem título do documento</x:v>
      </x:c>
      <x:c r="E573" s="10" t="str"/>
      <x:c r="F573" s="10" t="str">
        <x:v>Preservado por possuir iniciativa preenchida; completar o título na origem.</x:v>
      </x:c>
    </x:row>
    <x:row r="574" ht="15" hidden="0" customHeight="1">
      <x:c r="A574" s="10" t="str">
        <x:v>BR-SPDIREITOVIOLESTADO_MAPEAMENTOS-NOTICIAS-MSSCPENHA.xlsx</x:v>
      </x:c>
      <x:c r="B574" s="10" t="str">
        <x:v>Geral</x:v>
      </x:c>
      <x:c r="C574" s="10" t="str">
        <x:v>B307</x:v>
      </x:c>
      <x:c r="D574" s="10" t="str">
        <x:v>Linha sem iniciativa</x:v>
      </x:c>
      <x:c r="E574" s="10" t="str"/>
      <x:c r="F574" s="10" t="str">
        <x:v>Excluída da cópia de análise. Preservada no original como linha incompleta ou modelo.</x:v>
      </x:c>
    </x:row>
    <x:row r="575" ht="15" hidden="0" customHeight="1">
      <x:c r="A575" s="10" t="str">
        <x:v>BR-SPDIREITOVIOLESTADO_MAPEAMENTOS-NOTICIAS-MSSCPENHA.xlsx</x:v>
      </x:c>
      <x:c r="B575" s="10" t="str">
        <x:v>Geral</x:v>
      </x:c>
      <x:c r="C575" s="10" t="str">
        <x:v>B308</x:v>
      </x:c>
      <x:c r="D575" s="10" t="str">
        <x:v>Linha sem iniciativa</x:v>
      </x:c>
      <x:c r="E575" s="10" t="str"/>
      <x:c r="F575" s="10" t="str">
        <x:v>Excluída da cópia de análise. Preservada no original como linha incompleta ou modelo.</x:v>
      </x:c>
    </x:row>
    <x:row r="576" ht="15" hidden="0" customHeight="1">
      <x:c r="A576" s="10" t="str">
        <x:v>BR-SPDIREITOVIOLESTADO_MAPEAMENTOS-NOTICIAS-MSSCPENHA.xlsx</x:v>
      </x:c>
      <x:c r="B576" s="10" t="str">
        <x:v>Geral</x:v>
      </x:c>
      <x:c r="C576" s="10" t="str">
        <x:v>B309</x:v>
      </x:c>
      <x:c r="D576" s="10" t="str">
        <x:v>Linha sem iniciativa</x:v>
      </x:c>
      <x:c r="E576" s="10" t="str"/>
      <x:c r="F576" s="10" t="str">
        <x:v>Excluída da cópia de análise. Preservada no original como linha incompleta ou modelo.</x:v>
      </x:c>
    </x:row>
    <x:row r="577" ht="15" hidden="0" customHeight="1">
      <x:c r="A577" s="10" t="str">
        <x:v>BR-SPDIREITOVIOLESTADO_MAPEAMENTOS-NOTICIAS-MSSCPENHA.xlsx</x:v>
      </x:c>
      <x:c r="B577" s="10" t="str">
        <x:v>Geral</x:v>
      </x:c>
      <x:c r="C577" s="10" t="str">
        <x:v>B310</x:v>
      </x:c>
      <x:c r="D577" s="10" t="str">
        <x:v>Linha sem iniciativa</x:v>
      </x:c>
      <x:c r="E577" s="10" t="str"/>
      <x:c r="F577" s="10" t="str">
        <x:v>Excluída da cópia de análise. Preservada no original como linha incompleta ou modelo.</x:v>
      </x:c>
    </x:row>
    <x:row r="578" ht="15" hidden="0" customHeight="1">
      <x:c r="A578" s="10" t="str">
        <x:v>BR-SPDIREITOVIOLESTADO_MAPEAMENTOS-NOTICIAS-MSSCPENHA.xlsx</x:v>
      </x:c>
      <x:c r="B578" s="10" t="str">
        <x:v>Geral</x:v>
      </x:c>
      <x:c r="C578" s="10" t="str">
        <x:v>B311</x:v>
      </x:c>
      <x:c r="D578" s="10" t="str">
        <x:v>Linha sem iniciativa</x:v>
      </x:c>
      <x:c r="E578" s="10" t="str"/>
      <x:c r="F578" s="10" t="str">
        <x:v>Excluída da cópia de análise. Preservada no original como linha incompleta ou modelo.</x:v>
      </x:c>
    </x:row>
    <x:row r="579" ht="15" hidden="0" customHeight="1">
      <x:c r="A579" s="10" t="str">
        <x:v>BR-SPDIREITOVIOLESTADO_MAPEAMENTOS-NOTICIAS-MSSCPENHA.xlsx</x:v>
      </x:c>
      <x:c r="B579" s="10" t="str">
        <x:v>Geral</x:v>
      </x:c>
      <x:c r="C579" s="10" t="str">
        <x:v>B312</x:v>
      </x:c>
      <x:c r="D579" s="10" t="str">
        <x:v>Linha sem iniciativa</x:v>
      </x:c>
      <x:c r="E579" s="10" t="str"/>
      <x:c r="F579" s="10" t="str">
        <x:v>Excluída da cópia de análise. Preservada no original como linha incompleta ou modelo.</x:v>
      </x:c>
    </x:row>
    <x:row r="580" ht="15" hidden="0" customHeight="1">
      <x:c r="A580" s="10" t="str">
        <x:v>BR-SPDIREITOVIOLESTADO_MAPEAMENTOS-NOTICIAS-MSSCPENHA.xlsx</x:v>
      </x:c>
      <x:c r="B580" s="10" t="str">
        <x:v>Geral</x:v>
      </x:c>
      <x:c r="C580" s="10" t="str">
        <x:v>B313</x:v>
      </x:c>
      <x:c r="D580" s="10" t="str">
        <x:v>Linha sem iniciativa</x:v>
      </x:c>
      <x:c r="E580" s="10" t="str"/>
      <x:c r="F580" s="10" t="str">
        <x:v>Excluída da cópia de análise. Preservada no original como linha incompleta ou modelo.</x:v>
      </x:c>
    </x:row>
    <x:row r="581" ht="15" hidden="0" customHeight="1">
      <x:c r="A581" s="10" t="str">
        <x:v>BR-SPDIREITOVIOLESTADO_MAPEAMENTOS-NOTICIAS-MSSCPENHA.xlsx</x:v>
      </x:c>
      <x:c r="B581" s="10" t="str">
        <x:v>Geral</x:v>
      </x:c>
      <x:c r="C581" s="10" t="str">
        <x:v>B314</x:v>
      </x:c>
      <x:c r="D581" s="10" t="str">
        <x:v>Linha sem iniciativa</x:v>
      </x:c>
      <x:c r="E581" s="10" t="str"/>
      <x:c r="F581" s="10" t="str">
        <x:v>Excluída da cópia de análise. Preservada no original como linha incompleta ou modelo.</x:v>
      </x:c>
    </x:row>
    <x:row r="582" ht="15" hidden="0" customHeight="1">
      <x:c r="A582" s="10" t="str">
        <x:v>BR-SPDIREITOVIOLESTADO_MAPEAMENTOS-NOTICIAS-MSSCPENHA.xlsx</x:v>
      </x:c>
      <x:c r="B582" s="10" t="str">
        <x:v>Geral</x:v>
      </x:c>
      <x:c r="C582" s="10" t="str">
        <x:v>B315</x:v>
      </x:c>
      <x:c r="D582" s="10" t="str">
        <x:v>Linha sem iniciativa</x:v>
      </x:c>
      <x:c r="E582" s="10" t="str"/>
      <x:c r="F582" s="10" t="str">
        <x:v>Excluída da cópia de análise. Preservada no original como linha incompleta ou modelo.</x:v>
      </x:c>
    </x:row>
    <x:row r="583" ht="15" hidden="0" customHeight="1">
      <x:c r="A583" s="10" t="str">
        <x:v>BR-SPDIREITOVIOLESTADO_MAPEAMENTOS-NOTICIAS-MSSCPENHA.xlsx</x:v>
      </x:c>
      <x:c r="B583" s="10" t="str">
        <x:v>Geral</x:v>
      </x:c>
      <x:c r="C583" s="10" t="str">
        <x:v>B316</x:v>
      </x:c>
      <x:c r="D583" s="10" t="str">
        <x:v>Linha sem iniciativa</x:v>
      </x:c>
      <x:c r="E583" s="10" t="str"/>
      <x:c r="F583" s="10" t="str">
        <x:v>Excluída da cópia de análise. Preservada no original como linha incompleta ou modelo.</x:v>
      </x:c>
    </x:row>
    <x:row r="584" ht="15" hidden="0" customHeight="1">
      <x:c r="A584" s="10" t="str">
        <x:v>BR-SPDIREITOVIOLESTADO_MAPEAMENTOS-NOTICIAS-MSSCPENHA.xlsx</x:v>
      </x:c>
      <x:c r="B584" s="10" t="str">
        <x:v>Geral</x:v>
      </x:c>
      <x:c r="C584" s="10" t="str">
        <x:v>B317</x:v>
      </x:c>
      <x:c r="D584" s="10" t="str">
        <x:v>Linha sem iniciativa</x:v>
      </x:c>
      <x:c r="E584" s="10" t="str"/>
      <x:c r="F584" s="10" t="str">
        <x:v>Excluída da cópia de análise. Preservada no original como linha incompleta ou modelo.</x:v>
      </x:c>
    </x:row>
    <x:row r="585" ht="15" hidden="0" customHeight="1">
      <x:c r="A585" s="10" t="str">
        <x:v>BR-SPDIREITOVIOLESTADO_MAPEAMENTOS-NOTICIAS-MSSCPENHA.xlsx</x:v>
      </x:c>
      <x:c r="B585" s="10" t="str">
        <x:v>Geral</x:v>
      </x:c>
      <x:c r="C585" s="10" t="str">
        <x:v>B318</x:v>
      </x:c>
      <x:c r="D585" s="10" t="str">
        <x:v>Linha sem iniciativa</x:v>
      </x:c>
      <x:c r="E585" s="10" t="str"/>
      <x:c r="F585" s="10" t="str">
        <x:v>Excluída da cópia de análise. Preservada no original como linha incompleta ou modelo.</x:v>
      </x:c>
    </x:row>
    <x:row r="586" ht="15" hidden="0" customHeight="1">
      <x:c r="A586" s="10" t="str">
        <x:v>BR-SPDIREITOVIOLESTADO_MAPEAMENTOS-NOTICIAS-MSSCPENHA.xlsx</x:v>
      </x:c>
      <x:c r="B586" s="10" t="str">
        <x:v>Geral</x:v>
      </x:c>
      <x:c r="C586" s="10" t="str">
        <x:v>B319</x:v>
      </x:c>
      <x:c r="D586" s="10" t="str">
        <x:v>Linha sem iniciativa</x:v>
      </x:c>
      <x:c r="E586" s="10" t="str"/>
      <x:c r="F586" s="10" t="str">
        <x:v>Excluída da cópia de análise. Preservada no original como linha incompleta ou modelo.</x:v>
      </x:c>
    </x:row>
    <x:row r="587" ht="15" hidden="0" customHeight="1">
      <x:c r="A587" s="10" t="str">
        <x:v>BR-SPDIREITOVIOLESTADO_MAPEAMENTOS-NOTICIAS-MSSCPENHA.xlsx</x:v>
      </x:c>
      <x:c r="B587" s="10" t="str">
        <x:v>Geral</x:v>
      </x:c>
      <x:c r="C587" s="10" t="str">
        <x:v>B320</x:v>
      </x:c>
      <x:c r="D587" s="10" t="str">
        <x:v>Linha sem iniciativa</x:v>
      </x:c>
      <x:c r="E587" s="10" t="str"/>
      <x:c r="F587" s="10" t="str">
        <x:v>Excluída da cópia de análise. Preservada no original como linha incompleta ou modelo.</x:v>
      </x:c>
    </x:row>
    <x:row r="588" ht="15" hidden="0" customHeight="1">
      <x:c r="A588" s="10" t="str">
        <x:v>BR-SPDIREITOVIOLESTADO_MAPEAMENTOS-NOTICIAS-MSSCPENHA.xlsx</x:v>
      </x:c>
      <x:c r="B588" s="10" t="str">
        <x:v>Geral</x:v>
      </x:c>
      <x:c r="C588" s="10" t="str">
        <x:v>B321</x:v>
      </x:c>
      <x:c r="D588" s="10" t="str">
        <x:v>Linha sem iniciativa</x:v>
      </x:c>
      <x:c r="E588" s="10" t="str"/>
      <x:c r="F588" s="10" t="str">
        <x:v>Excluída da cópia de análise. Preservada no original como linha incompleta ou modelo.</x:v>
      </x:c>
    </x:row>
    <x:row r="589" ht="15" hidden="0" customHeight="1">
      <x:c r="A589" s="10" t="str">
        <x:v>BR-SPDIREITOVIOLESTADO_MAPEAMENTOS-NOTICIAS-MSSCPENHA.xlsx</x:v>
      </x:c>
      <x:c r="B589" s="10" t="str">
        <x:v>Geral</x:v>
      </x:c>
      <x:c r="C589" s="10" t="str">
        <x:v>B322</x:v>
      </x:c>
      <x:c r="D589" s="10" t="str">
        <x:v>Linha sem iniciativa</x:v>
      </x:c>
      <x:c r="E589" s="10" t="str"/>
      <x:c r="F589" s="10" t="str">
        <x:v>Excluída da cópia de análise. Preservada no original como linha incompleta ou modelo.</x:v>
      </x:c>
    </x:row>
    <x:row r="590" ht="15" hidden="0" customHeight="1">
      <x:c r="A590" s="10" t="str">
        <x:v>BR-SPDIREITOVIOLESTADO_MAPEAMENTOS-NOTICIAS-MSSCPENHA.xlsx</x:v>
      </x:c>
      <x:c r="B590" s="10" t="str">
        <x:v>Geral</x:v>
      </x:c>
      <x:c r="C590" s="10" t="str">
        <x:v>B323</x:v>
      </x:c>
      <x:c r="D590" s="10" t="str">
        <x:v>Linha sem iniciativa</x:v>
      </x:c>
      <x:c r="E590" s="10" t="str"/>
      <x:c r="F590" s="10" t="str">
        <x:v>Excluída da cópia de análise. Preservada no original como linha incompleta ou modelo.</x:v>
      </x:c>
    </x:row>
    <x:row r="591" ht="15" hidden="0" customHeight="1">
      <x:c r="A591" s="10" t="str">
        <x:v>BR-SPDIREITOVIOLESTADO_MAPEAMENTOS-NOTICIAS-MSSCPENHA.xlsx</x:v>
      </x:c>
      <x:c r="B591" s="10" t="str">
        <x:v>Geral</x:v>
      </x:c>
      <x:c r="C591" s="10" t="str">
        <x:v>B324</x:v>
      </x:c>
      <x:c r="D591" s="10" t="str">
        <x:v>Linha sem iniciativa</x:v>
      </x:c>
      <x:c r="E591" s="10" t="str"/>
      <x:c r="F591" s="10" t="str">
        <x:v>Excluída da cópia de análise. Preservada no original como linha incompleta ou modelo.</x:v>
      </x:c>
    </x:row>
    <x:row r="592" ht="15" hidden="0" customHeight="1">
      <x:c r="A592" s="10" t="str">
        <x:v>BR-SPDIREITOVIOLESTADO_MAPEAMENTOS-NOTICIAS-MSSCPENHA.xlsx</x:v>
      </x:c>
      <x:c r="B592" s="10" t="str">
        <x:v>Geral</x:v>
      </x:c>
      <x:c r="C592" s="10" t="str">
        <x:v>B325</x:v>
      </x:c>
      <x:c r="D592" s="10" t="str">
        <x:v>Linha sem iniciativa</x:v>
      </x:c>
      <x:c r="E592" s="10" t="str"/>
      <x:c r="F592" s="10" t="str">
        <x:v>Excluída da cópia de análise. Preservada no original como linha incompleta ou modelo.</x:v>
      </x:c>
    </x:row>
    <x:row r="593" ht="15" hidden="0" customHeight="1">
      <x:c r="A593" s="10" t="str">
        <x:v>BR-SPDIREITOVIOLESTADO_MAPEAMENTOS-NOTICIAS-MSSCPENHA.xlsx</x:v>
      </x:c>
      <x:c r="B593" s="10" t="str">
        <x:v>Geral</x:v>
      </x:c>
      <x:c r="C593" s="10" t="str">
        <x:v>B326</x:v>
      </x:c>
      <x:c r="D593" s="10" t="str">
        <x:v>Linha sem iniciativa</x:v>
      </x:c>
      <x:c r="E593" s="10" t="str"/>
      <x:c r="F593" s="10" t="str">
        <x:v>Excluída da cópia de análise. Preservada no original como linha incompleta ou modelo.</x:v>
      </x:c>
    </x:row>
    <x:row r="594" ht="15" hidden="0" customHeight="1">
      <x:c r="A594" s="10" t="str">
        <x:v>BR-SPDIREITOVIOLESTADO_MAPEAMENTOS-NOTICIAS-MSSCPENHA.xlsx</x:v>
      </x:c>
      <x:c r="B594" s="10" t="str">
        <x:v>Geral</x:v>
      </x:c>
      <x:c r="C594" s="10" t="str">
        <x:v>B327</x:v>
      </x:c>
      <x:c r="D594" s="10" t="str">
        <x:v>Linha sem iniciativa</x:v>
      </x:c>
      <x:c r="E594" s="10" t="str"/>
      <x:c r="F594" s="10" t="str">
        <x:v>Excluída da cópia de análise. Preservada no original como linha incompleta ou modelo.</x:v>
      </x:c>
    </x:row>
    <x:row r="595" ht="15" hidden="0" customHeight="1">
      <x:c r="A595" s="10" t="str">
        <x:v>BR-SPDIREITOVIOLESTADO_MAPEAMENTOS-NOTICIAS-MSSCPENHA.xlsx</x:v>
      </x:c>
      <x:c r="B595" s="10" t="str">
        <x:v>Geral</x:v>
      </x:c>
      <x:c r="C595" s="10" t="str">
        <x:v>B328</x:v>
      </x:c>
      <x:c r="D595" s="10" t="str">
        <x:v>Linha sem iniciativa</x:v>
      </x:c>
      <x:c r="E595" s="10" t="str"/>
      <x:c r="F595" s="10" t="str">
        <x:v>Excluída da cópia de análise. Preservada no original como linha incompleta ou modelo.</x:v>
      </x:c>
    </x:row>
    <x:row r="596" ht="15" hidden="0" customHeight="1">
      <x:c r="A596" s="10" t="str">
        <x:v>BR-SPDIREITOVIOLESTADO_MAPEAMENTOS-NOTICIAS-MSSCPENHA.xlsx</x:v>
      </x:c>
      <x:c r="B596" s="10" t="str">
        <x:v>Geral</x:v>
      </x:c>
      <x:c r="C596" s="10" t="str">
        <x:v>B329</x:v>
      </x:c>
      <x:c r="D596" s="10" t="str">
        <x:v>Linha sem iniciativa</x:v>
      </x:c>
      <x:c r="E596" s="10" t="str"/>
      <x:c r="F596" s="10" t="str">
        <x:v>Excluída da cópia de análise. Preservada no original como linha incompleta ou modelo.</x:v>
      </x:c>
    </x:row>
    <x:row r="597" ht="15" hidden="0" customHeight="1">
      <x:c r="A597" s="10" t="str">
        <x:v>BR-SPDIREITOVIOLESTADO_MAPEAMENTOS-NOTICIAS-MSSCPENHA.xlsx</x:v>
      </x:c>
      <x:c r="B597" s="10" t="str">
        <x:v>Geral</x:v>
      </x:c>
      <x:c r="C597" s="10" t="str">
        <x:v>B330</x:v>
      </x:c>
      <x:c r="D597" s="10" t="str">
        <x:v>Linha sem iniciativa</x:v>
      </x:c>
      <x:c r="E597" s="10" t="str"/>
      <x:c r="F597" s="10" t="str">
        <x:v>Excluída da cópia de análise. Preservada no original como linha incompleta ou modelo.</x:v>
      </x:c>
    </x:row>
    <x:row r="598" ht="15" hidden="0" customHeight="1">
      <x:c r="A598" s="10" t="str">
        <x:v>BR-SPDIREITOVIOLESTADO_MAPEAMENTOS-NOTICIAS-MSSCPENHA.xlsx</x:v>
      </x:c>
      <x:c r="B598" s="10" t="str">
        <x:v>Geral</x:v>
      </x:c>
      <x:c r="C598" s="10" t="str">
        <x:v>B331</x:v>
      </x:c>
      <x:c r="D598" s="10" t="str">
        <x:v>Linha sem iniciativa</x:v>
      </x:c>
      <x:c r="E598" s="10" t="str"/>
      <x:c r="F598" s="10" t="str">
        <x:v>Excluída da cópia de análise. Preservada no original como linha incompleta ou modelo.</x:v>
      </x:c>
    </x:row>
    <x:row r="599" ht="15" hidden="0" customHeight="1">
      <x:c r="A599" s="10" t="str">
        <x:v>BR-SPDIREITOVIOLESTADO_MAPEAMENTOS-NOTICIAS-MSSCPENHA.xlsx</x:v>
      </x:c>
      <x:c r="B599" s="10" t="str">
        <x:v>Geral</x:v>
      </x:c>
      <x:c r="C599" s="10" t="str">
        <x:v>B332</x:v>
      </x:c>
      <x:c r="D599" s="10" t="str">
        <x:v>Linha sem iniciativa</x:v>
      </x:c>
      <x:c r="E599" s="10" t="str"/>
      <x:c r="F599" s="10" t="str">
        <x:v>Excluída da cópia de análise. Preservada no original como linha incompleta ou modelo.</x:v>
      </x:c>
    </x:row>
    <x:row r="600" ht="15" hidden="0" customHeight="1">
      <x:c r="A600" s="10" t="str">
        <x:v>BR-SPDIREITOVIOLESTADO_MAPEAMENTOS-NOTICIAS-MSSCPENHA.xlsx</x:v>
      </x:c>
      <x:c r="B600" s="10" t="str">
        <x:v>Geral</x:v>
      </x:c>
      <x:c r="C600" s="10" t="str">
        <x:v>B333</x:v>
      </x:c>
      <x:c r="D600" s="10" t="str">
        <x:v>Linha sem iniciativa</x:v>
      </x:c>
      <x:c r="E600" s="10" t="str"/>
      <x:c r="F600" s="10" t="str">
        <x:v>Excluída da cópia de análise. Preservada no original como linha incompleta ou modelo.</x:v>
      </x:c>
    </x:row>
    <x:row r="601" ht="15" hidden="0" customHeight="1">
      <x:c r="A601" s="10" t="str">
        <x:v>BR-SPDIREITOVIOLESTADO_MAPEAMENTOS-NOTICIAS-MSSCPENHA.xlsx</x:v>
      </x:c>
      <x:c r="B601" s="10" t="str">
        <x:v>Geral</x:v>
      </x:c>
      <x:c r="C601" s="10" t="str">
        <x:v>B334</x:v>
      </x:c>
      <x:c r="D601" s="10" t="str">
        <x:v>Linha sem iniciativa</x:v>
      </x:c>
      <x:c r="E601" s="10" t="str"/>
      <x:c r="F601" s="10" t="str">
        <x:v>Excluída da cópia de análise. Preservada no original como linha incompleta ou modelo.</x:v>
      </x:c>
    </x:row>
    <x:row r="602" ht="15" hidden="0" customHeight="1">
      <x:c r="A602" s="10" t="str">
        <x:v>BR-SPDIREITOVIOLESTADO_MAPEAMENTOS-NOTICIAS-MSSCPENHA.xlsx</x:v>
      </x:c>
      <x:c r="B602" s="10" t="str">
        <x:v>Geral</x:v>
      </x:c>
      <x:c r="C602" s="10" t="str">
        <x:v>B335</x:v>
      </x:c>
      <x:c r="D602" s="10" t="str">
        <x:v>Linha sem iniciativa</x:v>
      </x:c>
      <x:c r="E602" s="10" t="str"/>
      <x:c r="F602" s="10" t="str">
        <x:v>Excluída da cópia de análise. Preservada no original como linha incompleta ou modelo.</x:v>
      </x:c>
    </x:row>
    <x:row r="603" ht="15" hidden="0" customHeight="1">
      <x:c r="A603" s="10" t="str">
        <x:v>BR-SPDIREITOVIOLESTADO_MAPEAMENTOS-NOTICIAS-MSSCPENHA.xlsx</x:v>
      </x:c>
      <x:c r="B603" s="10" t="str">
        <x:v>Geral</x:v>
      </x:c>
      <x:c r="C603" s="10" t="str">
        <x:v>B336</x:v>
      </x:c>
      <x:c r="D603" s="10" t="str">
        <x:v>Linha sem iniciativa</x:v>
      </x:c>
      <x:c r="E603" s="10" t="str"/>
      <x:c r="F603" s="10" t="str">
        <x:v>Excluída da cópia de análise. Preservada no original como linha incompleta ou modelo.</x:v>
      </x:c>
    </x:row>
    <x:row r="604" ht="15" hidden="0" customHeight="1">
      <x:c r="A604" s="10" t="str">
        <x:v>BR-SPDIREITOVIOLESTADO_MAPEAMENTOS-NOTICIAS-MSSCPENHA.xlsx</x:v>
      </x:c>
      <x:c r="B604" s="10" t="str">
        <x:v>Geral</x:v>
      </x:c>
      <x:c r="C604" s="10" t="str">
        <x:v>B337</x:v>
      </x:c>
      <x:c r="D604" s="10" t="str">
        <x:v>Linha sem iniciativa</x:v>
      </x:c>
      <x:c r="E604" s="10" t="str"/>
      <x:c r="F604" s="10" t="str">
        <x:v>Excluída da cópia de análise. Preservada no original como linha incompleta ou modelo.</x:v>
      </x:c>
    </x:row>
    <x:row r="605" ht="15" hidden="0" customHeight="1">
      <x:c r="A605" s="10" t="str">
        <x:v>BR-SPDIREITOVIOLESTADO_MAPEAMENTOS-NOTICIAS-MSSCPENHA.xlsx</x:v>
      </x:c>
      <x:c r="B605" s="10" t="str">
        <x:v>Geral</x:v>
      </x:c>
      <x:c r="C605" s="10" t="str">
        <x:v>B338</x:v>
      </x:c>
      <x:c r="D605" s="10" t="str">
        <x:v>Linha sem iniciativa</x:v>
      </x:c>
      <x:c r="E605" s="10" t="str"/>
      <x:c r="F605" s="10" t="str">
        <x:v>Excluída da cópia de análise. Preservada no original como linha incompleta ou modelo.</x:v>
      </x:c>
    </x:row>
    <x:row r="606" ht="15" hidden="0" customHeight="1">
      <x:c r="A606" s="10" t="str">
        <x:v>BR-SPDIREITOVIOLESTADO_MAPEAMENTOS-NOTICIAS-MSSCPENHA.xlsx</x:v>
      </x:c>
      <x:c r="B606" s="10" t="str">
        <x:v>Geral</x:v>
      </x:c>
      <x:c r="C606" s="10" t="str">
        <x:v>B339</x:v>
      </x:c>
      <x:c r="D606" s="10" t="str">
        <x:v>Linha sem iniciativa</x:v>
      </x:c>
      <x:c r="E606" s="10" t="str"/>
      <x:c r="F606" s="10" t="str">
        <x:v>Excluída da cópia de análise. Preservada no original como linha incompleta ou modelo.</x:v>
      </x:c>
    </x:row>
    <x:row r="607" ht="15" hidden="0" customHeight="1">
      <x:c r="A607" s="10" t="str">
        <x:v>BR-SPDIREITOVIOLESTADO_MAPEAMENTOS-NOTICIAS-MSSCPENHA.xlsx</x:v>
      </x:c>
      <x:c r="B607" s="10" t="str">
        <x:v>Geral</x:v>
      </x:c>
      <x:c r="C607" s="10" t="str">
        <x:v>B340</x:v>
      </x:c>
      <x:c r="D607" s="10" t="str">
        <x:v>Linha sem iniciativa</x:v>
      </x:c>
      <x:c r="E607" s="10" t="str"/>
      <x:c r="F607" s="10" t="str">
        <x:v>Excluída da cópia de análise. Preservada no original como linha incompleta ou modelo.</x:v>
      </x:c>
    </x:row>
    <x:row r="608" ht="15" hidden="0" customHeight="1">
      <x:c r="A608" s="10" t="str">
        <x:v>BR-SPDIREITOVIOLESTADO_MAPEAMENTOS-NOTICIAS-MSSCPENHA.xlsx</x:v>
      </x:c>
      <x:c r="B608" s="10" t="str">
        <x:v>Geral</x:v>
      </x:c>
      <x:c r="C608" s="10" t="str">
        <x:v>B341</x:v>
      </x:c>
      <x:c r="D608" s="10" t="str">
        <x:v>Linha sem iniciativa</x:v>
      </x:c>
      <x:c r="E608" s="10" t="str"/>
      <x:c r="F608" s="10" t="str">
        <x:v>Excluída da cópia de análise. Preservada no original como linha incompleta ou modelo.</x:v>
      </x:c>
    </x:row>
    <x:row r="609" ht="15" hidden="0" customHeight="1">
      <x:c r="A609" s="10" t="str">
        <x:v>BR-SPDIREITOVIOLESTADO_MAPEAMENTOS-NOTICIAS-MSSCPENHA.xlsx</x:v>
      </x:c>
      <x:c r="B609" s="10" t="str">
        <x:v>Geral</x:v>
      </x:c>
      <x:c r="C609" s="10" t="str">
        <x:v>B342</x:v>
      </x:c>
      <x:c r="D609" s="10" t="str">
        <x:v>Linha sem iniciativa</x:v>
      </x:c>
      <x:c r="E609" s="10" t="str"/>
      <x:c r="F609" s="10" t="str">
        <x:v>Excluída da cópia de análise. Preservada no original como linha incompleta ou modelo.</x:v>
      </x:c>
    </x:row>
    <x:row r="610" ht="15" hidden="0" customHeight="1">
      <x:c r="A610" s="10" t="str">
        <x:v>BR-SPDIREITOVIOLESTADO_MAPEAMENTOS-NOTICIAS-MSSCPENHA.xlsx</x:v>
      </x:c>
      <x:c r="B610" s="10" t="str">
        <x:v>Geral</x:v>
      </x:c>
      <x:c r="C610" s="10" t="str">
        <x:v>B343</x:v>
      </x:c>
      <x:c r="D610" s="10" t="str">
        <x:v>Linha sem iniciativa</x:v>
      </x:c>
      <x:c r="E610" s="10" t="str"/>
      <x:c r="F610" s="10" t="str">
        <x:v>Excluída da cópia de análise. Preservada no original como linha incompleta ou modelo.</x:v>
      </x:c>
    </x:row>
    <x:row r="611" ht="15" hidden="0" customHeight="1">
      <x:c r="A611" s="10" t="str">
        <x:v>BR-SPDIREITOVIOLESTADO_MAPEAMENTOS-NOTICIAS-MSSCPENHA.xlsx</x:v>
      </x:c>
      <x:c r="B611" s="10" t="str">
        <x:v>Geral</x:v>
      </x:c>
      <x:c r="C611" s="10" t="str">
        <x:v>B344</x:v>
      </x:c>
      <x:c r="D611" s="10" t="str">
        <x:v>Linha sem iniciativa</x:v>
      </x:c>
      <x:c r="E611" s="10" t="str"/>
      <x:c r="F611" s="10" t="str">
        <x:v>Excluída da cópia de análise. Preservada no original como linha incompleta ou modelo.</x:v>
      </x:c>
    </x:row>
    <x:row r="612" ht="15" hidden="0" customHeight="1">
      <x:c r="A612" s="10" t="str">
        <x:v>BR-SPDIREITOVIOLESTADO_MAPEAMENTOS-NOTICIAS-MSSCPENHA.xlsx</x:v>
      </x:c>
      <x:c r="B612" s="10" t="str">
        <x:v>Geral</x:v>
      </x:c>
      <x:c r="C612" s="10" t="str">
        <x:v>B345</x:v>
      </x:c>
      <x:c r="D612" s="10" t="str">
        <x:v>Linha sem iniciativa</x:v>
      </x:c>
      <x:c r="E612" s="10" t="str"/>
      <x:c r="F612" s="10" t="str">
        <x:v>Excluída da cópia de análise. Preservada no original como linha incompleta ou modelo.</x:v>
      </x:c>
    </x:row>
    <x:row r="613" ht="15" hidden="0" customHeight="1">
      <x:c r="A613" s="10" t="str">
        <x:v>BR-SPDIREITOVIOLESTADO_MAPEAMENTOS-NOTICIAS-MSSCPENHA.xlsx</x:v>
      </x:c>
      <x:c r="B613" s="10" t="str">
        <x:v>Geral</x:v>
      </x:c>
      <x:c r="C613" s="10" t="str">
        <x:v>B346</x:v>
      </x:c>
      <x:c r="D613" s="10" t="str">
        <x:v>Linha sem iniciativa</x:v>
      </x:c>
      <x:c r="E613" s="10" t="str"/>
      <x:c r="F613" s="10" t="str">
        <x:v>Excluída da cópia de análise. Preservada no original como linha incompleta ou modelo.</x:v>
      </x:c>
    </x:row>
    <x:row r="614" ht="15" hidden="0" customHeight="1">
      <x:c r="A614" s="10" t="str">
        <x:v>BR-SPDIREITOVIOLESTADO_MAPEAMENTOS-NOTICIAS-MSSCPENHA.xlsx</x:v>
      </x:c>
      <x:c r="B614" s="10" t="str">
        <x:v>Geral</x:v>
      </x:c>
      <x:c r="C614" s="10" t="str">
        <x:v>B347</x:v>
      </x:c>
      <x:c r="D614" s="10" t="str">
        <x:v>Linha sem iniciativa</x:v>
      </x:c>
      <x:c r="E614" s="10" t="str"/>
      <x:c r="F614" s="10" t="str">
        <x:v>Excluída da cópia de análise. Preservada no original como linha incompleta ou modelo.</x:v>
      </x:c>
    </x:row>
    <x:row r="615" ht="15" hidden="0" customHeight="1">
      <x:c r="A615" s="10" t="str">
        <x:v>BR-SPDIREITOVIOLESTADO_MAPEAMENTOS-NOTICIAS-MSSCPENHA.xlsx</x:v>
      </x:c>
      <x:c r="B615" s="10" t="str">
        <x:v>Geral</x:v>
      </x:c>
      <x:c r="C615" s="10" t="str">
        <x:v>B348</x:v>
      </x:c>
      <x:c r="D615" s="10" t="str">
        <x:v>Linha sem iniciativa</x:v>
      </x:c>
      <x:c r="E615" s="10" t="str"/>
      <x:c r="F615" s="10" t="str">
        <x:v>Excluída da cópia de análise. Preservada no original como linha incompleta ou modelo.</x:v>
      </x:c>
    </x:row>
    <x:row r="616" ht="15" hidden="0" customHeight="1">
      <x:c r="A616" s="10" t="str">
        <x:v>BR-SPDIREITOVIOLESTADO_MAPEAMENTOS-NOTICIAS-MSSCPENHA.xlsx</x:v>
      </x:c>
      <x:c r="B616" s="10" t="str">
        <x:v>Geral</x:v>
      </x:c>
      <x:c r="C616" s="10" t="str">
        <x:v>B349</x:v>
      </x:c>
      <x:c r="D616" s="10" t="str">
        <x:v>Linha sem iniciativa</x:v>
      </x:c>
      <x:c r="E616" s="10" t="str"/>
      <x:c r="F616" s="10" t="str">
        <x:v>Excluída da cópia de análise. Preservada no original como linha incompleta ou modelo.</x:v>
      </x:c>
    </x:row>
    <x:row r="617" ht="15" hidden="0" customHeight="1">
      <x:c r="A617" s="10" t="str">
        <x:v>BR-SPDIREITOVIOLESTADO_MAPEAMENTOS-NOTICIAS-MSSCPENHA.xlsx</x:v>
      </x:c>
      <x:c r="B617" s="10" t="str">
        <x:v>Geral</x:v>
      </x:c>
      <x:c r="C617" s="10" t="str">
        <x:v>B350</x:v>
      </x:c>
      <x:c r="D617" s="10" t="str">
        <x:v>Linha sem iniciativa</x:v>
      </x:c>
      <x:c r="E617" s="10" t="str"/>
      <x:c r="F617" s="10" t="str">
        <x:v>Excluída da cópia de análise. Preservada no original como linha incompleta ou modelo.</x:v>
      </x:c>
    </x:row>
    <x:row r="618" ht="15" hidden="0" customHeight="1">
      <x:c r="A618" s="10" t="str">
        <x:v>BR-SPDIREITOVIOLESTADO_MAPEAMENTOS-NOTICIAS-MSSCPENHA.xlsx</x:v>
      </x:c>
      <x:c r="B618" s="10" t="str">
        <x:v>Geral</x:v>
      </x:c>
      <x:c r="C618" s="10" t="str">
        <x:v>B351</x:v>
      </x:c>
      <x:c r="D618" s="10" t="str">
        <x:v>Linha sem iniciativa</x:v>
      </x:c>
      <x:c r="E618" s="10" t="str"/>
      <x:c r="F618" s="10" t="str">
        <x:v>Excluída da cópia de análise. Preservada no original como linha incompleta ou modelo.</x:v>
      </x:c>
    </x:row>
    <x:row r="619" ht="15" hidden="0" customHeight="1">
      <x:c r="A619" s="10" t="str">
        <x:v>BR-SPDIREITOVIOLESTADO_MAPEAMENTOS-NOTICIAS-MSSCPENHA.xlsx</x:v>
      </x:c>
      <x:c r="B619" s="10" t="str">
        <x:v>Geral</x:v>
      </x:c>
      <x:c r="C619" s="10" t="str">
        <x:v>B352</x:v>
      </x:c>
      <x:c r="D619" s="10" t="str">
        <x:v>Linha sem iniciativa</x:v>
      </x:c>
      <x:c r="E619" s="10" t="str"/>
      <x:c r="F619" s="10" t="str">
        <x:v>Excluída da cópia de análise. Preservada no original como linha incompleta ou modelo.</x:v>
      </x:c>
    </x:row>
    <x:row r="620" ht="15" hidden="0" customHeight="1">
      <x:c r="A620" s="10" t="str">
        <x:v>BR-SPDIREITOVIOLESTADO_MAPEAMENTOS-NOTICIAS-MSSCPENHA.xlsx</x:v>
      </x:c>
      <x:c r="B620" s="10" t="str">
        <x:v>Geral</x:v>
      </x:c>
      <x:c r="C620" s="10" t="str">
        <x:v>B353</x:v>
      </x:c>
      <x:c r="D620" s="10" t="str">
        <x:v>Linha sem iniciativa</x:v>
      </x:c>
      <x:c r="E620" s="10" t="str"/>
      <x:c r="F620" s="10" t="str">
        <x:v>Excluída da cópia de análise. Preservada no original como linha incompleta ou modelo.</x:v>
      </x:c>
    </x:row>
    <x:row r="621" ht="15" hidden="0" customHeight="1">
      <x:c r="A621" s="10" t="str">
        <x:v>BR-SPDIREITOVIOLESTADO_MAPEAMENTOS-NOTICIAS-MSSCPENHA.xlsx</x:v>
      </x:c>
      <x:c r="B621" s="10" t="str">
        <x:v>Geral</x:v>
      </x:c>
      <x:c r="C621" s="10" t="str">
        <x:v>B354</x:v>
      </x:c>
      <x:c r="D621" s="10" t="str">
        <x:v>Linha sem iniciativa</x:v>
      </x:c>
      <x:c r="E621" s="10" t="str"/>
      <x:c r="F621" s="10" t="str">
        <x:v>Excluída da cópia de análise. Preservada no original como linha incompleta ou modelo.</x:v>
      </x:c>
    </x:row>
    <x:row r="622" ht="15" hidden="0" customHeight="1">
      <x:c r="A622" s="10" t="str">
        <x:v>BR-SPDIREITOVIOLESTADO_MAPEAMENTOS-NOTICIAS-MSSCPENHA.xlsx</x:v>
      </x:c>
      <x:c r="B622" s="10" t="str">
        <x:v>Geral</x:v>
      </x:c>
      <x:c r="C622" s="10" t="str">
        <x:v>B355</x:v>
      </x:c>
      <x:c r="D622" s="10" t="str">
        <x:v>Linha sem iniciativa</x:v>
      </x:c>
      <x:c r="E622" s="10" t="str"/>
      <x:c r="F622" s="10" t="str">
        <x:v>Excluída da cópia de análise. Preservada no original como linha incompleta ou modelo.</x:v>
      </x:c>
    </x:row>
    <x:row r="623" ht="15" hidden="0" customHeight="1">
      <x:c r="A623" s="10" t="str">
        <x:v>BR-SPDIREITOVIOLESTADO_MAPEAMENTOS-NOTICIAS-MSSCPENHA.xlsx</x:v>
      </x:c>
      <x:c r="B623" s="10" t="str">
        <x:v>Geral</x:v>
      </x:c>
      <x:c r="C623" s="10" t="str">
        <x:v>B356</x:v>
      </x:c>
      <x:c r="D623" s="10" t="str">
        <x:v>Linha sem iniciativa</x:v>
      </x:c>
      <x:c r="E623" s="10" t="str"/>
      <x:c r="F623" s="10" t="str">
        <x:v>Excluída da cópia de análise. Preservada no original como linha incompleta ou modelo.</x:v>
      </x:c>
    </x:row>
    <x:row r="624" ht="15" hidden="0" customHeight="1">
      <x:c r="A624" s="10" t="str">
        <x:v>BR-SPDIREITOVIOLESTADO_MAPEAMENTOS-NOTICIAS-MSSCPENHA.xlsx</x:v>
      </x:c>
      <x:c r="B624" s="10" t="str">
        <x:v>Geral</x:v>
      </x:c>
      <x:c r="C624" s="10" t="str">
        <x:v>B357</x:v>
      </x:c>
      <x:c r="D624" s="10" t="str">
        <x:v>Linha sem iniciativa</x:v>
      </x:c>
      <x:c r="E624" s="10" t="str"/>
      <x:c r="F624" s="10" t="str">
        <x:v>Excluída da cópia de análise. Preservada no original como linha incompleta ou modelo.</x:v>
      </x:c>
    </x:row>
    <x:row r="625" ht="15" hidden="0" customHeight="1">
      <x:c r="A625" s="10" t="str">
        <x:v>BR-SPDIREITOVIOLESTADO_MAPEAMENTOS-NOTICIAS-MSSCPENHA.xlsx</x:v>
      </x:c>
      <x:c r="B625" s="10" t="str">
        <x:v>Geral</x:v>
      </x:c>
      <x:c r="C625" s="10" t="str">
        <x:v>B358</x:v>
      </x:c>
      <x:c r="D625" s="10" t="str">
        <x:v>Linha sem iniciativa</x:v>
      </x:c>
      <x:c r="E625" s="10" t="str"/>
      <x:c r="F625" s="10" t="str">
        <x:v>Excluída da cópia de análise. Preservada no original como linha incompleta ou modelo.</x:v>
      </x:c>
    </x:row>
    <x:row r="626" ht="15" hidden="0" customHeight="1">
      <x:c r="A626" s="10" t="str">
        <x:v>BR-SPDIREITOVIOLESTADO_MAPEAMENTOS-NOTICIAS-MSSCPENHA.xlsx</x:v>
      </x:c>
      <x:c r="B626" s="10" t="str">
        <x:v>Geral</x:v>
      </x:c>
      <x:c r="C626" s="10" t="str">
        <x:v>B359</x:v>
      </x:c>
      <x:c r="D626" s="10" t="str">
        <x:v>Linha sem iniciativa</x:v>
      </x:c>
      <x:c r="E626" s="10" t="str"/>
      <x:c r="F626" s="10" t="str">
        <x:v>Excluída da cópia de análise. Preservada no original como linha incompleta ou modelo.</x:v>
      </x:c>
    </x:row>
    <x:row r="627" ht="15" hidden="0" customHeight="1">
      <x:c r="A627" s="10" t="str">
        <x:v>BR-SPDIREITOVIOLESTADO_MAPEAMENTOS-NOTICIAS-MSSCPENHA.xlsx</x:v>
      </x:c>
      <x:c r="B627" s="10" t="str">
        <x:v>Geral</x:v>
      </x:c>
      <x:c r="C627" s="10" t="str">
        <x:v>B360</x:v>
      </x:c>
      <x:c r="D627" s="10" t="str">
        <x:v>Linha sem iniciativa</x:v>
      </x:c>
      <x:c r="E627" s="10" t="str"/>
      <x:c r="F627" s="10" t="str">
        <x:v>Excluída da cópia de análise. Preservada no original como linha incompleta ou modelo.</x:v>
      </x:c>
    </x:row>
    <x:row r="628" ht="15" hidden="0" customHeight="1">
      <x:c r="A628" s="10" t="str">
        <x:v>BR-SPDIREITOVIOLESTADO_MAPEAMENTOS-NOTICIAS-MSSCPENHA.xlsx</x:v>
      </x:c>
      <x:c r="B628" s="10" t="str">
        <x:v>Geral</x:v>
      </x:c>
      <x:c r="C628" s="10" t="str">
        <x:v>B361</x:v>
      </x:c>
      <x:c r="D628" s="10" t="str">
        <x:v>Linha sem iniciativa</x:v>
      </x:c>
      <x:c r="E628" s="10" t="str"/>
      <x:c r="F628" s="10" t="str">
        <x:v>Excluída da cópia de análise. Preservada no original como linha incompleta ou modelo.</x:v>
      </x:c>
    </x:row>
    <x:row r="629" ht="15" hidden="0" customHeight="1">
      <x:c r="A629" s="10" t="str">
        <x:v>BR-SPDIREITOVIOLESTADO_MAPEAMENTOS-NOTICIAS-MSSCPENHA.xlsx</x:v>
      </x:c>
      <x:c r="B629" s="10" t="str">
        <x:v>Organização</x:v>
      </x:c>
      <x:c r="C629" s="10" t="str">
        <x:v>F2</x:v>
      </x:c>
      <x:c r="D629" s="10" t="str">
        <x:v>Espaço externo ou caractere invisível</x:v>
      </x:c>
      <x:c r="E629" s="10" t="str">
        <x:v>CSV (text/csv) </x:v>
      </x:c>
      <x:c r="F629" s="10" t="str">
        <x:v>Removido apenas na cópia tabular de análise; original preservado.</x:v>
      </x:c>
    </x:row>
    <x:row r="630" ht="15" hidden="0" customHeight="1">
      <x:c r="A630" s="10" t="str">
        <x:v>BR-SPDIREITOVIOLESTADO_MAPEAMENTOS-NOTICIAS-MSSCPENHA.xlsx</x:v>
      </x:c>
      <x:c r="B630" s="10" t="str">
        <x:v>Organização</x:v>
      </x:c>
      <x:c r="C630" s="10" t="str">
        <x:v>C3</x:v>
      </x:c>
      <x:c r="D630" s="10" t="str">
        <x:v>Espaço externo ou caractere invisível</x:v>
      </x:c>
      <x:c r="E630" s="10" t="str">
        <x:v>Folheto </x:v>
      </x:c>
      <x:c r="F630" s="10" t="str">
        <x:v>Removido apenas na cópia tabular de análise; original preservado.</x:v>
      </x:c>
    </x:row>
    <x:row r="631" ht="15" hidden="0" customHeight="1">
      <x:c r="A631" s="10" t="str">
        <x:v>BR-SPDIREITOVIOLESTADO_MAPEAMENTOS-NOTICIAS-MSSCPENHA.xlsx</x:v>
      </x:c>
      <x:c r="B631" s="10" t="str">
        <x:v>Organização</x:v>
      </x:c>
      <x:c r="C631" s="10" t="str">
        <x:v>D3</x:v>
      </x:c>
      <x:c r="D631" s="10" t="str">
        <x:v>Espaço externo ou caractere invisível</x:v>
      </x:c>
      <x:c r="E631" s="10" t="str">
        <x:v>Apresentação (digital) </x:v>
      </x:c>
      <x:c r="F631" s="10" t="str">
        <x:v>Removido apenas na cópia tabular de análise; original preservado.</x:v>
      </x:c>
    </x:row>
    <x:row r="632" ht="15" hidden="0" customHeight="1">
      <x:c r="A632" s="10" t="str">
        <x:v>BR-SPDIREITOVIOLESTADO_MAPEAMENTOS-NOTICIAS-MSSCPENHA.xlsx</x:v>
      </x:c>
      <x:c r="B632" s="10" t="str">
        <x:v>Organização</x:v>
      </x:c>
      <x:c r="C632" s="10" t="str">
        <x:v>F3</x:v>
      </x:c>
      <x:c r="D632" s="10" t="str">
        <x:v>Espaço externo ou caractere invisível</x:v>
      </x:c>
      <x:c r="E632" s="10" t="str">
        <x:v>DOC (application/msword) </x:v>
      </x:c>
      <x:c r="F632" s="10" t="str">
        <x:v>Removido apenas na cópia tabular de análise; original preservado.</x:v>
      </x:c>
    </x:row>
    <x:row r="633" ht="15" hidden="0" customHeight="1">
      <x:c r="A633" s="10" t="str">
        <x:v>BR-SPDIREITOVIOLESTADO_MAPEAMENTOS-NOTICIAS-MSSCPENHA.xlsx</x:v>
      </x:c>
      <x:c r="B633" s="10" t="str">
        <x:v>Organização</x:v>
      </x:c>
      <x:c r="C633" s="10" t="str">
        <x:v>A5</x:v>
      </x:c>
      <x:c r="D633" s="10" t="str">
        <x:v>Espaço externo ou caractere invisível</x:v>
      </x:c>
      <x:c r="E633" s="10" t="str">
        <x:v>Atividade de </x:v>
      </x:c>
      <x:c r="F633" s="10" t="str">
        <x:v>Removido apenas na cópia tabular de análise; original preservado.</x:v>
      </x:c>
    </x:row>
    <x:row r="634" ht="15" hidden="0" customHeight="1">
      <x:c r="A634" s="10" t="str">
        <x:v>BR-SPDIREITOVIOLESTADO_MAPEAMENTOS-NOTICIAS-MSSCPENHA.xlsx</x:v>
      </x:c>
      <x:c r="B634" s="10" t="str">
        <x:v>Organização</x:v>
      </x:c>
      <x:c r="C634" s="10" t="str">
        <x:v>C5</x:v>
      </x:c>
      <x:c r="D634" s="10" t="str">
        <x:v>Espaço externo ou caractere invisível</x:v>
      </x:c>
      <x:c r="E634" s="10" t="str">
        <x:v>Exposição (instalação) </x:v>
      </x:c>
      <x:c r="F634" s="10" t="str">
        <x:v>Removido apenas na cópia tabular de análise; original preservado.</x:v>
      </x:c>
    </x:row>
    <x:row r="635" ht="15" hidden="0" customHeight="1">
      <x:c r="A635" s="10" t="str">
        <x:v>BR-SPDIREITOVIOLESTADO_MAPEAMENTOS-NOTICIAS-MSSCPENHA.xlsx</x:v>
      </x:c>
      <x:c r="B635" s="10" t="str">
        <x:v>Organização</x:v>
      </x:c>
      <x:c r="C635" s="10" t="str">
        <x:v>D6</x:v>
      </x:c>
      <x:c r="D635" s="10" t="str">
        <x:v>Espaço externo ou caractere invisível</x:v>
      </x:c>
      <x:c r="E635" s="10" t="str">
        <x:v>Dados (digital) </x:v>
      </x:c>
      <x:c r="F635" s="10" t="str">
        <x:v>Removido apenas na cópia tabular de análise; original preservado.</x:v>
      </x:c>
    </x:row>
    <x:row r="636" ht="15" hidden="0" customHeight="1">
      <x:c r="A636" s="10" t="str">
        <x:v>BR-SPDIREITOVIOLESTADO_MAPEAMENTOS-NOTICIAS-MSSCPENHA.xlsx</x:v>
      </x:c>
      <x:c r="B636" s="10" t="str">
        <x:v>Organização</x:v>
      </x:c>
      <x:c r="C636" s="10" t="str">
        <x:v>C7</x:v>
      </x:c>
      <x:c r="D636" s="10" t="str">
        <x:v>Espaço externo ou caractere invisível</x:v>
      </x:c>
      <x:c r="E636" s="10" t="str">
        <x:v>Jornal </x:v>
      </x:c>
      <x:c r="F636" s="10" t="str">
        <x:v>Removido apenas na cópia tabular de análise; original preservado.</x:v>
      </x:c>
    </x:row>
    <x:row r="637" ht="15" hidden="0" customHeight="1">
      <x:c r="A637" s="10" t="str">
        <x:v>BR-SPDIREITOVIOLESTADO_MAPEAMENTOS-NOTICIAS-MSSCPENHA.xlsx</x:v>
      </x:c>
      <x:c r="B637" s="10" t="str">
        <x:v>Organização</x:v>
      </x:c>
      <x:c r="C637" s="10" t="str">
        <x:v>E9</x:v>
      </x:c>
      <x:c r="D637" s="10" t="str">
        <x:v>Espaço externo ou caractere invisível</x:v>
      </x:c>
      <x:c r="E637" s="10" t="str">
        <x:v>Matriz tratada (tratamento desconhecido) </x:v>
      </x:c>
      <x:c r="F637" s="10" t="str">
        <x:v>Removido apenas na cópia tabular de análise; original preservado.</x:v>
      </x:c>
    </x:row>
    <x:row r="638" ht="15" hidden="0" customHeight="1">
      <x:c r="A638" s="10" t="str">
        <x:v>BR-SPDIREITOVIOLESTADO_MAPEAMENTOS-NOTICIAS-MSSCPENHA.xlsx</x:v>
      </x:c>
      <x:c r="B638" s="10" t="str">
        <x:v>Organização</x:v>
      </x:c>
      <x:c r="C638" s="10" t="str">
        <x:v>D13</x:v>
      </x:c>
      <x:c r="D638" s="10" t="str">
        <x:v>Espaço externo ou caractere invisível</x:v>
      </x:c>
      <x:c r="E638" s="10" t="str">
        <x:v>Filmagem (convencional) </x:v>
      </x:c>
      <x:c r="F638" s="10" t="str">
        <x:v>Removido apenas na cópia tabular de análise; original preservado.</x:v>
      </x:c>
    </x:row>
    <x:row r="639" ht="15" hidden="0" customHeight="1">
      <x:c r="A639" s="10" t="str">
        <x:v>BR-SPDIREITOVIOLESTADO_MAPEAMENTOS-NOTICIAS-MSSCPENHA.xlsx</x:v>
      </x:c>
      <x:c r="B639" s="10" t="str">
        <x:v>Organização</x:v>
      </x:c>
      <x:c r="C639" s="10" t="str">
        <x:v>D14</x:v>
      </x:c>
      <x:c r="D639" s="10" t="str">
        <x:v>Espaço externo ou caractere invisível</x:v>
      </x:c>
      <x:c r="E639" s="10" t="str">
        <x:v>Filmagem (geral) </x:v>
      </x:c>
      <x:c r="F639" s="10" t="str">
        <x:v>Removido apenas na cópia tabular de análise; original preservado.</x:v>
      </x:c>
    </x:row>
    <x:row r="640" ht="15" hidden="0" customHeight="1">
      <x:c r="A640" s="10" t="str">
        <x:v>BR-SPDIREITOVIOLESTADO_MAPEAMENTOS-NOTICIAS-MSSCPENHA.xlsx</x:v>
      </x:c>
      <x:c r="B640" s="10" t="str">
        <x:v>Organização</x:v>
      </x:c>
      <x:c r="C640" s="10" t="str">
        <x:v>F14</x:v>
      </x:c>
      <x:c r="D640" s="10" t="str">
        <x:v>Espaço externo ou caractere invisível</x:v>
      </x:c>
      <x:c r="E640" s="10" t="str">
        <x:v>(completar...) </x:v>
      </x:c>
      <x:c r="F640" s="10" t="str">
        <x:v>Removido apenas na cópia tabular de análise; original preservado.</x:v>
      </x:c>
    </x:row>
    <x:row r="641" ht="15" hidden="0" customHeight="1">
      <x:c r="A641" s="10" t="str">
        <x:v>BR-SPDIREITOVIOLESTADO_MAPEAMENTOS-NOTICIAS-MSSCPENHA.xlsx</x:v>
      </x:c>
      <x:c r="B641" s="10" t="str">
        <x:v>Organização</x:v>
      </x:c>
      <x:c r="C641" s="10" t="str">
        <x:v>B15</x:v>
      </x:c>
      <x:c r="D641" s="10" t="str">
        <x:v>Espaço externo ou caractere invisível</x:v>
      </x:c>
      <x:c r="E641" s="10" t="str">
        <x:v>Tridimensional </x:v>
      </x:c>
      <x:c r="F641" s="10" t="str">
        <x:v>Removido apenas na cópia tabular de análise; original preservado.</x:v>
      </x:c>
    </x:row>
    <x:row r="642" ht="15" hidden="0" customHeight="1">
      <x:c r="A642" s="10" t="str">
        <x:v>BR-SPDIREITOVIOLESTADO_MAPEAMENTOS-NOTICIAS-MSSCPENHA.xlsx</x:v>
      </x:c>
      <x:c r="B642" s="10" t="str">
        <x:v>Organização</x:v>
      </x:c>
      <x:c r="C642" s="10" t="str">
        <x:v>C15</x:v>
      </x:c>
      <x:c r="D642" s="10" t="str">
        <x:v>Espaço externo ou caractere invisível</x:v>
      </x:c>
      <x:c r="E642" s="10" t="str">
        <x:v>Programa (rádio e TV) </x:v>
      </x:c>
      <x:c r="F642" s="10" t="str">
        <x:v>Removido apenas na cópia tabular de análise; original preservado.</x:v>
      </x:c>
    </x:row>
    <x:row r="643" ht="15" hidden="0" customHeight="1">
      <x:c r="A643" s="10" t="str">
        <x:v>BR-SPDIREITOVIOLESTADO_MAPEAMENTOS-NOTICIAS-MSSCPENHA.xlsx</x:v>
      </x:c>
      <x:c r="B643" s="10" t="str">
        <x:v>Organização</x:v>
      </x:c>
      <x:c r="C643" s="10" t="str">
        <x:v>D15</x:v>
      </x:c>
      <x:c r="D643" s="10" t="str">
        <x:v>Espaço externo ou caractere invisível</x:v>
      </x:c>
      <x:c r="E643" s="10" t="str">
        <x:v>Fotografia (exposição fotográfica) </x:v>
      </x:c>
      <x:c r="F643" s="10" t="str">
        <x:v>Removido apenas na cópia tabular de análise; original preservado.</x:v>
      </x:c>
    </x:row>
    <x:row r="644" ht="15" hidden="0" customHeight="1">
      <x:c r="A644" s="10" t="str">
        <x:v>BR-SPDIREITOVIOLESTADO_MAPEAMENTOS-NOTICIAS-MSSCPENHA.xlsx</x:v>
      </x:c>
      <x:c r="B644" s="10" t="str">
        <x:v>Organização</x:v>
      </x:c>
      <x:c r="C644" s="10" t="str">
        <x:v>D17</x:v>
      </x:c>
      <x:c r="D644" s="10" t="str">
        <x:v>Espaço externo ou caractere invisível</x:v>
      </x:c>
      <x:c r="E644" s="10" t="str">
        <x:v>Gravação (convencional) </x:v>
      </x:c>
      <x:c r="F644" s="10" t="str">
        <x:v>Removido apenas na cópia tabular de análise; original preservado.</x:v>
      </x:c>
    </x:row>
    <x:row r="645" ht="15" hidden="0" customHeight="1">
      <x:c r="A645" s="10" t="str">
        <x:v>BR-SPDIREITOVIOLESTADO_MAPEAMENTOS-NOTICIAS-MSSCPENHA.xlsx</x:v>
      </x:c>
      <x:c r="B645" s="10" t="str">
        <x:v>Organização</x:v>
      </x:c>
      <x:c r="C645" s="10" t="str">
        <x:v>D18</x:v>
      </x:c>
      <x:c r="D645" s="10" t="str">
        <x:v>Espaço externo ou caractere invisível</x:v>
      </x:c>
      <x:c r="E645" s="10" t="str">
        <x:v>Gravação (geral) </x:v>
      </x:c>
      <x:c r="F645" s="10" t="str">
        <x:v>Removido apenas na cópia tabular de análise; original preservado.</x:v>
      </x:c>
    </x:row>
    <x:row r="646" ht="15" hidden="0" customHeight="1">
      <x:c r="A646" s="10" t="str">
        <x:v>BR-SPDIREITOVIOLESTADO_MAPEAMENTOS-NOTICIAS-MSSCPENHA.xlsx</x:v>
      </x:c>
      <x:c r="B646" s="10" t="str">
        <x:v>Organização</x:v>
      </x:c>
      <x:c r="C646" s="10" t="str">
        <x:v>D19</x:v>
      </x:c>
      <x:c r="D646" s="10" t="str">
        <x:v>Espaço externo ou caractere invisível</x:v>
      </x:c>
      <x:c r="E646" s="10" t="str">
        <x:v>Imagem (digital) </x:v>
      </x:c>
      <x:c r="F646" s="10" t="str">
        <x:v>Removido apenas na cópia tabular de análise; original preservado.</x:v>
      </x:c>
    </x:row>
    <x:row r="647" ht="15" hidden="0" customHeight="1">
      <x:c r="A647" s="10" t="str">
        <x:v>BR-SPDIREITOVIOLESTADO_MAPEAMENTOS-NOTICIAS-MSSCPENHA.xlsx</x:v>
      </x:c>
      <x:c r="B647" s="10" t="str">
        <x:v>Organização</x:v>
      </x:c>
      <x:c r="C647" s="10" t="str">
        <x:v>D20</x:v>
      </x:c>
      <x:c r="D647" s="10" t="str">
        <x:v>Espaço externo ou caractere invisível</x:v>
      </x:c>
      <x:c r="E647" s="10" t="str">
        <x:v>Imagem matricial (digital) </x:v>
      </x:c>
      <x:c r="F647" s="10" t="str">
        <x:v>Removido apenas na cópia tabular de análise; original preservado.</x:v>
      </x:c>
    </x:row>
    <x:row r="648" ht="15" hidden="0" customHeight="1">
      <x:c r="A648" s="10" t="str">
        <x:v>BR-SPDIREITOVIOLESTADO_MAPEAMENTOS-NOTICIAS-MSSCPENHA.xlsx</x:v>
      </x:c>
      <x:c r="B648" s="10" t="str">
        <x:v>Organização</x:v>
      </x:c>
      <x:c r="C648" s="10" t="str">
        <x:v>D22</x:v>
      </x:c>
      <x:c r="D648" s="10" t="str">
        <x:v>Espaço externo ou caractere invisível</x:v>
      </x:c>
      <x:c r="E648" s="10" t="str">
        <x:v>Impresso </x:v>
      </x:c>
      <x:c r="F648" s="10" t="str">
        <x:v>Removido apenas na cópia tabular de análise; original preservado.</x:v>
      </x:c>
    </x:row>
    <x:row r="649" ht="15" hidden="0" customHeight="1">
      <x:c r="A649" s="10" t="str">
        <x:v>BR-SPDIREITOVIOLESTADO_MAPEAMENTOS-NOTICIAS-MSSCPENHA.xlsx</x:v>
      </x:c>
      <x:c r="B649" s="10" t="str">
        <x:v>Organização</x:v>
      </x:c>
      <x:c r="C649" s="10" t="str">
        <x:v>D23</x:v>
      </x:c>
      <x:c r="D649" s="10" t="str">
        <x:v>Espaço externo ou caractere invisível</x:v>
      </x:c>
      <x:c r="E649" s="10" t="str">
        <x:v>Manuscrito </x:v>
      </x:c>
      <x:c r="F649" s="10" t="str">
        <x:v>Removido apenas na cópia tabular de análise; original preservado.</x:v>
      </x:c>
    </x:row>
    <x:row r="650" ht="15" hidden="0" customHeight="1">
      <x:c r="A650" s="10" t="str">
        <x:v>BR-SPDIREITOVIOLESTADO_MAPEAMENTOS-NOTICIAS-MSSCPENHA.xlsx</x:v>
      </x:c>
      <x:c r="B650" s="10" t="str">
        <x:v>Organização</x:v>
      </x:c>
      <x:c r="C650" s="10" t="str">
        <x:v>D24</x:v>
      </x:c>
      <x:c r="D650" s="10" t="str">
        <x:v>Espaço externo ou caractere invisível</x:v>
      </x:c>
      <x:c r="E650" s="10" t="str">
        <x:v>Microfilmagem </x:v>
      </x:c>
      <x:c r="F650" s="10" t="str">
        <x:v>Removido apenas na cópia tabular de análise; original preservado.</x:v>
      </x:c>
    </x:row>
    <x:row r="651" ht="15" hidden="0" customHeight="1">
      <x:c r="A651" s="10" t="str">
        <x:v>BR-SPDIREITOVIOLESTADO_MAPEAMENTOS-NOTICIAS-MSSCPENHA.xlsx</x:v>
      </x:c>
      <x:c r="B651" s="10" t="str">
        <x:v>Organização</x:v>
      </x:c>
      <x:c r="C651" s="10" t="str">
        <x:v>D27</x:v>
      </x:c>
      <x:c r="D651" s="10" t="str">
        <x:v>Espaço externo ou caractere invisível</x:v>
      </x:c>
      <x:c r="E651" s="10" t="str">
        <x:v>Negativo (fotográfico) </x:v>
      </x:c>
      <x:c r="F651" s="10" t="str">
        <x:v>Removido apenas na cópia tabular de análise; original preservado.</x:v>
      </x:c>
    </x:row>
    <x:row r="652" ht="15" hidden="0" customHeight="1">
      <x:c r="A652" s="10" t="str">
        <x:v>BR-SPDIREITOVIOLESTADO_MAPEAMENTOS-NOTICIAS-MSSCPENHA.xlsx</x:v>
      </x:c>
      <x:c r="B652" s="10" t="str">
        <x:v>Lista de movimentos</x:v>
      </x:c>
      <x:c r="C652" s="10" t="str">
        <x:v>A4</x:v>
      </x:c>
      <x:c r="D652" s="10" t="str">
        <x:v>Espaço externo ou caractere invisível</x:v>
      </x:c>
      <x:c r="E652" s="10" t="str">
        <x:v>Agência Pavio </x:v>
      </x:c>
      <x:c r="F652" s="10" t="str">
        <x:v>Removido apenas na cópia tabular de análise; original preservado.</x:v>
      </x:c>
    </x:row>
    <x:row r="653" ht="15" hidden="0" customHeight="1">
      <x:c r="A653" s="10" t="str">
        <x:v>BR-SPDIREITOVIOLESTADO_MAPEAMENTOS-NOTICIAS-MSSCPENHA.xlsx</x:v>
      </x:c>
      <x:c r="B653" s="10" t="str">
        <x:v>Lista de movimentos</x:v>
      </x:c>
      <x:c r="C653" s="10" t="str">
        <x:v>B8</x:v>
      </x:c>
      <x:c r="D653" s="10" t="str">
        <x:v>Espaço externo ou caractere invisível</x:v>
      </x:c>
      <x:c r="E653" s="10" t="str">
        <x:v>Associação </x:v>
      </x:c>
      <x:c r="F653" s="10" t="str">
        <x:v>Removido apenas na cópia tabular de análise; original preservado.</x:v>
      </x:c>
    </x:row>
    <x:row r="654" ht="15" hidden="0" customHeight="1">
      <x:c r="A654" s="10" t="str">
        <x:v>BR-SPDIREITOVIOLESTADO_MAPEAMENTOS-NOTICIAS-MSSCPENHA.xlsx</x:v>
      </x:c>
      <x:c r="B654" s="10" t="str">
        <x:v>Lista de movimentos</x:v>
      </x:c>
      <x:c r="C654" s="10" t="str">
        <x:v>B18</x:v>
      </x:c>
      <x:c r="D654" s="10" t="str">
        <x:v>Espaço externo ou caractere invisível</x:v>
      </x:c>
      <x:c r="E654" s="10" t="str">
        <x:v>Organização </x:v>
      </x:c>
      <x:c r="F654" s="10" t="str">
        <x:v>Removido apenas na cópia tabular de análise; original preservado.</x:v>
      </x:c>
    </x:row>
    <x:row r="655" ht="15" hidden="0" customHeight="1">
      <x:c r="A655" s="10" t="str">
        <x:v>BR-SPDIREITOVIOLESTADO_MAPEAMENTOS-NOTICIAS-MSSCPENHA.xlsx</x:v>
      </x:c>
      <x:c r="B655" s="10" t="str">
        <x:v>Lista de movimentos</x:v>
      </x:c>
      <x:c r="C655" s="10" t="str">
        <x:v>A25</x:v>
      </x:c>
      <x:c r="D655" s="10" t="str">
        <x:v>Espaço externo ou caractere invisível</x:v>
      </x:c>
      <x:c r="E655" s="10" t="str">
        <x:v>Coletivo Por Nós </x:v>
      </x:c>
      <x:c r="F655" s="10" t="str">
        <x:v>Removido apenas na cópia tabular de análise; original preservado.</x:v>
      </x:c>
    </x:row>
    <x:row r="656" ht="15" hidden="0" customHeight="1">
      <x:c r="A656" s="10" t="str">
        <x:v>BR-SPDIREITOVIOLESTADO_MAPEAMENTOS-NOTICIAS-MSSCPENHA.xlsx</x:v>
      </x:c>
      <x:c r="B656" s="10" t="str">
        <x:v>Lista de movimentos</x:v>
      </x:c>
      <x:c r="C656" s="10" t="str">
        <x:v>A49</x:v>
      </x:c>
      <x:c r="D656" s="10" t="str">
        <x:v>Espaço externo ou caractere invisível</x:v>
      </x:c>
      <x:c r="E656" s="10" t="str">
        <x:v>Instituto Çarê </x:v>
      </x:c>
      <x:c r="F656" s="10" t="str">
        <x:v>Removido apenas na cópia tabular de análise; original preservado.</x:v>
      </x:c>
    </x:row>
    <x:row r="657" ht="15" hidden="0" customHeight="1">
      <x:c r="A657" s="10" t="str">
        <x:v>BR-SPDIREITOVIOLESTADO_MAPEAMENTOS-NOTICIAS-MSSCPENHA.xlsx</x:v>
      </x:c>
      <x:c r="B657" s="10" t="str">
        <x:v>Lista de movimentos</x:v>
      </x:c>
      <x:c r="C657" s="10" t="str">
        <x:v>A51</x:v>
      </x:c>
      <x:c r="D657" s="10" t="str">
        <x:v>Espaço externo ou caractere invisível</x:v>
      </x:c>
      <x:c r="E657" s="10" t="str">
        <x:v>Kilombagem </x:v>
      </x:c>
      <x:c r="F657" s="10" t="str">
        <x:v>Removido apenas na cópia tabular de análise; original preservado.</x:v>
      </x:c>
    </x:row>
    <x:row r="658" ht="15" hidden="0" customHeight="1">
      <x:c r="A658" s="10" t="str">
        <x:v>BR-SPDIREITOVIOLESTADO_MAPEAMENTOS-NOTICIAS-MSSCPENHA.xlsx</x:v>
      </x:c>
      <x:c r="B658" s="10" t="str">
        <x:v>Lista de movimentos</x:v>
      </x:c>
      <x:c r="C658" s="10" t="str">
        <x:v>H55</x:v>
      </x:c>
      <x:c r="D658" s="10" t="str">
        <x:v>Espaço externo ou caractere invisível</x:v>
      </x:c>
      <x:c r="E658" s="10" t="str">
        <x:v>Instituto de Filosofia e Ciências Humanas da Universidade Estadual de Campinas </x:v>
      </x:c>
      <x:c r="F658" s="10" t="str">
        <x:v>Removido apenas na cópia tabular de análise; original preservado.</x:v>
      </x:c>
    </x:row>
    <x:row r="659" ht="15" hidden="0" customHeight="1">
      <x:c r="A659" s="10" t="str">
        <x:v>BR-SPDIREITOVIOLESTADO_MAPEAMENTOS-NOTICIAS-MSSCPENHA.xlsx</x:v>
      </x:c>
      <x:c r="B659" s="10" t="str">
        <x:v>Lista de movimentos</x:v>
      </x:c>
      <x:c r="C659" s="10" t="str">
        <x:v>H56</x:v>
      </x:c>
      <x:c r="D659" s="10" t="str">
        <x:v>Espaço externo ou caractere invisível</x:v>
      </x:c>
      <x:c r="E659" s="10" t="str">
        <x:v>Edson Souza (Professor da UFRGS) </x:v>
      </x:c>
      <x:c r="F659" s="10" t="str">
        <x:v>Removido apenas na cópia tabular de análise; original preservado.</x:v>
      </x:c>
    </x:row>
    <x:row r="660" ht="15" hidden="0" customHeight="1">
      <x:c r="A660" s="10" t="str">
        <x:v>BR-SPDIREITOVIOLESTADO_MAPEAMENTOS-NOTICIAS-MSSCPENHA.xlsx</x:v>
      </x:c>
      <x:c r="B660" s="10" t="str">
        <x:v>Lista de movimentos</x:v>
      </x:c>
      <x:c r="C660" s="10" t="str">
        <x:v>A64</x:v>
      </x:c>
      <x:c r="D660" s="10" t="str">
        <x:v>Espaço externo ou caractere invisível</x:v>
      </x:c>
      <x:c r="E660" s="10" t="str">
        <x:v>Rede 02 de Outubro </x:v>
      </x:c>
      <x:c r="F660" s="10" t="str">
        <x:v>Removido apenas na cópia tabular de análise; original preservado.</x:v>
      </x:c>
    </x:row>
    <x:row r="661" ht="15" hidden="0" customHeight="1">
      <x:c r="A661" s="10" t="str">
        <x:v>BR-SPDIREITOVIOLESTADO_MAPEAMENTOS-NOTICIAS-MSSCPENHA.xlsx</x:v>
      </x:c>
      <x:c r="B661" s="10" t="str">
        <x:v>Lista de movimentos</x:v>
      </x:c>
      <x:c r="C661" s="10" t="str">
        <x:v>A67</x:v>
      </x:c>
      <x:c r="D661" s="10" t="str">
        <x:v>Espaço externo ou caractere invisível</x:v>
      </x:c>
      <x:c r="E661" s="10" t="str">
        <x:v>Rede Nacional de Feministas Antiproibicionistas </x:v>
      </x:c>
      <x:c r="F661" s="10" t="str">
        <x:v>Removido apenas na cópia tabular de análise; original preservado.</x:v>
      </x:c>
    </x:row>
    <x:row r="662" ht="15" hidden="0" customHeight="1">
      <x:c r="A662" s="10" t="str">
        <x:v>BR-SPDIREITOVIOLESTADO_MAPEAMENTOS-NOTICIAS-MSSCPENHA.xlsx</x:v>
      </x:c>
      <x:c r="B662" s="10" t="str">
        <x:v>Lista de movimentos</x:v>
      </x:c>
      <x:c r="C662" s="10" t="str">
        <x:v>A70</x:v>
      </x:c>
      <x:c r="D662" s="10" t="str">
        <x:v>Espaço externo ou caractere invisível</x:v>
      </x:c>
      <x:c r="E662" s="10" t="str">
        <x:v>Secretaria Municipal de Direitos Humanos </x:v>
      </x:c>
      <x:c r="F662" s="10" t="str">
        <x:v>Removido apenas na cópia tabular de análise; original preservado.</x:v>
      </x:c>
    </x:row>
    <x:row r="663" ht="15" hidden="0" customHeight="1">
      <x:c r="A663" s="10" t="str">
        <x:v>BR-SPDIREITOVIOLESTADO_MAPEAMENTOS-NOTICIAS-MSSCPENHA.xlsx</x:v>
      </x:c>
      <x:c r="B663" s="10" t="str">
        <x:v>Lista de movimentos</x:v>
      </x:c>
      <x:c r="C663" s="10" t="str">
        <x:v>E117</x:v>
      </x:c>
      <x:c r="D663" s="10" t="str">
        <x:v>Espaço externo ou caractere invisível</x:v>
      </x:c>
      <x:c r="E663" s="10" t="str">
        <x:v>Pessoas engajadas no tema da segurança pública </x:v>
      </x:c>
      <x:c r="F663" s="10" t="str">
        <x:v>Removido apenas na cópia tabular de análise; original preservado.</x:v>
      </x:c>
    </x:row>
    <x:row r="664" ht="24" hidden="0" customHeight="1">
      <x:c r="A664" s="10" t="str">
        <x:v>BR-SPDIREITOVIOLESTADO_MAPEAMENTOS-NOTICIAS-MSSCPENHA.xlsx</x:v>
      </x:c>
      <x:c r="B664" s="10" t="str">
        <x:v>Definições</x:v>
      </x:c>
      <x:c r="C664" s="10" t="str">
        <x:v>B2</x:v>
      </x:c>
      <x:c r="D664" s="10" t="str">
        <x:v>Espaço externo ou caractere invisível</x:v>
      </x:c>
      <x:c r="E664" s="10" t="str">
        <x:v>Cada um dos conjuntos documentais de interesse da instituição, de acordo com sua política de aquisição. </x:v>
      </x:c>
      <x:c r="F664" s="10" t="str">
        <x:v>Removido apenas na cópia tabular de análise; original preservado.</x:v>
      </x:c>
    </x:row>
    <x:row r="665" ht="15" hidden="0" customHeight="1">
      <x:c r="A665" s="10" t="str">
        <x:v>BR-SPDIREITOVIOLESTADO_MAPEAMENTOS-NOTICIAS-MSSCPENHA.xlsx</x:v>
      </x:c>
      <x:c r="B665" s="10" t="str">
        <x:v>Definições</x:v>
      </x:c>
      <x:c r="C665" s="10" t="str">
        <x:v>B9</x:v>
      </x:c>
      <x:c r="D665" s="10" t="str">
        <x:v>Espaço externo ou caractere invisível</x:v>
      </x:c>
      <x:c r="E665" s="10" t="str">
        <x:v>Termo pelo qual se dá acesso a uma unidade de descrição. Verbete. </x:v>
      </x:c>
      <x:c r="F665" s="10" t="str">
        <x:v>Removido apenas na cópia tabular de análise; original preservado.</x:v>
      </x:c>
    </x:row>
    <x:row r="666" ht="24" hidden="0" customHeight="1">
      <x:c r="A666" s="10" t="str">
        <x:v>BR-SPDIREITOVIOLESTADO_MAPEAMENTOS-NOTICIAS-MSSCPENHA.xlsx</x:v>
      </x:c>
      <x:c r="B666" s="10" t="str">
        <x:v>Definições</x:v>
      </x:c>
      <x:c r="C666" s="10" t="str">
        <x:v>B13</x:v>
      </x:c>
      <x:c r="D666" s="10" t="str">
        <x:v>Espaço externo ou caractere invisível</x:v>
      </x:c>
      <x:c r="E666" s="10" t="str">
        <x:v>Unidade constituída pelo conjunto de documentos acumulados por uma entidade que, no arquivo permanente, passa a conviver com arquivos de outras. </x:v>
      </x:c>
      <x:c r="F666" s="10" t="str">
        <x:v>Removido apenas na cópia tabular de análise; original preservado.</x:v>
      </x:c>
    </x:row>
    <x:row r="667" ht="15" hidden="0" customHeight="1">
      <x:c r="A667" s="10" t="str">
        <x:v>BR-SPDIREITOVIOLESTADO_MAPEAMENTOS-NOTICIAS-MSSCPENHA.xlsx</x:v>
      </x:c>
      <x:c r="B667" s="10" t="str">
        <x:v>Definições</x:v>
      </x:c>
      <x:c r="C667" s="10" t="str">
        <x:v>B15</x:v>
      </x:c>
      <x:c r="D667" s="10" t="str">
        <x:v>Espaço externo ou caractere invisível</x:v>
      </x:c>
      <x:c r="E667" s="10" t="str">
        <x:v>Todo e qualquer elemento referencial contido num documento. </x:v>
      </x:c>
      <x:c r="F667" s="10" t="str">
        <x:v>Removido apenas na cópia tabular de análise; original preservado.</x:v>
      </x:c>
    </x:row>
    <x:row r="668" ht="36" hidden="0" customHeight="1">
      <x:c r="A668" s="10" t="str">
        <x:v>BR-SPDIREITOVIOLESTADO_MAPEAMENTOS-NOTICIAS-MSSCPENHA.xlsx</x:v>
      </x:c>
      <x:c r="B668" s="10" t="str">
        <x:v>Definições</x:v>
      </x:c>
      <x:c r="C668" s="10" t="str">
        <x:v>B17</x:v>
      </x:c>
      <x:c r="D668" s="10" t="str">
        <x:v>Espaço externo ou caractere invisível</x:v>
      </x:c>
      <x:c r="E668" s="10" t="str">
        <x:v>Palavra ou grupo de palavras retiradas diretamente de um ou mais documentos, para indicar seu conteúdo e facilitar sua recuperação. Descritor, tesauro e vocabulário controlado. </x:v>
      </x:c>
      <x:c r="F668" s="10" t="str">
        <x:v>Removido apenas na cópia tabular de análise; original preservado.</x:v>
      </x:c>
    </x:row>
    <x:row r="669" ht="24" hidden="0" customHeight="1">
      <x:c r="A669" s="10" t="str">
        <x:v>BR-SPDIREITOVIOLESTADO_MAPEAMENTOS-NOTICIAS-MSSCPENHA.xlsx</x:v>
      </x:c>
      <x:c r="B669" s="10" t="str">
        <x:v>Definições</x:v>
      </x:c>
      <x:c r="C669" s="10" t="str">
        <x:v>B19</x:v>
      </x:c>
      <x:c r="D669" s="10" t="str">
        <x:v>Espaço externo ou caractere invisível</x:v>
      </x:c>
      <x:c r="E669" s="10" t="str">
        <x:v>Cópia exata do documento no conteúdo e no aspecto formal, mas não necessariamente em suas domensões. </x:v>
      </x:c>
      <x:c r="F669" s="10" t="str">
        <x:v>Removido apenas na cópia tabular de análise; original preservado.</x:v>
      </x:c>
    </x:row>
    <x:row r="670" ht="15" hidden="0" customHeight="1">
      <x:c r="A670" s="10" t="str">
        <x:v>BR-SPDIREITOVIOLESTADO_MAPEAMENTOS-NOTICIAS-MSSCPENHA.xlsx</x:v>
      </x:c>
      <x:c r="B670" s="10" t="str">
        <x:v>Definições</x:v>
      </x:c>
      <x:c r="C670" s="10" t="str">
        <x:v>B20</x:v>
      </x:c>
      <x:c r="D670" s="10" t="str">
        <x:v>Espaço externo ou caractere invisível</x:v>
      </x:c>
      <x:c r="E670" s="10" t="str">
        <x:v>Conjunto de procedimentos de cópia ou microcópia feitos por energia radiante. </x:v>
      </x:c>
      <x:c r="F670" s="10" t="str">
        <x:v>Removido apenas na cópia tabular de análise; original preservado.</x:v>
      </x:c>
    </x:row>
    <x:row r="671" ht="24" hidden="0" customHeight="1">
      <x:c r="A671" s="10" t="str">
        <x:v>BR-SPDIREITOVIOLESTADO_MAPEAMENTOS-NOTICIAS-MSSCPENHA.xlsx</x:v>
      </x:c>
      <x:c r="B671" s="10" t="str">
        <x:v>Definições</x:v>
      </x:c>
      <x:c r="C671" s="10" t="str">
        <x:v>B23</x:v>
      </x:c>
      <x:c r="D671" s="10" t="str">
        <x:v>Espaço externo ou caractere invisível</x:v>
      </x:c>
      <x:c r="E671" s="10" t="str">
        <x:v>Configuração que assume uma espécie documental, de acordo com a atividade que a gerou. </x:v>
      </x:c>
      <x:c r="F671" s="10" t="str">
        <x:v>Removido apenas na cópia tabular de análise; original preservado.</x:v>
      </x:c>
    </x:row>
    <x:row r="672" ht="15" hidden="0" customHeight="1">
      <x:c r="A672" s="10" t="str">
        <x:v>BR-SPDIREITOVIOLESTADO_MAPEAMENTOS-NOTICIAS-MSSCPENHA.xlsx</x:v>
      </x:c>
      <x:c r="B672" s="10" t="str">
        <x:v>Acervo</x:v>
      </x:c>
      <x:c r="C672" s="10" t="str">
        <x:v>C9</x:v>
      </x:c>
      <x:c r="D672" s="10" t="str">
        <x:v>Espaço externo ou caractere invisível</x:v>
      </x:c>
      <x:c r="E672" s="10" t="str">
        <x:v>Textual </x:v>
      </x:c>
      <x:c r="F672" s="10" t="str">
        <x:v>Removido apenas na cópia tabular de análise; original preservado.</x:v>
      </x:c>
    </x:row>
    <x:row r="673" ht="15" hidden="0" customHeight="1">
      <x:c r="A673" s="10" t="str">
        <x:v>BR-SPDIREITOVIOLESTADO_MAPEAMENTOS-NOTICIAS-MSSCPENHA.xlsx</x:v>
      </x:c>
      <x:c r="B673" s="10" t="str">
        <x:v>Acervo</x:v>
      </x:c>
      <x:c r="C673" s="10" t="str">
        <x:v>A27</x:v>
      </x:c>
      <x:c r="D673" s="10" t="str">
        <x:v>Espaço externo ou caractere invisível</x:v>
      </x:c>
      <x:c r="E673" s="10" t="str">
        <x:v>Fundo </x:v>
      </x:c>
      <x:c r="F673" s="10" t="str">
        <x:v>Removido apenas na cópia tabular de análise; original preservado.</x:v>
      </x:c>
    </x:row>
    <x:row r="674" ht="15" hidden="0" customHeight="1">
      <x:c r="A674" s="10" t="str">
        <x:v>BR-SPDIREITOVIOLESTADO_MAPEAMENTOS-NOTICIAS-MSSCPENHA.xlsx</x:v>
      </x:c>
      <x:c r="B674" s="10" t="str">
        <x:v>Acervo</x:v>
      </x:c>
      <x:c r="C674" s="10" t="str">
        <x:v>B37</x:v>
      </x:c>
      <x:c r="D674" s="10" t="str">
        <x:v>Espaço externo ou caractere invisível</x:v>
      </x:c>
      <x:c r="E674" s="10" t="str">
        <x:v>Grupo </x:v>
      </x:c>
      <x:c r="F674" s="10" t="str">
        <x:v>Removido apenas na cópia tabular de análise; original preservado.</x:v>
      </x:c>
    </x:row>
    <x:row r="675" ht="15" hidden="0" customHeight="1">
      <x:c r="A675" s="10" t="str">
        <x:v>BR-SPDIREITOVIOLESTADO_MAPEAMENTOS-NOTICIAS-MSSCPENHA.xlsx</x:v>
      </x:c>
      <x:c r="B675" s="10" t="str">
        <x:v>Acervo</x:v>
      </x:c>
      <x:c r="C675" s="10" t="str">
        <x:v>B42</x:v>
      </x:c>
      <x:c r="D675" s="10" t="str">
        <x:v>Espaço externo ou caractere invisível</x:v>
      </x:c>
      <x:c r="E675" s="10" t="str">
        <x:v>Unidade documental </x:v>
      </x:c>
      <x:c r="F675" s="10" t="str">
        <x:v>Removido apenas na cópia tabular de análise; original preservado.</x:v>
      </x:c>
    </x:row>
    <x:row r="676" ht="15" hidden="0" customHeight="1">
      <x:c r="A676" s="10" t="str">
        <x:v>BR-SPDIREITOVIOLESTADO_MAPEAMENTOS-NOTICIAS-MSSCPENHA.xlsx</x:v>
      </x:c>
      <x:c r="B676" s="10" t="str">
        <x:v>Acervo</x:v>
      </x:c>
      <x:c r="C676" s="10" t="str">
        <x:v>B44</x:v>
      </x:c>
      <x:c r="D676" s="10" t="str">
        <x:v>Espaço externo ou caractere invisível</x:v>
      </x:c>
      <x:c r="E676" s="10" t="str">
        <x:v>Parte, pg </x:v>
      </x:c>
      <x:c r="F676" s="10" t="str">
        <x:v>Removido apenas na cópia tabular de análise; original preservado.</x:v>
      </x:c>
    </x:row>
    <x:row r="677" ht="24" hidden="0" customHeight="1">
      <x:c r="A677" s="10" t="str">
        <x:v>BR-SPCARANDIRU_FILMES-CSDTCARANDIRU.xlsx</x:v>
      </x:c>
      <x:c r="B677" s="10" t="str">
        <x:v>PenitEstado1928</x:v>
      </x:c>
      <x:c r="C677" s="10" t="str">
        <x:v>K2</x:v>
      </x:c>
      <x:c r="D677" s="10" t="str">
        <x:v>Código de referência repetido entre descrições</x:v>
      </x:c>
      <x:c r="E677" s="10" t="str">
        <x:v>BR-SPCARANDIRU_FILMES-PENITESTADO1928-CSDTCARANDIRU_FLG-FME-NDT-DT1_0001-001.mp4</x:v>
      </x:c>
      <x:c r="F677" s="10" t="str">
        <x:v>Preservado. Validar cada código com a Geral. As descrições são distintas e não devem ser apagadas como duplicatas.</x:v>
      </x:c>
    </x:row>
    <x:row r="678" ht="24" hidden="0" customHeight="1">
      <x:c r="A678" s="10" t="str">
        <x:v>BR-SPCARANDIRU_FILMES-CSDTCARANDIRU.xlsx</x:v>
      </x:c>
      <x:c r="B678" s="10" t="str">
        <x:v>FlmsHectorBabenco</x:v>
      </x:c>
      <x:c r="C678" s="10" t="str">
        <x:v>K2</x:v>
      </x:c>
      <x:c r="D678" s="10" t="str">
        <x:v>Código de referência repetido entre descrições</x:v>
      </x:c>
      <x:c r="E678" s="10" t="str">
        <x:v>BR-SPCARANDIRU_FILMES-PENITESTADO1928-CSDTCARANDIRU_FLG-FME-NDT-DT1_0001-001.mp4</x:v>
      </x:c>
      <x:c r="F678" s="10" t="str">
        <x:v>Preservado. Validar cada código com a Geral. As descrições são distintas e não devem ser apagadas como duplicatas.</x:v>
      </x:c>
    </x:row>
    <x:row r="679" ht="24" hidden="0" customHeight="1">
      <x:c r="A679" s="10" t="str">
        <x:v>BR-SPCARANDIRU_FILMES-CSDTCARANDIRU.xlsx</x:v>
      </x:c>
      <x:c r="B679" s="10" t="str">
        <x:v>BastidFilmeCarandiru</x:v>
      </x:c>
      <x:c r="C679" s="10" t="str">
        <x:v>K2</x:v>
      </x:c>
      <x:c r="D679" s="10" t="str">
        <x:v>Código de referência repetido entre descrições</x:v>
      </x:c>
      <x:c r="E679" s="10" t="str">
        <x:v>BR-SPCARANDIRU_FILMES-PENITESTADO1928-CSDTCARANDIRU_FLG-FME-NDT-DT1_0001-001.mp4</x:v>
      </x:c>
      <x:c r="F679" s="10" t="str">
        <x:v>Preservado. Validar cada código com a Geral. As descrições são distintas e não devem ser apagadas como duplicatas.</x:v>
      </x:c>
    </x:row>
    <x:row r="680" ht="24" hidden="0" customHeight="1">
      <x:c r="A680" s="10" t="str">
        <x:v>BR-SPCARANDIRU_FILMES-CSDTCARANDIRU.xlsx</x:v>
      </x:c>
      <x:c r="B680" s="10" t="str">
        <x:v>SlideShowCharge</x:v>
      </x:c>
      <x:c r="C680" s="10" t="str">
        <x:v>K2</x:v>
      </x:c>
      <x:c r="D680" s="10" t="str">
        <x:v>Código de referência repetido entre descrições</x:v>
      </x:c>
      <x:c r="E680" s="10" t="str">
        <x:v>BR-SPCARANDIRU_FILMES-PENITESTADO1928-CSDTCARANDIRU_FLG-FME-NDT-DT1_0001-001.mp4</x:v>
      </x:c>
      <x:c r="F680" s="10" t="str">
        <x:v>Preservado. Validar cada código com a Geral. As descrições são distintas e não devem ser apagadas como duplicatas.</x:v>
      </x:c>
    </x:row>
    <x:row r="681" ht="24" hidden="0" customHeight="1">
      <x:c r="A681" s="10" t="str">
        <x:v>BR-SPCARANDIRU_FILMES-CSDTCARANDIRU.xlsx</x:v>
      </x:c>
      <x:c r="B681" s="10" t="str">
        <x:v>DirArteCarandiru</x:v>
      </x:c>
      <x:c r="C681" s="10" t="str">
        <x:v>K2</x:v>
      </x:c>
      <x:c r="D681" s="10" t="str">
        <x:v>Código de referência repetido entre descrições</x:v>
      </x:c>
      <x:c r="E681" s="10" t="str">
        <x:v>BR-SPCARANDIRU_FILMES-PENITESTADO1928-CSDTCARANDIRU_FLG-FME-NDT-DT1_0001-001.mp4</x:v>
      </x:c>
      <x:c r="F681" s="10" t="str">
        <x:v>Preservado. Validar cada código com a Geral. As descrições são distintas e não devem ser apagadas como duplicatas.</x:v>
      </x:c>
    </x:row>
    <x:row r="682" ht="24" hidden="0" customHeight="1">
      <x:c r="A682" s="10" t="str">
        <x:v>BR-SPCARANDIRU_FILMES-CSDTCARANDIRU.xlsx</x:v>
      </x:c>
      <x:c r="B682" s="10" t="str">
        <x:v>OriginalDVD</x:v>
      </x:c>
      <x:c r="C682" s="10" t="str">
        <x:v>K2</x:v>
      </x:c>
      <x:c r="D682" s="10" t="str">
        <x:v>Código de referência repetido entre descrições</x:v>
      </x:c>
      <x:c r="E682" s="10" t="str">
        <x:v>BR-SPCARANDIRU_FILMES-PENITESTADO1928-CSDTCARANDIRU_FLG-FME-NDT-DT1_0001-001.mp4</x:v>
      </x:c>
      <x:c r="F682" s="10" t="str">
        <x:v>Preservado. Validar cada código com a Geral. As descrições são distintas e não devem ser apagadas como duplicatas.</x:v>
      </x:c>
    </x:row>
  </x:sheetData>
  <x:pageMargins left="0.7" right="0.7" top="0.75" bottom="0.75" header="0.3" footer="0.3"/>
  <x:tableParts count="1">
    <x:tablePart xmlns:r="http://schemas.openxmlformats.org/officeDocument/2006/relationships" r:id="R716adf1fb7744323"/>
  </x:tableParts>
</x:worksheet>
</file>